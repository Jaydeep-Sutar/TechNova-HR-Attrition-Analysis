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HR_Project\"/>
    </mc:Choice>
  </mc:AlternateContent>
  <xr:revisionPtr revIDLastSave="0" documentId="13_ncr:1_{63D18373-BFB4-476D-B5B8-660275103F4F}" xr6:coauthVersionLast="47" xr6:coauthVersionMax="47" xr10:uidLastSave="{00000000-0000-0000-0000-000000000000}"/>
  <bookViews>
    <workbookView xWindow="-110" yWindow="-110" windowWidth="19420" windowHeight="10300" firstSheet="2" activeTab="3" xr2:uid="{00000000-000D-0000-FFFF-FFFF00000000}"/>
  </bookViews>
  <sheets>
    <sheet name="Sheet1" sheetId="4" state="hidden" r:id="rId1"/>
    <sheet name="HR_Dashboard" sheetId="10" r:id="rId2"/>
    <sheet name="README" sheetId="13" r:id="rId3"/>
    <sheet name="HR_Findings" sheetId="12" r:id="rId4"/>
    <sheet name="HR_Analysis" sheetId="8" r:id="rId5"/>
    <sheet name="Data_Quality_Check" sheetId="3" r:id="rId6"/>
    <sheet name="Clean_HR_Data" sheetId="7" r:id="rId7"/>
    <sheet name="Raw_HR_Data" sheetId="1" r:id="rId8"/>
    <sheet name="Data_Dictionary" sheetId="2" r:id="rId9"/>
    <sheet name="Sheet3" sheetId="6" state="hidden" r:id="rId10"/>
    <sheet name="PT_Attrition" sheetId="11" state="hidden" r:id="rId11"/>
  </sheets>
  <definedNames>
    <definedName name="_xlnm._FilterDatabase" localSheetId="7" hidden="1">Raw_HR_Data!$W$1:$W$1507</definedName>
    <definedName name="ExternalData_1" localSheetId="6" hidden="1">Clean_HR_Data!$A$1:$Z$1501</definedName>
    <definedName name="ExternalData_1" localSheetId="9" hidden="1">Sheet3!$A$1:$X$1507</definedName>
    <definedName name="_xlnm.Extract" localSheetId="7">Raw_HR_Data!$Z$2</definedName>
    <definedName name="Slicer_Department">#N/A</definedName>
    <definedName name="Slicer_Department1">#N/A</definedName>
    <definedName name="Slicer_Job_Level">#N/A</definedName>
    <definedName name="Slicer_Overtim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8" l="1"/>
  <c r="B6" i="8"/>
  <c r="B4" i="8"/>
  <c r="B3" i="8"/>
  <c r="B2" i="8"/>
  <c r="B12" i="3"/>
  <c r="B10" i="3"/>
  <c r="B9" i="3"/>
  <c r="B8" i="3"/>
  <c r="B7" i="3"/>
  <c r="B6" i="3"/>
  <c r="B5" i="3"/>
  <c r="B4" i="3"/>
  <c r="B2" i="3"/>
  <c r="B1" i="3"/>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 r="A7" i="10"/>
  <c r="E7" i="10"/>
  <c r="I7" i="10"/>
  <c r="Q7" i="10"/>
  <c r="M7" i="10"/>
  <c r="B5"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bl_HR_Clean" description="Connection to the 'tbl_HR_Clean' query in the workbook." type="5" refreshedVersion="7" background="1" saveData="1">
    <dbPr connection="Provider=Microsoft.Mashup.OleDb.1;Data Source=$Workbook$;Location=tbl_HR_Clean;Extended Properties=&quot;&quot;" command="SELECT * FROM [tbl_HR_Clean]"/>
  </connection>
  <connection id="2" xr16:uid="{00000000-0015-0000-FFFF-FFFF01000000}" keepAlive="1" name="Query - tbl_HR_Raw" description="Connection to the 'tbl_HR_Raw' query in the workbook." type="5" refreshedVersion="7" background="1" saveData="1">
    <dbPr connection="Provider=Microsoft.Mashup.OleDb.1;Data Source=$Workbook$;Location=tbl_HR_Raw;Extended Properties=&quot;&quot;" command="SELECT * FROM [tbl_HR_Raw]"/>
  </connection>
</connections>
</file>

<file path=xl/sharedStrings.xml><?xml version="1.0" encoding="utf-8"?>
<sst xmlns="http://schemas.openxmlformats.org/spreadsheetml/2006/main" count="46948" uniqueCount="1771">
  <si>
    <t>Employee_ID</t>
  </si>
  <si>
    <t>Joining_Date</t>
  </si>
  <si>
    <t>Exit_Date</t>
  </si>
  <si>
    <t>Attrition</t>
  </si>
  <si>
    <t>Age</t>
  </si>
  <si>
    <t>Gender</t>
  </si>
  <si>
    <t>Marital_Status</t>
  </si>
  <si>
    <t>Education</t>
  </si>
  <si>
    <t>Department</t>
  </si>
  <si>
    <t>Job_Role</t>
  </si>
  <si>
    <t>Job_Level</t>
  </si>
  <si>
    <t>Location</t>
  </si>
  <si>
    <t>Monthly_Salary</t>
  </si>
  <si>
    <t>Salary_Hike_Pct</t>
  </si>
  <si>
    <t>Total_Work_Experience</t>
  </si>
  <si>
    <t>Years_at_Company</t>
  </si>
  <si>
    <t>Years_Since_Last_Promotion</t>
  </si>
  <si>
    <t>Job_Satisfaction</t>
  </si>
  <si>
    <t>Environment_Satisfaction</t>
  </si>
  <si>
    <t>Work_Life_Balance</t>
  </si>
  <si>
    <t>Overtime</t>
  </si>
  <si>
    <t>Performance_Rating</t>
  </si>
  <si>
    <t>EMP0617</t>
  </si>
  <si>
    <t>No</t>
  </si>
  <si>
    <t>Male</t>
  </si>
  <si>
    <t>Divorced</t>
  </si>
  <si>
    <t>Bachelor's</t>
  </si>
  <si>
    <t>Human Resources</t>
  </si>
  <si>
    <t>HR Analyst</t>
  </si>
  <si>
    <t>Noida</t>
  </si>
  <si>
    <t>Yes</t>
  </si>
  <si>
    <t>EMP0586</t>
  </si>
  <si>
    <t>Master's</t>
  </si>
  <si>
    <t>HR Manager</t>
  </si>
  <si>
    <t>Mumbai</t>
  </si>
  <si>
    <t>EMP0305</t>
  </si>
  <si>
    <t>Female</t>
  </si>
  <si>
    <t>Single</t>
  </si>
  <si>
    <t>Technology</t>
  </si>
  <si>
    <t>QA Engineer</t>
  </si>
  <si>
    <t>Pune</t>
  </si>
  <si>
    <t>EMP0309</t>
  </si>
  <si>
    <t>Married</t>
  </si>
  <si>
    <t>HR Executive</t>
  </si>
  <si>
    <t>EMP0529</t>
  </si>
  <si>
    <t>Operations</t>
  </si>
  <si>
    <t>Process Associate</t>
  </si>
  <si>
    <t>EMP1323</t>
  </si>
  <si>
    <t>Finance</t>
  </si>
  <si>
    <t>Accountant</t>
  </si>
  <si>
    <t>Bengaluru</t>
  </si>
  <si>
    <t>EMP0823</t>
  </si>
  <si>
    <t>Tech Lead</t>
  </si>
  <si>
    <t>EMP0225</t>
  </si>
  <si>
    <t>PhD</t>
  </si>
  <si>
    <t>Data &amp; Analytics</t>
  </si>
  <si>
    <t>Data Analyst</t>
  </si>
  <si>
    <t>EMP0468</t>
  </si>
  <si>
    <t>Diploma</t>
  </si>
  <si>
    <t>IT Support</t>
  </si>
  <si>
    <t>IT Support Lead</t>
  </si>
  <si>
    <t>EMP0548</t>
  </si>
  <si>
    <t>Non-Binary</t>
  </si>
  <si>
    <t>Financial Analyst</t>
  </si>
  <si>
    <t>EMP0654</t>
  </si>
  <si>
    <t>EMP0719</t>
  </si>
  <si>
    <t>Chennai</t>
  </si>
  <si>
    <t>EMP0075</t>
  </si>
  <si>
    <t>Sales</t>
  </si>
  <si>
    <t>Sales Manager</t>
  </si>
  <si>
    <t>EMP1444</t>
  </si>
  <si>
    <t>EMP0454</t>
  </si>
  <si>
    <t>EMP0043</t>
  </si>
  <si>
    <t>EMP0235</t>
  </si>
  <si>
    <t>EMP0982</t>
  </si>
  <si>
    <t>IT Support Specialist</t>
  </si>
  <si>
    <t>EMP1204</t>
  </si>
  <si>
    <t>Operations Manager</t>
  </si>
  <si>
    <t>EMP0781</t>
  </si>
  <si>
    <t>EMP1455</t>
  </si>
  <si>
    <t>Data Engineer</t>
  </si>
  <si>
    <t>EMP0669</t>
  </si>
  <si>
    <t>EMP1381</t>
  </si>
  <si>
    <t>EMP0983</t>
  </si>
  <si>
    <t>Hyderabad</t>
  </si>
  <si>
    <t>EMP1483</t>
  </si>
  <si>
    <t>System Administrator</t>
  </si>
  <si>
    <t>EMP0993</t>
  </si>
  <si>
    <t>Senior Data Analyst</t>
  </si>
  <si>
    <t>EMP0486</t>
  </si>
  <si>
    <t>EMP1031</t>
  </si>
  <si>
    <t>EMP0597</t>
  </si>
  <si>
    <t>EMP0420</t>
  </si>
  <si>
    <t>EMP0641</t>
  </si>
  <si>
    <t>EMP1337</t>
  </si>
  <si>
    <t>Recruiter</t>
  </si>
  <si>
    <t>EMP0384</t>
  </si>
  <si>
    <t>Operations Analyst</t>
  </si>
  <si>
    <t>EMP0658</t>
  </si>
  <si>
    <t>EMP0764</t>
  </si>
  <si>
    <t>EMP0847</t>
  </si>
  <si>
    <t>EMP1118</t>
  </si>
  <si>
    <t>Sales Executive</t>
  </si>
  <si>
    <t>EMP0836</t>
  </si>
  <si>
    <t>EMP1147</t>
  </si>
  <si>
    <t>EMP0946</t>
  </si>
  <si>
    <t>EMP0387</t>
  </si>
  <si>
    <t>EMP0254</t>
  </si>
  <si>
    <t>EMP1481</t>
  </si>
  <si>
    <t>Account Manager</t>
  </si>
  <si>
    <t>EMP1346</t>
  </si>
  <si>
    <t>EMP1080</t>
  </si>
  <si>
    <t>EMP0737</t>
  </si>
  <si>
    <t>EMP1500</t>
  </si>
  <si>
    <t>EMP0288</t>
  </si>
  <si>
    <t>EMP1169</t>
  </si>
  <si>
    <t>EMP1364</t>
  </si>
  <si>
    <t>EMP0570</t>
  </si>
  <si>
    <t>Software Developer</t>
  </si>
  <si>
    <t>EMP0997</t>
  </si>
  <si>
    <t>EMP0192</t>
  </si>
  <si>
    <t>Business Development Executive</t>
  </si>
  <si>
    <t>EMP0996</t>
  </si>
  <si>
    <t>EMP1197</t>
  </si>
  <si>
    <t>EMP1168</t>
  </si>
  <si>
    <t>EMP1327</t>
  </si>
  <si>
    <t>EMP0804</t>
  </si>
  <si>
    <t>EMP0058</t>
  </si>
  <si>
    <t>EMP0317</t>
  </si>
  <si>
    <t>Finance Executive</t>
  </si>
  <si>
    <t>EMP0809</t>
  </si>
  <si>
    <t>EMP1392</t>
  </si>
  <si>
    <t>EMP1445</t>
  </si>
  <si>
    <t>EMP0913</t>
  </si>
  <si>
    <t>EMP1368</t>
  </si>
  <si>
    <t>EMP1053</t>
  </si>
  <si>
    <t>EMP0267</t>
  </si>
  <si>
    <t>₹67,000</t>
  </si>
  <si>
    <t>EMP0646</t>
  </si>
  <si>
    <t>Senior Software Developer</t>
  </si>
  <si>
    <t>EMP1289</t>
  </si>
  <si>
    <t>EMP0863</t>
  </si>
  <si>
    <t>EMP1471</t>
  </si>
  <si>
    <t>EMP1225</t>
  </si>
  <si>
    <t>EMP0818</t>
  </si>
  <si>
    <t>EMP0613</t>
  </si>
  <si>
    <t>EMP0432</t>
  </si>
  <si>
    <t>EMP1200</t>
  </si>
  <si>
    <t>EMP0087</t>
  </si>
  <si>
    <t>EMP0413</t>
  </si>
  <si>
    <t>IT Analyst</t>
  </si>
  <si>
    <t>EMP1257</t>
  </si>
  <si>
    <t>EMP1241</t>
  </si>
  <si>
    <t>EMP1275</t>
  </si>
  <si>
    <t>EMP1465</t>
  </si>
  <si>
    <t>EMP1341</t>
  </si>
  <si>
    <t>EMP0444</t>
  </si>
  <si>
    <t>EMP0142</t>
  </si>
  <si>
    <t>EMP0378</t>
  </si>
  <si>
    <t>₹52,000</t>
  </si>
  <si>
    <t>EMP1127</t>
  </si>
  <si>
    <t>EMP1264</t>
  </si>
  <si>
    <t>EMP0814</t>
  </si>
  <si>
    <t>EMP0234</t>
  </si>
  <si>
    <t>Operations Executive</t>
  </si>
  <si>
    <t>EMP0563</t>
  </si>
  <si>
    <t>EMP0443</t>
  </si>
  <si>
    <t>EMP0202</t>
  </si>
  <si>
    <t>EMP1486</t>
  </si>
  <si>
    <t>EMP1017</t>
  </si>
  <si>
    <t>EMP0386</t>
  </si>
  <si>
    <t>EMP0293</t>
  </si>
  <si>
    <t>EMP1422</t>
  </si>
  <si>
    <t>EMP1372</t>
  </si>
  <si>
    <t>EMP0753</t>
  </si>
  <si>
    <t>EMP0033</t>
  </si>
  <si>
    <t>EMP1046</t>
  </si>
  <si>
    <t>EMP0361</t>
  </si>
  <si>
    <t>EMP0999</t>
  </si>
  <si>
    <t>BI Analyst</t>
  </si>
  <si>
    <t>EMP0157</t>
  </si>
  <si>
    <t>EMP0397</t>
  </si>
  <si>
    <t>EMP0261</t>
  </si>
  <si>
    <t>EMP1061</t>
  </si>
  <si>
    <t>EMP1303</t>
  </si>
  <si>
    <t>EMP1044</t>
  </si>
  <si>
    <t>EMP0890</t>
  </si>
  <si>
    <t>EMP0987</t>
  </si>
  <si>
    <t>EMP1433</t>
  </si>
  <si>
    <t>EMP0173</t>
  </si>
  <si>
    <t>EMP0464</t>
  </si>
  <si>
    <t>EMP0183</t>
  </si>
  <si>
    <t>EMP0625</t>
  </si>
  <si>
    <t>EMP1362</t>
  </si>
  <si>
    <t>EMP0531</t>
  </si>
  <si>
    <t>EMP1284</t>
  </si>
  <si>
    <t>EMP1297</t>
  </si>
  <si>
    <t>EMP0757</t>
  </si>
  <si>
    <t>EMP1416</t>
  </si>
  <si>
    <t>EMP1400</t>
  </si>
  <si>
    <t>EMP0697</t>
  </si>
  <si>
    <t>Finance Manager</t>
  </si>
  <si>
    <t>EMP0639</t>
  </si>
  <si>
    <t>EMP0807</t>
  </si>
  <si>
    <t>EMP0758</t>
  </si>
  <si>
    <t>EMP0978</t>
  </si>
  <si>
    <t>EMP0582</t>
  </si>
  <si>
    <t>EMP1383</t>
  </si>
  <si>
    <t>EMP0660</t>
  </si>
  <si>
    <t>EMP0665</t>
  </si>
  <si>
    <t>EMP0274</t>
  </si>
  <si>
    <t>EMP0015</t>
  </si>
  <si>
    <t>EMP0127</t>
  </si>
  <si>
    <t>EMP0482</t>
  </si>
  <si>
    <t>EMP1042</t>
  </si>
  <si>
    <t>EMP1306</t>
  </si>
  <si>
    <t>EMP0603</t>
  </si>
  <si>
    <t>EMP1402</t>
  </si>
  <si>
    <t>EMP0209</t>
  </si>
  <si>
    <t>EMP0877</t>
  </si>
  <si>
    <t>EMP0296</t>
  </si>
  <si>
    <t>EMP0516</t>
  </si>
  <si>
    <t>EMP0940</t>
  </si>
  <si>
    <t>EMP1236</t>
  </si>
  <si>
    <t>EMP0833</t>
  </si>
  <si>
    <t>EMP0339</t>
  </si>
  <si>
    <t>EMP0283</t>
  </si>
  <si>
    <t>EMP0204</t>
  </si>
  <si>
    <t>EMP0624</t>
  </si>
  <si>
    <t>EMP0132</t>
  </si>
  <si>
    <t>EMP1038</t>
  </si>
  <si>
    <t>EMP0663</t>
  </si>
  <si>
    <t>EMP0543</t>
  </si>
  <si>
    <t>EMP0727</t>
  </si>
  <si>
    <t>EMP0063</t>
  </si>
  <si>
    <t>EMP0161</t>
  </si>
  <si>
    <t>EMP1355</t>
  </si>
  <si>
    <t>EMP1451</t>
  </si>
  <si>
    <t>EMP0540</t>
  </si>
  <si>
    <t>EMP0045</t>
  </si>
  <si>
    <t>EMP1441</t>
  </si>
  <si>
    <t>EMP0330</t>
  </si>
  <si>
    <t>EMP0619</t>
  </si>
  <si>
    <t>EMP1347</t>
  </si>
  <si>
    <t>EMP1166</t>
  </si>
  <si>
    <t>EMP0029</t>
  </si>
  <si>
    <t>EMP0969</t>
  </si>
  <si>
    <t>EMP1427</t>
  </si>
  <si>
    <t>EMP1090</t>
  </si>
  <si>
    <t>EMP0120</t>
  </si>
  <si>
    <t>EMP1328</t>
  </si>
  <si>
    <t>EMP1316</t>
  </si>
  <si>
    <t>EMP0537</t>
  </si>
  <si>
    <t>EMP1324</t>
  </si>
  <si>
    <t>EMP0526</t>
  </si>
  <si>
    <t>data &amp; analytics</t>
  </si>
  <si>
    <t>EMP0670</t>
  </si>
  <si>
    <t>EMP1150</t>
  </si>
  <si>
    <t>EMP0674</t>
  </si>
  <si>
    <t>EMP0108</t>
  </si>
  <si>
    <t>EMP0852</t>
  </si>
  <si>
    <t>EMP0007</t>
  </si>
  <si>
    <t>EMP1292</t>
  </si>
  <si>
    <t>EMP0549</t>
  </si>
  <si>
    <t>EMP0936</t>
  </si>
  <si>
    <t>EMP0147</t>
  </si>
  <si>
    <t>EMP0390</t>
  </si>
  <si>
    <t>EMP0626</t>
  </si>
  <si>
    <t>EMP0672</t>
  </si>
  <si>
    <t>EMP0911</t>
  </si>
  <si>
    <t>EMP0788</t>
  </si>
  <si>
    <t>EMP0680</t>
  </si>
  <si>
    <t>EMP0013</t>
  </si>
  <si>
    <t>EMP0130</t>
  </si>
  <si>
    <t>EMP0968</t>
  </si>
  <si>
    <t>EMP0401</t>
  </si>
  <si>
    <t>EMP1332</t>
  </si>
  <si>
    <t>EMP0153</t>
  </si>
  <si>
    <t>EMP0875</t>
  </si>
  <si>
    <t>EMP0535</t>
  </si>
  <si>
    <t>EMP0064</t>
  </si>
  <si>
    <t>EMP0939</t>
  </si>
  <si>
    <t>EMP0343</t>
  </si>
  <si>
    <t>EMP0212</t>
  </si>
  <si>
    <t>EMP1258</t>
  </si>
  <si>
    <t>EMP1043</t>
  </si>
  <si>
    <t>EMP0159</t>
  </si>
  <si>
    <t>EMP0715</t>
  </si>
  <si>
    <t>EMP0825</t>
  </si>
  <si>
    <t>EMP1492</t>
  </si>
  <si>
    <t>EMP0943</t>
  </si>
  <si>
    <t>EMP0145</t>
  </si>
  <si>
    <t>EMP0960</t>
  </si>
  <si>
    <t>EMP1201</t>
  </si>
  <si>
    <t>EMP0077</t>
  </si>
  <si>
    <t>EMP0457</t>
  </si>
  <si>
    <t>EMP0887</t>
  </si>
  <si>
    <t>EMP0223</t>
  </si>
  <si>
    <t>EMP0785</t>
  </si>
  <si>
    <t>EMP0366</t>
  </si>
  <si>
    <t>EMP0974</t>
  </si>
  <si>
    <t>EMP0799</t>
  </si>
  <si>
    <t>EMP1462</t>
  </si>
  <si>
    <t>EMP1351</t>
  </si>
  <si>
    <t>EMP0215</t>
  </si>
  <si>
    <t>EMP1081</t>
  </si>
  <si>
    <t>EMP0931</t>
  </si>
  <si>
    <t>EMP0792</t>
  </si>
  <si>
    <t>EMP0588</t>
  </si>
  <si>
    <t>EMP0577</t>
  </si>
  <si>
    <t>EMP0262</t>
  </si>
  <si>
    <t>EMP0334</t>
  </si>
  <si>
    <t>EMP0560</t>
  </si>
  <si>
    <t>EMP0364</t>
  </si>
  <si>
    <t>EMP0003</t>
  </si>
  <si>
    <t>EMP1237</t>
  </si>
  <si>
    <t>EMP1051</t>
  </si>
  <si>
    <t>EMP1387</t>
  </si>
  <si>
    <t>EMP1276</t>
  </si>
  <si>
    <t>EMP0896</t>
  </si>
  <si>
    <t>EMP0117</t>
  </si>
  <si>
    <t>EMP0944</t>
  </si>
  <si>
    <t>EMP0702</t>
  </si>
  <si>
    <t>EMP1050</t>
  </si>
  <si>
    <t>EMP1069</t>
  </si>
  <si>
    <t>EMP1450</t>
  </si>
  <si>
    <t>EMP0479</t>
  </si>
  <si>
    <t>EMP0352</t>
  </si>
  <si>
    <t>EMP0821</t>
  </si>
  <si>
    <t>EMP1496</t>
  </si>
  <si>
    <t>EMP0383</t>
  </si>
  <si>
    <t xml:space="preserve"> Technology </t>
  </si>
  <si>
    <t>EMP0598</t>
  </si>
  <si>
    <t>EMP0618</t>
  </si>
  <si>
    <t>no</t>
  </si>
  <si>
    <t>EMP1484</t>
  </si>
  <si>
    <t>EMP0311</t>
  </si>
  <si>
    <t>EMP0154</t>
  </si>
  <si>
    <t>₹49,000</t>
  </si>
  <si>
    <t>EMP0301</t>
  </si>
  <si>
    <t>EMP0308</t>
  </si>
  <si>
    <t>EMP0771</t>
  </si>
  <si>
    <t>EMP0129</t>
  </si>
  <si>
    <t>EMP1143</t>
  </si>
  <si>
    <t>EMP0620</t>
  </si>
  <si>
    <t>EMP0286</t>
  </si>
  <si>
    <t>EMP0524</t>
  </si>
  <si>
    <t>EMP0041</t>
  </si>
  <si>
    <t>EMP0955</t>
  </si>
  <si>
    <t>EMP0676</t>
  </si>
  <si>
    <t>EMP1320</t>
  </si>
  <si>
    <t>EMP0178</t>
  </si>
  <si>
    <t>EMP0124</t>
  </si>
  <si>
    <t>EMP0125</t>
  </si>
  <si>
    <t>EMP1267</t>
  </si>
  <si>
    <t>EMP0734</t>
  </si>
  <si>
    <t>EMP1011</t>
  </si>
  <si>
    <t>EMP1367</t>
  </si>
  <si>
    <t>EMP0611</t>
  </si>
  <si>
    <t>EMP0917</t>
  </si>
  <si>
    <t>EMP0908</t>
  </si>
  <si>
    <t>EMP1104</t>
  </si>
  <si>
    <t>EMP0856</t>
  </si>
  <si>
    <t>EMP1310</t>
  </si>
  <si>
    <t>EMP0909</t>
  </si>
  <si>
    <t>EMP0777</t>
  </si>
  <si>
    <t>operations</t>
  </si>
  <si>
    <t>EMP0320</t>
  </si>
  <si>
    <t>EMP0645</t>
  </si>
  <si>
    <t>EMP0437</t>
  </si>
  <si>
    <t>EMP1117</t>
  </si>
  <si>
    <t>EMP0406</t>
  </si>
  <si>
    <t>EMP1021</t>
  </si>
  <si>
    <t>EMP0859</t>
  </si>
  <si>
    <t>EMP0357</t>
  </si>
  <si>
    <t>EMP1161</t>
  </si>
  <si>
    <t>EMP0258</t>
  </si>
  <si>
    <t>EMP0652</t>
  </si>
  <si>
    <t>EMP0520</t>
  </si>
  <si>
    <t>EMP1022</t>
  </si>
  <si>
    <t>EMP1315</t>
  </si>
  <si>
    <t>EMP0263</t>
  </si>
  <si>
    <t>EMP1277</t>
  </si>
  <si>
    <t>EMP1062</t>
  </si>
  <si>
    <t>EMP0775</t>
  </si>
  <si>
    <t>EMP0492</t>
  </si>
  <si>
    <t>EMP1423</t>
  </si>
  <si>
    <t>EMP0081</t>
  </si>
  <si>
    <t>EMP0496</t>
  </si>
  <si>
    <t>EMP0016</t>
  </si>
  <si>
    <t>EMP1269</t>
  </si>
  <si>
    <t>EMP1144</t>
  </si>
  <si>
    <t>EMP0448</t>
  </si>
  <si>
    <t>EMP0905</t>
  </si>
  <si>
    <t>EMP0066</t>
  </si>
  <si>
    <t>EMP1058</t>
  </si>
  <si>
    <t>EMP0472</t>
  </si>
  <si>
    <t>EMP1114</t>
  </si>
  <si>
    <t>EMP1216</t>
  </si>
  <si>
    <t>EMP0059</t>
  </si>
  <si>
    <t>EMP0723</t>
  </si>
  <si>
    <t>EMP0089</t>
  </si>
  <si>
    <t>EMP0054</t>
  </si>
  <si>
    <t>EMP0026</t>
  </si>
  <si>
    <t>EMP0373</t>
  </si>
  <si>
    <t>EMP0255</t>
  </si>
  <si>
    <t>EMP0779</t>
  </si>
  <si>
    <t>EMP0638</t>
  </si>
  <si>
    <t>EMP0743</t>
  </si>
  <si>
    <t>EMP0018</t>
  </si>
  <si>
    <t>EMP0907</t>
  </si>
  <si>
    <t>EMP0501</t>
  </si>
  <si>
    <t>EMP1165</t>
  </si>
  <si>
    <t>EMP0922</t>
  </si>
  <si>
    <t>EMP0822</t>
  </si>
  <si>
    <t>EMP0513</t>
  </si>
  <si>
    <t>EMP0404</t>
  </si>
  <si>
    <t>EMP0959</t>
  </si>
  <si>
    <t>EMP0097</t>
  </si>
  <si>
    <t>EMP1329</t>
  </si>
  <si>
    <t>EMP0599</t>
  </si>
  <si>
    <t>EMP1442</t>
  </si>
  <si>
    <t>EMP0581</t>
  </si>
  <si>
    <t>EMP1352</t>
  </si>
  <si>
    <t>EMP1393</t>
  </si>
  <si>
    <t>EMP0138</t>
  </si>
  <si>
    <t>EMP0250</t>
  </si>
  <si>
    <t>EMP1005</t>
  </si>
  <si>
    <t>EMP0991</t>
  </si>
  <si>
    <t>EMP0100</t>
  </si>
  <si>
    <t>EMP0351</t>
  </si>
  <si>
    <t>EMP0295</t>
  </si>
  <si>
    <t>EMP0483</t>
  </si>
  <si>
    <t>EMP0224</t>
  </si>
  <si>
    <t>EMP0155</t>
  </si>
  <si>
    <t>EMP0772</t>
  </si>
  <si>
    <t>EMP1262</t>
  </si>
  <si>
    <t>EMP1360</t>
  </si>
  <si>
    <t>EMP0542</t>
  </si>
  <si>
    <t>EMP1154</t>
  </si>
  <si>
    <t>EMP0966</t>
  </si>
  <si>
    <t>EMP0649</t>
  </si>
  <si>
    <t>EMP1040</t>
  </si>
  <si>
    <t>EMP1235</t>
  </si>
  <si>
    <t>EMP0168</t>
  </si>
  <si>
    <t>EMP0521</t>
  </si>
  <si>
    <t>EMP0770</t>
  </si>
  <si>
    <t>EMP0481</t>
  </si>
  <si>
    <t>EMP0024</t>
  </si>
  <si>
    <t>EMP0897</t>
  </si>
  <si>
    <t>EMP0200</t>
  </si>
  <si>
    <t>EMP0530</t>
  </si>
  <si>
    <t>EMP0246</t>
  </si>
  <si>
    <t>EMP0391</t>
  </si>
  <si>
    <t>EMP1034</t>
  </si>
  <si>
    <t>EMP1138</t>
  </si>
  <si>
    <t>EMP0144</t>
  </si>
  <si>
    <t>EMP1136</t>
  </si>
  <si>
    <t>EMP0690</t>
  </si>
  <si>
    <t xml:space="preserve"> Human Resources </t>
  </si>
  <si>
    <t>EMP0579</t>
  </si>
  <si>
    <t>EMP0402</t>
  </si>
  <si>
    <t>EMP0938</t>
  </si>
  <si>
    <t>EMP1343</t>
  </si>
  <si>
    <t>EMP0226</t>
  </si>
  <si>
    <t>EMP0655</t>
  </si>
  <si>
    <t>EMP1245</t>
  </si>
  <si>
    <t>EMP0272</t>
  </si>
  <si>
    <t>EMP1495</t>
  </si>
  <si>
    <t>EMP1032</t>
  </si>
  <si>
    <t>EMP1098</t>
  </si>
  <si>
    <t>EMP0718</t>
  </si>
  <si>
    <t>EMP1208</t>
  </si>
  <si>
    <t>EMP1435</t>
  </si>
  <si>
    <t>EMP0957</t>
  </si>
  <si>
    <t>EMP0249</t>
  </si>
  <si>
    <t>EMP0811</t>
  </si>
  <si>
    <t>EMP1244</t>
  </si>
  <si>
    <t>EMP0656</t>
  </si>
  <si>
    <t>EMP0306</t>
  </si>
  <si>
    <t>EMP1124</t>
  </si>
  <si>
    <t>EMP0837</t>
  </si>
  <si>
    <t>EMP0377</t>
  </si>
  <si>
    <t>EMP0302</t>
  </si>
  <si>
    <t>EMP1160</t>
  </si>
  <si>
    <t>EMP0214</t>
  </si>
  <si>
    <t>EMP0569</t>
  </si>
  <si>
    <t>EMP0787</t>
  </si>
  <si>
    <t>EMP0363</t>
  </si>
  <si>
    <t>EMP0858</t>
  </si>
  <si>
    <t>EMP1133</t>
  </si>
  <si>
    <t>EMP0102</t>
  </si>
  <si>
    <t>EMP0021</t>
  </si>
  <si>
    <t>EMP0023</t>
  </si>
  <si>
    <t>EMP0994</t>
  </si>
  <si>
    <t>EMP0677</t>
  </si>
  <si>
    <t>EMP0237</t>
  </si>
  <si>
    <t>EMP0817</t>
  </si>
  <si>
    <t>EMP0789</t>
  </si>
  <si>
    <t>EMP0172</t>
  </si>
  <si>
    <t>EMP0587</t>
  </si>
  <si>
    <t>EMP1494</t>
  </si>
  <si>
    <t>EMP1374</t>
  </si>
  <si>
    <t>EMP0725</t>
  </si>
  <si>
    <t>EMP0899</t>
  </si>
  <si>
    <t>EMP0760</t>
  </si>
  <si>
    <t>EMP1431</t>
  </si>
  <si>
    <t>EMP0713</t>
  </si>
  <si>
    <t>EMP1159</t>
  </si>
  <si>
    <t>EMP0698</t>
  </si>
  <si>
    <t>EMP1205</t>
  </si>
  <si>
    <t>EMP0629</t>
  </si>
  <si>
    <t>EMP0368</t>
  </si>
  <si>
    <t>EMP0595</t>
  </si>
  <si>
    <t>EMP0503</t>
  </si>
  <si>
    <t>EMP0300</t>
  </si>
  <si>
    <t>EMP1203</t>
  </si>
  <si>
    <t>EMP0049</t>
  </si>
  <si>
    <t>EMP0726</t>
  </si>
  <si>
    <t>EMP0260</t>
  </si>
  <si>
    <t>EMP0148</t>
  </si>
  <si>
    <t>EMP0135</t>
  </si>
  <si>
    <t>EMP0580</t>
  </si>
  <si>
    <t>EMP1336</t>
  </si>
  <si>
    <t>EMP0977</t>
  </si>
  <si>
    <t>EMP0379</t>
  </si>
  <si>
    <t>EMP0601</t>
  </si>
  <si>
    <t>EMP1411</t>
  </si>
  <si>
    <t>EMP0194</t>
  </si>
  <si>
    <t>EMP0408</t>
  </si>
  <si>
    <t>EMP1291</t>
  </si>
  <si>
    <t>EMP0561</t>
  </si>
  <si>
    <t>EMP0031</t>
  </si>
  <si>
    <t>EMP0004</t>
  </si>
  <si>
    <t>EMP0137</t>
  </si>
  <si>
    <t>EMP0998</t>
  </si>
  <si>
    <t>EMP0473</t>
  </si>
  <si>
    <t>EMP0393</t>
  </si>
  <si>
    <t>EMP0116</t>
  </si>
  <si>
    <t>EMP0505</t>
  </si>
  <si>
    <t>EMP1331</t>
  </si>
  <si>
    <t>EMP0739</t>
  </si>
  <si>
    <t>EMP1255</t>
  </si>
  <si>
    <t>EMP1370</t>
  </si>
  <si>
    <t>EMP0832</t>
  </si>
  <si>
    <t>EMP0078</t>
  </si>
  <si>
    <t>EMP0279</t>
  </si>
  <si>
    <t>EMP0958</t>
  </si>
  <si>
    <t>EMP1391</t>
  </si>
  <si>
    <t>EMP0705</t>
  </si>
  <si>
    <t>EMP1263</t>
  </si>
  <si>
    <t>EMP1140</t>
  </si>
  <si>
    <t>EMP0769</t>
  </si>
  <si>
    <t>EMP0918</t>
  </si>
  <si>
    <t>EMP0801</t>
  </si>
  <si>
    <t>EMP0637</t>
  </si>
  <si>
    <t>EMP1173</t>
  </si>
  <si>
    <t>EMP0082</t>
  </si>
  <si>
    <t>EMP0826</t>
  </si>
  <si>
    <t>EMP0017</t>
  </si>
  <si>
    <t>EMP0203</t>
  </si>
  <si>
    <t>EMP0947</t>
  </si>
  <si>
    <t>EMP0829</t>
  </si>
  <si>
    <t>EMP0141</t>
  </si>
  <si>
    <t>EMP0566</t>
  </si>
  <si>
    <t>EMP1415</t>
  </si>
  <si>
    <t>EMP0675</t>
  </si>
  <si>
    <t>EMP0671</t>
  </si>
  <si>
    <t>EMP0979</t>
  </si>
  <si>
    <t>EMP1499</t>
  </si>
  <si>
    <t>EMP0616</t>
  </si>
  <si>
    <t>EMP0163</t>
  </si>
  <si>
    <t>EMP0510</t>
  </si>
  <si>
    <t>EMP1478</t>
  </si>
  <si>
    <t>EMP1151</t>
  </si>
  <si>
    <t>EMP0208</t>
  </si>
  <si>
    <t>EMP1459</t>
  </si>
  <si>
    <t>EMP1066</t>
  </si>
  <si>
    <t>EMP1254</t>
  </si>
  <si>
    <t>EMP1375</t>
  </si>
  <si>
    <t>EMP0044</t>
  </si>
  <si>
    <t>EMP0019</t>
  </si>
  <si>
    <t>EMP1425</t>
  </si>
  <si>
    <t>EMP1272</t>
  </si>
  <si>
    <t>EMP0455</t>
  </si>
  <si>
    <t>EMP0860</t>
  </si>
  <si>
    <t>EMP0431</t>
  </si>
  <si>
    <t>EMP0318</t>
  </si>
  <si>
    <t>EMP0721</t>
  </si>
  <si>
    <t>EMP0477</t>
  </si>
  <si>
    <t>EMP0882</t>
  </si>
  <si>
    <t>EMP0114</t>
  </si>
  <si>
    <t>EMP0694</t>
  </si>
  <si>
    <t>EMP1382</t>
  </si>
  <si>
    <t>EMP0006</t>
  </si>
  <si>
    <t>EMP0523</t>
  </si>
  <si>
    <t>EMP0421</t>
  </si>
  <si>
    <t>EMP1202</t>
  </si>
  <si>
    <t>EMP0370</t>
  </si>
  <si>
    <t>EMP0273</t>
  </si>
  <si>
    <t>EMP0103</t>
  </si>
  <si>
    <t>EMP0276</t>
  </si>
  <si>
    <t>EMP0270</t>
  </si>
  <si>
    <t>EMP0354</t>
  </si>
  <si>
    <t>EMP0326</t>
  </si>
  <si>
    <t>EMP1179</t>
  </si>
  <si>
    <t>EMP0071</t>
  </si>
  <si>
    <t>EMP0467</t>
  </si>
  <si>
    <t>EMP0047</t>
  </si>
  <si>
    <t>EMP1109</t>
  </si>
  <si>
    <t>EMP1142</t>
  </si>
  <si>
    <t>EMP0398</t>
  </si>
  <si>
    <t>EMP0051</t>
  </si>
  <si>
    <t>EMP0409</t>
  </si>
  <si>
    <t>EMP1304</t>
  </si>
  <si>
    <t>EMP0005</t>
  </si>
  <si>
    <t>EMP1013</t>
  </si>
  <si>
    <t>EMP0948</t>
  </si>
  <si>
    <t>EMP1456</t>
  </si>
  <si>
    <t>EMP1356</t>
  </si>
  <si>
    <t>EMP0533</t>
  </si>
  <si>
    <t>EMP0668</t>
  </si>
  <si>
    <t>EMP1474</t>
  </si>
  <si>
    <t>EMP0867</t>
  </si>
  <si>
    <t>EMP1278</t>
  </si>
  <si>
    <t>EMP0475</t>
  </si>
  <si>
    <t>EMP1106</t>
  </si>
  <si>
    <t>EMP0755</t>
  </si>
  <si>
    <t>EMP0359</t>
  </si>
  <si>
    <t>EMP0717</t>
  </si>
  <si>
    <t>EMP0435</t>
  </si>
  <si>
    <t>EMP1157</t>
  </si>
  <si>
    <t>EMP1440</t>
  </si>
  <si>
    <t>EMP1396</t>
  </si>
  <si>
    <t>EMP0904</t>
  </si>
  <si>
    <t>EMP0650</t>
  </si>
  <si>
    <t>EMP0888</t>
  </si>
  <si>
    <t>EMP1312</t>
  </si>
  <si>
    <t>EMP0667</t>
  </si>
  <si>
    <t>EMP1006</t>
  </si>
  <si>
    <t>EMP0995</t>
  </si>
  <si>
    <t>EMP0879</t>
  </si>
  <si>
    <t>EMP0876</t>
  </si>
  <si>
    <t>EMP0189</t>
  </si>
  <si>
    <t>EMP1253</t>
  </si>
  <si>
    <t>EMP1247</t>
  </si>
  <si>
    <t>EMP0571</t>
  </si>
  <si>
    <t>EMP1414</t>
  </si>
  <si>
    <t>EMP0344</t>
  </si>
  <si>
    <t>EMP0784</t>
  </si>
  <si>
    <t>EMP0008</t>
  </si>
  <si>
    <t>EMP0828</t>
  </si>
  <si>
    <t>EMP1009</t>
  </si>
  <si>
    <t>EMP0216</t>
  </si>
  <si>
    <t>EMP0110</t>
  </si>
  <si>
    <t>EMP0220</t>
  </si>
  <si>
    <t>EMP0793</t>
  </si>
  <si>
    <t>EMP1194</t>
  </si>
  <si>
    <t>EMP1219</t>
  </si>
  <si>
    <t>EMP0604</t>
  </si>
  <si>
    <t>EMP0028</t>
  </si>
  <si>
    <t>EMP0231</t>
  </si>
  <si>
    <t>EMP0507</t>
  </si>
  <si>
    <t>EMP0416</t>
  </si>
  <si>
    <t>EMP0053</t>
  </si>
  <si>
    <t>EMP1353</t>
  </si>
  <si>
    <t>EMP1007</t>
  </si>
  <si>
    <t>EMP0681</t>
  </si>
  <si>
    <t>EMP0559</t>
  </si>
  <si>
    <t>EMP0197</t>
  </si>
  <si>
    <t>EMP0767</t>
  </si>
  <si>
    <t>EMP1028</t>
  </si>
  <si>
    <t>EMP0961</t>
  </si>
  <si>
    <t>EMP0065</t>
  </si>
  <si>
    <t>EMP0644</t>
  </si>
  <si>
    <t>EMP0070</t>
  </si>
  <si>
    <t>EMP1191</t>
  </si>
  <si>
    <t>EMP1036</t>
  </si>
  <si>
    <t>EMP0380</t>
  </si>
  <si>
    <t>EMP0268</t>
  </si>
  <si>
    <t>EMP0819</t>
  </si>
  <si>
    <t>EMP0895</t>
  </si>
  <si>
    <t>EMP0139</t>
  </si>
  <si>
    <t>EMP0575</t>
  </si>
  <si>
    <t>EMP0219</t>
  </si>
  <si>
    <t>EMP0708</t>
  </si>
  <si>
    <t>EMP0358</t>
  </si>
  <si>
    <t>EMP0484</t>
  </si>
  <si>
    <t>EMP1293</t>
  </si>
  <si>
    <t>EMP0236</t>
  </si>
  <si>
    <t>EMP0685</t>
  </si>
  <si>
    <t>EMP0238</t>
  </si>
  <si>
    <t>EMP1178</t>
  </si>
  <si>
    <t>EMP1192</t>
  </si>
  <si>
    <t>EMP1019</t>
  </si>
  <si>
    <t>EMP1047</t>
  </si>
  <si>
    <t>EMP1307</t>
  </si>
  <si>
    <t>EMP0101</t>
  </si>
  <si>
    <t>EMP0591</t>
  </si>
  <si>
    <t>EMP0333</t>
  </si>
  <si>
    <t>EMP0981</t>
  </si>
  <si>
    <t>EMP0607</t>
  </si>
  <si>
    <t>EMP0952</t>
  </si>
  <si>
    <t>EMP0720</t>
  </si>
  <si>
    <t>EMP1075</t>
  </si>
  <si>
    <t>EMP0259</t>
  </si>
  <si>
    <t>EMP1319</t>
  </si>
  <si>
    <t>EMP1167</t>
  </si>
  <si>
    <t>EMP0866</t>
  </si>
  <si>
    <t>EMP1379</t>
  </si>
  <si>
    <t>EMP0949</t>
  </si>
  <si>
    <t>EMP0438</t>
  </si>
  <si>
    <t>EMP0553</t>
  </si>
  <si>
    <t>EMP0782</t>
  </si>
  <si>
    <t>EMP0073</t>
  </si>
  <si>
    <t>EMP0765</t>
  </si>
  <si>
    <t>EMP0085</t>
  </si>
  <si>
    <t>EMP0545</t>
  </si>
  <si>
    <t>EMP0803</t>
  </si>
  <si>
    <t>EMP1162</t>
  </si>
  <si>
    <t>EMP1229</t>
  </si>
  <si>
    <t>EMP1349</t>
  </si>
  <si>
    <t>EMP1054</t>
  </si>
  <si>
    <t>EMP0830</t>
  </si>
  <si>
    <t>EMP1340</t>
  </si>
  <si>
    <t>EMP0686</t>
  </si>
  <si>
    <t>EMP0369</t>
  </si>
  <si>
    <t>EMP0451</t>
  </si>
  <si>
    <t>EMP0278</t>
  </si>
  <si>
    <t>EMP0839</t>
  </si>
  <si>
    <t>EMP1436</t>
  </si>
  <si>
    <t>EMP0687</t>
  </si>
  <si>
    <t>EMP0848</t>
  </si>
  <si>
    <t>EMP0572</t>
  </si>
  <si>
    <t>EMP1296</t>
  </si>
  <si>
    <t>EMP0682</t>
  </si>
  <si>
    <t>EMP0133</t>
  </si>
  <si>
    <t>EMP0092</t>
  </si>
  <si>
    <t>EMP1215</t>
  </si>
  <si>
    <t>EMP0594</t>
  </si>
  <si>
    <t>EMP0628</t>
  </si>
  <si>
    <t>EMP0429</t>
  </si>
  <si>
    <t>EMP1057</t>
  </si>
  <si>
    <t>EMP1163</t>
  </si>
  <si>
    <t>EMP0345</t>
  </si>
  <si>
    <t>EMP1305</t>
  </si>
  <si>
    <t>EMP1385</t>
  </si>
  <si>
    <t>EMP0679</t>
  </si>
  <si>
    <t>EMP0426</t>
  </si>
  <si>
    <t>EMP1129</t>
  </si>
  <si>
    <t>EMP0805</t>
  </si>
  <si>
    <t>EMP0181</t>
  </si>
  <si>
    <t>technology</t>
  </si>
  <si>
    <t>EMP1008</t>
  </si>
  <si>
    <t>EMP0992</t>
  </si>
  <si>
    <t>EMP1213</t>
  </si>
  <si>
    <t>EMP0107</t>
  </si>
  <si>
    <t>EMP0519</t>
  </si>
  <si>
    <t>EMP1300</t>
  </si>
  <si>
    <t>EMP0095</t>
  </si>
  <si>
    <t>EMP0759</t>
  </si>
  <si>
    <t>EMP1149</t>
  </si>
  <si>
    <t>EMP1283</t>
  </si>
  <si>
    <t>EMP0376</t>
  </si>
  <si>
    <t>EMP0802</t>
  </si>
  <si>
    <t>EMP0027</t>
  </si>
  <si>
    <t>EMP0704</t>
  </si>
  <si>
    <t>EMP0933</t>
  </si>
  <si>
    <t>EMP0886</t>
  </si>
  <si>
    <t>EMP1432</t>
  </si>
  <si>
    <t>EMP1259</t>
  </si>
  <si>
    <t>EMP0346</t>
  </si>
  <si>
    <t>EMP1405</t>
  </si>
  <si>
    <t>EMP0233</t>
  </si>
  <si>
    <t>EMP1404</t>
  </si>
  <si>
    <t>EMP0853</t>
  </si>
  <si>
    <t>EMP0567</t>
  </si>
  <si>
    <t>EMP1447</t>
  </si>
  <si>
    <t>EMP0696</t>
  </si>
  <si>
    <t>EMP1489</t>
  </si>
  <si>
    <t>EMP1369</t>
  </si>
  <si>
    <t>EMP0289</t>
  </si>
  <si>
    <t>EMP0310</t>
  </si>
  <si>
    <t>EMP1071</t>
  </si>
  <si>
    <t>EMP0731</t>
  </si>
  <si>
    <t>EMP0365</t>
  </si>
  <si>
    <t>EMP0284</t>
  </si>
  <si>
    <t>EMP0813</t>
  </si>
  <si>
    <t>EMP0884</t>
  </si>
  <si>
    <t>EMP0079</t>
  </si>
  <si>
    <t>EMP1100</t>
  </si>
  <si>
    <t>EMP0502</t>
  </si>
  <si>
    <t>EMP1211</t>
  </si>
  <si>
    <t>EMP1182</t>
  </si>
  <si>
    <t>EMP0528</t>
  </si>
  <si>
    <t>EMP0222</t>
  </si>
  <si>
    <t>EMP1085</t>
  </si>
  <si>
    <t>EMP0790</t>
  </si>
  <si>
    <t>EMP0871</t>
  </si>
  <si>
    <t>EMP0500</t>
  </si>
  <si>
    <t>EMP0282</t>
  </si>
  <si>
    <t>EMP0495</t>
  </si>
  <si>
    <t>EMP1214</t>
  </si>
  <si>
    <t>EMP0038</t>
  </si>
  <si>
    <t>EMP0707</t>
  </si>
  <si>
    <t>EMP1126</t>
  </si>
  <si>
    <t>EMP0489</t>
  </si>
  <si>
    <t>EMP1334</t>
  </si>
  <si>
    <t>EMP1003</t>
  </si>
  <si>
    <t>EMP0647</t>
  </si>
  <si>
    <t>EMP0106</t>
  </si>
  <si>
    <t>EMP1018</t>
  </si>
  <si>
    <t>EMP1082</t>
  </si>
  <si>
    <t>EMP0126</t>
  </si>
  <si>
    <t>EMP0854</t>
  </si>
  <si>
    <t>EMP1027</t>
  </si>
  <si>
    <t>EMP0924</t>
  </si>
  <si>
    <t>EMP1033</t>
  </si>
  <si>
    <t>EMP0385</t>
  </si>
  <si>
    <t>EMP0962</t>
  </si>
  <si>
    <t>EMP0162</t>
  </si>
  <si>
    <t>EMP1091</t>
  </si>
  <si>
    <t>EMP0490</t>
  </si>
  <si>
    <t>EMP0712</t>
  </si>
  <si>
    <t>EMP1466</t>
  </si>
  <si>
    <t>EMP0374</t>
  </si>
  <si>
    <t>EMP0442</t>
  </si>
  <si>
    <t>EMP0632</t>
  </si>
  <si>
    <t>EMP0806</t>
  </si>
  <si>
    <t>EMP0640</t>
  </si>
  <si>
    <t>EMP1015</t>
  </si>
  <si>
    <t>EMP1048</t>
  </si>
  <si>
    <t>EMP0375</t>
  </si>
  <si>
    <t>EMP0724</t>
  </si>
  <si>
    <t>EMP0841</t>
  </si>
  <si>
    <t>EMP1475</t>
  </si>
  <si>
    <t>EMP0971</t>
  </si>
  <si>
    <t>EMP0119</t>
  </si>
  <si>
    <t>EMP1366</t>
  </si>
  <si>
    <t>EMP1238</t>
  </si>
  <si>
    <t>EMP1487</t>
  </si>
  <si>
    <t>EMP1195</t>
  </si>
  <si>
    <t>EMP0820</t>
  </si>
  <si>
    <t>EMP0415</t>
  </si>
  <si>
    <t>EMP1363</t>
  </si>
  <si>
    <t>EMP0800</t>
  </si>
  <si>
    <t>EMP0128</t>
  </si>
  <si>
    <t>EMP1242</t>
  </si>
  <si>
    <t>EMP1397</t>
  </si>
  <si>
    <t>EMP0573</t>
  </si>
  <si>
    <t>EMP1086</t>
  </si>
  <si>
    <t>EMP0945</t>
  </si>
  <si>
    <t>EMP0673</t>
  </si>
  <si>
    <t>EMP0400</t>
  </si>
  <si>
    <t>EMP1096</t>
  </si>
  <si>
    <t>EMP0552</t>
  </si>
  <si>
    <t>EMP0565</t>
  </si>
  <si>
    <t>EMP0175</t>
  </si>
  <si>
    <t>EMP0321</t>
  </si>
  <si>
    <t>EMP0525</t>
  </si>
  <si>
    <t>EMP0470</t>
  </si>
  <si>
    <t>EMP1217</t>
  </si>
  <si>
    <t>EMP1421</t>
  </si>
  <si>
    <t>EMP0838</t>
  </si>
  <si>
    <t>EMP0080</t>
  </si>
  <si>
    <t>EMP0534</t>
  </si>
  <si>
    <t>EMP1037</t>
  </si>
  <si>
    <t>EMP0458</t>
  </si>
  <si>
    <t>EMP0291</t>
  </si>
  <si>
    <t>EMP0371</t>
  </si>
  <si>
    <t>EMP0266</t>
  </si>
  <si>
    <t>EMP0589</t>
  </si>
  <si>
    <t>EMP0478</t>
  </si>
  <si>
    <t>EMP0165</t>
  </si>
  <si>
    <t>EMP1461</t>
  </si>
  <si>
    <t>EMP0094</t>
  </si>
  <si>
    <t>EMP0474</t>
  </si>
  <si>
    <t>EMP0198</t>
  </si>
  <si>
    <t>EMP0186</t>
  </si>
  <si>
    <t>EMP1052</t>
  </si>
  <si>
    <t>EMP0422</t>
  </si>
  <si>
    <t>EMP0452</t>
  </si>
  <si>
    <t>EMP0257</t>
  </si>
  <si>
    <t>EMP0136</t>
  </si>
  <si>
    <t>EMP1403</t>
  </si>
  <si>
    <t>EMP0872</t>
  </si>
  <si>
    <t>EMP0052</t>
  </si>
  <si>
    <t>EMP0850</t>
  </si>
  <si>
    <t>EMP0584</t>
  </si>
  <si>
    <t>EMP1099</t>
  </si>
  <si>
    <t>EMP1348</t>
  </si>
  <si>
    <t>EMP1394</t>
  </si>
  <si>
    <t>EMP0050</t>
  </si>
  <si>
    <t>EMP0342</t>
  </si>
  <si>
    <t>EMP0798</t>
  </si>
  <si>
    <t>EMP1072</t>
  </si>
  <si>
    <t>EMP0527</t>
  </si>
  <si>
    <t>EMP1409</t>
  </si>
  <si>
    <t>EMP1074</t>
  </si>
  <si>
    <t>EMP0683</t>
  </si>
  <si>
    <t>EMP0463</t>
  </si>
  <si>
    <t>EMP0881</t>
  </si>
  <si>
    <t>EMP0954</t>
  </si>
  <si>
    <t>EMP1285</t>
  </si>
  <si>
    <t>EMP0469</t>
  </si>
  <si>
    <t>EMP0648</t>
  </si>
  <si>
    <t>EMP1089</t>
  </si>
  <si>
    <t>EMP0034</t>
  </si>
  <si>
    <t>EMP0417</t>
  </si>
  <si>
    <t>EMP0810</t>
  </si>
  <si>
    <t>EMP0248</t>
  </si>
  <si>
    <t>EMP0861</t>
  </si>
  <si>
    <t>EMP1361</t>
  </si>
  <si>
    <t>EMP0440</t>
  </si>
  <si>
    <t>EMP1335</t>
  </si>
  <si>
    <t>EMP1344</t>
  </si>
  <si>
    <t>EMP0217</t>
  </si>
  <si>
    <t>EMP1470</t>
  </si>
  <si>
    <t>EMP1088</t>
  </si>
  <si>
    <t>EMP0544</t>
  </si>
  <si>
    <t>EMP1115</t>
  </si>
  <si>
    <t>EMP1227</t>
  </si>
  <si>
    <t>EMP0494</t>
  </si>
  <si>
    <t>EMP0465</t>
  </si>
  <si>
    <t>EMP0392</t>
  </si>
  <si>
    <t>EMP1308</t>
  </si>
  <si>
    <t>EMP0439</t>
  </si>
  <si>
    <t>EMP1446</t>
  </si>
  <si>
    <t>EMP0583</t>
  </si>
  <si>
    <t>EMP1491</t>
  </si>
  <si>
    <t>EMP0327</t>
  </si>
  <si>
    <t>EMP1014</t>
  </si>
  <si>
    <t>EMP1252</t>
  </si>
  <si>
    <t>EMP0466</t>
  </si>
  <si>
    <t>EMP0554</t>
  </si>
  <si>
    <t>EMP0062</t>
  </si>
  <si>
    <t>EMP0419</t>
  </si>
  <si>
    <t>EMP1105</t>
  </si>
  <si>
    <t>EMP0709</t>
  </si>
  <si>
    <t>EMP1457</t>
  </si>
  <si>
    <t>EMP0539</t>
  </si>
  <si>
    <t>EMP0156</t>
  </si>
  <si>
    <t>EMP0797</t>
  </si>
  <si>
    <t>EMP1212</t>
  </si>
  <si>
    <t>EMP0963</t>
  </si>
  <si>
    <t>EMP1187</t>
  </si>
  <si>
    <t>EMP0083</t>
  </si>
  <si>
    <t>EMP1220</t>
  </si>
  <si>
    <t>EMP0367</t>
  </si>
  <si>
    <t>EMP0951</t>
  </si>
  <si>
    <t>EMP0862</t>
  </si>
  <si>
    <t>EMP0973</t>
  </si>
  <si>
    <t>EMP0612</t>
  </si>
  <si>
    <t>EMP0349</t>
  </si>
  <si>
    <t>EMP1196</t>
  </si>
  <si>
    <t>EMP1359</t>
  </si>
  <si>
    <t>₹72,000</t>
  </si>
  <si>
    <t>EMP0167</t>
  </si>
  <si>
    <t>EMP0857</t>
  </si>
  <si>
    <t>EMP1188</t>
  </si>
  <si>
    <t>EMP1420</t>
  </si>
  <si>
    <t>EMP0547</t>
  </si>
  <si>
    <t>EMP0205</t>
  </si>
  <si>
    <t>EMP1171</t>
  </si>
  <si>
    <t>EMP0710</t>
  </si>
  <si>
    <t>EMP0606</t>
  </si>
  <si>
    <t>EMP1358</t>
  </si>
  <si>
    <t>EMP0187</t>
  </si>
  <si>
    <t>EMP0778</t>
  </si>
  <si>
    <t>EMP1452</t>
  </si>
  <si>
    <t>EMP1270</t>
  </si>
  <si>
    <t>EMP0010</t>
  </si>
  <si>
    <t>EMP0011</t>
  </si>
  <si>
    <t>EMP1482</t>
  </si>
  <si>
    <t>EMP1249</t>
  </si>
  <si>
    <t>EMP0722</t>
  </si>
  <si>
    <t>EMP0631</t>
  </si>
  <si>
    <t>EMP1371</t>
  </si>
  <si>
    <t>EMP0747</t>
  </si>
  <si>
    <t>EMP1067</t>
  </si>
  <si>
    <t>EMP0556</t>
  </si>
  <si>
    <t>EMP0290</t>
  </si>
  <si>
    <t>EMP0729</t>
  </si>
  <si>
    <t>EMP0428</t>
  </si>
  <si>
    <t>EMP0562</t>
  </si>
  <si>
    <t>EMP0794</t>
  </si>
  <si>
    <t>EMP0989</t>
  </si>
  <si>
    <t>EMP1419</t>
  </si>
  <si>
    <t>EMP1231</t>
  </si>
  <si>
    <t>EMP0122</t>
  </si>
  <si>
    <t>EMP0657</t>
  </si>
  <si>
    <t>EMP1065</t>
  </si>
  <si>
    <t>EMP0768</t>
  </si>
  <si>
    <t>EMP0152</t>
  </si>
  <si>
    <t>EMP1256</t>
  </si>
  <si>
    <t>EMP0113</t>
  </si>
  <si>
    <t>EMP0834</t>
  </si>
  <si>
    <t>EMP1097</t>
  </si>
  <si>
    <t>EMP0424</t>
  </si>
  <si>
    <t>EMP0873</t>
  </si>
  <si>
    <t>EMP0915</t>
  </si>
  <si>
    <t>EMP0919</t>
  </si>
  <si>
    <t>EMP1209</t>
  </si>
  <si>
    <t>EMP0131</t>
  </si>
  <si>
    <t>EMP0462</t>
  </si>
  <si>
    <t>EMP0970</t>
  </si>
  <si>
    <t>EMP0851</t>
  </si>
  <si>
    <t>EMP0134</t>
  </si>
  <si>
    <t>EMP0001</t>
  </si>
  <si>
    <t>EMP1190</t>
  </si>
  <si>
    <t>EMP1198</t>
  </si>
  <si>
    <t>EMP1428</t>
  </si>
  <si>
    <t>EMP1189</t>
  </si>
  <si>
    <t>EMP0700</t>
  </si>
  <si>
    <t>EMP1035</t>
  </si>
  <si>
    <t>EMP0972</t>
  </si>
  <si>
    <t>EMP0986</t>
  </si>
  <si>
    <t>EMP1295</t>
  </si>
  <si>
    <t>EMP0412</t>
  </si>
  <si>
    <t>EMP0323</t>
  </si>
  <si>
    <t>EMP0002</t>
  </si>
  <si>
    <t>EMP1010</t>
  </si>
  <si>
    <t>EMP0436</t>
  </si>
  <si>
    <t>EMP0453</t>
  </si>
  <si>
    <t>EMP0039</t>
  </si>
  <si>
    <t xml:space="preserve"> Operations </t>
  </si>
  <si>
    <t>EMP0184</t>
  </si>
  <si>
    <t>EMP1111</t>
  </si>
  <si>
    <t>EMP0880</t>
  </si>
  <si>
    <t>EMP0218</t>
  </si>
  <si>
    <t>EMP0984</t>
  </si>
  <si>
    <t>EMP0855</t>
  </si>
  <si>
    <t>EMP0307</t>
  </si>
  <si>
    <t>EMP0730</t>
  </si>
  <si>
    <t>EMP0441</t>
  </si>
  <si>
    <t>EMP1180</t>
  </si>
  <si>
    <t>EMP0550</t>
  </si>
  <si>
    <t>EMP0314</t>
  </si>
  <si>
    <t>EMP1274</t>
  </si>
  <si>
    <t>EMP0701</t>
  </si>
  <si>
    <t>EMP0332</t>
  </si>
  <si>
    <t>EMP0037</t>
  </si>
  <si>
    <t>EMP0111</t>
  </si>
  <si>
    <t>EMP1224</t>
  </si>
  <si>
    <t>EMP0889</t>
  </si>
  <si>
    <t>EMP1132</t>
  </si>
  <si>
    <t>EMP0916</t>
  </si>
  <si>
    <t>EMP1206</t>
  </si>
  <si>
    <t>EMP0927</t>
  </si>
  <si>
    <t>EMP0746</t>
  </si>
  <si>
    <t>EMP0615</t>
  </si>
  <si>
    <t>EMP0776</t>
  </si>
  <si>
    <t>EMP1288</t>
  </si>
  <si>
    <t>EMP0714</t>
  </si>
  <si>
    <t>EMP0578</t>
  </si>
  <si>
    <t>EMP1233</t>
  </si>
  <si>
    <t>EMP0434</t>
  </si>
  <si>
    <t>EMP0164</t>
  </si>
  <si>
    <t>EMP0264</t>
  </si>
  <si>
    <t>EMP0232</t>
  </si>
  <si>
    <t>EMP0303</t>
  </si>
  <si>
    <t>EMP1078</t>
  </si>
  <si>
    <t>EMP0928</t>
  </si>
  <si>
    <t>EMP0176</t>
  </si>
  <si>
    <t>EMP1137</t>
  </si>
  <si>
    <t>EMP0150</t>
  </si>
  <si>
    <t>EMP1443</t>
  </si>
  <si>
    <t>EMP1055</t>
  </si>
  <si>
    <t>EMP0072</t>
  </si>
  <si>
    <t>EMP0169</t>
  </si>
  <si>
    <t>EMP0456</t>
  </si>
  <si>
    <t>EMP0090</t>
  </si>
  <si>
    <t>EMP0118</t>
  </si>
  <si>
    <t>EMP0488</t>
  </si>
  <si>
    <t>EMP0322</t>
  </si>
  <si>
    <t>EMP1321</t>
  </si>
  <si>
    <t>EMP1407</t>
  </si>
  <si>
    <t>EMP0460</t>
  </si>
  <si>
    <t>EMP1469</t>
  </si>
  <si>
    <t>EMP1326</t>
  </si>
  <si>
    <t>EMP1156</t>
  </si>
  <si>
    <t>EMP0242</t>
  </si>
  <si>
    <t>EMP0699</t>
  </si>
  <si>
    <t>EMP1271</t>
  </si>
  <si>
    <t>EMP0914</t>
  </si>
  <si>
    <t>EMP1079</t>
  </si>
  <si>
    <t>EMP0703</t>
  </si>
  <si>
    <t>EMP1134</t>
  </si>
  <si>
    <t>EMP0585</t>
  </si>
  <si>
    <t>EMP0980</t>
  </si>
  <si>
    <t>EMP0693</t>
  </si>
  <si>
    <t>EMP0271</t>
  </si>
  <si>
    <t>EMP0112</t>
  </si>
  <si>
    <t>EMP0596</t>
  </si>
  <si>
    <t>EMP0786</t>
  </si>
  <si>
    <t>EMP0517</t>
  </si>
  <si>
    <t>EMP0227</t>
  </si>
  <si>
    <t>EMP0497</t>
  </si>
  <si>
    <t>EMP0842</t>
  </si>
  <si>
    <t>EMP0499</t>
  </si>
  <si>
    <t>EMP0976</t>
  </si>
  <si>
    <t>EMP0221</t>
  </si>
  <si>
    <t>EMP1268</t>
  </si>
  <si>
    <t>EMP0196</t>
  </si>
  <si>
    <t>EMP0337</t>
  </si>
  <si>
    <t>EMP0878</t>
  </si>
  <si>
    <t>EMP0921</t>
  </si>
  <si>
    <t>EMP1439</t>
  </si>
  <si>
    <t>EMP0985</t>
  </si>
  <si>
    <t>EMP1170</t>
  </si>
  <si>
    <t>EMP0313</t>
  </si>
  <si>
    <t>EMP0508</t>
  </si>
  <si>
    <t>EMP0394</t>
  </si>
  <si>
    <t>EMP0410</t>
  </si>
  <si>
    <t>EMP0678</t>
  </si>
  <si>
    <t>EMP0953</t>
  </si>
  <si>
    <t>EMP1417</t>
  </si>
  <si>
    <t>EMP0329</t>
  </si>
  <si>
    <t>EMP0086</t>
  </si>
  <si>
    <t>EMP0084</t>
  </si>
  <si>
    <t>EMP0207</t>
  </si>
  <si>
    <t>EMP0104</t>
  </si>
  <si>
    <t>EMP0735</t>
  </si>
  <si>
    <t>EMP0695</t>
  </si>
  <si>
    <t>EMP0498</t>
  </si>
  <si>
    <t>EMP0328</t>
  </si>
  <si>
    <t>EMP1479</t>
  </si>
  <si>
    <t>EMP0661</t>
  </si>
  <si>
    <t>EMP0347</t>
  </si>
  <si>
    <t>EMP0211</t>
  </si>
  <si>
    <t>EMP0568</t>
  </si>
  <si>
    <t>EMP0143</t>
  </si>
  <si>
    <t>EMP0515</t>
  </si>
  <si>
    <t>EMP1029</t>
  </si>
  <si>
    <t>EMP0865</t>
  </si>
  <si>
    <t>EMP0892</t>
  </si>
  <si>
    <t>EMP0815</t>
  </si>
  <si>
    <t>EMP1125</t>
  </si>
  <si>
    <t>EMP0564</t>
  </si>
  <si>
    <t>EMP1073</t>
  </si>
  <si>
    <t>EMP0372</t>
  </si>
  <si>
    <t>EMP1012</t>
  </si>
  <si>
    <t>EMP0891</t>
  </si>
  <si>
    <t>EMP1365</t>
  </si>
  <si>
    <t>EMP0684</t>
  </si>
  <si>
    <t>EMP0633</t>
  </si>
  <si>
    <t>EMP0195</t>
  </si>
  <si>
    <t>EMP0514</t>
  </si>
  <si>
    <t>EMP0210</t>
  </si>
  <si>
    <t>EMP1001</t>
  </si>
  <si>
    <t>EMP0636</t>
  </si>
  <si>
    <t>EMP0088</t>
  </si>
  <si>
    <t>EMP1175</t>
  </si>
  <si>
    <t>EMP0910</t>
  </si>
  <si>
    <t>EMP0191</t>
  </si>
  <si>
    <t>EMP0179</t>
  </si>
  <si>
    <t>EMP0557</t>
  </si>
  <si>
    <t>EMP1130</t>
  </si>
  <si>
    <t>EMP1497</t>
  </si>
  <si>
    <t>EMP1112</t>
  </si>
  <si>
    <t>EMP0745</t>
  </si>
  <si>
    <t>it support</t>
  </si>
  <si>
    <t>EMP1103</t>
  </si>
  <si>
    <t>EMP0512</t>
  </si>
  <si>
    <t>EMP1250</t>
  </si>
  <si>
    <t>EMP0399</t>
  </si>
  <si>
    <t>EMP0036</t>
  </si>
  <si>
    <t>EMP0206</t>
  </si>
  <si>
    <t>EMP0609</t>
  </si>
  <si>
    <t>EMP1294</t>
  </si>
  <si>
    <t>EMP1128</t>
  </si>
  <si>
    <t>EMP1068</t>
  </si>
  <si>
    <t>EMP0430</t>
  </si>
  <si>
    <t>EMP1490</t>
  </si>
  <si>
    <t>EMP0229</t>
  </si>
  <si>
    <t>EMP1004</t>
  </si>
  <si>
    <t>EMP1030</t>
  </si>
  <si>
    <t>EMP1464</t>
  </si>
  <si>
    <t>EMP1493</t>
  </si>
  <si>
    <t>EMP0728</t>
  </si>
  <si>
    <t>EMP0319</t>
  </si>
  <si>
    <t>EMP0630</t>
  </si>
  <si>
    <t>EMP0926</t>
  </si>
  <si>
    <t>EMP0894</t>
  </si>
  <si>
    <t>EMP1020</t>
  </si>
  <si>
    <t>₹31,000</t>
  </si>
  <si>
    <t>EMP1399</t>
  </si>
  <si>
    <t>EMP0035</t>
  </si>
  <si>
    <t>EMP0076</t>
  </si>
  <si>
    <t>EMP0174</t>
  </si>
  <si>
    <t>EMP1076</t>
  </si>
  <si>
    <t>EMP1207</t>
  </si>
  <si>
    <t>EMP1333</t>
  </si>
  <si>
    <t>EMP1429</t>
  </si>
  <si>
    <t>EMP0748</t>
  </si>
  <si>
    <t>EMP1389</t>
  </si>
  <si>
    <t>EMP0509</t>
  </si>
  <si>
    <t>EMP0711</t>
  </si>
  <si>
    <t>EMP0608</t>
  </si>
  <si>
    <t>EMP0388</t>
  </si>
  <si>
    <t>EMP1468</t>
  </si>
  <si>
    <t>EMP0752</t>
  </si>
  <si>
    <t>EMP0912</t>
  </si>
  <si>
    <t>EMP0149</t>
  </si>
  <si>
    <t>EMP0754</t>
  </si>
  <si>
    <t>EMP0403</t>
  </si>
  <si>
    <t>EMP0341</t>
  </si>
  <si>
    <t>EMP1239</t>
  </si>
  <si>
    <t>EMP0988</t>
  </si>
  <si>
    <t>EMP0201</t>
  </si>
  <si>
    <t>EMP1116</t>
  </si>
  <si>
    <t>₹89,000</t>
  </si>
  <si>
    <t>EMP0733</t>
  </si>
  <si>
    <t>EMP0541</t>
  </si>
  <si>
    <t>EMP0692</t>
  </si>
  <si>
    <t>EMP0610</t>
  </si>
  <si>
    <t>₹132,000</t>
  </si>
  <si>
    <t>EMP1480</t>
  </si>
  <si>
    <t>EMP0956</t>
  </si>
  <si>
    <t>EMP0281</t>
  </si>
  <si>
    <t>EMP0411</t>
  </si>
  <si>
    <t>EMP1311</t>
  </si>
  <si>
    <t>EMP1287</t>
  </si>
  <si>
    <t>EMP1325</t>
  </si>
  <si>
    <t>EMP0688</t>
  </si>
  <si>
    <t>EMP0336</t>
  </si>
  <si>
    <t>EMP0643</t>
  </si>
  <si>
    <t>EMP0315</t>
  </si>
  <si>
    <t>EMP0783</t>
  </si>
  <si>
    <t>EMP1181</t>
  </si>
  <si>
    <t>EMP1437</t>
  </si>
  <si>
    <t>EMP1434</t>
  </si>
  <si>
    <t>EMP0093</t>
  </si>
  <si>
    <t>EMP0835</t>
  </si>
  <si>
    <t>EMP0593</t>
  </si>
  <si>
    <t>EMP1467</t>
  </si>
  <si>
    <t>EMP0395</t>
  </si>
  <si>
    <t>EMP1298</t>
  </si>
  <si>
    <t>EMP1070</t>
  </si>
  <si>
    <t>EMP0576</t>
  </si>
  <si>
    <t>EMP0574</t>
  </si>
  <si>
    <t>EMP1384</t>
  </si>
  <si>
    <t>EMP0736</t>
  </si>
  <si>
    <t>EMP1398</t>
  </si>
  <si>
    <t>EMP0280</t>
  </si>
  <si>
    <t>EMP0338</t>
  </si>
  <si>
    <t>EMP0228</t>
  </si>
  <si>
    <t>EMP0009</t>
  </si>
  <si>
    <t>EMP1110</t>
  </si>
  <si>
    <t>EMP1299</t>
  </si>
  <si>
    <t>EMP1177</t>
  </si>
  <si>
    <t>EMP0069</t>
  </si>
  <si>
    <t>EMP1373</t>
  </si>
  <si>
    <t>EMP1121</t>
  </si>
  <si>
    <t>EMP1146</t>
  </si>
  <si>
    <t>EMP1301</t>
  </si>
  <si>
    <t>EMP1199</t>
  </si>
  <si>
    <t>EMP0025</t>
  </si>
  <si>
    <t>EMP0634</t>
  </si>
  <si>
    <t>EMP0471</t>
  </si>
  <si>
    <t>EMP0558</t>
  </si>
  <si>
    <t>EMP0294</t>
  </si>
  <si>
    <t>EMP0773</t>
  </si>
  <si>
    <t>EMP1424</t>
  </si>
  <si>
    <t>EMP1023</t>
  </si>
  <si>
    <t>EMP0121</t>
  </si>
  <si>
    <t>EMP0906</t>
  </si>
  <si>
    <t>EMP0511</t>
  </si>
  <si>
    <t>EMP0180</t>
  </si>
  <si>
    <t>EMP1094</t>
  </si>
  <si>
    <t>EMP1184</t>
  </si>
  <si>
    <t>EMP0816</t>
  </si>
  <si>
    <t>EMP1454</t>
  </si>
  <si>
    <t>EMP0864</t>
  </si>
  <si>
    <t>EMP1083</t>
  </si>
  <si>
    <t>EMP1317</t>
  </si>
  <si>
    <t>EMP0381</t>
  </si>
  <si>
    <t>EMP0605</t>
  </si>
  <si>
    <t>EMP1234</t>
  </si>
  <si>
    <t>EMP1313</t>
  </si>
  <si>
    <t>EMP0551</t>
  </si>
  <si>
    <t>EMP1172</t>
  </si>
  <si>
    <t>EMP0252</t>
  </si>
  <si>
    <t>EMP1395</t>
  </si>
  <si>
    <t>EMP0213</t>
  </si>
  <si>
    <t>EMP1286</t>
  </si>
  <si>
    <t>EMP0331</t>
  </si>
  <si>
    <t>EMP0433</t>
  </si>
  <si>
    <t>EMP0277</t>
  </si>
  <si>
    <t>EMP1338</t>
  </si>
  <si>
    <t>EMP0292</t>
  </si>
  <si>
    <t>EMP0902</t>
  </si>
  <si>
    <t>EMP0449</t>
  </si>
  <si>
    <t>EMP1261</t>
  </si>
  <si>
    <t>EMP1309</t>
  </si>
  <si>
    <t>EMP0304</t>
  </si>
  <si>
    <t>EMP1290</t>
  </si>
  <si>
    <t>EMP1408</t>
  </si>
  <si>
    <t>EMP0941</t>
  </si>
  <si>
    <t>EMP0068</t>
  </si>
  <si>
    <t>EMP0020</t>
  </si>
  <si>
    <t>EMP0325</t>
  </si>
  <si>
    <t>EMP1377</t>
  </si>
  <si>
    <t>EMP0055</t>
  </si>
  <si>
    <t>EMP0964</t>
  </si>
  <si>
    <t>EMP0932</t>
  </si>
  <si>
    <t>EMP1412</t>
  </si>
  <si>
    <t>EMP0151</t>
  </si>
  <si>
    <t>EMP1251</t>
  </si>
  <si>
    <t>EMP1122</t>
  </si>
  <si>
    <t>EMP1260</t>
  </si>
  <si>
    <t>EMP1131</t>
  </si>
  <si>
    <t>EMP0744</t>
  </si>
  <si>
    <t>EMP0750</t>
  </si>
  <si>
    <t>EMP0756</t>
  </si>
  <si>
    <t>EMP1049</t>
  </si>
  <si>
    <t>EMP0812</t>
  </si>
  <si>
    <t>EMP0662</t>
  </si>
  <si>
    <t>EMP1376</t>
  </si>
  <si>
    <t>EMP1107</t>
  </si>
  <si>
    <t>EMP0256</t>
  </si>
  <si>
    <t>EMP0935</t>
  </si>
  <si>
    <t>EMP0870</t>
  </si>
  <si>
    <t>EMP1390</t>
  </si>
  <si>
    <t>EMP0893</t>
  </si>
  <si>
    <t>EMP0874</t>
  </si>
  <si>
    <t>EMP0614</t>
  </si>
  <si>
    <t>EMP1101</t>
  </si>
  <si>
    <t>EMP0389</t>
  </si>
  <si>
    <t>EMP0937</t>
  </si>
  <si>
    <t>EMP0407</t>
  </si>
  <si>
    <t>EMP0795</t>
  </si>
  <si>
    <t>EMP0716</t>
  </si>
  <si>
    <t>EMP1135</t>
  </si>
  <si>
    <t>EMP1024</t>
  </si>
  <si>
    <t>EMP1056</t>
  </si>
  <si>
    <t>EMP1318</t>
  </si>
  <si>
    <t>EMP0247</t>
  </si>
  <si>
    <t>EMP0146</t>
  </si>
  <si>
    <t>EMP1406</t>
  </si>
  <si>
    <t>EMP1153</t>
  </si>
  <si>
    <t>EMP1380</t>
  </si>
  <si>
    <t>EMP0623</t>
  </si>
  <si>
    <t>EMP1473</t>
  </si>
  <si>
    <t>EMP0461</t>
  </si>
  <si>
    <t>EMP0487</t>
  </si>
  <si>
    <t>EMP1426</t>
  </si>
  <si>
    <t>EMP0091</t>
  </si>
  <si>
    <t>EMP1230</t>
  </si>
  <si>
    <t>EMP0493</t>
  </si>
  <si>
    <t>EMP0171</t>
  </si>
  <si>
    <t>EMP0057</t>
  </si>
  <si>
    <t>EMP0405</t>
  </si>
  <si>
    <t>EMP1266</t>
  </si>
  <si>
    <t>EMP0600</t>
  </si>
  <si>
    <t>EMP1016</t>
  </si>
  <si>
    <t>EMP0098</t>
  </si>
  <si>
    <t>EMP0827</t>
  </si>
  <si>
    <t>EMP1141</t>
  </si>
  <si>
    <t>EMP1226</t>
  </si>
  <si>
    <t>EMP0480</t>
  </si>
  <si>
    <t>EMP0324</t>
  </si>
  <si>
    <t>EMP1218</t>
  </si>
  <si>
    <t>EMP1342</t>
  </si>
  <si>
    <t>EMP0099</t>
  </si>
  <si>
    <t>EMP0425</t>
  </si>
  <si>
    <t>EMP0297</t>
  </si>
  <si>
    <t>EMP0738</t>
  </si>
  <si>
    <t>EMP1418</t>
  </si>
  <si>
    <t>EMP0903</t>
  </si>
  <si>
    <t>EMP0602</t>
  </si>
  <si>
    <t>EMP1000</t>
  </si>
  <si>
    <t>EMP1357</t>
  </si>
  <si>
    <t>EMP0396</t>
  </si>
  <si>
    <t>EMP0427</t>
  </si>
  <si>
    <t>EMP1354</t>
  </si>
  <si>
    <t>EMP1039</t>
  </si>
  <si>
    <t>EMP0253</t>
  </si>
  <si>
    <t>EMP0239</t>
  </si>
  <si>
    <t>EMP1145</t>
  </si>
  <si>
    <t>EMP0845</t>
  </si>
  <si>
    <t>EMP0846</t>
  </si>
  <si>
    <t>EMP0555</t>
  </si>
  <si>
    <t>EMP1221</t>
  </si>
  <si>
    <t>EMP0546</t>
  </si>
  <si>
    <t>EMP0251</t>
  </si>
  <si>
    <t>EMP0740</t>
  </si>
  <si>
    <t>EMP0965</t>
  </si>
  <si>
    <t>EMP0199</t>
  </si>
  <si>
    <t>EMP0898</t>
  </si>
  <si>
    <t>EMP1330</t>
  </si>
  <si>
    <t>EMP1314</t>
  </si>
  <si>
    <t>EMP0990</t>
  </si>
  <si>
    <t>EMP1041</t>
  </si>
  <si>
    <t>EMP1183</t>
  </si>
  <si>
    <t>EMP0244</t>
  </si>
  <si>
    <t>EMP0067</t>
  </si>
  <si>
    <t>EMP1438</t>
  </si>
  <si>
    <t>EMP0934</t>
  </si>
  <si>
    <t>EMP0360</t>
  </si>
  <si>
    <t>EMP0096</t>
  </si>
  <si>
    <t>EMP1463</t>
  </si>
  <si>
    <t>EMP1477</t>
  </si>
  <si>
    <t>EMP0522</t>
  </si>
  <si>
    <t>EMP0975</t>
  </si>
  <si>
    <t>EMP0666</t>
  </si>
  <si>
    <t>EMP0362</t>
  </si>
  <si>
    <t>EMP0485</t>
  </si>
  <si>
    <t>EMP1176</t>
  </si>
  <si>
    <t>EMP1281</t>
  </si>
  <si>
    <t>EMP0312</t>
  </si>
  <si>
    <t>EMP0843</t>
  </si>
  <si>
    <t>EMP0414</t>
  </si>
  <si>
    <t>EMP1158</t>
  </si>
  <si>
    <t>EMP0032</t>
  </si>
  <si>
    <t>EMP0766</t>
  </si>
  <si>
    <t>EMP0459</t>
  </si>
  <si>
    <t>EMP1186</t>
  </si>
  <si>
    <t>₹37,000</t>
  </si>
  <si>
    <t>EMP0340</t>
  </si>
  <si>
    <t>EMP0287</t>
  </si>
  <si>
    <t>EMP1273</t>
  </si>
  <si>
    <t>EMP1485</t>
  </si>
  <si>
    <t>EMP0950</t>
  </si>
  <si>
    <t>EMP0140</t>
  </si>
  <si>
    <t>EMP0849</t>
  </si>
  <si>
    <t>EMP1026</t>
  </si>
  <si>
    <t>EMP1232</t>
  </si>
  <si>
    <t>EMP1139</t>
  </si>
  <si>
    <t>EMP0901</t>
  </si>
  <si>
    <t>EMP0732</t>
  </si>
  <si>
    <t>EMP0265</t>
  </si>
  <si>
    <t>EMP0275</t>
  </si>
  <si>
    <t>EMP1095</t>
  </si>
  <si>
    <t>EMP0445</t>
  </si>
  <si>
    <t>EMP0040</t>
  </si>
  <si>
    <t>EMP1123</t>
  </si>
  <si>
    <t>EMP1265</t>
  </si>
  <si>
    <t>EMP0022</t>
  </si>
  <si>
    <t>EMP0706</t>
  </si>
  <si>
    <t>EMP0518</t>
  </si>
  <si>
    <t>EMP1174</t>
  </si>
  <si>
    <t>EMP0355</t>
  </si>
  <si>
    <t>EMP0298</t>
  </si>
  <si>
    <t>EMP1077</t>
  </si>
  <si>
    <t>EMP0840</t>
  </si>
  <si>
    <t>EMP1223</t>
  </si>
  <si>
    <t>EMP0925</t>
  </si>
  <si>
    <t>EMP0123</t>
  </si>
  <si>
    <t>EMP1228</t>
  </si>
  <si>
    <t>EMP1092</t>
  </si>
  <si>
    <t>EMP1248</t>
  </si>
  <si>
    <t>EMP1152</t>
  </si>
  <si>
    <t>EMP1164</t>
  </si>
  <si>
    <t>EMP0418</t>
  </si>
  <si>
    <t>EMP0967</t>
  </si>
  <si>
    <t>EMP1243</t>
  </si>
  <si>
    <t>EMP0158</t>
  </si>
  <si>
    <t>EMP1119</t>
  </si>
  <si>
    <t>EMP1280</t>
  </si>
  <si>
    <t>EMP1064</t>
  </si>
  <si>
    <t>EMP1155</t>
  </si>
  <si>
    <t>EMP1498</t>
  </si>
  <si>
    <t>EMP0190</t>
  </si>
  <si>
    <t>EMP0590</t>
  </si>
  <si>
    <t>EMP0761</t>
  </si>
  <si>
    <t>EMP1063</t>
  </si>
  <si>
    <t>EMP0243</t>
  </si>
  <si>
    <t>EMP0885</t>
  </si>
  <si>
    <t>EMP1378</t>
  </si>
  <si>
    <t>EMP0621</t>
  </si>
  <si>
    <t>EMP0651</t>
  </si>
  <si>
    <t>EMP0504</t>
  </si>
  <si>
    <t>EMP0923</t>
  </si>
  <si>
    <t>EMP0160</t>
  </si>
  <si>
    <t>EMP0883</t>
  </si>
  <si>
    <t>EMP0538</t>
  </si>
  <si>
    <t>EMP0241</t>
  </si>
  <si>
    <t>EMP0014</t>
  </si>
  <si>
    <t>EMP0476</t>
  </si>
  <si>
    <t>EMP1430</t>
  </si>
  <si>
    <t>EMP0929</t>
  </si>
  <si>
    <t>EMP1339</t>
  </si>
  <si>
    <t>EMP1386</t>
  </si>
  <si>
    <t>EMP1345</t>
  </si>
  <si>
    <t>EMP0796</t>
  </si>
  <si>
    <t>EMP0356</t>
  </si>
  <si>
    <t>EMP1059</t>
  </si>
  <si>
    <t>EMP0335</t>
  </si>
  <si>
    <t>EMP0689</t>
  </si>
  <si>
    <t>EMP1401</t>
  </si>
  <si>
    <t>EMP0185</t>
  </si>
  <si>
    <t>EMP0824</t>
  </si>
  <si>
    <t>EMP1413</t>
  </si>
  <si>
    <t>EMP1350</t>
  </si>
  <si>
    <t>EMP1002</t>
  </si>
  <si>
    <t>EMP0188</t>
  </si>
  <si>
    <t>EMP0942</t>
  </si>
  <si>
    <t>EMP0285</t>
  </si>
  <si>
    <t>yes</t>
  </si>
  <si>
    <t>EMP0900</t>
  </si>
  <si>
    <t>EMP1472</t>
  </si>
  <si>
    <t>EMP0166</t>
  </si>
  <si>
    <t>EMP0348</t>
  </si>
  <si>
    <t>EMP0299</t>
  </si>
  <si>
    <t>EMP0536</t>
  </si>
  <si>
    <t>EMP0230</t>
  </si>
  <si>
    <t>EMP0042</t>
  </si>
  <si>
    <t>EMP0869</t>
  </si>
  <si>
    <t>EMP0749</t>
  </si>
  <si>
    <t>EMP1448</t>
  </si>
  <si>
    <t>EMP0447</t>
  </si>
  <si>
    <t>EMP0350</t>
  </si>
  <si>
    <t>EMP0046</t>
  </si>
  <si>
    <t>EMP1460</t>
  </si>
  <si>
    <t>EMP1476</t>
  </si>
  <si>
    <t>EMP0109</t>
  </si>
  <si>
    <t>EMP0030</t>
  </si>
  <si>
    <t>EMP0182</t>
  </si>
  <si>
    <t>EMP0622</t>
  </si>
  <si>
    <t>EMP0635</t>
  </si>
  <si>
    <t>EMP0105</t>
  </si>
  <si>
    <t>EMP0061</t>
  </si>
  <si>
    <t>EMP0659</t>
  </si>
  <si>
    <t>EMP1108</t>
  </si>
  <si>
    <t>EMP0491</t>
  </si>
  <si>
    <t>EMP0316</t>
  </si>
  <si>
    <t>EMP0382</t>
  </si>
  <si>
    <t>EMP0423</t>
  </si>
  <si>
    <t>EMP1458</t>
  </si>
  <si>
    <t>EMP0446</t>
  </si>
  <si>
    <t>EMP0664</t>
  </si>
  <si>
    <t>EMP1025</t>
  </si>
  <si>
    <t>EMP0780</t>
  </si>
  <si>
    <t>EMP0627</t>
  </si>
  <si>
    <t>EMP1113</t>
  </si>
  <si>
    <t>EMP1102</t>
  </si>
  <si>
    <t>EMP0269</t>
  </si>
  <si>
    <t>EMP0930</t>
  </si>
  <si>
    <t>EMP1148</t>
  </si>
  <si>
    <t>EMP1322</t>
  </si>
  <si>
    <t>EMP1120</t>
  </si>
  <si>
    <t>EMP0012</t>
  </si>
  <si>
    <t>EMP0115</t>
  </si>
  <si>
    <t>EMP0844</t>
  </si>
  <si>
    <t>EMP1453</t>
  </si>
  <si>
    <t>EMP1282</t>
  </si>
  <si>
    <t>EMP0353</t>
  </si>
  <si>
    <t>EMP1488</t>
  </si>
  <si>
    <t>EMP0774</t>
  </si>
  <si>
    <t>EMP0691</t>
  </si>
  <si>
    <t>EMP0791</t>
  </si>
  <si>
    <t>EMP0532</t>
  </si>
  <si>
    <t>EMP0868</t>
  </si>
  <si>
    <t>EMP0170</t>
  </si>
  <si>
    <t>EMP0240</t>
  </si>
  <si>
    <t>EMP1302</t>
  </si>
  <si>
    <t>EMP1185</t>
  </si>
  <si>
    <t>EMP0074</t>
  </si>
  <si>
    <t>EMP1087</t>
  </si>
  <si>
    <t>EMP0762</t>
  </si>
  <si>
    <t>EMP0741</t>
  </si>
  <si>
    <t>EMP0751</t>
  </si>
  <si>
    <t>EMP0742</t>
  </si>
  <si>
    <t>EMP0831</t>
  </si>
  <si>
    <t>EMP0048</t>
  </si>
  <si>
    <t>EMP0763</t>
  </si>
  <si>
    <t>EMP0592</t>
  </si>
  <si>
    <t>EMP0808</t>
  </si>
  <si>
    <t>EMP1084</t>
  </si>
  <si>
    <t>EMP0506</t>
  </si>
  <si>
    <t>EMP1045</t>
  </si>
  <si>
    <t>EMP1449</t>
  </si>
  <si>
    <t>EMP0653</t>
  </si>
  <si>
    <t>EMP0193</t>
  </si>
  <si>
    <t>EMP1240</t>
  </si>
  <si>
    <t>EMP0245</t>
  </si>
  <si>
    <t>EMP1388</t>
  </si>
  <si>
    <t>EMP0060</t>
  </si>
  <si>
    <t>EMP1246</t>
  </si>
  <si>
    <t>EMP0177</t>
  </si>
  <si>
    <t>EMP0450</t>
  </si>
  <si>
    <t>EMP0056</t>
  </si>
  <si>
    <t>EMP1279</t>
  </si>
  <si>
    <t>EMP0920</t>
  </si>
  <si>
    <t>EMP1410</t>
  </si>
  <si>
    <t>EMP1222</t>
  </si>
  <si>
    <t>EMP1093</t>
  </si>
  <si>
    <t>EMP1193</t>
  </si>
  <si>
    <t>EMP1210</t>
  </si>
  <si>
    <t>EMP1060</t>
  </si>
  <si>
    <t>EMP0642</t>
  </si>
  <si>
    <t>Column</t>
  </si>
  <si>
    <t>Description</t>
  </si>
  <si>
    <t>Unique synthetic employee identifier</t>
  </si>
  <si>
    <t>Employee joining date</t>
  </si>
  <si>
    <t>Exit date; blank for employees still active</t>
  </si>
  <si>
    <t>Whether the employee left during the defined analysis period</t>
  </si>
  <si>
    <t>Employee age</t>
  </si>
  <si>
    <t>Employee gender</t>
  </si>
  <si>
    <t>Marital status</t>
  </si>
  <si>
    <t>Highest education category</t>
  </si>
  <si>
    <t>Organizational department</t>
  </si>
  <si>
    <t>Employee job role</t>
  </si>
  <si>
    <t>Job seniority level from 1 to 5</t>
  </si>
  <si>
    <t>Office location</t>
  </si>
  <si>
    <t>Monthly salary in INR</t>
  </si>
  <si>
    <t>Salary increase percentage</t>
  </si>
  <si>
    <t>Total work experience in years</t>
  </si>
  <si>
    <t>Tenure with TechNova in years</t>
  </si>
  <si>
    <t>Years since last promotion</t>
  </si>
  <si>
    <t>Job satisfaction score from 1 to 4</t>
  </si>
  <si>
    <t>Work environment satisfaction score from 1 to 4</t>
  </si>
  <si>
    <t>Work-life balance score from 1 to 4</t>
  </si>
  <si>
    <t>Whether employee works overtime</t>
  </si>
  <si>
    <t>Performance rating from 1 to 5</t>
  </si>
  <si>
    <t>raw rows</t>
  </si>
  <si>
    <t>unique employees</t>
  </si>
  <si>
    <t>duplicate employee IDs</t>
  </si>
  <si>
    <t>missing marital status</t>
  </si>
  <si>
    <t>missing location</t>
  </si>
  <si>
    <t>missing salary hike</t>
  </si>
  <si>
    <t>missing job satisfaction</t>
  </si>
  <si>
    <t>missing envornment satifaction</t>
  </si>
  <si>
    <t>blank exit dates</t>
  </si>
  <si>
    <t>invalid exit dates</t>
  </si>
  <si>
    <t>department inconsistencies</t>
  </si>
  <si>
    <t>salary stored as text</t>
  </si>
  <si>
    <t>Column1</t>
  </si>
  <si>
    <t>Column2</t>
  </si>
  <si>
    <t>Row Labels</t>
  </si>
  <si>
    <t>Grand Total</t>
  </si>
  <si>
    <t>1</t>
  </si>
  <si>
    <t>2</t>
  </si>
  <si>
    <t>It Support</t>
  </si>
  <si>
    <t>3</t>
  </si>
  <si>
    <t>4</t>
  </si>
  <si>
    <t>5</t>
  </si>
  <si>
    <t>Unkown</t>
  </si>
  <si>
    <t>HR Workforce &amp; Attrition Analysis</t>
  </si>
  <si>
    <t>Total Employees</t>
  </si>
  <si>
    <t>Active Employees</t>
  </si>
  <si>
    <t>Employees Who Left</t>
  </si>
  <si>
    <t>Attrition Rate</t>
  </si>
  <si>
    <t>Average Age</t>
  </si>
  <si>
    <t>Average Monthy Salary</t>
  </si>
  <si>
    <t>Column Labels</t>
  </si>
  <si>
    <t>Count of Employee_ID</t>
  </si>
  <si>
    <t>Age_Band</t>
  </si>
  <si>
    <t>36-45</t>
  </si>
  <si>
    <t>26-35</t>
  </si>
  <si>
    <t>18-25</t>
  </si>
  <si>
    <t>46-55</t>
  </si>
  <si>
    <t>56+</t>
  </si>
  <si>
    <t>Salary_Band</t>
  </si>
  <si>
    <t>&lt;40K</t>
  </si>
  <si>
    <t>40K-59K</t>
  </si>
  <si>
    <t>80K-99K</t>
  </si>
  <si>
    <t>100K+</t>
  </si>
  <si>
    <t>60K-79K</t>
  </si>
  <si>
    <t>Tenure_Band</t>
  </si>
  <si>
    <t>4-6 Years</t>
  </si>
  <si>
    <t>7-10 Years</t>
  </si>
  <si>
    <t>11+ Years</t>
  </si>
  <si>
    <t>&lt;1 Year</t>
  </si>
  <si>
    <t>1-3 Years</t>
  </si>
  <si>
    <t>Job Role</t>
  </si>
  <si>
    <t>(blank)</t>
  </si>
  <si>
    <t>Job Satisfaction</t>
  </si>
  <si>
    <t>Env Satisfaction</t>
  </si>
  <si>
    <t>Age Band</t>
  </si>
  <si>
    <t xml:space="preserve">TECHNOVA SOLUTIONS </t>
  </si>
  <si>
    <t>HR_ATTRITION &amp; WORKFORCE ANALYSIS</t>
  </si>
  <si>
    <t>Workforce Overview | Attrition Patterns | 2025</t>
  </si>
  <si>
    <t>TOTAL EMPLOYEES</t>
  </si>
  <si>
    <t>ACTIVE EMPLOYEES</t>
  </si>
  <si>
    <t>EMPLOYEES WHO LEFT</t>
  </si>
  <si>
    <t>ATTRITION RATE</t>
  </si>
  <si>
    <t>AVG AGE</t>
  </si>
  <si>
    <t>Attrition_Flag</t>
  </si>
  <si>
    <t>Average of Attrition_Flag</t>
  </si>
  <si>
    <t>(All)</t>
  </si>
  <si>
    <t>Total Count of Employee_ID</t>
  </si>
  <si>
    <t>Total Average of Attrition_Flag</t>
  </si>
  <si>
    <t>Total Average of Age</t>
  </si>
  <si>
    <t>Average of Age</t>
  </si>
  <si>
    <t>KEY FINDINGS</t>
  </si>
  <si>
    <t>• Attrition rate is 15.87% across 1,500 employees.</t>
  </si>
  <si>
    <t>• Employees with less than 1 year tenure show 27.81% attrition.</t>
  </si>
  <si>
    <t>• Sales Executives show 26.67% attrition, above the overall rate.</t>
  </si>
  <si>
    <t>• Employees aged 18–25 show 23.04% attrition.</t>
  </si>
  <si>
    <t>• Job Satisfaction Level 2 shows 21.80% attrition.</t>
  </si>
  <si>
    <t>• Sales department shows 20.62% attrition.</t>
  </si>
  <si>
    <t>• 80K–99K salary band shows 18.32% attrition.</t>
  </si>
  <si>
    <t>• Overtime employees show 16.63% vs 15.58% without overtime.</t>
  </si>
  <si>
    <t>• Finance shows 13.24% attrition.</t>
  </si>
  <si>
    <t>• Data &amp; Analytics shows 13.76% attrition.</t>
  </si>
  <si>
    <t>Source: TechNova Solutions HR Workforce Dataset | Analysis Period: Jan–Dec 2025</t>
  </si>
  <si>
    <t>Note: Findings represent observed patterns in the dataset and should be considered areas for further investigation, not causal conclusions.</t>
  </si>
  <si>
    <t>Area</t>
  </si>
  <si>
    <t>Segment</t>
  </si>
  <si>
    <t>Employees</t>
  </si>
  <si>
    <t>Employees Left</t>
  </si>
  <si>
    <t>Overall Rate</t>
  </si>
  <si>
    <t>Difference</t>
  </si>
  <si>
    <t>Tenure</t>
  </si>
  <si>
    <t>+11.94 pp</t>
  </si>
  <si>
    <t>+10.80 pp</t>
  </si>
  <si>
    <t>18–25</t>
  </si>
  <si>
    <t>+7.17 pp</t>
  </si>
  <si>
    <t>Level 2</t>
  </si>
  <si>
    <t>+5.93 pp</t>
  </si>
  <si>
    <t>+4.75 pp</t>
  </si>
  <si>
    <t>TECHNOVA SOLUTIONS — HR ATTRITION FINDINGS</t>
  </si>
  <si>
    <t>Analysis Period: Jan–Dec 2025 | Employees Analyzed: 1,500 | Overall Attrition: 15.87%</t>
  </si>
  <si>
    <t>Interpretation</t>
  </si>
  <si>
    <t>Highest observed attrition among tenure bands.</t>
  </si>
  <si>
    <t>Higher observed attrition than the overall dataset.</t>
  </si>
  <si>
    <t>Highest observed attrition among departments.</t>
  </si>
  <si>
    <t>BUSINESS IMPLICATIONS &amp; AREAS FOR FURTHER INVESTIGATION</t>
  </si>
  <si>
    <t>What the data suggests for further investigation</t>
  </si>
  <si>
    <t>Early Tenure</t>
  </si>
  <si>
    <t>Employees with less than 1 year tenure show 27.81% attrition. HR could examine onboarding, early-tenure experience and retention patterns for this group.</t>
  </si>
  <si>
    <t>Sales / Sales Executive</t>
  </si>
  <si>
    <t>Sales shows 20.62% attrition and Sales Executive shows 26.67%. HR could examine role-specific workload, career progression and retention patterns.</t>
  </si>
  <si>
    <t>Younger Employees</t>
  </si>
  <si>
    <t>Employees aged 18–25 show 23.04% attrition. HR could examine retention patterns and employee experience within this age group.</t>
  </si>
  <si>
    <t>Job Satisfaction Level 2 shows 21.80% attrition. HR could examine whether satisfaction-related patterns differ across departments, roles and tenure groups.</t>
  </si>
  <si>
    <t>ANALYSIS LIMITATIONS</t>
  </si>
  <si>
    <t>Limitation</t>
  </si>
  <si>
    <t>Explanation</t>
  </si>
  <si>
    <t>Synthetic Dataset</t>
  </si>
  <si>
    <t>The dataset is simulated for analytical and portfolio purposes and does not represent actual TechNova employee records.</t>
  </si>
  <si>
    <t>Observational Analysis</t>
  </si>
  <si>
    <t>The analysis identifies observed relationships and patterns but does not establish causation.</t>
  </si>
  <si>
    <t>Missing Values</t>
  </si>
  <si>
    <t>Some fields contain missing values; these were retained where appropriate or represented as Unknown during cleaning.</t>
  </si>
  <si>
    <t>Small Segments</t>
  </si>
  <si>
    <t>Some categories contain relatively few employees, so their attrition rates should be interpreted cautiously.</t>
  </si>
  <si>
    <t>TECHNOVA SOLUTIONS — HR ATTRITION ANALYSIS</t>
  </si>
  <si>
    <t>PROJECT OVERVIEW</t>
  </si>
  <si>
    <t>This project analyzes workforce and employee attrition data for TechNova Solutions using Microsoft Excel, Power Query, PivotTables, PivotCharts and interactive slicers. The objective is to identify observed attrition patterns across employee segments and provide evidence-based areas for further investigation.</t>
  </si>
  <si>
    <t>BUSINESS PROBLEM</t>
  </si>
  <si>
    <t>TechNova Solutions wants to use workforce data to understand employee attrition patterns and identify employee segments that may require further investigation by HR management.</t>
  </si>
  <si>
    <t>TOOLS &amp; TECHNIQUES</t>
  </si>
  <si>
    <t>Microsoft Excel 2021</t>
  </si>
  <si>
    <t>Power Query</t>
  </si>
  <si>
    <t>PivotTables &amp; PivotCharts</t>
  </si>
  <si>
    <t>Interactive Slicers</t>
  </si>
  <si>
    <t>Excel formulas and KPI calculations</t>
  </si>
  <si>
    <t>WORKBOOK STRUCTURE</t>
  </si>
  <si>
    <t>Sheet</t>
  </si>
  <si>
    <t>Purpose</t>
  </si>
  <si>
    <t>HR_Dashboard</t>
  </si>
  <si>
    <t>Interactive executive dashboard</t>
  </si>
  <si>
    <t>README</t>
  </si>
  <si>
    <t>Project overview and methodology</t>
  </si>
  <si>
    <t>HR_Findings</t>
  </si>
  <si>
    <t>Findings, implications and limitations</t>
  </si>
  <si>
    <t>HR_Analysis</t>
  </si>
  <si>
    <t>KPI calculations and analytical PivotTables</t>
  </si>
  <si>
    <t>Data_Quality_Check</t>
  </si>
  <si>
    <t>Data quality and validation checks</t>
  </si>
  <si>
    <t>Clean_HR_Data</t>
  </si>
  <si>
    <t>Power Query cleaned employee data</t>
  </si>
  <si>
    <t>Raw_HR_Data</t>
  </si>
  <si>
    <t>Original raw dataset</t>
  </si>
  <si>
    <t>Data_Dictionary</t>
  </si>
  <si>
    <t>Field definitions and descriptions</t>
  </si>
  <si>
    <t>ANALYTICAL METHODOLOGY</t>
  </si>
  <si>
    <t>Raw Data → Data Quality Assessment → Power Query Cleaning → Validation → KPI Calculation → Segmentation Analysis → PivotTables/PivotCharts → Interactive Dashboard →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</si>
</sst>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409]d/mmm/yy;@"/>
    <numFmt numFmtId="166" formatCode="[$₹-4009]\ #,##0.00"/>
    <numFmt numFmtId="167" formatCode="0.0"/>
  </numFmts>
  <fonts count="14" x14ac:knownFonts="1">
    <font>
      <sz val="11"/>
      <color theme="1"/>
      <name val="Calibri"/>
      <family val="2"/>
      <scheme val="minor"/>
    </font>
    <font>
      <b/>
      <sz val="11"/>
      <name val="Calibri"/>
    </font>
    <font>
      <b/>
      <sz val="14"/>
      <color theme="1"/>
      <name val="Calibri"/>
      <family val="2"/>
      <scheme val="minor"/>
    </font>
    <font>
      <b/>
      <sz val="20"/>
      <color theme="1"/>
      <name val="Calibri"/>
      <family val="2"/>
      <scheme val="minor"/>
    </font>
    <font>
      <sz val="12"/>
      <color theme="2"/>
      <name val="Calibri"/>
      <family val="2"/>
      <scheme val="minor"/>
    </font>
    <font>
      <b/>
      <sz val="20"/>
      <color theme="2"/>
      <name val="Calibri"/>
      <family val="2"/>
      <scheme val="minor"/>
    </font>
    <font>
      <b/>
      <sz val="16"/>
      <color theme="2"/>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2"/>
      <color theme="1"/>
      <name val="Calibri"/>
      <family val="2"/>
      <scheme val="minor"/>
    </font>
    <font>
      <b/>
      <i/>
      <sz val="12"/>
      <color theme="1"/>
      <name val="Calibri"/>
      <family val="2"/>
      <scheme val="minor"/>
    </font>
    <font>
      <b/>
      <sz val="14"/>
      <color theme="0"/>
      <name val="Calibri"/>
      <family val="2"/>
      <scheme val="minor"/>
    </font>
  </fonts>
  <fills count="8">
    <fill>
      <patternFill patternType="none"/>
    </fill>
    <fill>
      <patternFill patternType="gray125"/>
    </fill>
    <fill>
      <patternFill patternType="solid">
        <fgColor theme="3" tint="0.59999389629810485"/>
        <bgColor indexed="64"/>
      </patternFill>
    </fill>
    <fill>
      <patternFill patternType="solid">
        <fgColor theme="4"/>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39997558519241921"/>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9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22" fontId="0" fillId="0" borderId="0" xfId="0" applyNumberFormat="1"/>
    <xf numFmtId="165" fontId="0" fillId="0" borderId="0" xfId="0" applyNumberFormat="1"/>
    <xf numFmtId="10" fontId="0" fillId="0" borderId="0" xfId="0" applyNumberFormat="1"/>
    <xf numFmtId="166" fontId="0" fillId="0" borderId="0" xfId="0" applyNumberFormat="1"/>
    <xf numFmtId="0" fontId="0" fillId="0" borderId="0" xfId="0" applyNumberFormat="1"/>
    <xf numFmtId="0" fontId="0" fillId="6" borderId="0" xfId="0" applyFill="1"/>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0" fillId="6" borderId="1" xfId="0" applyFill="1" applyBorder="1" applyAlignment="1">
      <alignment horizontal="center" vertical="center"/>
    </xf>
    <xf numFmtId="10" fontId="0" fillId="6" borderId="1" xfId="0" applyNumberFormat="1" applyFill="1" applyBorder="1" applyAlignment="1">
      <alignment horizontal="center" vertical="center"/>
    </xf>
    <xf numFmtId="0" fontId="0" fillId="6" borderId="1" xfId="0" applyFill="1" applyBorder="1" applyAlignment="1">
      <alignment horizontal="center" vertical="center" wrapText="1"/>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0" fillId="4" borderId="1" xfId="0" applyFill="1" applyBorder="1" applyAlignment="1">
      <alignment vertical="center" wrapText="1"/>
    </xf>
    <xf numFmtId="0" fontId="0" fillId="6" borderId="1" xfId="0" applyFill="1" applyBorder="1" applyAlignment="1">
      <alignment vertical="center" wrapText="1"/>
    </xf>
    <xf numFmtId="0" fontId="0" fillId="6" borderId="1" xfId="0" applyFill="1" applyBorder="1" applyAlignment="1">
      <alignment vertical="center"/>
    </xf>
    <xf numFmtId="0" fontId="8" fillId="5" borderId="1" xfId="0" applyFont="1" applyFill="1" applyBorder="1" applyAlignment="1">
      <alignment horizontal="center" vertical="center" wrapText="1"/>
    </xf>
    <xf numFmtId="167" fontId="3" fillId="7" borderId="14" xfId="0" applyNumberFormat="1" applyFont="1" applyFill="1" applyBorder="1" applyAlignment="1">
      <alignment horizontal="center" vertical="center"/>
    </xf>
    <xf numFmtId="167" fontId="3" fillId="7" borderId="0" xfId="0" applyNumberFormat="1" applyFont="1" applyFill="1" applyAlignment="1">
      <alignment horizontal="center" vertical="center"/>
    </xf>
    <xf numFmtId="167" fontId="3" fillId="7" borderId="15" xfId="0" applyNumberFormat="1" applyFont="1" applyFill="1" applyBorder="1" applyAlignment="1">
      <alignment horizontal="center" vertical="center"/>
    </xf>
    <xf numFmtId="167" fontId="3" fillId="7" borderId="16" xfId="0" applyNumberFormat="1" applyFont="1" applyFill="1" applyBorder="1" applyAlignment="1">
      <alignment horizontal="center" vertical="center"/>
    </xf>
    <xf numFmtId="167" fontId="3" fillId="7" borderId="17" xfId="0" applyNumberFormat="1" applyFont="1" applyFill="1" applyBorder="1" applyAlignment="1">
      <alignment horizontal="center" vertical="center"/>
    </xf>
    <xf numFmtId="167" fontId="3" fillId="7" borderId="18" xfId="0" applyNumberFormat="1"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0" xfId="0" applyFont="1" applyFill="1" applyAlignment="1">
      <alignment horizontal="center" vertical="center"/>
    </xf>
    <xf numFmtId="0" fontId="6"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2"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0" xfId="0" applyFont="1" applyFill="1" applyAlignment="1">
      <alignment horizontal="center" vertical="center"/>
    </xf>
    <xf numFmtId="0" fontId="2" fillId="7" borderId="15"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0" xfId="0" applyFont="1" applyFill="1" applyAlignment="1">
      <alignment horizontal="center" vertical="center"/>
    </xf>
    <xf numFmtId="0" fontId="3" fillId="7" borderId="15" xfId="0" applyFont="1" applyFill="1" applyBorder="1" applyAlignment="1">
      <alignment horizontal="center" vertical="center"/>
    </xf>
    <xf numFmtId="0" fontId="3" fillId="7" borderId="16" xfId="0" applyFont="1" applyFill="1" applyBorder="1" applyAlignment="1">
      <alignment horizontal="center" vertical="center"/>
    </xf>
    <xf numFmtId="0" fontId="3" fillId="7" borderId="17" xfId="0" applyFont="1" applyFill="1" applyBorder="1" applyAlignment="1">
      <alignment horizontal="center" vertical="center"/>
    </xf>
    <xf numFmtId="0" fontId="3" fillId="7" borderId="18" xfId="0" applyFont="1" applyFill="1" applyBorder="1" applyAlignment="1">
      <alignment horizontal="center" vertical="center"/>
    </xf>
    <xf numFmtId="10" fontId="3" fillId="7" borderId="14" xfId="0" applyNumberFormat="1" applyFont="1" applyFill="1" applyBorder="1" applyAlignment="1">
      <alignment horizontal="center" vertical="center"/>
    </xf>
    <xf numFmtId="10" fontId="3" fillId="7" borderId="0" xfId="0" applyNumberFormat="1" applyFont="1" applyFill="1" applyAlignment="1">
      <alignment horizontal="center" vertical="center"/>
    </xf>
    <xf numFmtId="10" fontId="3" fillId="7" borderId="15" xfId="0" applyNumberFormat="1" applyFont="1" applyFill="1" applyBorder="1" applyAlignment="1">
      <alignment horizontal="center" vertical="center"/>
    </xf>
    <xf numFmtId="10" fontId="3" fillId="7" borderId="16" xfId="0" applyNumberFormat="1" applyFont="1" applyFill="1" applyBorder="1" applyAlignment="1">
      <alignment horizontal="center" vertical="center"/>
    </xf>
    <xf numFmtId="10" fontId="3" fillId="7" borderId="17" xfId="0" applyNumberFormat="1" applyFont="1" applyFill="1" applyBorder="1" applyAlignment="1">
      <alignment horizontal="center" vertical="center"/>
    </xf>
    <xf numFmtId="10" fontId="3" fillId="7" borderId="18" xfId="0" applyNumberFormat="1" applyFont="1" applyFill="1" applyBorder="1" applyAlignment="1">
      <alignment horizontal="center" vertical="center"/>
    </xf>
    <xf numFmtId="0" fontId="10" fillId="2" borderId="0" xfId="0" applyFont="1" applyFill="1" applyAlignment="1">
      <alignment horizontal="center" vertical="center"/>
    </xf>
    <xf numFmtId="0" fontId="0" fillId="2" borderId="0" xfId="0" applyFont="1" applyFill="1" applyAlignment="1">
      <alignment horizontal="center" vertical="center"/>
    </xf>
    <xf numFmtId="0" fontId="11" fillId="5" borderId="3" xfId="0" applyFont="1" applyFill="1" applyBorder="1" applyAlignment="1">
      <alignment horizontal="left" vertical="center"/>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xf>
    <xf numFmtId="0" fontId="11" fillId="5" borderId="0" xfId="0" applyFont="1" applyFill="1" applyBorder="1" applyAlignment="1">
      <alignment horizontal="left" vertical="center"/>
    </xf>
    <xf numFmtId="0" fontId="11" fillId="5" borderId="7" xfId="0" applyFont="1" applyFill="1" applyBorder="1" applyAlignment="1">
      <alignment horizontal="left" vertical="center"/>
    </xf>
    <xf numFmtId="0" fontId="12" fillId="2" borderId="0" xfId="0" applyFont="1" applyFill="1" applyAlignment="1">
      <alignment horizontal="center" vertical="center"/>
    </xf>
    <xf numFmtId="0" fontId="8" fillId="4" borderId="0" xfId="0" applyFont="1" applyFill="1" applyAlignment="1">
      <alignment horizontal="center" vertical="center"/>
    </xf>
    <xf numFmtId="0" fontId="11" fillId="5" borderId="8" xfId="0" applyFont="1" applyFill="1" applyBorder="1" applyAlignment="1">
      <alignment horizontal="left" vertical="center"/>
    </xf>
    <xf numFmtId="0" fontId="11" fillId="5" borderId="9" xfId="0" applyFont="1" applyFill="1" applyBorder="1" applyAlignment="1">
      <alignment horizontal="left" vertical="center"/>
    </xf>
    <xf numFmtId="0" fontId="11" fillId="5" borderId="10" xfId="0" applyFont="1" applyFill="1" applyBorder="1" applyAlignment="1">
      <alignment horizontal="left" vertical="center"/>
    </xf>
    <xf numFmtId="0" fontId="7" fillId="3" borderId="0" xfId="0" applyFont="1" applyFill="1" applyAlignment="1">
      <alignment horizontal="center"/>
    </xf>
    <xf numFmtId="0" fontId="7" fillId="3" borderId="0" xfId="0" applyFont="1" applyFill="1" applyAlignment="1">
      <alignment horizontal="center" vertical="center"/>
    </xf>
    <xf numFmtId="0" fontId="11" fillId="6" borderId="0" xfId="0" applyFont="1" applyFill="1" applyAlignment="1">
      <alignment horizontal="center" vertical="center" wrapText="1"/>
    </xf>
    <xf numFmtId="0" fontId="13" fillId="3" borderId="0" xfId="0" applyFont="1" applyFill="1" applyAlignment="1">
      <alignment horizontal="center" vertical="center"/>
    </xf>
    <xf numFmtId="0" fontId="9" fillId="3" borderId="0" xfId="0" applyFont="1" applyFill="1" applyAlignment="1">
      <alignment horizontal="center" vertical="center"/>
    </xf>
    <xf numFmtId="0" fontId="0" fillId="6" borderId="0" xfId="0" applyFont="1" applyFill="1" applyAlignment="1">
      <alignment horizontal="left" vertical="center" wrapText="1"/>
    </xf>
    <xf numFmtId="0" fontId="0" fillId="6" borderId="0" xfId="0" applyFill="1" applyAlignment="1">
      <alignment horizontal="left" vertical="center" wrapText="1"/>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0" xfId="0" applyFont="1" applyFill="1" applyBorder="1" applyAlignment="1">
      <alignment horizontal="center" vertical="center"/>
    </xf>
    <xf numFmtId="0" fontId="8" fillId="7" borderId="0" xfId="0" applyFont="1" applyFill="1" applyAlignment="1">
      <alignment horizontal="center" vertical="center"/>
    </xf>
    <xf numFmtId="0" fontId="8" fillId="2" borderId="0" xfId="0" applyFont="1" applyFill="1" applyAlignment="1">
      <alignment horizontal="center" vertical="center"/>
    </xf>
  </cellXfs>
  <cellStyles count="1">
    <cellStyle name="Normal" xfId="0" builtinId="0"/>
  </cellStyles>
  <dxfs count="15">
    <dxf>
      <numFmt numFmtId="14" formatCode="0.00%"/>
    </dxf>
    <dxf>
      <numFmt numFmtId="14" formatCode="0.00%"/>
    </dxf>
    <dxf>
      <numFmt numFmtId="27" formatCode="dd/mm/yy\ h:mm"/>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09]d/mmm/yy;@"/>
    </dxf>
    <dxf>
      <numFmt numFmtId="27" formatCode="dd/mm/yy\ h:mm"/>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[TechNova_HR_Attrition_Analysis_Final.xlsx]HR_Analysis!PivotTable1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ATTRITION RATE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s>
    <c:plotArea>
      <c:layout/>
      <c:barChart>
        <c:barDir val="bar"/>
        <c:grouping val="clustered"/>
        <c:varyColors val="0"/>
        <c:ser>
          <c:idx val="0"/>
          <c:order val="0"/>
          <c:tx>
            <c:strRef>
              <c:f>HR_Analysis!$B$12</c:f>
              <c:strCache>
                <c:ptCount val="1"/>
                <c:pt idx="0">
                  <c:v>Total</c:v>
                </c:pt>
              </c:strCache>
            </c:strRef>
          </c:tx>
          <c:spPr>
            <a:solidFill>
              <a:schemeClr val="accent1"/>
            </a:solidFill>
            <a:ln>
              <a:noFill/>
            </a:ln>
            <a:effectLst/>
          </c:spPr>
          <c:invertIfNegative val="0"/>
          <c:dPt>
            <c:idx val="5"/>
            <c:invertIfNegative val="0"/>
            <c:bubble3D val="0"/>
            <c:spPr>
              <a:solidFill>
                <a:schemeClr val="accent6"/>
              </a:solidFill>
              <a:ln>
                <a:noFill/>
              </a:ln>
              <a:effectLst/>
            </c:spPr>
            <c:extLst>
              <c:ext xmlns:c16="http://schemas.microsoft.com/office/drawing/2014/chart" uri="{C3380CC4-5D6E-409C-BE32-E72D297353CC}">
                <c16:uniqueId val="{00000002-788C-49A2-A645-64ACA2132F0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HR_Analysis!$A$13:$A$20</c:f>
              <c:strCache>
                <c:ptCount val="7"/>
                <c:pt idx="0">
                  <c:v>Data &amp; Analytics</c:v>
                </c:pt>
                <c:pt idx="1">
                  <c:v>Finance</c:v>
                </c:pt>
                <c:pt idx="2">
                  <c:v>Human Resources</c:v>
                </c:pt>
                <c:pt idx="3">
                  <c:v>It Support</c:v>
                </c:pt>
                <c:pt idx="4">
                  <c:v>Operations</c:v>
                </c:pt>
                <c:pt idx="5">
                  <c:v>Sales</c:v>
                </c:pt>
                <c:pt idx="6">
                  <c:v>Technology</c:v>
                </c:pt>
              </c:strCache>
            </c:strRef>
          </c:cat>
          <c:val>
            <c:numRef>
              <c:f>HR_Analysis!$B$13:$B$20</c:f>
              <c:numCache>
                <c:formatCode>0.00%</c:formatCode>
                <c:ptCount val="7"/>
                <c:pt idx="0">
                  <c:v>0.13761467889908258</c:v>
                </c:pt>
                <c:pt idx="1">
                  <c:v>0.13235294117647059</c:v>
                </c:pt>
                <c:pt idx="2">
                  <c:v>0.16086956521739129</c:v>
                </c:pt>
                <c:pt idx="3">
                  <c:v>0.1388888888888889</c:v>
                </c:pt>
                <c:pt idx="4">
                  <c:v>0.17889908256880735</c:v>
                </c:pt>
                <c:pt idx="5">
                  <c:v>0.20618556701030927</c:v>
                </c:pt>
                <c:pt idx="6">
                  <c:v>0.15909090909090909</c:v>
                </c:pt>
              </c:numCache>
            </c:numRef>
          </c:val>
          <c:extLst>
            <c:ext xmlns:c16="http://schemas.microsoft.com/office/drawing/2014/chart" uri="{C3380CC4-5D6E-409C-BE32-E72D297353CC}">
              <c16:uniqueId val="{00000000-788C-49A2-A645-64ACA2132F09}"/>
            </c:ext>
          </c:extLst>
        </c:ser>
        <c:dLbls>
          <c:dLblPos val="outEnd"/>
          <c:showLegendKey val="0"/>
          <c:showVal val="1"/>
          <c:showCatName val="0"/>
          <c:showSerName val="0"/>
          <c:showPercent val="0"/>
          <c:showBubbleSize val="0"/>
        </c:dLbls>
        <c:gapWidth val="182"/>
        <c:axId val="1292667343"/>
        <c:axId val="1292653615"/>
      </c:barChart>
      <c:catAx>
        <c:axId val="129266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92653615"/>
        <c:crosses val="autoZero"/>
        <c:auto val="1"/>
        <c:lblAlgn val="ctr"/>
        <c:lblOffset val="100"/>
        <c:noMultiLvlLbl val="0"/>
      </c:catAx>
      <c:valAx>
        <c:axId val="129265361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92667343"/>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[TechNova_HR_Attrition_Analysis_Final.xlsx]HR_Analysis!PivotTable3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ATTRITION RATE BY AGE BAND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s>
    <c:plotArea>
      <c:layout/>
      <c:barChart>
        <c:barDir val="col"/>
        <c:grouping val="clustered"/>
        <c:varyColors val="0"/>
        <c:ser>
          <c:idx val="0"/>
          <c:order val="0"/>
          <c:tx>
            <c:strRef>
              <c:f>HR_Analysis!$B$24</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E4F1-4E50-954A-70A545413FC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HR_Analysis!$A$25:$A$29</c:f>
              <c:strCache>
                <c:ptCount val="4"/>
                <c:pt idx="0">
                  <c:v>18-25</c:v>
                </c:pt>
                <c:pt idx="1">
                  <c:v>26-35</c:v>
                </c:pt>
                <c:pt idx="2">
                  <c:v>36-45</c:v>
                </c:pt>
                <c:pt idx="3">
                  <c:v>46-55</c:v>
                </c:pt>
              </c:strCache>
            </c:strRef>
          </c:cat>
          <c:val>
            <c:numRef>
              <c:f>HR_Analysis!$B$25:$B$29</c:f>
              <c:numCache>
                <c:formatCode>0.00%</c:formatCode>
                <c:ptCount val="4"/>
                <c:pt idx="0">
                  <c:v>0.23036649214659685</c:v>
                </c:pt>
                <c:pt idx="1">
                  <c:v>0.14756258234519104</c:v>
                </c:pt>
                <c:pt idx="2">
                  <c:v>0.14545454545454545</c:v>
                </c:pt>
                <c:pt idx="3">
                  <c:v>0.16666666666666666</c:v>
                </c:pt>
              </c:numCache>
            </c:numRef>
          </c:val>
          <c:extLst>
            <c:ext xmlns:c16="http://schemas.microsoft.com/office/drawing/2014/chart" uri="{C3380CC4-5D6E-409C-BE32-E72D297353CC}">
              <c16:uniqueId val="{00000000-E4F1-4E50-954A-70A545413FC7}"/>
            </c:ext>
          </c:extLst>
        </c:ser>
        <c:dLbls>
          <c:dLblPos val="outEnd"/>
          <c:showLegendKey val="0"/>
          <c:showVal val="1"/>
          <c:showCatName val="0"/>
          <c:showSerName val="0"/>
          <c:showPercent val="0"/>
          <c:showBubbleSize val="0"/>
        </c:dLbls>
        <c:gapWidth val="219"/>
        <c:overlap val="-27"/>
        <c:axId val="2075585407"/>
        <c:axId val="2075583327"/>
      </c:barChart>
      <c:catAx>
        <c:axId val="207558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75583327"/>
        <c:crosses val="autoZero"/>
        <c:auto val="1"/>
        <c:lblAlgn val="ctr"/>
        <c:lblOffset val="100"/>
        <c:noMultiLvlLbl val="0"/>
      </c:catAx>
      <c:valAx>
        <c:axId val="2075583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75585407"/>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[TechNova_HR_Attrition_Analysis_Final.xlsx]HR_Analysis!PivotTable2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TOP 5 JOB ROLES BY ATTRITION RATE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s>
    <c:plotArea>
      <c:layout/>
      <c:barChart>
        <c:barDir val="bar"/>
        <c:grouping val="clustered"/>
        <c:varyColors val="0"/>
        <c:ser>
          <c:idx val="0"/>
          <c:order val="0"/>
          <c:tx>
            <c:strRef>
              <c:f>HR_Analysis!$B$33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A380-44DD-9901-3372DE38F4F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HR_Analysis!$A$34:$A$39</c:f>
              <c:strCache>
                <c:ptCount val="5"/>
                <c:pt idx="0">
                  <c:v>Sales Executive</c:v>
                </c:pt>
                <c:pt idx="1">
                  <c:v>HR Analyst</c:v>
                </c:pt>
                <c:pt idx="2">
                  <c:v>Process Associate</c:v>
                </c:pt>
                <c:pt idx="3">
                  <c:v>Account Manager</c:v>
                </c:pt>
                <c:pt idx="4">
                  <c:v>IT Support Specialist</c:v>
                </c:pt>
              </c:strCache>
            </c:strRef>
          </c:cat>
          <c:val>
            <c:numRef>
              <c:f>HR_Analysis!$B$34:$B$39</c:f>
              <c:numCache>
                <c:formatCode>0.00%</c:formatCode>
                <c:ptCount val="5"/>
                <c:pt idx="0">
                  <c:v>0.26666666666666666</c:v>
                </c:pt>
                <c:pt idx="1">
                  <c:v>0.2608695652173913</c:v>
                </c:pt>
                <c:pt idx="2">
                  <c:v>0.25</c:v>
                </c:pt>
                <c:pt idx="3">
                  <c:v>0.22641509433962265</c:v>
                </c:pt>
                <c:pt idx="4">
                  <c:v>0.22413793103448276</c:v>
                </c:pt>
              </c:numCache>
            </c:numRef>
          </c:val>
          <c:extLst>
            <c:ext xmlns:c16="http://schemas.microsoft.com/office/drawing/2014/chart" uri="{C3380CC4-5D6E-409C-BE32-E72D297353CC}">
              <c16:uniqueId val="{00000000-C6CE-48A0-85EC-F50DDC8D763B}"/>
            </c:ext>
          </c:extLst>
        </c:ser>
        <c:dLbls>
          <c:dLblPos val="outEnd"/>
          <c:showLegendKey val="0"/>
          <c:showVal val="1"/>
          <c:showCatName val="0"/>
          <c:showSerName val="0"/>
          <c:showPercent val="0"/>
          <c:showBubbleSize val="0"/>
        </c:dLbls>
        <c:gapWidth val="182"/>
        <c:axId val="903522016"/>
        <c:axId val="903521184"/>
      </c:barChart>
      <c:catAx>
        <c:axId val="90352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03521184"/>
        <c:crosses val="autoZero"/>
        <c:auto val="1"/>
        <c:lblAlgn val="ctr"/>
        <c:lblOffset val="100"/>
        <c:noMultiLvlLbl val="0"/>
      </c:catAx>
      <c:valAx>
        <c:axId val="9035211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0352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[TechNova_HR_Attrition_Analysis_Final.xlsx]HR_Analysis!PivotTable5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ATTRITION RATE BY TENURE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s>
    <c:plotArea>
      <c:layout/>
      <c:barChart>
        <c:barDir val="col"/>
        <c:grouping val="clustered"/>
        <c:varyColors val="0"/>
        <c:ser>
          <c:idx val="0"/>
          <c:order val="0"/>
          <c:tx>
            <c:strRef>
              <c:f>HR_Analysis!$J$22</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A11B-4DC9-BD83-CAABA178FC7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HR_Analysis!$I$23:$I$28</c:f>
              <c:strCache>
                <c:ptCount val="5"/>
                <c:pt idx="0">
                  <c:v>&lt;1 Year</c:v>
                </c:pt>
                <c:pt idx="1">
                  <c:v>1-3 Years</c:v>
                </c:pt>
                <c:pt idx="2">
                  <c:v>4-6 Years</c:v>
                </c:pt>
                <c:pt idx="3">
                  <c:v>7-10 Years</c:v>
                </c:pt>
                <c:pt idx="4">
                  <c:v>11+ Years</c:v>
                </c:pt>
              </c:strCache>
            </c:strRef>
          </c:cat>
          <c:val>
            <c:numRef>
              <c:f>HR_Analysis!$J$23:$J$28</c:f>
              <c:numCache>
                <c:formatCode>0.00%</c:formatCode>
                <c:ptCount val="5"/>
                <c:pt idx="0">
                  <c:v>0.27807486631016043</c:v>
                </c:pt>
                <c:pt idx="1">
                  <c:v>0.18808777429467086</c:v>
                </c:pt>
                <c:pt idx="2">
                  <c:v>0.13084112149532709</c:v>
                </c:pt>
                <c:pt idx="3">
                  <c:v>0.12106537530266344</c:v>
                </c:pt>
                <c:pt idx="4">
                  <c:v>0.13071895424836602</c:v>
                </c:pt>
              </c:numCache>
            </c:numRef>
          </c:val>
          <c:extLst>
            <c:ext xmlns:c16="http://schemas.microsoft.com/office/drawing/2014/chart" uri="{C3380CC4-5D6E-409C-BE32-E72D297353CC}">
              <c16:uniqueId val="{00000000-A11B-4DC9-BD83-CAABA178FC74}"/>
            </c:ext>
          </c:extLst>
        </c:ser>
        <c:dLbls>
          <c:dLblPos val="outEnd"/>
          <c:showLegendKey val="0"/>
          <c:showVal val="1"/>
          <c:showCatName val="0"/>
          <c:showSerName val="0"/>
          <c:showPercent val="0"/>
          <c:showBubbleSize val="0"/>
        </c:dLbls>
        <c:gapWidth val="219"/>
        <c:overlap val="-27"/>
        <c:axId val="25998688"/>
        <c:axId val="25999936"/>
      </c:barChart>
      <c:catAx>
        <c:axId val="2599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999936"/>
        <c:crosses val="autoZero"/>
        <c:auto val="1"/>
        <c:lblAlgn val="ctr"/>
        <c:lblOffset val="100"/>
        <c:noMultiLvlLbl val="0"/>
      </c:catAx>
      <c:valAx>
        <c:axId val="259999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99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[TechNova_HR_Attrition_Analysis_Final.xlsx]PT_Attrition!PivotTable1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ATTRITION</a:t>
            </a:r>
            <a:r>
              <a:rPr lang="en-US" sz="1200" baseline="0"/>
              <a:t> RATE BY DEPARTMENT</a:t>
            </a:r>
          </a:p>
        </c:rich>
      </c:tx>
      <c:layout>
        <c:manualLayout>
          <c:xMode val="edge"/>
          <c:yMode val="edge"/>
          <c:x val="0.3199930008748906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PT_Attrition!$B$3</c:f>
              <c:strCache>
                <c:ptCount val="1"/>
                <c:pt idx="0">
                  <c:v>Total</c:v>
                </c:pt>
              </c:strCache>
            </c:strRef>
          </c:tx>
          <c:spPr>
            <a:solidFill>
              <a:schemeClr val="accent1"/>
            </a:solidFill>
            <a:ln>
              <a:noFill/>
            </a:ln>
            <a:effectLst/>
          </c:spPr>
          <c:invertIfNegative val="0"/>
          <c:cat>
            <c:strRef>
              <c:f>PT_Attrition!$A$4:$A$11</c:f>
              <c:strCache>
                <c:ptCount val="7"/>
                <c:pt idx="0">
                  <c:v>Data &amp; Analytics</c:v>
                </c:pt>
                <c:pt idx="1">
                  <c:v>Finance</c:v>
                </c:pt>
                <c:pt idx="2">
                  <c:v>Human Resources</c:v>
                </c:pt>
                <c:pt idx="3">
                  <c:v>It Support</c:v>
                </c:pt>
                <c:pt idx="4">
                  <c:v>Operations</c:v>
                </c:pt>
                <c:pt idx="5">
                  <c:v>Sales</c:v>
                </c:pt>
                <c:pt idx="6">
                  <c:v>Technology</c:v>
                </c:pt>
              </c:strCache>
            </c:strRef>
          </c:cat>
          <c:val>
            <c:numRef>
              <c:f>PT_Attrition!$B$4:$B$11</c:f>
              <c:numCache>
                <c:formatCode>0.00%</c:formatCode>
                <c:ptCount val="7"/>
                <c:pt idx="0">
                  <c:v>0.13761467889908258</c:v>
                </c:pt>
                <c:pt idx="1">
                  <c:v>0.13235294117647059</c:v>
                </c:pt>
                <c:pt idx="2">
                  <c:v>0.16086956521739129</c:v>
                </c:pt>
                <c:pt idx="3">
                  <c:v>0.1388888888888889</c:v>
                </c:pt>
                <c:pt idx="4">
                  <c:v>0.17889908256880735</c:v>
                </c:pt>
                <c:pt idx="5">
                  <c:v>0.20618556701030927</c:v>
                </c:pt>
                <c:pt idx="6">
                  <c:v>0.15909090909090909</c:v>
                </c:pt>
              </c:numCache>
            </c:numRef>
          </c:val>
          <c:extLst>
            <c:ext xmlns:c16="http://schemas.microsoft.com/office/drawing/2014/chart" uri="{C3380CC4-5D6E-409C-BE32-E72D297353CC}">
              <c16:uniqueId val="{00000000-350E-4221-BCB7-5E3F60BC5AD0}"/>
            </c:ext>
          </c:extLst>
        </c:ser>
        <c:dLbls>
          <c:showLegendKey val="0"/>
          <c:showVal val="0"/>
          <c:showCatName val="0"/>
          <c:showSerName val="0"/>
          <c:showPercent val="0"/>
          <c:showBubbleSize val="0"/>
        </c:dLbls>
        <c:gapWidth val="182"/>
        <c:axId val="571998079"/>
        <c:axId val="571998911"/>
      </c:barChart>
      <c:catAx>
        <c:axId val="57199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98911"/>
        <c:crosses val="autoZero"/>
        <c:auto val="1"/>
        <c:lblAlgn val="ctr"/>
        <c:lblOffset val="100"/>
        <c:noMultiLvlLbl val="0"/>
      </c:catAx>
      <c:valAx>
        <c:axId val="5719989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9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[TechNova_HR_Attrition_Analysis_Final.xlsx]PT_Attrition!PivotTable2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ATTRITION</a:t>
            </a:r>
            <a:r>
              <a:rPr lang="en-US" sz="1200" baseline="0"/>
              <a:t> RATE BY AGE BAND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PT_Attrition!$B$14</c:f>
              <c:strCache>
                <c:ptCount val="1"/>
                <c:pt idx="0">
                  <c:v>Total</c:v>
                </c:pt>
              </c:strCache>
            </c:strRef>
          </c:tx>
          <c:spPr>
            <a:solidFill>
              <a:schemeClr val="accent1"/>
            </a:solidFill>
            <a:ln>
              <a:noFill/>
            </a:ln>
            <a:effectLst/>
          </c:spPr>
          <c:invertIfNegative val="0"/>
          <c:cat>
            <c:strRef>
              <c:f>PT_Attrition!$A$15:$A$20</c:f>
              <c:strCache>
                <c:ptCount val="5"/>
                <c:pt idx="0">
                  <c:v>18-25</c:v>
                </c:pt>
                <c:pt idx="1">
                  <c:v>26-35</c:v>
                </c:pt>
                <c:pt idx="2">
                  <c:v>36-45</c:v>
                </c:pt>
                <c:pt idx="3">
                  <c:v>46-55</c:v>
                </c:pt>
                <c:pt idx="4">
                  <c:v>56+</c:v>
                </c:pt>
              </c:strCache>
            </c:strRef>
          </c:cat>
          <c:val>
            <c:numRef>
              <c:f>PT_Attrition!$B$15:$B$20</c:f>
              <c:numCache>
                <c:formatCode>0.00%</c:formatCode>
                <c:ptCount val="5"/>
                <c:pt idx="0">
                  <c:v>0.23036649214659685</c:v>
                </c:pt>
                <c:pt idx="1">
                  <c:v>0.14756258234519104</c:v>
                </c:pt>
                <c:pt idx="2">
                  <c:v>0.14545454545454545</c:v>
                </c:pt>
                <c:pt idx="3">
                  <c:v>0.16666666666666666</c:v>
                </c:pt>
                <c:pt idx="4">
                  <c:v>1</c:v>
                </c:pt>
              </c:numCache>
            </c:numRef>
          </c:val>
          <c:extLst>
            <c:ext xmlns:c16="http://schemas.microsoft.com/office/drawing/2014/chart" uri="{C3380CC4-5D6E-409C-BE32-E72D297353CC}">
              <c16:uniqueId val="{00000000-1D49-4E16-900B-2E2014D3D1D5}"/>
            </c:ext>
          </c:extLst>
        </c:ser>
        <c:dLbls>
          <c:showLegendKey val="0"/>
          <c:showVal val="0"/>
          <c:showCatName val="0"/>
          <c:showSerName val="0"/>
          <c:showPercent val="0"/>
          <c:showBubbleSize val="0"/>
        </c:dLbls>
        <c:gapWidth val="219"/>
        <c:overlap val="-27"/>
        <c:axId val="572010143"/>
        <c:axId val="571995583"/>
      </c:barChart>
      <c:catAx>
        <c:axId val="57201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95583"/>
        <c:crosses val="autoZero"/>
        <c:auto val="1"/>
        <c:lblAlgn val="ctr"/>
        <c:lblOffset val="100"/>
        <c:noMultiLvlLbl val="0"/>
      </c:catAx>
      <c:valAx>
        <c:axId val="57199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1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43051</xdr:colOff>
      <xdr:row>8</xdr:row>
      <xdr:rowOff>169471</xdr:rowOff>
    </xdr:from>
    <xdr:to>
      <xdr:col>11</xdr:col>
      <xdr:colOff>0</xdr:colOff>
      <xdr:row>26</xdr:row>
      <xdr:rowOff>172203</xdr:rowOff>
    </xdr:to>
    <xdr:graphicFrame macro="">
      <xdr:nvGraphicFramePr>
        <xdr:cNvPr id="6" name="Chart 2">
          <a:extLst>
            <a:ext uri="{FF2B5EF4-FFF2-40B4-BE49-F238E27FC236}">
              <a16:creationId xmlns:a16="http://schemas.microsoft.com/office/drawing/2014/main" id="{0C23656A-7EB1-4B8E-A939-63EE567FD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127787</xdr:colOff>
      <xdr:row>8</xdr:row>
      <xdr:rowOff>166967</xdr:rowOff>
    </xdr:from>
    <xdr:to>
      <xdr:col>21</xdr:col>
      <xdr:colOff>86102</xdr:colOff>
      <xdr:row>26</xdr:row>
      <xdr:rowOff>172203</xdr:rowOff>
    </xdr:to>
    <xdr:graphicFrame macro="">
      <xdr:nvGraphicFramePr>
        <xdr:cNvPr id="7" name="Chart 1">
          <a:extLst>
            <a:ext uri="{FF2B5EF4-FFF2-40B4-BE49-F238E27FC236}">
              <a16:creationId xmlns:a16="http://schemas.microsoft.com/office/drawing/2014/main" id="{727976E6-69B0-44A9-B75A-DDED869CC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32287</xdr:colOff>
      <xdr:row>27</xdr:row>
      <xdr:rowOff>180338</xdr:rowOff>
    </xdr:from>
    <xdr:to>
      <xdr:col>10</xdr:col>
      <xdr:colOff>602712</xdr:colOff>
      <xdr:row>47</xdr:row>
      <xdr:rowOff>10762</xdr:rowOff>
    </xdr:to>
    <xdr:graphicFrame macro="">
      <xdr:nvGraphicFramePr>
        <xdr:cNvPr id="8" name="Chart 9">
          <a:extLst>
            <a:ext uri="{FF2B5EF4-FFF2-40B4-BE49-F238E27FC236}">
              <a16:creationId xmlns:a16="http://schemas.microsoft.com/office/drawing/2014/main" id="{C38F55EF-656D-46B6-AC50-8574668FA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145421</xdr:colOff>
      <xdr:row>28</xdr:row>
      <xdr:rowOff>1877</xdr:rowOff>
    </xdr:from>
    <xdr:to>
      <xdr:col>21</xdr:col>
      <xdr:colOff>118390</xdr:colOff>
      <xdr:row>47</xdr:row>
      <xdr:rowOff>0</xdr:rowOff>
    </xdr:to>
    <xdr:graphicFrame macro="">
      <xdr:nvGraphicFramePr>
        <xdr:cNvPr id="9" name="Chart 11">
          <a:extLst>
            <a:ext uri="{FF2B5EF4-FFF2-40B4-BE49-F238E27FC236}">
              <a16:creationId xmlns:a16="http://schemas.microsoft.com/office/drawing/2014/main" id="{5BFB2F11-7462-4965-A19B-F23780E43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300811</xdr:colOff>
      <xdr:row>9</xdr:row>
      <xdr:rowOff>83871</xdr:rowOff>
    </xdr:from>
    <xdr:to>
      <xdr:col>26</xdr:col>
      <xdr:colOff>539766</xdr:colOff>
      <xdr:row>22</xdr:row>
      <xdr:rowOff>24423</xdr:rowOff>
    </xdr:to>
    <mc:AlternateContent xmlns:mc="http://schemas.openxmlformats.org/markup-compatibility/2006" xmlns:a14="http://schemas.microsoft.com/office/drawing/2010/main">
      <mc:Choice Requires="a14">
        <xdr:graphicFrame macro="">
          <xdr:nvGraphicFramePr>
            <xdr:cNvPr id="10" name="Department 1">
              <a:extLst>
                <a:ext uri="{FF2B5EF4-FFF2-40B4-BE49-F238E27FC236}">
                  <a16:creationId xmlns:a16="http://schemas.microsoft.com/office/drawing/2014/main" id="{5DD17019-8CF8-4ADB-B96C-CA425707C6A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122926" y="2037717"/>
              <a:ext cx="3291840" cy="2321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333108</xdr:colOff>
      <xdr:row>23</xdr:row>
      <xdr:rowOff>117609</xdr:rowOff>
    </xdr:from>
    <xdr:to>
      <xdr:col>26</xdr:col>
      <xdr:colOff>572063</xdr:colOff>
      <xdr:row>33</xdr:row>
      <xdr:rowOff>88236</xdr:rowOff>
    </xdr:to>
    <mc:AlternateContent xmlns:mc="http://schemas.openxmlformats.org/markup-compatibility/2006" xmlns:a14="http://schemas.microsoft.com/office/drawing/2010/main">
      <mc:Choice Requires="a14">
        <xdr:graphicFrame macro="">
          <xdr:nvGraphicFramePr>
            <xdr:cNvPr id="11" name="Job_Level">
              <a:extLst>
                <a:ext uri="{FF2B5EF4-FFF2-40B4-BE49-F238E27FC236}">
                  <a16:creationId xmlns:a16="http://schemas.microsoft.com/office/drawing/2014/main" id="{77D11835-0F7B-440C-A0EA-D5E2DBC201DF}"/>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13155223" y="4635878"/>
              <a:ext cx="3291840" cy="1802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370285</xdr:colOff>
      <xdr:row>35</xdr:row>
      <xdr:rowOff>0</xdr:rowOff>
    </xdr:from>
    <xdr:to>
      <xdr:col>26</xdr:col>
      <xdr:colOff>609240</xdr:colOff>
      <xdr:row>41</xdr:row>
      <xdr:rowOff>24422</xdr:rowOff>
    </xdr:to>
    <mc:AlternateContent xmlns:mc="http://schemas.openxmlformats.org/markup-compatibility/2006" xmlns:a14="http://schemas.microsoft.com/office/drawing/2010/main">
      <mc:Choice Requires="a14">
        <xdr:graphicFrame macro="">
          <xdr:nvGraphicFramePr>
            <xdr:cNvPr id="12" name="Overtime">
              <a:extLst>
                <a:ext uri="{FF2B5EF4-FFF2-40B4-BE49-F238E27FC236}">
                  <a16:creationId xmlns:a16="http://schemas.microsoft.com/office/drawing/2014/main" id="{D9443B30-40E4-4D67-9210-3B853BBE054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3192400" y="6716346"/>
              <a:ext cx="3291840" cy="1123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225425</xdr:colOff>
      <xdr:row>0</xdr:row>
      <xdr:rowOff>111125</xdr:rowOff>
    </xdr:from>
    <xdr:to>
      <xdr:col>16</xdr:col>
      <xdr:colOff>530225</xdr:colOff>
      <xdr:row>15</xdr:row>
      <xdr:rowOff>92075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11</xdr:row>
      <xdr:rowOff>161925</xdr:rowOff>
    </xdr:from>
    <xdr:to>
      <xdr:col>10</xdr:col>
      <xdr:colOff>276225</xdr:colOff>
      <xdr:row>26</xdr:row>
      <xdr:rowOff>142875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xdr:row>
      <xdr:rowOff>31750</xdr:rowOff>
    </xdr:from>
    <xdr:to>
      <xdr:col>9</xdr:col>
      <xdr:colOff>0</xdr:colOff>
      <xdr:row>16</xdr:row>
      <xdr:rowOff>161925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80000" y="584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utar" refreshedDate="46297.760403472224" createdVersion="6" refreshedVersion="7" minRefreshableVersion="3" recordCount="1506" xr:uid="{00000000-000A-0000-FFFF-FFFF00000000}">
  <cacheSource type="worksheet">
    <worksheetSource name="tbl_HR_Raw"/>
  </cacheSource>
  <cacheFields count="24">
    <cacheField name="Employee_ID" numFmtId="0">
      <sharedItems/>
    </cacheField>
    <cacheField name="Joining_Date" numFmtId="164">
      <sharedItems containsSemiMixedTypes="0" containsNonDate="0" containsDate="1" containsString="0" minDate="2014-01-03T00:00:00" maxDate="2025-09-13T00:00:00"/>
    </cacheField>
    <cacheField name="Exit_Date" numFmtId="0">
      <sharedItems containsNonDate="0" containsDate="1" containsString="0" containsBlank="1" minDate="2015-10-21T00:00:00" maxDate="2025-12-29T00:00:00"/>
    </cacheField>
    <cacheField name="Attrition" numFmtId="0">
      <sharedItems/>
    </cacheField>
    <cacheField name="Age" numFmtId="0">
      <sharedItems containsSemiMixedTypes="0" containsString="0" containsNumber="1" containsInteger="1" minValue="21" maxValue="56"/>
    </cacheField>
    <cacheField name="Gender" numFmtId="0">
      <sharedItems/>
    </cacheField>
    <cacheField name="Marital_Status" numFmtId="0">
      <sharedItems containsBlank="1"/>
    </cacheField>
    <cacheField name="Education" numFmtId="0">
      <sharedItems/>
    </cacheField>
    <cacheField name="Department" numFmtId="0">
      <sharedItems count="10">
        <s v="Operations"/>
        <s v="Data &amp; Analytics"/>
        <s v="IT Support"/>
        <s v="Finance"/>
        <s v="Human Resources"/>
        <s v="Technology"/>
        <s v="Sales"/>
        <s v=" Operations "/>
        <s v=" Technology "/>
        <s v=" Human Resources "/>
      </sharedItems>
    </cacheField>
    <cacheField name="Job_Role" numFmtId="0">
      <sharedItems/>
    </cacheField>
    <cacheField name="Job_Level" numFmtId="0">
      <sharedItems containsSemiMixedTypes="0" containsString="0" containsNumber="1" containsInteger="1" minValue="1" maxValue="5"/>
    </cacheField>
    <cacheField name="Location" numFmtId="0">
      <sharedItems containsBlank="1"/>
    </cacheField>
    <cacheField name="Monthly_Salary" numFmtId="0">
      <sharedItems containsMixedTypes="1" containsNumber="1" containsInteger="1" minValue="22000" maxValue="202000"/>
    </cacheField>
    <cacheField name="Salary_Hike_Pct" numFmtId="0">
      <sharedItems containsString="0" containsBlank="1" containsNumber="1" minValue="0" maxValue="21.6"/>
    </cacheField>
    <cacheField name="Total_Work_Experience" numFmtId="0">
      <sharedItems containsSemiMixedTypes="0" containsString="0" containsNumber="1" minValue="0.6" maxValue="19.899999999999999"/>
    </cacheField>
    <cacheField name="Years_at_Company" numFmtId="0">
      <sharedItems containsSemiMixedTypes="0" containsString="0" containsNumber="1" minValue="0.2" maxValue="12"/>
    </cacheField>
    <cacheField name="Years_Since_Last_Promotion" numFmtId="0">
      <sharedItems containsSemiMixedTypes="0" containsString="0" containsNumber="1" minValue="0" maxValue="6"/>
    </cacheField>
    <cacheField name="Job_Satisfaction" numFmtId="0">
      <sharedItems containsString="0" containsBlank="1" containsNumber="1" containsInteger="1" minValue="1" maxValue="4"/>
    </cacheField>
    <cacheField name="Environment_Satisfaction" numFmtId="0">
      <sharedItems containsString="0" containsBlank="1" containsNumber="1" containsInteger="1" minValue="1" maxValue="4"/>
    </cacheField>
    <cacheField name="Work_Life_Balance" numFmtId="0">
      <sharedItems containsSemiMixedTypes="0" containsString="0" containsNumber="1" containsInteger="1" minValue="1" maxValue="4"/>
    </cacheField>
    <cacheField name="Overtime" numFmtId="0">
      <sharedItems/>
    </cacheField>
    <cacheField name="Performance_Rating" numFmtId="0">
      <sharedItems containsSemiMixedTypes="0" containsString="0" containsNumber="1" containsInteger="1" minValue="1" maxValue="5"/>
    </cacheField>
    <cacheField name="Column1" numFmtId="0">
      <sharedItems containsSemiMixedTypes="0" containsString="0" containsNumber="1" containsInteger="1" minValue="1" maxValue="2"/>
    </cacheField>
    <cacheField name="Column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utar" refreshedDate="46297.760403703702" createdVersion="6" refreshedVersion="7" minRefreshableVersion="3" recordCount="1500" xr:uid="{00000000-000A-0000-FFFF-FFFF01000000}">
  <cacheSource type="worksheet">
    <worksheetSource name="tbl_HR_Clean"/>
  </cacheSource>
  <cacheFields count="26">
    <cacheField name="Employee_ID" numFmtId="0">
      <sharedItems/>
    </cacheField>
    <cacheField name="Joining_Date" numFmtId="22">
      <sharedItems containsSemiMixedTypes="0" containsNonDate="0" containsDate="1" containsString="0" minDate="2014-01-03T00:00:00" maxDate="2025-09-13T00:00:00"/>
    </cacheField>
    <cacheField name="Attrition" numFmtId="0">
      <sharedItems count="2">
        <s v="No"/>
        <s v="Yes"/>
      </sharedItems>
    </cacheField>
    <cacheField name="Age" numFmtId="0">
      <sharedItems containsSemiMixedTypes="0" containsString="0" containsNumber="1" containsInteger="1" minValue="21" maxValue="56"/>
    </cacheField>
    <cacheField name="Gender" numFmtId="0">
      <sharedItems/>
    </cacheField>
    <cacheField name="Marital_Status" numFmtId="0">
      <sharedItems/>
    </cacheField>
    <cacheField name="Education" numFmtId="0">
      <sharedItems/>
    </cacheField>
    <cacheField name="Department" numFmtId="0">
      <sharedItems count="7">
        <s v="Operations"/>
        <s v="Data &amp; Analytics"/>
        <s v="It Support"/>
        <s v="Finance"/>
        <s v="Human Resources"/>
        <s v="Technology"/>
        <s v="Sales"/>
      </sharedItems>
    </cacheField>
    <cacheField name="Job_Role" numFmtId="0">
      <sharedItems count="28">
        <s v="Operations Executive"/>
        <s v="Data Engineer"/>
        <s v="IT Analyst"/>
        <s v="Operations Analyst"/>
        <s v="Finance Executive"/>
        <s v="HR Manager"/>
        <s v="Finance Manager"/>
        <s v="Operations Manager"/>
        <s v="Software Developer"/>
        <s v="Senior Data Analyst"/>
        <s v="Data Analyst"/>
        <s v="Accountant"/>
        <s v="Business Development Executive"/>
        <s v="Senior Software Developer"/>
        <s v="Recruiter"/>
        <s v="Financial Analyst"/>
        <s v="Process Associate"/>
        <s v="IT Support Lead"/>
        <s v="QA Engineer"/>
        <s v="Sales Executive"/>
        <s v="System Administrator"/>
        <s v="Sales Manager"/>
        <s v="Account Manager"/>
        <s v="IT Support Specialist"/>
        <s v="HR Analyst"/>
        <s v="HR Executive"/>
        <s v="Tech Lead"/>
        <s v="BI Analyst"/>
      </sharedItems>
    </cacheField>
    <cacheField name="Job_Level" numFmtId="0">
      <sharedItems count="5">
        <s v="1"/>
        <s v="2"/>
        <s v="3"/>
        <s v="4"/>
        <s v="5"/>
      </sharedItems>
    </cacheField>
    <cacheField name="Location" numFmtId="0">
      <sharedItems/>
    </cacheField>
    <cacheField name="Monthly_Salary" numFmtId="0">
      <sharedItems containsSemiMixedTypes="0" containsString="0" containsNumber="1" containsInteger="1" minValue="22000" maxValue="202000"/>
    </cacheField>
    <cacheField name="Salary_Hike_Pct" numFmtId="0">
      <sharedItems containsString="0" containsBlank="1" containsNumber="1" minValue="0" maxValue="21.6"/>
    </cacheField>
    <cacheField name="Total_Work_Experience" numFmtId="0">
      <sharedItems containsSemiMixedTypes="0" containsString="0" containsNumber="1" minValue="0.6" maxValue="19.899999999999999"/>
    </cacheField>
    <cacheField name="Years_at_Company" numFmtId="0">
      <sharedItems containsSemiMixedTypes="0" containsString="0" containsNumber="1" minValue="0.2" maxValue="12"/>
    </cacheField>
    <cacheField name="Years_Since_Last_Promotion" numFmtId="0">
      <sharedItems containsSemiMixedTypes="0" containsString="0" containsNumber="1" minValue="0" maxValue="6"/>
    </cacheField>
    <cacheField name="Job_Satisfaction" numFmtId="0">
      <sharedItems containsString="0" containsBlank="1" containsNumber="1" containsInteger="1" minValue="1" maxValue="4" count="5">
        <n v="4"/>
        <n v="1"/>
        <n v="3"/>
        <n v="2"/>
        <m/>
      </sharedItems>
    </cacheField>
    <cacheField name="Environment_Satisfaction" numFmtId="0">
      <sharedItems containsString="0" containsBlank="1" containsNumber="1" containsInteger="1" minValue="1" maxValue="4" count="5">
        <n v="3"/>
        <n v="2"/>
        <n v="4"/>
        <n v="1"/>
        <m/>
      </sharedItems>
    </cacheField>
    <cacheField name="Work_Life_Balance" numFmtId="0">
      <sharedItems containsSemiMixedTypes="0" containsString="0" containsNumber="1" containsInteger="1" minValue="1" maxValue="4"/>
    </cacheField>
    <cacheField name="Overtime" numFmtId="0">
      <sharedItems count="2">
        <s v="Yes"/>
        <s v="No"/>
      </sharedItems>
    </cacheField>
    <cacheField name="Performance_Rating" numFmtId="0">
      <sharedItems containsSemiMixedTypes="0" containsString="0" containsNumber="1" containsInteger="1" minValue="1" maxValue="5"/>
    </cacheField>
    <cacheField name="Exit_Date" numFmtId="165">
      <sharedItems containsNonDate="0" containsDate="1" containsString="0" containsBlank="1" minDate="2025-01-05T00:00:00" maxDate="2025-12-29T00:00:00"/>
    </cacheField>
    <cacheField name="Age_Band" numFmtId="0">
      <sharedItems count="5">
        <s v="36-45"/>
        <s v="26-35"/>
        <s v="18-25"/>
        <s v="46-55"/>
        <s v="56+"/>
      </sharedItems>
    </cacheField>
    <cacheField name="Salary_Band" numFmtId="0">
      <sharedItems count="5">
        <s v="&lt;40K"/>
        <s v="40K-59K"/>
        <s v="80K-99K"/>
        <s v="100K+"/>
        <s v="60K-79K"/>
      </sharedItems>
    </cacheField>
    <cacheField name="Tenure_Band" numFmtId="0">
      <sharedItems count="5">
        <s v="4-6 Years"/>
        <s v="7-10 Years"/>
        <s v="11+ Years"/>
        <s v="&lt;1 Year"/>
        <s v="1-3 Years"/>
      </sharedItems>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6">
  <r>
    <s v="EMP0001"/>
    <d v="2022-06-26T00:00:00"/>
    <m/>
    <s v="No"/>
    <n v="36"/>
    <s v="Non-Binary"/>
    <s v="Divorced"/>
    <s v="Bachelor's"/>
    <x v="0"/>
    <s v="Operations Executive"/>
    <n v="1"/>
    <s v="Chennai"/>
    <n v="30000"/>
    <n v="11.6"/>
    <n v="10.7"/>
    <n v="3.5"/>
    <n v="0.3"/>
    <n v="4"/>
    <n v="3"/>
    <n v="1"/>
    <s v="Yes"/>
    <n v="3"/>
    <n v="1"/>
    <m/>
  </r>
  <r>
    <s v="EMP0002"/>
    <d v="2019-05-25T00:00:00"/>
    <m/>
    <s v="No"/>
    <n v="31"/>
    <s v="Male"/>
    <s v="Married"/>
    <s v="Bachelor's"/>
    <x v="1"/>
    <s v="Data Engineer"/>
    <n v="2"/>
    <s v="Hyderabad"/>
    <n v="59000"/>
    <n v="15.3"/>
    <n v="12.2"/>
    <n v="6.6"/>
    <n v="2"/>
    <n v="1"/>
    <n v="2"/>
    <n v="4"/>
    <s v="No"/>
    <n v="3"/>
    <n v="1"/>
    <m/>
  </r>
  <r>
    <s v="EMP0003"/>
    <d v="2017-11-14T00:00:00"/>
    <m/>
    <s v="No"/>
    <n v="30"/>
    <s v="Non-Binary"/>
    <s v="Single"/>
    <s v="Bachelor's"/>
    <x v="2"/>
    <s v="IT Analyst"/>
    <n v="3"/>
    <s v="Bengaluru"/>
    <n v="80000"/>
    <n v="7.1"/>
    <n v="11.2"/>
    <n v="8.1"/>
    <n v="3.3"/>
    <n v="3"/>
    <n v="4"/>
    <n v="3"/>
    <s v="No"/>
    <n v="4"/>
    <n v="1"/>
    <m/>
  </r>
  <r>
    <s v="EMP0004"/>
    <d v="2014-03-05T00:00:00"/>
    <m/>
    <s v="No"/>
    <n v="35"/>
    <s v="Non-Binary"/>
    <s v="Divorced"/>
    <s v="Bachelor's"/>
    <x v="0"/>
    <s v="Operations Analyst"/>
    <n v="3"/>
    <s v="Chennai"/>
    <n v="55000"/>
    <n v="2.1"/>
    <n v="15.5"/>
    <n v="11.8"/>
    <n v="5"/>
    <n v="4"/>
    <n v="2"/>
    <n v="3"/>
    <s v="No"/>
    <n v="4"/>
    <n v="1"/>
    <m/>
  </r>
  <r>
    <s v="EMP0005"/>
    <d v="2022-08-28T00:00:00"/>
    <m/>
    <s v="No"/>
    <n v="26"/>
    <s v="Male"/>
    <s v="Single"/>
    <s v="Bachelor's"/>
    <x v="0"/>
    <s v="Operations Analyst"/>
    <n v="1"/>
    <s v="Hyderabad"/>
    <n v="34000"/>
    <n v="5.4"/>
    <n v="10.7"/>
    <n v="3.3"/>
    <n v="2.2999999999999998"/>
    <n v="3"/>
    <n v="2"/>
    <n v="3"/>
    <s v="Yes"/>
    <n v="4"/>
    <n v="1"/>
    <m/>
  </r>
  <r>
    <s v="EMP0006"/>
    <d v="2015-01-07T00:00:00"/>
    <m/>
    <s v="No"/>
    <n v="43"/>
    <s v="Non-Binary"/>
    <s v="Divorced"/>
    <s v="Diploma"/>
    <x v="3"/>
    <s v="Finance Executive"/>
    <n v="1"/>
    <s v="Noida"/>
    <n v="33000"/>
    <n v="9.3000000000000007"/>
    <n v="15"/>
    <n v="11"/>
    <n v="5.3"/>
    <n v="3"/>
    <n v="3"/>
    <n v="2"/>
    <s v="No"/>
    <n v="2"/>
    <n v="1"/>
    <m/>
  </r>
  <r>
    <s v="EMP0007"/>
    <d v="2022-03-24T00:00:00"/>
    <m/>
    <s v="No"/>
    <n v="29"/>
    <s v="Female"/>
    <s v="Divorced"/>
    <s v="Bachelor's"/>
    <x v="4"/>
    <s v="HR Manager"/>
    <n v="4"/>
    <s v="Mumbai"/>
    <n v="107000"/>
    <n v="4.4000000000000004"/>
    <n v="4.5"/>
    <n v="3.8"/>
    <n v="0.2"/>
    <n v="4"/>
    <n v="2"/>
    <n v="3"/>
    <s v="Yes"/>
    <n v="4"/>
    <n v="1"/>
    <m/>
  </r>
  <r>
    <s v="EMP0008"/>
    <d v="2017-04-02T00:00:00"/>
    <m/>
    <s v="No"/>
    <n v="29"/>
    <s v="Female"/>
    <s v="Single"/>
    <s v="PhD"/>
    <x v="3"/>
    <s v="Finance Manager"/>
    <n v="3"/>
    <s v="Bengaluru"/>
    <n v="77000"/>
    <n v="6.6"/>
    <n v="14.2"/>
    <n v="8.6999999999999993"/>
    <n v="3.2"/>
    <n v="1"/>
    <n v="3"/>
    <n v="3"/>
    <s v="No"/>
    <n v="2"/>
    <n v="1"/>
    <m/>
  </r>
  <r>
    <s v="EMP0009"/>
    <d v="2016-10-14T00:00:00"/>
    <m/>
    <s v="No"/>
    <n v="33"/>
    <s v="Non-Binary"/>
    <s v="Single"/>
    <s v="Diploma"/>
    <x v="0"/>
    <s v="Operations Manager"/>
    <n v="5"/>
    <s v="Mumbai"/>
    <n v="134000"/>
    <n v="12.3"/>
    <n v="15.9"/>
    <n v="9.1999999999999993"/>
    <n v="3"/>
    <n v="2"/>
    <n v="2"/>
    <n v="3"/>
    <s v="No"/>
    <n v="2"/>
    <n v="1"/>
    <m/>
  </r>
  <r>
    <s v="EMP0010"/>
    <d v="2015-06-03T00:00:00"/>
    <d v="2025-10-18T00:00:00"/>
    <s v="Yes"/>
    <n v="34"/>
    <s v="Male"/>
    <s v="Single"/>
    <s v="PhD"/>
    <x v="5"/>
    <s v="Software Developer"/>
    <n v="4"/>
    <s v="Chennai"/>
    <n v="107000"/>
    <n v="3.7"/>
    <n v="18"/>
    <n v="10.4"/>
    <n v="0.5"/>
    <n v="3"/>
    <n v="3"/>
    <n v="2"/>
    <s v="No"/>
    <n v="4"/>
    <n v="1"/>
    <m/>
  </r>
  <r>
    <s v="EMP0011"/>
    <d v="2018-08-09T00:00:00"/>
    <m/>
    <s v="No"/>
    <n v="38"/>
    <s v="Non-Binary"/>
    <s v="Married"/>
    <s v="Bachelor's"/>
    <x v="1"/>
    <s v="Senior Data Analyst"/>
    <n v="3"/>
    <s v="Pune"/>
    <n v="91000"/>
    <n v="8.5"/>
    <n v="12.9"/>
    <n v="7.4"/>
    <n v="4.3"/>
    <n v="4"/>
    <n v="3"/>
    <n v="3"/>
    <s v="No"/>
    <n v="3"/>
    <n v="1"/>
    <m/>
  </r>
  <r>
    <s v="EMP0012"/>
    <d v="2024-10-15T00:00:00"/>
    <d v="2025-02-06T00:00:00"/>
    <s v="Yes"/>
    <n v="23"/>
    <s v="Non-Binary"/>
    <s v="Single"/>
    <s v="Diploma"/>
    <x v="1"/>
    <s v="Data Analyst"/>
    <n v="1"/>
    <s v="Noida"/>
    <n v="33000"/>
    <n v="7.2"/>
    <n v="6"/>
    <n v="0.3"/>
    <n v="0"/>
    <n v="2"/>
    <n v="1"/>
    <n v="1"/>
    <s v="No"/>
    <n v="3"/>
    <n v="1"/>
    <m/>
  </r>
  <r>
    <s v="EMP0013"/>
    <d v="2017-03-28T00:00:00"/>
    <m/>
    <s v="No"/>
    <n v="35"/>
    <s v="Female"/>
    <s v="Married"/>
    <s v="Bachelor's"/>
    <x v="3"/>
    <s v="Accountant"/>
    <n v="3"/>
    <s v="Noida"/>
    <n v="64000"/>
    <n v="10.3"/>
    <n v="12.5"/>
    <n v="8.8000000000000007"/>
    <n v="2.4"/>
    <n v="3"/>
    <n v="2"/>
    <n v="3"/>
    <s v="No"/>
    <n v="3"/>
    <n v="1"/>
    <m/>
  </r>
  <r>
    <s v="EMP0014"/>
    <d v="2020-02-04T00:00:00"/>
    <m/>
    <s v="No"/>
    <n v="28"/>
    <s v="Male"/>
    <s v="Married"/>
    <s v="Bachelor's"/>
    <x v="0"/>
    <s v="Operations Executive"/>
    <n v="1"/>
    <s v="Bengaluru"/>
    <n v="37000"/>
    <n v="13.1"/>
    <n v="10.199999999999999"/>
    <n v="5.9"/>
    <n v="0.8"/>
    <n v="2"/>
    <n v="2"/>
    <n v="3"/>
    <s v="No"/>
    <n v="5"/>
    <n v="1"/>
    <m/>
  </r>
  <r>
    <s v="EMP0015"/>
    <d v="2019-03-18T00:00:00"/>
    <m/>
    <s v="No"/>
    <n v="27"/>
    <s v="Female"/>
    <s v="Married"/>
    <s v="PhD"/>
    <x v="0"/>
    <s v="Operations Executive"/>
    <n v="1"/>
    <s v="Hyderabad"/>
    <n v="29000"/>
    <n v="10.3"/>
    <n v="10.7"/>
    <n v="6.8"/>
    <n v="1.3"/>
    <n v="4"/>
    <n v="3"/>
    <n v="1"/>
    <s v="No"/>
    <n v="3"/>
    <n v="1"/>
    <m/>
  </r>
  <r>
    <s v="EMP0016"/>
    <d v="2022-10-28T00:00:00"/>
    <m/>
    <s v="No"/>
    <n v="30"/>
    <s v="Male"/>
    <s v="Single"/>
    <s v="Bachelor's"/>
    <x v="3"/>
    <s v="Finance Manager"/>
    <n v="2"/>
    <s v="Pune"/>
    <n v="53000"/>
    <n v="4.5999999999999996"/>
    <n v="9.1999999999999993"/>
    <n v="3.2"/>
    <n v="0.2"/>
    <n v="3"/>
    <n v="3"/>
    <n v="3"/>
    <s v="No"/>
    <n v="4"/>
    <n v="1"/>
    <m/>
  </r>
  <r>
    <s v="EMP0017"/>
    <d v="2022-12-13T00:00:00"/>
    <m/>
    <s v="No"/>
    <n v="39"/>
    <s v="Female"/>
    <s v="Single"/>
    <s v="Diploma"/>
    <x v="5"/>
    <s v="Software Developer"/>
    <n v="3"/>
    <s v="Pune"/>
    <n v="99000"/>
    <n v="8.6999999999999993"/>
    <n v="7.8"/>
    <n v="3"/>
    <n v="1.9"/>
    <n v="4"/>
    <n v="3"/>
    <n v="3"/>
    <s v="Yes"/>
    <n v="4"/>
    <n v="1"/>
    <m/>
  </r>
  <r>
    <s v="EMP0018"/>
    <d v="2018-02-23T00:00:00"/>
    <m/>
    <s v="No"/>
    <n v="36"/>
    <s v="Non-Binary"/>
    <s v="Married"/>
    <s v="Master's"/>
    <x v="6"/>
    <s v="Business Development Executive"/>
    <n v="2"/>
    <s v="Hyderabad"/>
    <n v="47000"/>
    <n v="10.4"/>
    <n v="7.9"/>
    <n v="7.9"/>
    <n v="3.7"/>
    <n v="4"/>
    <n v="3"/>
    <n v="2"/>
    <s v="No"/>
    <n v="4"/>
    <n v="1"/>
    <m/>
  </r>
  <r>
    <s v="EMP0019"/>
    <d v="2023-11-09T00:00:00"/>
    <m/>
    <s v="No"/>
    <n v="33"/>
    <s v="Non-Binary"/>
    <s v="Single"/>
    <s v="Master's"/>
    <x v="5"/>
    <s v="Senior Software Developer"/>
    <n v="2"/>
    <s v="Hyderabad"/>
    <n v="73000"/>
    <n v="0"/>
    <n v="10"/>
    <n v="2.1"/>
    <n v="1.4"/>
    <n v="3"/>
    <n v="1"/>
    <n v="4"/>
    <s v="No"/>
    <n v="3"/>
    <n v="1"/>
    <m/>
  </r>
  <r>
    <s v="EMP0020"/>
    <d v="2023-11-19T00:00:00"/>
    <m/>
    <s v="No"/>
    <n v="34"/>
    <s v="Male"/>
    <s v="Single"/>
    <s v="PhD"/>
    <x v="5"/>
    <s v="Software Developer"/>
    <n v="3"/>
    <s v="Hyderabad"/>
    <n v="84000"/>
    <n v="9.4"/>
    <n v="7.6"/>
    <n v="2.1"/>
    <n v="1.8"/>
    <n v="2"/>
    <n v="3"/>
    <n v="2"/>
    <s v="No"/>
    <n v="5"/>
    <n v="1"/>
    <m/>
  </r>
  <r>
    <s v="EMP0021"/>
    <d v="2024-04-20T00:00:00"/>
    <m/>
    <s v="No"/>
    <n v="31"/>
    <s v="Male"/>
    <s v="Divorced"/>
    <s v="Bachelor's"/>
    <x v="5"/>
    <s v="Software Developer"/>
    <n v="2"/>
    <s v="Hyderabad"/>
    <n v="63000"/>
    <n v="14.9"/>
    <n v="7.3"/>
    <n v="1.7"/>
    <n v="1"/>
    <n v="2"/>
    <n v="2"/>
    <n v="4"/>
    <s v="No"/>
    <n v="4"/>
    <n v="1"/>
    <m/>
  </r>
  <r>
    <s v="EMP0022"/>
    <d v="2022-10-27T00:00:00"/>
    <m/>
    <s v="No"/>
    <n v="27"/>
    <s v="Female"/>
    <s v="Divorced"/>
    <s v="PhD"/>
    <x v="4"/>
    <s v="Recruiter"/>
    <n v="1"/>
    <s v="Chennai"/>
    <n v="28000"/>
    <n v="12.7"/>
    <n v="11"/>
    <n v="3.2"/>
    <n v="0.1"/>
    <n v="3"/>
    <n v="3"/>
    <n v="3"/>
    <s v="Yes"/>
    <n v="4"/>
    <n v="1"/>
    <m/>
  </r>
  <r>
    <s v="EMP0023"/>
    <d v="2023-08-23T00:00:00"/>
    <m/>
    <s v="No"/>
    <n v="29"/>
    <s v="Non-Binary"/>
    <s v="Divorced"/>
    <s v="Master's"/>
    <x v="0"/>
    <s v="Operations Analyst"/>
    <n v="4"/>
    <s v="Hyderabad"/>
    <n v="108000"/>
    <n v="9.4"/>
    <n v="5.7"/>
    <n v="2.4"/>
    <n v="0.4"/>
    <n v="4"/>
    <n v="4"/>
    <n v="4"/>
    <s v="Yes"/>
    <n v="3"/>
    <n v="1"/>
    <m/>
  </r>
  <r>
    <s v="EMP0024"/>
    <d v="2025-05-27T00:00:00"/>
    <m/>
    <s v="No"/>
    <n v="28"/>
    <s v="Female"/>
    <s v="Married"/>
    <s v="Diploma"/>
    <x v="1"/>
    <s v="Data Analyst"/>
    <n v="2"/>
    <s v="Bengaluru"/>
    <n v="59000"/>
    <n v="7.4"/>
    <n v="3.4"/>
    <n v="0.6"/>
    <n v="0"/>
    <n v="2"/>
    <n v="4"/>
    <n v="2"/>
    <s v="No"/>
    <n v="4"/>
    <n v="1"/>
    <m/>
  </r>
  <r>
    <s v="EMP0025"/>
    <d v="2019-09-28T00:00:00"/>
    <m/>
    <s v="No"/>
    <n v="35"/>
    <s v="Male"/>
    <s v="Single"/>
    <s v="PhD"/>
    <x v="2"/>
    <s v="IT Analyst"/>
    <n v="2"/>
    <s v="Hyderabad"/>
    <n v="54000"/>
    <n v="9"/>
    <n v="6.5"/>
    <n v="6.3"/>
    <n v="5.3"/>
    <n v="4"/>
    <n v="3"/>
    <n v="3"/>
    <s v="No"/>
    <n v="5"/>
    <n v="1"/>
    <m/>
  </r>
  <r>
    <s v="EMP0026"/>
    <d v="2024-07-10T00:00:00"/>
    <m/>
    <s v="No"/>
    <n v="23"/>
    <s v="Non-Binary"/>
    <s v="Divorced"/>
    <s v="Master's"/>
    <x v="0"/>
    <s v="Operations Manager"/>
    <n v="1"/>
    <s v="Hyderabad"/>
    <n v="28000"/>
    <n v="7.6"/>
    <n v="3"/>
    <n v="1.5"/>
    <n v="0.1"/>
    <n v="2"/>
    <n v="3"/>
    <n v="3"/>
    <s v="No"/>
    <n v="4"/>
    <n v="1"/>
    <m/>
  </r>
  <r>
    <s v="EMP0027"/>
    <d v="2014-12-05T00:00:00"/>
    <m/>
    <s v="No"/>
    <n v="32"/>
    <s v="Non-Binary"/>
    <s v="Single"/>
    <s v="Master's"/>
    <x v="3"/>
    <s v="Financial Analyst"/>
    <n v="4"/>
    <s v="Mumbai"/>
    <n v="119000"/>
    <n v="16.5"/>
    <n v="18.3"/>
    <n v="11.1"/>
    <n v="3"/>
    <n v="3"/>
    <n v="3"/>
    <n v="3"/>
    <s v="No"/>
    <n v="4"/>
    <n v="1"/>
    <m/>
  </r>
  <r>
    <s v="EMP0028"/>
    <d v="2015-02-20T00:00:00"/>
    <m/>
    <s v="No"/>
    <n v="35"/>
    <s v="Female"/>
    <s v="Married"/>
    <s v="PhD"/>
    <x v="0"/>
    <s v="Process Associate"/>
    <n v="3"/>
    <s v="Noida"/>
    <n v="71000"/>
    <n v="1.3"/>
    <n v="10.9"/>
    <n v="10.9"/>
    <n v="1.7"/>
    <n v="3"/>
    <n v="3"/>
    <n v="3"/>
    <s v="No"/>
    <n v="4"/>
    <n v="1"/>
    <m/>
  </r>
  <r>
    <s v="EMP0029"/>
    <d v="2014-06-21T00:00:00"/>
    <m/>
    <s v="No"/>
    <n v="33"/>
    <s v="Female"/>
    <s v="Single"/>
    <s v="Master's"/>
    <x v="1"/>
    <s v="Data Engineer"/>
    <n v="3"/>
    <s v="Pune"/>
    <n v="112000"/>
    <n v="8.1999999999999993"/>
    <n v="16.8"/>
    <n v="11.5"/>
    <n v="3.7"/>
    <n v="3"/>
    <n v="2"/>
    <n v="4"/>
    <s v="No"/>
    <n v="3"/>
    <n v="1"/>
    <m/>
  </r>
  <r>
    <s v="EMP0030"/>
    <d v="2020-02-21T00:00:00"/>
    <m/>
    <s v="No"/>
    <n v="33"/>
    <s v="Non-Binary"/>
    <s v="Divorced"/>
    <s v="Bachelor's"/>
    <x v="5"/>
    <s v="Software Developer"/>
    <n v="2"/>
    <s v="Bengaluru"/>
    <n v="49000"/>
    <n v="13.6"/>
    <n v="10.9"/>
    <n v="5.9"/>
    <n v="1.1000000000000001"/>
    <n v="1"/>
    <n v="3"/>
    <n v="3"/>
    <s v="No"/>
    <n v="3"/>
    <n v="1"/>
    <m/>
  </r>
  <r>
    <s v="EMP0031"/>
    <d v="2016-04-17T00:00:00"/>
    <m/>
    <s v="No"/>
    <n v="39"/>
    <s v="Non-Binary"/>
    <s v="Divorced"/>
    <s v="Diploma"/>
    <x v="2"/>
    <s v="IT Support Lead"/>
    <n v="2"/>
    <s v="Mumbai"/>
    <n v="44000"/>
    <n v="14.6"/>
    <n v="17"/>
    <n v="9.6999999999999993"/>
    <n v="0.7"/>
    <n v="3"/>
    <n v="2"/>
    <n v="3"/>
    <s v="No"/>
    <n v="4"/>
    <n v="1"/>
    <m/>
  </r>
  <r>
    <s v="EMP0032"/>
    <d v="2019-04-17T00:00:00"/>
    <m/>
    <s v="No"/>
    <n v="37"/>
    <s v="Non-Binary"/>
    <s v="Single"/>
    <s v="Diploma"/>
    <x v="4"/>
    <s v="HR Manager"/>
    <n v="4"/>
    <s v="Mumbai"/>
    <n v="126000"/>
    <n v="5"/>
    <n v="8.8000000000000007"/>
    <n v="6.7"/>
    <n v="1.5"/>
    <n v="4"/>
    <n v="3"/>
    <n v="4"/>
    <s v="No"/>
    <n v="4"/>
    <n v="1"/>
    <m/>
  </r>
  <r>
    <s v="EMP0033"/>
    <d v="2021-10-09T00:00:00"/>
    <d v="2025-07-16T00:00:00"/>
    <s v="Yes"/>
    <n v="34"/>
    <s v="Female"/>
    <s v="Single"/>
    <s v="Master's"/>
    <x v="5"/>
    <s v="QA Engineer"/>
    <n v="2"/>
    <s v="Mumbai"/>
    <n v="55000"/>
    <n v="2.8"/>
    <n v="9.3000000000000007"/>
    <n v="3.8"/>
    <n v="2.7"/>
    <n v="2"/>
    <n v="1"/>
    <n v="3"/>
    <s v="No"/>
    <n v="4"/>
    <n v="1"/>
    <m/>
  </r>
  <r>
    <s v="EMP0034"/>
    <d v="2020-10-25T00:00:00"/>
    <d v="2025-06-30T00:00:00"/>
    <s v="Yes"/>
    <n v="26"/>
    <s v="Non-Binary"/>
    <s v="Divorced"/>
    <s v="Master's"/>
    <x v="3"/>
    <s v="Financial Analyst"/>
    <n v="1"/>
    <s v="Mumbai"/>
    <n v="39000"/>
    <n v="5.3"/>
    <n v="7.1"/>
    <n v="4.7"/>
    <n v="1.8"/>
    <n v="3"/>
    <n v="4"/>
    <n v="4"/>
    <s v="No"/>
    <n v="4"/>
    <n v="1"/>
    <m/>
  </r>
  <r>
    <s v="EMP0035"/>
    <d v="2025-06-23T00:00:00"/>
    <m/>
    <s v="No"/>
    <n v="28"/>
    <s v="Female"/>
    <s v="Divorced"/>
    <s v="Bachelor's"/>
    <x v="1"/>
    <s v="Senior Data Analyst"/>
    <n v="2"/>
    <s v="Bengaluru"/>
    <n v="59000"/>
    <n v="12.3"/>
    <n v="1.8"/>
    <n v="0.5"/>
    <n v="0"/>
    <n v="3"/>
    <n v="2"/>
    <n v="3"/>
    <s v="No"/>
    <n v="1"/>
    <n v="1"/>
    <m/>
  </r>
  <r>
    <s v="EMP0036"/>
    <d v="2020-04-19T00:00:00"/>
    <m/>
    <s v="No"/>
    <n v="35"/>
    <s v="Female"/>
    <s v="Single"/>
    <s v="PhD"/>
    <x v="0"/>
    <s v="Process Associate"/>
    <n v="2"/>
    <s v="Bengaluru"/>
    <n v="61000"/>
    <n v="2.6"/>
    <n v="8.3000000000000007"/>
    <n v="5.7"/>
    <n v="4.3"/>
    <n v="3"/>
    <n v="3"/>
    <n v="3"/>
    <s v="Yes"/>
    <n v="4"/>
    <n v="1"/>
    <m/>
  </r>
  <r>
    <s v="EMP0037"/>
    <d v="2021-08-09T00:00:00"/>
    <m/>
    <s v="No"/>
    <n v="35"/>
    <s v="Male"/>
    <s v="Married"/>
    <s v="Bachelor's"/>
    <x v="0"/>
    <s v="Operations Executive"/>
    <n v="5"/>
    <s v="Chennai"/>
    <n v="151000"/>
    <n v="4.0999999999999996"/>
    <n v="10.4"/>
    <n v="4.4000000000000004"/>
    <n v="4.2"/>
    <n v="4"/>
    <n v="2"/>
    <n v="1"/>
    <s v="No"/>
    <n v="2"/>
    <n v="1"/>
    <m/>
  </r>
  <r>
    <s v="EMP0038"/>
    <d v="2016-09-23T00:00:00"/>
    <m/>
    <s v="No"/>
    <n v="37"/>
    <s v="Female"/>
    <s v="Divorced"/>
    <s v="PhD"/>
    <x v="1"/>
    <s v="Data Engineer"/>
    <n v="3"/>
    <s v="Mumbai"/>
    <n v="92000"/>
    <n v="10"/>
    <n v="10.199999999999999"/>
    <n v="9.3000000000000007"/>
    <n v="4.9000000000000004"/>
    <n v="3"/>
    <n v="4"/>
    <n v="2"/>
    <s v="Yes"/>
    <n v="1"/>
    <n v="1"/>
    <m/>
  </r>
  <r>
    <s v="EMP0039"/>
    <d v="2020-05-20T00:00:00"/>
    <m/>
    <s v="No"/>
    <n v="28"/>
    <s v="Female"/>
    <s v="Divorced"/>
    <s v="PhD"/>
    <x v="7"/>
    <s v="Operations Analyst"/>
    <n v="1"/>
    <s v="Noida"/>
    <n v="34000"/>
    <n v="10.199999999999999"/>
    <n v="12.4"/>
    <n v="5.6"/>
    <n v="3.4"/>
    <n v="2"/>
    <n v="2"/>
    <n v="4"/>
    <s v="No"/>
    <n v="4"/>
    <n v="1"/>
    <m/>
  </r>
  <r>
    <s v="EMP0040"/>
    <d v="2021-09-16T00:00:00"/>
    <d v="2025-07-05T00:00:00"/>
    <s v="Yes"/>
    <n v="46"/>
    <s v="Non-Binary"/>
    <s v="Married"/>
    <s v="PhD"/>
    <x v="6"/>
    <s v="Sales Executive"/>
    <n v="3"/>
    <s v="Mumbai"/>
    <n v="81000"/>
    <n v="4.2"/>
    <n v="8.9"/>
    <n v="3.8"/>
    <n v="3.1"/>
    <n v="4"/>
    <n v="3"/>
    <n v="3"/>
    <s v="No"/>
    <n v="4"/>
    <n v="1"/>
    <m/>
  </r>
  <r>
    <s v="EMP0041"/>
    <d v="2023-11-12T00:00:00"/>
    <m/>
    <s v="No"/>
    <n v="26"/>
    <s v="Female"/>
    <s v="Married"/>
    <s v="Master's"/>
    <x v="3"/>
    <s v="Finance Executive"/>
    <n v="1"/>
    <s v="Mumbai"/>
    <n v="42000"/>
    <n v="13.6"/>
    <n v="5.7"/>
    <n v="2.1"/>
    <n v="1.6"/>
    <n v="4"/>
    <n v="3"/>
    <n v="3"/>
    <s v="Yes"/>
    <n v="3"/>
    <n v="1"/>
    <m/>
  </r>
  <r>
    <s v="EMP0042"/>
    <d v="2021-09-20T00:00:00"/>
    <m/>
    <s v="No"/>
    <n v="40"/>
    <s v="Male"/>
    <s v="Divorced"/>
    <s v="PhD"/>
    <x v="1"/>
    <s v="Senior Data Analyst"/>
    <n v="3"/>
    <s v="Noida"/>
    <n v="93000"/>
    <n v="12.3"/>
    <n v="4.4000000000000004"/>
    <n v="4.3"/>
    <n v="4.0999999999999996"/>
    <n v="3"/>
    <n v="2"/>
    <n v="3"/>
    <s v="No"/>
    <n v="3"/>
    <n v="1"/>
    <m/>
  </r>
  <r>
    <s v="EMP0043"/>
    <d v="2025-07-08T00:00:00"/>
    <m/>
    <s v="No"/>
    <n v="31"/>
    <s v="Non-Binary"/>
    <s v="Married"/>
    <s v="Diploma"/>
    <x v="0"/>
    <s v="Process Associate"/>
    <n v="2"/>
    <s v="Noida"/>
    <n v="43000"/>
    <n v="5.4"/>
    <n v="5.8"/>
    <n v="0.5"/>
    <n v="0"/>
    <n v="3"/>
    <n v="3"/>
    <n v="3"/>
    <s v="No"/>
    <n v="5"/>
    <n v="1"/>
    <m/>
  </r>
  <r>
    <s v="EMP0044"/>
    <d v="2023-01-02T00:00:00"/>
    <m/>
    <s v="No"/>
    <n v="32"/>
    <s v="Non-Binary"/>
    <s v="Divorced"/>
    <s v="Diploma"/>
    <x v="3"/>
    <s v="Finance Executive"/>
    <n v="2"/>
    <s v="Bengaluru"/>
    <n v="58000"/>
    <n v="10.1"/>
    <n v="10.6"/>
    <n v="3"/>
    <n v="2.1"/>
    <n v="3"/>
    <n v="2"/>
    <n v="3"/>
    <s v="No"/>
    <n v="3"/>
    <n v="1"/>
    <m/>
  </r>
  <r>
    <s v="EMP0045"/>
    <d v="2021-06-24T00:00:00"/>
    <m/>
    <s v="No"/>
    <n v="33"/>
    <s v="Female"/>
    <s v="Single"/>
    <s v="Bachelor's"/>
    <x v="2"/>
    <s v="System Administrator"/>
    <n v="2"/>
    <s v="Chennai"/>
    <n v="65000"/>
    <n v="7.9"/>
    <n v="4.9000000000000004"/>
    <n v="4.5"/>
    <n v="0.2"/>
    <n v="3"/>
    <n v="3"/>
    <n v="4"/>
    <s v="No"/>
    <n v="4"/>
    <n v="1"/>
    <m/>
  </r>
  <r>
    <s v="EMP0046"/>
    <d v="2021-09-18T00:00:00"/>
    <m/>
    <s v="No"/>
    <n v="37"/>
    <s v="Male"/>
    <s v="Single"/>
    <s v="Diploma"/>
    <x v="6"/>
    <s v="Business Development Executive"/>
    <n v="3"/>
    <s v="Bengaluru"/>
    <n v="69000"/>
    <n v="4.7"/>
    <n v="5.2"/>
    <n v="4.3"/>
    <n v="0.3"/>
    <n v="3"/>
    <n v="3"/>
    <n v="3"/>
    <s v="No"/>
    <n v="4"/>
    <n v="1"/>
    <m/>
  </r>
  <r>
    <s v="EMP0047"/>
    <d v="2021-03-31T00:00:00"/>
    <m/>
    <s v="No"/>
    <n v="31"/>
    <s v="Non-Binary"/>
    <s v="Divorced"/>
    <s v="Bachelor's"/>
    <x v="1"/>
    <s v="Data Analyst"/>
    <n v="3"/>
    <s v="Chennai"/>
    <n v="96000"/>
    <n v="10.9"/>
    <n v="7.8"/>
    <n v="4.8"/>
    <n v="4.4000000000000004"/>
    <n v="3"/>
    <n v="3"/>
    <n v="3"/>
    <s v="No"/>
    <n v="3"/>
    <n v="1"/>
    <m/>
  </r>
  <r>
    <s v="EMP0048"/>
    <d v="2019-05-09T00:00:00"/>
    <m/>
    <s v="No"/>
    <n v="27"/>
    <s v="Non-Binary"/>
    <s v="Married"/>
    <s v="Diploma"/>
    <x v="0"/>
    <s v="Operations Executive"/>
    <n v="1"/>
    <s v="Bengaluru"/>
    <n v="22000"/>
    <n v="7.2"/>
    <n v="7.9"/>
    <n v="6.6"/>
    <n v="1"/>
    <n v="2"/>
    <n v="2"/>
    <n v="1"/>
    <s v="Yes"/>
    <n v="3"/>
    <n v="1"/>
    <m/>
  </r>
  <r>
    <s v="EMP0049"/>
    <d v="2017-06-23T00:00:00"/>
    <m/>
    <s v="No"/>
    <n v="34"/>
    <s v="Non-Binary"/>
    <s v="Single"/>
    <s v="Master's"/>
    <x v="1"/>
    <s v="Senior Data Analyst"/>
    <n v="3"/>
    <s v="Hyderabad"/>
    <n v="78000"/>
    <n v="9.6999999999999993"/>
    <n v="14.8"/>
    <n v="8.5"/>
    <n v="3.8"/>
    <n v="3"/>
    <n v="3"/>
    <n v="4"/>
    <s v="No"/>
    <n v="3"/>
    <n v="1"/>
    <m/>
  </r>
  <r>
    <s v="EMP0050"/>
    <d v="2025-03-22T00:00:00"/>
    <m/>
    <s v="No"/>
    <n v="27"/>
    <s v="Female"/>
    <s v="Divorced"/>
    <s v="PhD"/>
    <x v="2"/>
    <s v="System Administrator"/>
    <n v="1"/>
    <s v="Mumbai"/>
    <n v="34000"/>
    <n v="9.1999999999999993"/>
    <n v="5.3"/>
    <n v="0.8"/>
    <n v="0"/>
    <n v="3"/>
    <n v="2"/>
    <n v="3"/>
    <s v="Yes"/>
    <n v="4"/>
    <n v="1"/>
    <m/>
  </r>
  <r>
    <s v="EMP0051"/>
    <d v="2017-02-08T00:00:00"/>
    <m/>
    <s v="No"/>
    <n v="36"/>
    <s v="Female"/>
    <s v="Divorced"/>
    <s v="Bachelor's"/>
    <x v="5"/>
    <s v="Software Developer"/>
    <n v="4"/>
    <s v="Pune"/>
    <n v="129000"/>
    <n v="13.3"/>
    <n v="14.3"/>
    <n v="8.9"/>
    <n v="5.2"/>
    <n v="1"/>
    <n v="3"/>
    <n v="1"/>
    <s v="No"/>
    <n v="4"/>
    <n v="1"/>
    <m/>
  </r>
  <r>
    <s v="EMP0052"/>
    <d v="2023-03-25T00:00:00"/>
    <m/>
    <s v="No"/>
    <n v="23"/>
    <s v="Male"/>
    <s v="Married"/>
    <s v="PhD"/>
    <x v="3"/>
    <s v="Finance Manager"/>
    <n v="1"/>
    <s v="Noida"/>
    <n v="27000"/>
    <n v="11.1"/>
    <n v="6.7"/>
    <n v="2.8"/>
    <n v="0.3"/>
    <n v="3"/>
    <n v="3"/>
    <n v="3"/>
    <s v="Yes"/>
    <n v="4"/>
    <n v="1"/>
    <m/>
  </r>
  <r>
    <s v="EMP0053"/>
    <d v="2021-01-06T00:00:00"/>
    <d v="2025-05-10T00:00:00"/>
    <s v="Yes"/>
    <n v="37"/>
    <s v="Non-Binary"/>
    <s v="Divorced"/>
    <s v="PhD"/>
    <x v="3"/>
    <s v="Finance Executive"/>
    <n v="3"/>
    <s v="Mumbai"/>
    <n v="115000"/>
    <n v="11.3"/>
    <n v="6.9"/>
    <n v="4.3"/>
    <n v="4.2"/>
    <n v="1"/>
    <n v="3"/>
    <n v="3"/>
    <s v="No"/>
    <n v="5"/>
    <n v="1"/>
    <m/>
  </r>
  <r>
    <s v="EMP0054"/>
    <d v="2018-06-01T00:00:00"/>
    <d v="2025-05-17T00:00:00"/>
    <s v="Yes"/>
    <n v="40"/>
    <s v="Non-Binary"/>
    <s v="Divorced"/>
    <s v="Master's"/>
    <x v="5"/>
    <s v="Senior Software Developer"/>
    <n v="3"/>
    <s v="Noida"/>
    <n v="92000"/>
    <n v="7.7"/>
    <n v="11.4"/>
    <n v="7"/>
    <n v="5.6"/>
    <n v="3"/>
    <n v="3"/>
    <n v="3"/>
    <s v="No"/>
    <n v="2"/>
    <n v="1"/>
    <m/>
  </r>
  <r>
    <s v="EMP0055"/>
    <d v="2021-06-13T00:00:00"/>
    <m/>
    <s v="No"/>
    <n v="28"/>
    <s v="Non-Binary"/>
    <s v="Divorced"/>
    <s v="Diploma"/>
    <x v="1"/>
    <s v="Senior Data Analyst"/>
    <n v="3"/>
    <s v="Mumbai"/>
    <n v="87000"/>
    <n v="7.1"/>
    <n v="8.1999999999999993"/>
    <n v="4.5999999999999996"/>
    <n v="0.5"/>
    <n v="4"/>
    <n v="4"/>
    <n v="3"/>
    <s v="Yes"/>
    <n v="4"/>
    <n v="1"/>
    <m/>
  </r>
  <r>
    <s v="EMP0056"/>
    <d v="2022-11-06T00:00:00"/>
    <m/>
    <s v="No"/>
    <n v="49"/>
    <s v="Female"/>
    <s v="Married"/>
    <s v="Diploma"/>
    <x v="2"/>
    <s v="IT Support Lead"/>
    <n v="5"/>
    <s v="Bengaluru"/>
    <n v="134000"/>
    <n v="11.7"/>
    <n v="7.2"/>
    <n v="3.2"/>
    <n v="2.8"/>
    <n v="3"/>
    <n v="4"/>
    <n v="3"/>
    <s v="No"/>
    <n v="4"/>
    <n v="1"/>
    <m/>
  </r>
  <r>
    <s v="EMP0057"/>
    <d v="2020-01-28T00:00:00"/>
    <m/>
    <s v="No"/>
    <n v="30"/>
    <s v="Male"/>
    <s v="Divorced"/>
    <s v="Master's"/>
    <x v="6"/>
    <s v="Sales Manager"/>
    <n v="4"/>
    <s v="Chennai"/>
    <n v="120000"/>
    <n v="9.3000000000000007"/>
    <n v="9.8000000000000007"/>
    <n v="5.9"/>
    <n v="2"/>
    <n v="4"/>
    <n v="4"/>
    <n v="3"/>
    <s v="No"/>
    <n v="5"/>
    <n v="1"/>
    <m/>
  </r>
  <r>
    <s v="EMP0058"/>
    <d v="2022-07-16T00:00:00"/>
    <m/>
    <s v="No"/>
    <n v="28"/>
    <s v="Male"/>
    <s v="Single"/>
    <s v="Diploma"/>
    <x v="3"/>
    <s v="Accountant"/>
    <n v="4"/>
    <s v="Bengaluru"/>
    <n v="121000"/>
    <n v="6.1"/>
    <n v="6.5"/>
    <n v="3.5"/>
    <n v="3.5"/>
    <n v="3"/>
    <n v="4"/>
    <n v="3"/>
    <s v="No"/>
    <n v="2"/>
    <n v="1"/>
    <m/>
  </r>
  <r>
    <s v="EMP0059"/>
    <d v="2015-01-18T00:00:00"/>
    <m/>
    <s v="No"/>
    <n v="33"/>
    <s v="Female"/>
    <s v="Divorced"/>
    <s v="Bachelor's"/>
    <x v="2"/>
    <s v="IT Support Lead"/>
    <n v="1"/>
    <s v="Hyderabad"/>
    <n v="27000"/>
    <n v="17.600000000000001"/>
    <n v="18.7"/>
    <n v="11"/>
    <n v="0.4"/>
    <n v="2"/>
    <n v="4"/>
    <n v="3"/>
    <s v="Yes"/>
    <n v="4"/>
    <n v="1"/>
    <m/>
  </r>
  <r>
    <s v="EMP0060"/>
    <d v="2025-01-12T00:00:00"/>
    <m/>
    <s v="No"/>
    <n v="21"/>
    <s v="Male"/>
    <s v="Divorced"/>
    <s v="Bachelor's"/>
    <x v="2"/>
    <s v="IT Support Lead"/>
    <n v="1"/>
    <s v="Mumbai"/>
    <n v="35000"/>
    <n v="6.4"/>
    <n v="5.3"/>
    <n v="1"/>
    <n v="0.6"/>
    <n v="4"/>
    <n v="2"/>
    <n v="3"/>
    <s v="No"/>
    <n v="3"/>
    <n v="1"/>
    <m/>
  </r>
  <r>
    <s v="EMP0061"/>
    <d v="2022-09-23T00:00:00"/>
    <d v="2025-01-29T00:00:00"/>
    <s v="Yes"/>
    <n v="27"/>
    <s v="Male"/>
    <s v="Single"/>
    <s v="Master's"/>
    <x v="5"/>
    <s v="Software Developer"/>
    <n v="1"/>
    <s v="Bengaluru"/>
    <n v="37000"/>
    <n v="11"/>
    <n v="4.7"/>
    <n v="2.4"/>
    <n v="0.9"/>
    <n v="4"/>
    <n v="2"/>
    <n v="3"/>
    <s v="No"/>
    <n v="4"/>
    <n v="1"/>
    <m/>
  </r>
  <r>
    <s v="EMP0062"/>
    <d v="2022-10-15T00:00:00"/>
    <d v="2025-08-25T00:00:00"/>
    <s v="Yes"/>
    <n v="25"/>
    <s v="Female"/>
    <s v="Divorced"/>
    <s v="Master's"/>
    <x v="4"/>
    <s v="HR Manager"/>
    <n v="1"/>
    <s v="Bengaluru"/>
    <n v="29000"/>
    <n v="7.1"/>
    <n v="8"/>
    <n v="2.9"/>
    <n v="1.3"/>
    <n v="4"/>
    <n v="3"/>
    <n v="4"/>
    <s v="Yes"/>
    <n v="3"/>
    <n v="1"/>
    <m/>
  </r>
  <r>
    <s v="EMP0063"/>
    <d v="2022-03-15T00:00:00"/>
    <m/>
    <s v="No"/>
    <n v="45"/>
    <s v="Female"/>
    <s v="Divorced"/>
    <s v="Diploma"/>
    <x v="3"/>
    <s v="Finance Executive"/>
    <n v="5"/>
    <s v="Noida"/>
    <n v="164000"/>
    <n v="4"/>
    <n v="6.2"/>
    <n v="3.8"/>
    <n v="3.8"/>
    <n v="3"/>
    <n v="4"/>
    <n v="2"/>
    <s v="No"/>
    <n v="3"/>
    <n v="1"/>
    <m/>
  </r>
  <r>
    <s v="EMP0064"/>
    <d v="2017-12-31T00:00:00"/>
    <m/>
    <s v="No"/>
    <n v="48"/>
    <s v="Female"/>
    <s v="Single"/>
    <s v="Diploma"/>
    <x v="6"/>
    <s v="Sales Executive"/>
    <n v="5"/>
    <s v="Pune"/>
    <n v="163000"/>
    <n v="2.9"/>
    <n v="14"/>
    <n v="8"/>
    <n v="0.3"/>
    <n v="3"/>
    <n v="3"/>
    <n v="3"/>
    <s v="Yes"/>
    <n v="5"/>
    <n v="1"/>
    <m/>
  </r>
  <r>
    <s v="EMP0065"/>
    <d v="2017-10-09T00:00:00"/>
    <m/>
    <s v="No"/>
    <n v="42"/>
    <s v="Non-Binary"/>
    <s v="Married"/>
    <s v="Master's"/>
    <x v="0"/>
    <s v="Operations Analyst"/>
    <n v="3"/>
    <s v="Bengaluru"/>
    <n v="66000"/>
    <n v="10.8"/>
    <n v="13.3"/>
    <n v="8.1999999999999993"/>
    <n v="5.4"/>
    <n v="3"/>
    <n v="3"/>
    <n v="3"/>
    <s v="No"/>
    <n v="3"/>
    <n v="1"/>
    <m/>
  </r>
  <r>
    <s v="EMP0066"/>
    <d v="2020-09-10T00:00:00"/>
    <m/>
    <s v="No"/>
    <n v="27"/>
    <s v="Female"/>
    <s v="Married"/>
    <s v="Diploma"/>
    <x v="6"/>
    <s v="Sales Manager"/>
    <n v="1"/>
    <s v="Bengaluru"/>
    <n v="33000"/>
    <n v="0"/>
    <n v="13.1"/>
    <n v="5.3"/>
    <n v="2.8"/>
    <n v="2"/>
    <n v="4"/>
    <n v="4"/>
    <s v="Yes"/>
    <n v="3"/>
    <n v="1"/>
    <m/>
  </r>
  <r>
    <s v="EMP0067"/>
    <d v="2015-05-12T00:00:00"/>
    <m/>
    <s v="No"/>
    <n v="31"/>
    <s v="Non-Binary"/>
    <s v="Single"/>
    <s v="PhD"/>
    <x v="3"/>
    <s v="Financial Analyst"/>
    <n v="2"/>
    <s v="Hyderabad"/>
    <n v="44000"/>
    <n v="15.5"/>
    <n v="18.399999999999999"/>
    <n v="10.6"/>
    <n v="4.8"/>
    <n v="3"/>
    <n v="3"/>
    <n v="4"/>
    <s v="No"/>
    <n v="1"/>
    <n v="1"/>
    <m/>
  </r>
  <r>
    <s v="EMP0068"/>
    <d v="2017-09-21T00:00:00"/>
    <m/>
    <s v="No"/>
    <n v="30"/>
    <s v="Male"/>
    <s v="Divorced"/>
    <s v="PhD"/>
    <x v="0"/>
    <s v="Operations Manager"/>
    <n v="3"/>
    <s v="Noida"/>
    <n v="73000"/>
    <n v="14.8"/>
    <n v="8.5"/>
    <n v="8.3000000000000007"/>
    <n v="5.3"/>
    <n v="2"/>
    <n v="3"/>
    <n v="4"/>
    <s v="No"/>
    <n v="3"/>
    <n v="1"/>
    <m/>
  </r>
  <r>
    <s v="EMP0069"/>
    <d v="2025-03-03T00:00:00"/>
    <d v="2025-07-01T00:00:00"/>
    <s v="Yes"/>
    <n v="41"/>
    <s v="Non-Binary"/>
    <s v="Married"/>
    <s v="Master's"/>
    <x v="6"/>
    <s v="Business Development Executive"/>
    <n v="2"/>
    <s v="Mumbai"/>
    <n v="53000"/>
    <n v="5.0999999999999996"/>
    <n v="7.4"/>
    <n v="0.3"/>
    <n v="0"/>
    <n v="4"/>
    <n v="3"/>
    <n v="3"/>
    <s v="Yes"/>
    <n v="4"/>
    <n v="1"/>
    <m/>
  </r>
  <r>
    <s v="EMP0070"/>
    <d v="2018-07-01T00:00:00"/>
    <m/>
    <s v="No"/>
    <n v="34"/>
    <s v="Female"/>
    <s v="Divorced"/>
    <s v="Diploma"/>
    <x v="0"/>
    <s v="Operations Executive"/>
    <n v="4"/>
    <s v="Bengaluru"/>
    <n v="98000"/>
    <n v="9.3000000000000007"/>
    <n v="9.1999999999999993"/>
    <n v="7.5"/>
    <n v="2.7"/>
    <n v="3"/>
    <n v="2"/>
    <n v="3"/>
    <s v="No"/>
    <n v="5"/>
    <n v="1"/>
    <m/>
  </r>
  <r>
    <s v="EMP0071"/>
    <d v="2024-04-09T00:00:00"/>
    <m/>
    <s v="No"/>
    <n v="34"/>
    <s v="Male"/>
    <s v="Divorced"/>
    <s v="Master's"/>
    <x v="3"/>
    <s v="Finance Executive"/>
    <n v="2"/>
    <s v="Bengaluru"/>
    <n v="61000"/>
    <n v="15.3"/>
    <n v="6.9"/>
    <n v="1.7"/>
    <n v="1"/>
    <n v="3"/>
    <n v="1"/>
    <n v="4"/>
    <s v="No"/>
    <n v="3"/>
    <n v="1"/>
    <m/>
  </r>
  <r>
    <s v="EMP0072"/>
    <d v="2016-03-09T00:00:00"/>
    <m/>
    <s v="No"/>
    <n v="48"/>
    <s v="Male"/>
    <s v="Single"/>
    <s v="Bachelor's"/>
    <x v="2"/>
    <s v="System Administrator"/>
    <n v="3"/>
    <s v="Pune"/>
    <n v="58000"/>
    <n v="8.4"/>
    <n v="14.6"/>
    <n v="9.8000000000000007"/>
    <n v="1.7"/>
    <n v="4"/>
    <n v="4"/>
    <n v="4"/>
    <s v="Yes"/>
    <n v="4"/>
    <n v="1"/>
    <m/>
  </r>
  <r>
    <s v="EMP0073"/>
    <d v="2022-12-01T00:00:00"/>
    <d v="2025-08-04T00:00:00"/>
    <s v="Yes"/>
    <n v="35"/>
    <s v="Male"/>
    <s v="Married"/>
    <s v="Master's"/>
    <x v="5"/>
    <s v="QA Engineer"/>
    <n v="3"/>
    <s v="Chennai"/>
    <n v="81000"/>
    <n v="8.1999999999999993"/>
    <n v="6.9"/>
    <n v="2.7"/>
    <n v="2"/>
    <n v="2"/>
    <n v="3"/>
    <n v="4"/>
    <s v="No"/>
    <n v="3"/>
    <n v="1"/>
    <m/>
  </r>
  <r>
    <s v="EMP0074"/>
    <d v="2017-04-25T00:00:00"/>
    <m/>
    <s v="No"/>
    <n v="29"/>
    <s v="Non-Binary"/>
    <s v="Single"/>
    <s v="Bachelor's"/>
    <x v="5"/>
    <s v="QA Engineer"/>
    <n v="3"/>
    <s v="Pune"/>
    <n v="94000"/>
    <n v="10.4"/>
    <n v="14.2"/>
    <n v="8.6999999999999993"/>
    <n v="2.9"/>
    <n v="3"/>
    <n v="4"/>
    <n v="2"/>
    <s v="Yes"/>
    <n v="2"/>
    <n v="1"/>
    <m/>
  </r>
  <r>
    <s v="EMP0075"/>
    <d v="2018-09-17T00:00:00"/>
    <m/>
    <s v="No"/>
    <n v="39"/>
    <s v="Male"/>
    <s v="Married"/>
    <s v="PhD"/>
    <x v="6"/>
    <s v="Sales Manager"/>
    <n v="2"/>
    <s v="Pune"/>
    <n v="56000"/>
    <n v="12.3"/>
    <n v="13.6"/>
    <n v="7.3"/>
    <n v="0.7"/>
    <n v="3"/>
    <n v="3"/>
    <n v="4"/>
    <s v="No"/>
    <n v="4"/>
    <n v="1"/>
    <m/>
  </r>
  <r>
    <s v="EMP0076"/>
    <d v="2020-02-27T00:00:00"/>
    <m/>
    <s v="No"/>
    <n v="27"/>
    <s v="Male"/>
    <s v="Single"/>
    <s v="Bachelor's"/>
    <x v="3"/>
    <s v="Finance Executive"/>
    <n v="1"/>
    <s v="Mumbai"/>
    <n v="30000"/>
    <n v="12"/>
    <n v="8.3000000000000007"/>
    <n v="5.8"/>
    <n v="1.5"/>
    <n v="3"/>
    <n v="4"/>
    <n v="3"/>
    <s v="No"/>
    <n v="3"/>
    <n v="1"/>
    <m/>
  </r>
  <r>
    <s v="EMP0077"/>
    <d v="2019-03-11T00:00:00"/>
    <m/>
    <s v="No"/>
    <n v="33"/>
    <s v="Non-Binary"/>
    <s v="Single"/>
    <s v="Diploma"/>
    <x v="5"/>
    <s v="QA Engineer"/>
    <n v="4"/>
    <s v="Chennai"/>
    <n v="125000"/>
    <n v="14.1"/>
    <n v="7.8"/>
    <n v="6.8"/>
    <n v="2.1"/>
    <n v="3"/>
    <n v="3"/>
    <n v="3"/>
    <s v="No"/>
    <n v="4"/>
    <n v="1"/>
    <m/>
  </r>
  <r>
    <s v="EMP0078"/>
    <d v="2019-10-07T00:00:00"/>
    <m/>
    <s v="No"/>
    <n v="37"/>
    <s v="Female"/>
    <s v="Divorced"/>
    <s v="Bachelor's"/>
    <x v="6"/>
    <s v="Sales Manager"/>
    <n v="2"/>
    <s v="Chennai"/>
    <n v="51000"/>
    <n v="8.1"/>
    <n v="9"/>
    <n v="6.2"/>
    <n v="3.3"/>
    <n v="3"/>
    <n v="2"/>
    <n v="3"/>
    <s v="Yes"/>
    <n v="3"/>
    <n v="1"/>
    <m/>
  </r>
  <r>
    <s v="EMP0079"/>
    <d v="2022-07-03T00:00:00"/>
    <m/>
    <s v="No"/>
    <n v="39"/>
    <s v="Male"/>
    <s v="Single"/>
    <s v="Master's"/>
    <x v="0"/>
    <s v="Operations Manager"/>
    <n v="1"/>
    <s v="Mumbai"/>
    <n v="39000"/>
    <n v="14.2"/>
    <n v="4.9000000000000004"/>
    <n v="3.5"/>
    <n v="0.5"/>
    <n v="4"/>
    <n v="3"/>
    <n v="2"/>
    <s v="No"/>
    <n v="4"/>
    <n v="1"/>
    <m/>
  </r>
  <r>
    <s v="EMP0080"/>
    <d v="2021-05-16T00:00:00"/>
    <m/>
    <s v="No"/>
    <n v="38"/>
    <s v="Female"/>
    <s v="Married"/>
    <s v="PhD"/>
    <x v="3"/>
    <s v="Finance Manager"/>
    <n v="2"/>
    <s v="Mumbai"/>
    <n v="52000"/>
    <n v="10.3"/>
    <n v="5.3"/>
    <n v="4.5999999999999996"/>
    <n v="0.2"/>
    <n v="4"/>
    <n v="2"/>
    <n v="3"/>
    <s v="No"/>
    <n v="4"/>
    <n v="1"/>
    <m/>
  </r>
  <r>
    <s v="EMP0081"/>
    <d v="2023-03-07T00:00:00"/>
    <m/>
    <s v="No"/>
    <n v="34"/>
    <s v="Non-Binary"/>
    <s v="Single"/>
    <s v="Bachelor's"/>
    <x v="4"/>
    <s v="HR Manager"/>
    <n v="2"/>
    <s v="Pune"/>
    <n v="56000"/>
    <n v="5.7"/>
    <n v="8.1999999999999993"/>
    <n v="2.8"/>
    <n v="1.7"/>
    <n v="3"/>
    <n v="3"/>
    <n v="3"/>
    <s v="No"/>
    <n v="3"/>
    <n v="1"/>
    <m/>
  </r>
  <r>
    <s v="EMP0082"/>
    <d v="2021-04-29T00:00:00"/>
    <d v="2025-09-12T00:00:00"/>
    <s v="Yes"/>
    <n v="26"/>
    <s v="Non-Binary"/>
    <s v="Married"/>
    <s v="Bachelor's"/>
    <x v="6"/>
    <s v="Account Manager"/>
    <n v="1"/>
    <s v="Mumbai"/>
    <n v="23000"/>
    <n v="13.6"/>
    <n v="10.3"/>
    <n v="4.4000000000000004"/>
    <n v="0.8"/>
    <n v="3"/>
    <n v="3"/>
    <n v="3"/>
    <s v="No"/>
    <n v="3"/>
    <n v="1"/>
    <m/>
  </r>
  <r>
    <s v="EMP0083"/>
    <d v="2020-04-27T00:00:00"/>
    <m/>
    <s v="No"/>
    <n v="37"/>
    <s v="Male"/>
    <s v="Divorced"/>
    <s v="PhD"/>
    <x v="2"/>
    <s v="IT Support Specialist"/>
    <n v="2"/>
    <s v="Noida"/>
    <n v="57000"/>
    <n v="9"/>
    <n v="8.9"/>
    <n v="5.7"/>
    <n v="3.6"/>
    <n v="3"/>
    <n v="3"/>
    <n v="3"/>
    <s v="Yes"/>
    <n v="5"/>
    <n v="1"/>
    <m/>
  </r>
  <r>
    <s v="EMP0084"/>
    <d v="2024-06-18T00:00:00"/>
    <d v="2025-06-08T00:00:00"/>
    <s v="Yes"/>
    <n v="34"/>
    <s v="Non-Binary"/>
    <s v="Divorced"/>
    <s v="Master's"/>
    <x v="6"/>
    <s v="Sales Executive"/>
    <n v="2"/>
    <s v="Hyderabad"/>
    <n v="47000"/>
    <n v="12.9"/>
    <n v="6.9"/>
    <n v="1"/>
    <n v="0.2"/>
    <n v="3"/>
    <n v="4"/>
    <n v="2"/>
    <s v="No"/>
    <n v="4"/>
    <n v="1"/>
    <m/>
  </r>
  <r>
    <s v="EMP0085"/>
    <d v="2024-02-13T00:00:00"/>
    <m/>
    <s v="No"/>
    <n v="27"/>
    <s v="Non-Binary"/>
    <s v="Divorced"/>
    <s v="PhD"/>
    <x v="6"/>
    <s v="Account Manager"/>
    <n v="1"/>
    <s v="Noida"/>
    <n v="31000"/>
    <n v="10.7"/>
    <n v="8"/>
    <n v="1.9"/>
    <n v="1.2"/>
    <n v="2"/>
    <n v="2"/>
    <n v="4"/>
    <s v="Yes"/>
    <n v="3"/>
    <n v="1"/>
    <m/>
  </r>
  <r>
    <s v="EMP0086"/>
    <d v="2019-11-29T00:00:00"/>
    <d v="2025-08-15T00:00:00"/>
    <s v="Yes"/>
    <n v="27"/>
    <s v="Female"/>
    <s v="Married"/>
    <s v="Bachelor's"/>
    <x v="4"/>
    <s v="HR Analyst"/>
    <n v="1"/>
    <s v="Bengaluru"/>
    <n v="34000"/>
    <n v="10"/>
    <n v="10.8"/>
    <n v="5.7"/>
    <n v="4.5"/>
    <n v="2"/>
    <n v="3"/>
    <n v="3"/>
    <s v="No"/>
    <n v="2"/>
    <n v="1"/>
    <m/>
  </r>
  <r>
    <s v="EMP0087"/>
    <d v="2017-04-26T00:00:00"/>
    <m/>
    <s v="No"/>
    <n v="30"/>
    <s v="Non-Binary"/>
    <s v="Divorced"/>
    <s v="Master's"/>
    <x v="6"/>
    <s v="Sales Manager"/>
    <n v="1"/>
    <s v="Hyderabad"/>
    <n v="36000"/>
    <n v="3.2"/>
    <n v="12.4"/>
    <n v="8.6999999999999993"/>
    <n v="3.3"/>
    <n v="3"/>
    <n v="4"/>
    <n v="4"/>
    <s v="No"/>
    <n v="3"/>
    <n v="1"/>
    <m/>
  </r>
  <r>
    <s v="EMP0088"/>
    <d v="2018-04-29T00:00:00"/>
    <m/>
    <s v="No"/>
    <n v="28"/>
    <s v="Female"/>
    <s v="Divorced"/>
    <s v="Master's"/>
    <x v="4"/>
    <s v="HR Manager"/>
    <n v="3"/>
    <s v="Hyderabad"/>
    <n v="72000"/>
    <n v="10.199999999999999"/>
    <n v="15.5"/>
    <n v="7.7"/>
    <n v="0.5"/>
    <n v="4"/>
    <n v="3"/>
    <n v="1"/>
    <s v="No"/>
    <n v="4"/>
    <n v="1"/>
    <m/>
  </r>
  <r>
    <s v="EMP0089"/>
    <d v="2016-08-21T00:00:00"/>
    <m/>
    <s v="No"/>
    <n v="39"/>
    <s v="Non-Binary"/>
    <s v="Divorced"/>
    <s v="Master's"/>
    <x v="6"/>
    <s v="Sales Manager"/>
    <n v="2"/>
    <s v="Hyderabad"/>
    <n v="51000"/>
    <n v="8.9"/>
    <n v="12"/>
    <n v="9.4"/>
    <n v="2"/>
    <n v="1"/>
    <n v="3"/>
    <n v="3"/>
    <s v="No"/>
    <n v="3"/>
    <n v="1"/>
    <m/>
  </r>
  <r>
    <s v="EMP0090"/>
    <d v="2022-01-26T00:00:00"/>
    <m/>
    <s v="No"/>
    <n v="33"/>
    <s v="Male"/>
    <s v="Divorced"/>
    <s v="Bachelor's"/>
    <x v="5"/>
    <s v="Senior Software Developer"/>
    <n v="4"/>
    <s v="Noida"/>
    <n v="122000"/>
    <n v="10.3"/>
    <n v="9.6"/>
    <n v="3.9"/>
    <n v="0.3"/>
    <n v="3"/>
    <n v="3"/>
    <n v="3"/>
    <s v="No"/>
    <n v="3"/>
    <n v="1"/>
    <m/>
  </r>
  <r>
    <s v="EMP0091"/>
    <d v="2025-06-27T00:00:00"/>
    <m/>
    <s v="No"/>
    <n v="37"/>
    <s v="Male"/>
    <s v="Divorced"/>
    <s v="Bachelor's"/>
    <x v="0"/>
    <s v="Process Associate"/>
    <n v="3"/>
    <s v="Noida"/>
    <n v="86000"/>
    <n v="8.6"/>
    <n v="6.6"/>
    <n v="0.5"/>
    <n v="0"/>
    <n v="4"/>
    <n v="4"/>
    <n v="2"/>
    <s v="No"/>
    <n v="3"/>
    <n v="1"/>
    <m/>
  </r>
  <r>
    <s v="EMP0092"/>
    <d v="2023-11-24T00:00:00"/>
    <m/>
    <s v="No"/>
    <n v="38"/>
    <s v="Female"/>
    <s v="Divorced"/>
    <s v="Diploma"/>
    <x v="6"/>
    <s v="Account Manager"/>
    <n v="3"/>
    <s v="Noida"/>
    <n v="73000"/>
    <n v="9.9"/>
    <n v="9.3000000000000007"/>
    <n v="2.1"/>
    <n v="1.5"/>
    <n v="3"/>
    <n v="1"/>
    <n v="3"/>
    <s v="Yes"/>
    <n v="4"/>
    <n v="1"/>
    <m/>
  </r>
  <r>
    <s v="EMP0093"/>
    <d v="2022-11-26T00:00:00"/>
    <m/>
    <s v="No"/>
    <n v="34"/>
    <s v="Female"/>
    <s v="Divorced"/>
    <s v="PhD"/>
    <x v="2"/>
    <s v="IT Support Lead"/>
    <n v="2"/>
    <s v="Pune"/>
    <n v="45000"/>
    <n v="9.1"/>
    <n v="4.5999999999999996"/>
    <n v="3.1"/>
    <n v="2.1"/>
    <m/>
    <n v="3"/>
    <n v="3"/>
    <s v="No"/>
    <n v="4"/>
    <n v="1"/>
    <m/>
  </r>
  <r>
    <s v="EMP0094"/>
    <d v="2024-01-30T00:00:00"/>
    <m/>
    <s v="No"/>
    <n v="43"/>
    <s v="Male"/>
    <s v="Married"/>
    <s v="PhD"/>
    <x v="2"/>
    <s v="System Administrator"/>
    <n v="4"/>
    <s v="Chennai"/>
    <n v="117000"/>
    <n v="17.600000000000001"/>
    <n v="6.4"/>
    <n v="1.9"/>
    <n v="0.2"/>
    <n v="3"/>
    <n v="4"/>
    <n v="4"/>
    <s v="Yes"/>
    <n v="3"/>
    <n v="1"/>
    <m/>
  </r>
  <r>
    <s v="EMP0095"/>
    <d v="2015-01-18T00:00:00"/>
    <m/>
    <s v="No"/>
    <n v="39"/>
    <s v="Male"/>
    <s v="Single"/>
    <s v="Diploma"/>
    <x v="1"/>
    <s v="Data Engineer"/>
    <n v="1"/>
    <s v="Bengaluru"/>
    <n v="41000"/>
    <n v="17.8"/>
    <n v="14.3"/>
    <n v="11"/>
    <n v="2.4"/>
    <n v="4"/>
    <n v="3"/>
    <n v="3"/>
    <s v="No"/>
    <n v="2"/>
    <n v="1"/>
    <m/>
  </r>
  <r>
    <s v="EMP0096"/>
    <d v="2020-05-25T00:00:00"/>
    <m/>
    <s v="No"/>
    <n v="27"/>
    <s v="Male"/>
    <s v="Single"/>
    <s v="Diploma"/>
    <x v="2"/>
    <s v="IT Analyst"/>
    <n v="1"/>
    <s v="Pune"/>
    <n v="28000"/>
    <n v="0.5"/>
    <n v="11.2"/>
    <n v="5.6"/>
    <n v="0.8"/>
    <n v="3"/>
    <n v="3"/>
    <n v="3"/>
    <s v="Yes"/>
    <n v="1"/>
    <n v="1"/>
    <m/>
  </r>
  <r>
    <s v="EMP0097"/>
    <d v="2020-02-07T00:00:00"/>
    <m/>
    <s v="No"/>
    <n v="28"/>
    <s v="Male"/>
    <s v="Married"/>
    <s v="Bachelor's"/>
    <x v="2"/>
    <s v="System Administrator"/>
    <n v="3"/>
    <s v="Noida"/>
    <n v="77000"/>
    <n v="10.4"/>
    <n v="8.3000000000000007"/>
    <n v="5.9"/>
    <n v="0.3"/>
    <n v="2"/>
    <n v="3"/>
    <n v="4"/>
    <s v="No"/>
    <n v="3"/>
    <n v="1"/>
    <m/>
  </r>
  <r>
    <s v="EMP0098"/>
    <d v="2022-04-17T00:00:00"/>
    <m/>
    <s v="No"/>
    <n v="40"/>
    <s v="Non-Binary"/>
    <s v="Divorced"/>
    <s v="Bachelor's"/>
    <x v="4"/>
    <s v="Recruiter"/>
    <n v="3"/>
    <s v="Mumbai"/>
    <n v="68000"/>
    <n v="5.4"/>
    <n v="5.2"/>
    <n v="3.7"/>
    <n v="2.5"/>
    <n v="3"/>
    <n v="3"/>
    <n v="3"/>
    <s v="Yes"/>
    <n v="5"/>
    <n v="1"/>
    <m/>
  </r>
  <r>
    <s v="EMP0099"/>
    <d v="2025-07-16T00:00:00"/>
    <m/>
    <s v="No"/>
    <n v="24"/>
    <s v="Non-Binary"/>
    <s v="Divorced"/>
    <s v="Diploma"/>
    <x v="2"/>
    <s v="IT Support Lead"/>
    <n v="1"/>
    <s v="Pune"/>
    <n v="49000"/>
    <n v="13.7"/>
    <n v="3.3"/>
    <n v="0.5"/>
    <n v="0"/>
    <n v="3"/>
    <n v="2"/>
    <n v="3"/>
    <s v="No"/>
    <n v="2"/>
    <n v="1"/>
    <m/>
  </r>
  <r>
    <s v="EMP0100"/>
    <d v="2025-04-26T00:00:00"/>
    <m/>
    <s v="No"/>
    <n v="21"/>
    <s v="Female"/>
    <s v="Single"/>
    <s v="Diploma"/>
    <x v="5"/>
    <s v="QA Engineer"/>
    <n v="1"/>
    <s v="Pune"/>
    <n v="50000"/>
    <n v="8.5"/>
    <n v="4.4000000000000004"/>
    <n v="0.7"/>
    <n v="0"/>
    <n v="2"/>
    <n v="3"/>
    <n v="4"/>
    <s v="No"/>
    <n v="2"/>
    <n v="1"/>
    <m/>
  </r>
  <r>
    <s v="EMP0101"/>
    <d v="2024-03-12T00:00:00"/>
    <m/>
    <s v="No"/>
    <n v="22"/>
    <s v="Male"/>
    <s v="Divorced"/>
    <s v="Diploma"/>
    <x v="5"/>
    <s v="Senior Software Developer"/>
    <n v="1"/>
    <s v="Hyderabad"/>
    <n v="32000"/>
    <n v="9"/>
    <n v="8.3000000000000007"/>
    <n v="1.8"/>
    <n v="0.9"/>
    <n v="3"/>
    <n v="1"/>
    <n v="3"/>
    <s v="No"/>
    <n v="3"/>
    <n v="1"/>
    <m/>
  </r>
  <r>
    <s v="EMP0102"/>
    <d v="2021-10-27T00:00:00"/>
    <m/>
    <s v="No"/>
    <n v="30"/>
    <s v="Male"/>
    <s v="Divorced"/>
    <s v="PhD"/>
    <x v="5"/>
    <s v="QA Engineer"/>
    <n v="2"/>
    <s v="Bengaluru"/>
    <n v="65000"/>
    <n v="4.7"/>
    <n v="5.7"/>
    <n v="4.2"/>
    <n v="2.9"/>
    <n v="4"/>
    <n v="3"/>
    <n v="4"/>
    <s v="No"/>
    <n v="3"/>
    <n v="1"/>
    <m/>
  </r>
  <r>
    <s v="EMP0103"/>
    <d v="2021-12-10T00:00:00"/>
    <m/>
    <s v="No"/>
    <n v="34"/>
    <s v="Female"/>
    <s v="Divorced"/>
    <s v="PhD"/>
    <x v="3"/>
    <s v="Accountant"/>
    <n v="3"/>
    <s v="Hyderabad"/>
    <n v="85000"/>
    <n v="11.8"/>
    <n v="8.9"/>
    <n v="4.0999999999999996"/>
    <n v="1.7"/>
    <n v="3"/>
    <n v="3"/>
    <n v="3"/>
    <s v="Yes"/>
    <n v="1"/>
    <n v="1"/>
    <m/>
  </r>
  <r>
    <s v="EMP0104"/>
    <d v="2025-07-28T00:00:00"/>
    <m/>
    <s v="No"/>
    <n v="22"/>
    <s v="Male"/>
    <s v="Single"/>
    <s v="Bachelor's"/>
    <x v="0"/>
    <s v="Operations Executive"/>
    <n v="1"/>
    <s v="Pune"/>
    <n v="43000"/>
    <n v="10.3"/>
    <n v="5.9"/>
    <n v="0.4"/>
    <n v="0"/>
    <n v="3"/>
    <n v="2"/>
    <n v="3"/>
    <s v="No"/>
    <n v="4"/>
    <n v="1"/>
    <m/>
  </r>
  <r>
    <s v="EMP0105"/>
    <d v="2014-08-04T00:00:00"/>
    <m/>
    <s v="No"/>
    <n v="44"/>
    <s v="Female"/>
    <s v="Divorced"/>
    <s v="Diploma"/>
    <x v="2"/>
    <s v="IT Analyst"/>
    <n v="2"/>
    <s v="Pune"/>
    <n v="53000"/>
    <n v="13.7"/>
    <n v="14.4"/>
    <n v="11.4"/>
    <n v="2.7"/>
    <n v="2"/>
    <n v="2"/>
    <n v="2"/>
    <s v="Yes"/>
    <n v="3"/>
    <n v="1"/>
    <m/>
  </r>
  <r>
    <s v="EMP0106"/>
    <d v="2019-11-11T00:00:00"/>
    <m/>
    <s v="No"/>
    <n v="47"/>
    <s v="Female"/>
    <s v="Single"/>
    <s v="Bachelor's"/>
    <x v="5"/>
    <s v="Software Developer"/>
    <n v="3"/>
    <s v="Pune"/>
    <n v="102000"/>
    <n v="8"/>
    <n v="8.1999999999999993"/>
    <n v="6.1"/>
    <n v="2.7"/>
    <n v="3"/>
    <n v="4"/>
    <n v="3"/>
    <s v="No"/>
    <n v="5"/>
    <n v="1"/>
    <m/>
  </r>
  <r>
    <s v="EMP0107"/>
    <d v="2015-03-09T00:00:00"/>
    <m/>
    <s v="No"/>
    <n v="38"/>
    <s v="Female"/>
    <s v="Single"/>
    <s v="Master's"/>
    <x v="2"/>
    <s v="IT Support Specialist"/>
    <n v="3"/>
    <s v="Hyderabad"/>
    <n v="88000"/>
    <n v="5.0999999999999996"/>
    <n v="17.600000000000001"/>
    <n v="10.8"/>
    <n v="1.9"/>
    <n v="2"/>
    <n v="3"/>
    <n v="2"/>
    <s v="No"/>
    <n v="4"/>
    <n v="1"/>
    <m/>
  </r>
  <r>
    <s v="EMP0108"/>
    <d v="2023-05-08T00:00:00"/>
    <d v="2025-10-11T00:00:00"/>
    <s v="Yes"/>
    <n v="40"/>
    <s v="Male"/>
    <s v="Married"/>
    <s v="PhD"/>
    <x v="4"/>
    <s v="Recruiter"/>
    <n v="2"/>
    <s v="Noida"/>
    <n v="35000"/>
    <n v="4.3"/>
    <n v="7"/>
    <n v="2.4"/>
    <n v="1.1000000000000001"/>
    <n v="4"/>
    <n v="4"/>
    <n v="2"/>
    <s v="Yes"/>
    <n v="5"/>
    <n v="1"/>
    <m/>
  </r>
  <r>
    <s v="EMP0109"/>
    <d v="2017-06-21T00:00:00"/>
    <m/>
    <s v="No"/>
    <n v="31"/>
    <s v="Non-Binary"/>
    <s v="Divorced"/>
    <s v="Master's"/>
    <x v="0"/>
    <s v="Process Associate"/>
    <n v="3"/>
    <s v="Pune"/>
    <n v="78000"/>
    <n v="15"/>
    <n v="13.7"/>
    <n v="8.5"/>
    <n v="2.7"/>
    <n v="1"/>
    <n v="3"/>
    <n v="3"/>
    <s v="No"/>
    <n v="5"/>
    <n v="1"/>
    <m/>
  </r>
  <r>
    <s v="EMP0110"/>
    <d v="2019-08-22T00:00:00"/>
    <m/>
    <s v="No"/>
    <n v="44"/>
    <s v="Male"/>
    <s v="Divorced"/>
    <s v="Diploma"/>
    <x v="3"/>
    <s v="Financial Analyst"/>
    <n v="4"/>
    <s v="Pune"/>
    <n v="103000"/>
    <n v="2.2000000000000002"/>
    <n v="8.1999999999999993"/>
    <n v="6.4"/>
    <n v="5.7"/>
    <n v="2"/>
    <n v="3"/>
    <n v="3"/>
    <s v="No"/>
    <n v="2"/>
    <n v="1"/>
    <m/>
  </r>
  <r>
    <s v="EMP0111"/>
    <d v="2024-08-10T00:00:00"/>
    <m/>
    <s v="No"/>
    <n v="36"/>
    <s v="Male"/>
    <s v="Single"/>
    <s v="Bachelor's"/>
    <x v="0"/>
    <s v="Operations Manager"/>
    <n v="3"/>
    <s v="Bengaluru"/>
    <n v="72000"/>
    <n v="0.7"/>
    <n v="2.8"/>
    <n v="1.4"/>
    <n v="0.9"/>
    <n v="3"/>
    <n v="4"/>
    <n v="3"/>
    <s v="No"/>
    <n v="5"/>
    <n v="1"/>
    <m/>
  </r>
  <r>
    <s v="EMP0112"/>
    <d v="2023-04-17T00:00:00"/>
    <m/>
    <s v="No"/>
    <n v="24"/>
    <s v="Non-Binary"/>
    <s v="Married"/>
    <s v="Diploma"/>
    <x v="0"/>
    <s v="Operations Manager"/>
    <n v="1"/>
    <s v="Mumbai"/>
    <n v="38000"/>
    <n v="10.5"/>
    <n v="6.7"/>
    <n v="2.7"/>
    <n v="1.7"/>
    <n v="3"/>
    <n v="3"/>
    <n v="4"/>
    <s v="No"/>
    <n v="3"/>
    <n v="1"/>
    <m/>
  </r>
  <r>
    <s v="EMP0113"/>
    <d v="2022-01-31T00:00:00"/>
    <m/>
    <s v="No"/>
    <n v="29"/>
    <s v="Female"/>
    <s v="Divorced"/>
    <s v="Bachelor's"/>
    <x v="5"/>
    <s v="Software Developer"/>
    <n v="2"/>
    <s v="Hyderabad"/>
    <n v="50000"/>
    <n v="8.6999999999999993"/>
    <n v="10.8"/>
    <n v="3.9"/>
    <n v="1.2"/>
    <n v="3"/>
    <n v="4"/>
    <n v="3"/>
    <s v="No"/>
    <n v="3"/>
    <n v="1"/>
    <m/>
  </r>
  <r>
    <s v="EMP0114"/>
    <d v="2025-01-01T00:00:00"/>
    <d v="2025-09-14T00:00:00"/>
    <s v="Yes"/>
    <n v="26"/>
    <s v="Non-Binary"/>
    <s v="Divorced"/>
    <s v="Diploma"/>
    <x v="1"/>
    <s v="Data Engineer"/>
    <n v="1"/>
    <s v="Pune"/>
    <n v="44000"/>
    <n v="6.9"/>
    <n v="7.6"/>
    <n v="0.7"/>
    <n v="0"/>
    <n v="2"/>
    <n v="4"/>
    <n v="4"/>
    <s v="No"/>
    <n v="4"/>
    <n v="1"/>
    <m/>
  </r>
  <r>
    <s v="EMP0115"/>
    <d v="2019-09-05T00:00:00"/>
    <d v="2025-07-21T00:00:00"/>
    <s v="Yes"/>
    <n v="32"/>
    <s v="Female"/>
    <s v="Divorced"/>
    <s v="PhD"/>
    <x v="2"/>
    <s v="System Administrator"/>
    <n v="3"/>
    <s v="Hyderabad"/>
    <n v="66000"/>
    <n v="6.8"/>
    <n v="9.9"/>
    <n v="5.9"/>
    <n v="5.7"/>
    <n v="3"/>
    <m/>
    <n v="3"/>
    <s v="No"/>
    <n v="2"/>
    <n v="1"/>
    <m/>
  </r>
  <r>
    <s v="EMP0116"/>
    <d v="2020-08-28T00:00:00"/>
    <m/>
    <s v="No"/>
    <n v="47"/>
    <s v="Male"/>
    <s v="Married"/>
    <s v="PhD"/>
    <x v="4"/>
    <s v="HR Executive"/>
    <n v="4"/>
    <s v="Chennai"/>
    <n v="106000"/>
    <n v="6.2"/>
    <n v="8.3000000000000007"/>
    <n v="5.3"/>
    <n v="2.1"/>
    <n v="3"/>
    <n v="3"/>
    <n v="2"/>
    <s v="No"/>
    <n v="4"/>
    <n v="1"/>
    <m/>
  </r>
  <r>
    <s v="EMP0117"/>
    <d v="2024-07-27T00:00:00"/>
    <m/>
    <s v="No"/>
    <n v="32"/>
    <s v="Male"/>
    <s v="Single"/>
    <s v="Diploma"/>
    <x v="6"/>
    <s v="Sales Executive"/>
    <n v="2"/>
    <s v="Mumbai"/>
    <n v="51000"/>
    <n v="11.5"/>
    <n v="4.4000000000000004"/>
    <n v="1.4"/>
    <n v="0.2"/>
    <n v="4"/>
    <n v="3"/>
    <n v="3"/>
    <s v="No"/>
    <n v="1"/>
    <n v="1"/>
    <m/>
  </r>
  <r>
    <s v="EMP0118"/>
    <d v="2017-12-06T00:00:00"/>
    <m/>
    <s v="No"/>
    <n v="29"/>
    <s v="Non-Binary"/>
    <s v="Divorced"/>
    <s v="PhD"/>
    <x v="4"/>
    <s v="HR Manager"/>
    <n v="2"/>
    <s v="Noida"/>
    <n v="45000"/>
    <n v="7.9"/>
    <n v="11.2"/>
    <n v="8.1"/>
    <n v="3.7"/>
    <n v="4"/>
    <n v="4"/>
    <n v="3"/>
    <s v="Yes"/>
    <n v="3"/>
    <n v="1"/>
    <m/>
  </r>
  <r>
    <s v="EMP0119"/>
    <d v="2024-11-22T00:00:00"/>
    <d v="2025-08-22T00:00:00"/>
    <s v="Yes"/>
    <n v="22"/>
    <s v="Female"/>
    <s v="Married"/>
    <s v="Master's"/>
    <x v="4"/>
    <s v="HR Analyst"/>
    <n v="1"/>
    <s v="Noida"/>
    <n v="45000"/>
    <n v="15.6"/>
    <n v="5.4"/>
    <n v="0.7"/>
    <n v="0"/>
    <n v="3"/>
    <n v="3"/>
    <n v="3"/>
    <s v="Yes"/>
    <n v="1"/>
    <n v="1"/>
    <m/>
  </r>
  <r>
    <s v="EMP0120"/>
    <d v="2018-05-05T00:00:00"/>
    <m/>
    <s v="No"/>
    <n v="37"/>
    <s v="Female"/>
    <s v="Married"/>
    <s v="Master's"/>
    <x v="5"/>
    <s v="Tech Lead"/>
    <n v="2"/>
    <s v="Mumbai"/>
    <n v="62000"/>
    <n v="21.3"/>
    <n v="13.1"/>
    <n v="7.7"/>
    <n v="0.2"/>
    <n v="4"/>
    <n v="4"/>
    <n v="2"/>
    <s v="No"/>
    <n v="1"/>
    <n v="1"/>
    <m/>
  </r>
  <r>
    <s v="EMP0121"/>
    <d v="2016-08-19T00:00:00"/>
    <m/>
    <s v="No"/>
    <n v="32"/>
    <s v="Non-Binary"/>
    <s v="Married"/>
    <s v="Diploma"/>
    <x v="0"/>
    <s v="Operations Analyst"/>
    <n v="2"/>
    <s v="Pune"/>
    <n v="41000"/>
    <n v="2.6"/>
    <n v="9.9"/>
    <n v="9.4"/>
    <n v="0.8"/>
    <n v="4"/>
    <n v="2"/>
    <n v="3"/>
    <s v="No"/>
    <n v="4"/>
    <n v="1"/>
    <m/>
  </r>
  <r>
    <s v="EMP0122"/>
    <d v="2020-06-30T00:00:00"/>
    <m/>
    <s v="No"/>
    <n v="28"/>
    <s v="Female"/>
    <s v="Married"/>
    <s v="Master's"/>
    <x v="3"/>
    <s v="Finance Executive"/>
    <n v="3"/>
    <s v="Noida"/>
    <n v="67000"/>
    <n v="6.4"/>
    <n v="7.6"/>
    <n v="5.5"/>
    <n v="2.7"/>
    <n v="3"/>
    <n v="4"/>
    <n v="3"/>
    <s v="No"/>
    <n v="3"/>
    <n v="1"/>
    <m/>
  </r>
  <r>
    <s v="EMP0123"/>
    <d v="2021-08-14T00:00:00"/>
    <m/>
    <s v="No"/>
    <n v="45"/>
    <s v="Male"/>
    <s v="Married"/>
    <s v="Bachelor's"/>
    <x v="0"/>
    <s v="Process Associate"/>
    <n v="2"/>
    <s v="Hyderabad"/>
    <n v="57000"/>
    <n v="9"/>
    <n v="5.4"/>
    <n v="4.4000000000000004"/>
    <n v="3"/>
    <n v="4"/>
    <n v="3"/>
    <n v="4"/>
    <s v="No"/>
    <n v="4"/>
    <n v="1"/>
    <m/>
  </r>
  <r>
    <s v="EMP0124"/>
    <d v="2020-07-10T00:00:00"/>
    <m/>
    <s v="No"/>
    <n v="34"/>
    <s v="Non-Binary"/>
    <s v="Single"/>
    <s v="Master's"/>
    <x v="0"/>
    <s v="Operations Executive"/>
    <n v="2"/>
    <s v="Bengaluru"/>
    <n v="42000"/>
    <n v="15.1"/>
    <n v="9.8000000000000007"/>
    <n v="5.5"/>
    <n v="5.0999999999999996"/>
    <n v="3"/>
    <n v="3"/>
    <n v="2"/>
    <s v="Yes"/>
    <n v="4"/>
    <n v="1"/>
    <m/>
  </r>
  <r>
    <s v="EMP0125"/>
    <d v="2022-01-24T00:00:00"/>
    <m/>
    <s v="No"/>
    <n v="26"/>
    <s v="Female"/>
    <s v="Divorced"/>
    <s v="PhD"/>
    <x v="0"/>
    <s v="Operations Analyst"/>
    <n v="1"/>
    <s v="Mumbai"/>
    <n v="30000"/>
    <n v="5.5"/>
    <n v="4.7"/>
    <n v="3.9"/>
    <n v="3"/>
    <n v="3"/>
    <n v="1"/>
    <n v="3"/>
    <s v="Yes"/>
    <n v="5"/>
    <n v="1"/>
    <m/>
  </r>
  <r>
    <s v="EMP0126"/>
    <d v="2022-05-04T00:00:00"/>
    <m/>
    <s v="No"/>
    <n v="39"/>
    <s v="Male"/>
    <s v="Married"/>
    <s v="Master's"/>
    <x v="0"/>
    <s v="Operations Analyst"/>
    <n v="3"/>
    <s v="Bengaluru"/>
    <n v="89000"/>
    <n v="3.4"/>
    <n v="8.9"/>
    <n v="3.7"/>
    <n v="0.9"/>
    <n v="1"/>
    <n v="3"/>
    <n v="4"/>
    <s v="No"/>
    <n v="1"/>
    <n v="1"/>
    <m/>
  </r>
  <r>
    <s v="EMP0127"/>
    <d v="2024-04-07T00:00:00"/>
    <m/>
    <s v="No"/>
    <n v="28"/>
    <s v="Female"/>
    <s v="Divorced"/>
    <s v="PhD"/>
    <x v="2"/>
    <s v="IT Support Lead"/>
    <n v="3"/>
    <s v="Pune"/>
    <n v="71000"/>
    <n v="6.6"/>
    <n v="2"/>
    <n v="1.7"/>
    <n v="0.5"/>
    <n v="4"/>
    <n v="3"/>
    <n v="4"/>
    <s v="No"/>
    <n v="3"/>
    <n v="1"/>
    <m/>
  </r>
  <r>
    <s v="EMP0128"/>
    <d v="2016-03-28T00:00:00"/>
    <m/>
    <s v="No"/>
    <n v="33"/>
    <s v="Male"/>
    <s v="Single"/>
    <s v="PhD"/>
    <x v="2"/>
    <s v="IT Support Lead"/>
    <n v="2"/>
    <s v="Mumbai"/>
    <n v="44000"/>
    <n v="10.1"/>
    <n v="15.5"/>
    <n v="9.8000000000000007"/>
    <n v="0.1"/>
    <n v="4"/>
    <n v="3"/>
    <n v="3"/>
    <s v="No"/>
    <n v="4"/>
    <n v="1"/>
    <m/>
  </r>
  <r>
    <s v="EMP0129"/>
    <d v="2018-07-16T00:00:00"/>
    <m/>
    <s v="No"/>
    <n v="31"/>
    <s v="Female"/>
    <s v="Divorced"/>
    <s v="Bachelor's"/>
    <x v="4"/>
    <s v="HR Analyst"/>
    <n v="1"/>
    <s v="Hyderabad"/>
    <n v="24000"/>
    <n v="6.7"/>
    <n v="9.4"/>
    <n v="7.5"/>
    <n v="1.6"/>
    <n v="2"/>
    <n v="2"/>
    <n v="3"/>
    <s v="Yes"/>
    <n v="5"/>
    <n v="1"/>
    <m/>
  </r>
  <r>
    <s v="EMP0130"/>
    <d v="2024-12-21T00:00:00"/>
    <m/>
    <s v="No"/>
    <n v="37"/>
    <s v="Female"/>
    <s v="Married"/>
    <s v="Master's"/>
    <x v="0"/>
    <s v="Operations Manager"/>
    <n v="3"/>
    <s v="Pune"/>
    <n v="63000"/>
    <n v="9.4"/>
    <n v="5"/>
    <n v="1"/>
    <n v="0.9"/>
    <n v="3"/>
    <n v="3"/>
    <n v="3"/>
    <s v="Yes"/>
    <n v="2"/>
    <n v="1"/>
    <m/>
  </r>
  <r>
    <s v="EMP0131"/>
    <d v="2025-08-05T00:00:00"/>
    <m/>
    <s v="No"/>
    <n v="21"/>
    <s v="Male"/>
    <s v="Divorced"/>
    <s v="Bachelor's"/>
    <x v="1"/>
    <s v="Data Engineer"/>
    <n v="1"/>
    <s v="Chennai"/>
    <n v="44000"/>
    <n v="6.3"/>
    <n v="4.8"/>
    <n v="0.4"/>
    <n v="0"/>
    <n v="3"/>
    <n v="3"/>
    <n v="3"/>
    <s v="No"/>
    <n v="3"/>
    <n v="1"/>
    <m/>
  </r>
  <r>
    <s v="EMP0132"/>
    <d v="2021-05-10T00:00:00"/>
    <m/>
    <s v="No"/>
    <n v="28"/>
    <s v="Male"/>
    <s v="Divorced"/>
    <s v="PhD"/>
    <x v="3"/>
    <s v="Finance Executive"/>
    <n v="1"/>
    <s v="Bengaluru"/>
    <n v="22000"/>
    <n v="2.5"/>
    <n v="9.1999999999999993"/>
    <n v="4.5999999999999996"/>
    <n v="0.7"/>
    <n v="3"/>
    <n v="3"/>
    <n v="3"/>
    <s v="Yes"/>
    <n v="2"/>
    <n v="1"/>
    <m/>
  </r>
  <r>
    <s v="EMP0133"/>
    <d v="2020-05-24T00:00:00"/>
    <d v="2025-08-25T00:00:00"/>
    <s v="Yes"/>
    <n v="35"/>
    <s v="Male"/>
    <s v="Divorced"/>
    <s v="Bachelor's"/>
    <x v="4"/>
    <s v="HR Manager"/>
    <n v="4"/>
    <s v="Bengaluru"/>
    <n v="98000"/>
    <n v="11.6"/>
    <n v="10.6"/>
    <n v="5.3"/>
    <n v="1.6"/>
    <n v="3"/>
    <n v="1"/>
    <n v="2"/>
    <s v="No"/>
    <n v="1"/>
    <n v="1"/>
    <m/>
  </r>
  <r>
    <s v="EMP0134"/>
    <d v="2019-05-15T00:00:00"/>
    <m/>
    <s v="No"/>
    <n v="33"/>
    <s v="Non-Binary"/>
    <s v="Divorced"/>
    <s v="PhD"/>
    <x v="3"/>
    <s v="Finance Executive"/>
    <n v="3"/>
    <s v="Hyderabad"/>
    <n v="69000"/>
    <n v="6.4"/>
    <n v="10.4"/>
    <n v="6.6"/>
    <n v="1.7"/>
    <n v="4"/>
    <n v="2"/>
    <n v="2"/>
    <s v="Yes"/>
    <n v="4"/>
    <n v="1"/>
    <m/>
  </r>
  <r>
    <s v="EMP0135"/>
    <d v="2019-11-16T00:00:00"/>
    <m/>
    <s v="No"/>
    <n v="27"/>
    <s v="Non-Binary"/>
    <s v="Married"/>
    <s v="Master's"/>
    <x v="3"/>
    <s v="Finance Manager"/>
    <n v="1"/>
    <s v="Noida"/>
    <n v="32000"/>
    <n v="13"/>
    <n v="11.4"/>
    <n v="6.1"/>
    <n v="3.2"/>
    <n v="3"/>
    <n v="3"/>
    <n v="3"/>
    <s v="No"/>
    <n v="3"/>
    <n v="1"/>
    <m/>
  </r>
  <r>
    <s v="EMP0136"/>
    <d v="2014-04-02T00:00:00"/>
    <m/>
    <s v="No"/>
    <n v="39"/>
    <s v="Non-Binary"/>
    <s v="Single"/>
    <s v="Bachelor's"/>
    <x v="1"/>
    <s v="Data Analyst"/>
    <n v="3"/>
    <s v="Noida"/>
    <n v="79000"/>
    <n v="11.1"/>
    <n v="14.8"/>
    <n v="11.7"/>
    <n v="1.4"/>
    <n v="3"/>
    <n v="3"/>
    <n v="2"/>
    <s v="No"/>
    <n v="3"/>
    <n v="1"/>
    <m/>
  </r>
  <r>
    <s v="EMP0137"/>
    <d v="2025-07-13T00:00:00"/>
    <m/>
    <s v="No"/>
    <n v="21"/>
    <s v="Non-Binary"/>
    <s v="Single"/>
    <s v="Bachelor's"/>
    <x v="3"/>
    <s v="Financial Analyst"/>
    <n v="1"/>
    <s v="Pune"/>
    <n v="28000"/>
    <n v="11.3"/>
    <n v="5.8"/>
    <n v="0.5"/>
    <n v="0"/>
    <n v="3"/>
    <n v="2"/>
    <n v="1"/>
    <s v="Yes"/>
    <n v="3"/>
    <n v="1"/>
    <m/>
  </r>
  <r>
    <s v="EMP0138"/>
    <d v="2014-12-24T00:00:00"/>
    <m/>
    <s v="No"/>
    <n v="36"/>
    <s v="Female"/>
    <s v="Married"/>
    <s v="Diploma"/>
    <x v="4"/>
    <s v="HR Analyst"/>
    <n v="2"/>
    <s v="Bengaluru"/>
    <n v="45000"/>
    <n v="9.3000000000000007"/>
    <n v="17.600000000000001"/>
    <n v="11"/>
    <n v="1.4"/>
    <n v="3"/>
    <n v="4"/>
    <n v="4"/>
    <s v="No"/>
    <n v="4"/>
    <n v="1"/>
    <m/>
  </r>
  <r>
    <s v="EMP0139"/>
    <d v="2020-09-13T00:00:00"/>
    <m/>
    <s v="No"/>
    <n v="41"/>
    <s v="Female"/>
    <s v="Single"/>
    <s v="PhD"/>
    <x v="4"/>
    <s v="Recruiter"/>
    <n v="3"/>
    <s v="Pune"/>
    <n v="76000"/>
    <n v="10.4"/>
    <n v="10.7"/>
    <n v="5.3"/>
    <n v="4.2"/>
    <n v="4"/>
    <n v="3"/>
    <n v="3"/>
    <s v="No"/>
    <n v="2"/>
    <n v="1"/>
    <m/>
  </r>
  <r>
    <s v="EMP0140"/>
    <d v="2018-11-02T00:00:00"/>
    <m/>
    <s v="No"/>
    <n v="30"/>
    <s v="Non-Binary"/>
    <s v="Single"/>
    <s v="PhD"/>
    <x v="2"/>
    <s v="System Administrator"/>
    <n v="2"/>
    <s v="Hyderabad"/>
    <n v="48000"/>
    <n v="10.6"/>
    <n v="14.9"/>
    <n v="7.2"/>
    <n v="3.3"/>
    <n v="4"/>
    <n v="2"/>
    <n v="2"/>
    <s v="No"/>
    <n v="3"/>
    <n v="1"/>
    <m/>
  </r>
  <r>
    <s v="EMP0141"/>
    <d v="2021-04-15T00:00:00"/>
    <d v="2025-10-28T00:00:00"/>
    <s v="Yes"/>
    <n v="35"/>
    <s v="Male"/>
    <s v="Single"/>
    <s v="Master's"/>
    <x v="5"/>
    <s v="Senior Software Developer"/>
    <n v="1"/>
    <s v="Noida"/>
    <n v="56000"/>
    <n v="12.5"/>
    <n v="10.3"/>
    <n v="4.5"/>
    <n v="2.5"/>
    <n v="1"/>
    <n v="3"/>
    <n v="4"/>
    <s v="No"/>
    <n v="3"/>
    <n v="1"/>
    <m/>
  </r>
  <r>
    <s v="EMP0142"/>
    <d v="2017-07-24T00:00:00"/>
    <m/>
    <s v="No"/>
    <n v="41"/>
    <s v="Female"/>
    <s v="Divorced"/>
    <s v="PhD"/>
    <x v="5"/>
    <s v="Tech Lead"/>
    <n v="4"/>
    <s v="Mumbai"/>
    <n v="121000"/>
    <n v="0.8"/>
    <n v="11"/>
    <n v="8.4"/>
    <n v="1.7"/>
    <n v="3"/>
    <n v="3"/>
    <n v="3"/>
    <s v="No"/>
    <n v="3"/>
    <n v="1"/>
    <m/>
  </r>
  <r>
    <s v="EMP0143"/>
    <d v="2025-03-02T00:00:00"/>
    <m/>
    <s v="No"/>
    <n v="21"/>
    <s v="Non-Binary"/>
    <s v="Divorced"/>
    <s v="PhD"/>
    <x v="5"/>
    <s v="Tech Lead"/>
    <n v="1"/>
    <s v="Hyderabad"/>
    <n v="35000"/>
    <n v="9.1"/>
    <n v="1.2"/>
    <n v="0.8"/>
    <n v="0"/>
    <n v="2"/>
    <n v="4"/>
    <n v="1"/>
    <s v="No"/>
    <n v="4"/>
    <n v="1"/>
    <m/>
  </r>
  <r>
    <s v="EMP0144"/>
    <d v="2021-04-04T00:00:00"/>
    <m/>
    <s v="No"/>
    <n v="35"/>
    <s v="Female"/>
    <s v="Married"/>
    <s v="Master's"/>
    <x v="1"/>
    <s v="BI Analyst"/>
    <n v="2"/>
    <s v="Noida"/>
    <n v="60000"/>
    <n v="12.3"/>
    <n v="10.199999999999999"/>
    <n v="4.7"/>
    <n v="1.2"/>
    <n v="3"/>
    <n v="4"/>
    <n v="4"/>
    <s v="No"/>
    <n v="4"/>
    <n v="1"/>
    <m/>
  </r>
  <r>
    <s v="EMP0145"/>
    <d v="2017-04-10T00:00:00"/>
    <m/>
    <s v="No"/>
    <n v="35"/>
    <s v="Non-Binary"/>
    <s v="Single"/>
    <s v="Bachelor's"/>
    <x v="2"/>
    <s v="IT Analyst"/>
    <n v="2"/>
    <s v="Mumbai"/>
    <n v="59000"/>
    <n v="3.1"/>
    <n v="13.9"/>
    <n v="8.6999999999999993"/>
    <n v="0.4"/>
    <n v="4"/>
    <n v="1"/>
    <n v="4"/>
    <s v="No"/>
    <n v="5"/>
    <n v="1"/>
    <m/>
  </r>
  <r>
    <s v="EMP0146"/>
    <d v="2023-12-08T00:00:00"/>
    <d v="2025-11-23T00:00:00"/>
    <s v="Yes"/>
    <n v="35"/>
    <s v="Non-Binary"/>
    <s v="Married"/>
    <s v="Bachelor's"/>
    <x v="1"/>
    <s v="BI Analyst"/>
    <n v="1"/>
    <s v="Bengaluru"/>
    <n v="35000"/>
    <n v="11.5"/>
    <n v="7.3"/>
    <n v="2"/>
    <n v="1.2"/>
    <n v="3"/>
    <n v="3"/>
    <n v="3"/>
    <s v="Yes"/>
    <n v="1"/>
    <n v="1"/>
    <m/>
  </r>
  <r>
    <s v="EMP0147"/>
    <d v="2022-05-07T00:00:00"/>
    <m/>
    <s v="No"/>
    <n v="34"/>
    <s v="Non-Binary"/>
    <s v="Divorced"/>
    <s v="Diploma"/>
    <x v="4"/>
    <s v="HR Analyst"/>
    <n v="3"/>
    <s v="Hyderabad"/>
    <n v="76000"/>
    <n v="7.2"/>
    <n v="11.2"/>
    <n v="3.7"/>
    <n v="0.7"/>
    <n v="3"/>
    <n v="4"/>
    <n v="3"/>
    <s v="No"/>
    <n v="3"/>
    <n v="1"/>
    <m/>
  </r>
  <r>
    <s v="EMP0148"/>
    <d v="2014-06-23T00:00:00"/>
    <m/>
    <s v="No"/>
    <n v="39"/>
    <s v="Male"/>
    <s v="Single"/>
    <s v="PhD"/>
    <x v="6"/>
    <s v="Business Development Executive"/>
    <n v="1"/>
    <s v="Mumbai"/>
    <n v="26000"/>
    <n v="9.3000000000000007"/>
    <n v="13.9"/>
    <n v="11.5"/>
    <n v="5"/>
    <n v="2"/>
    <n v="2"/>
    <n v="4"/>
    <s v="No"/>
    <n v="4"/>
    <n v="1"/>
    <m/>
  </r>
  <r>
    <s v="EMP0149"/>
    <d v="2025-08-04T00:00:00"/>
    <m/>
    <s v="No"/>
    <n v="36"/>
    <s v="Male"/>
    <s v="Single"/>
    <s v="Master's"/>
    <x v="3"/>
    <s v="Finance Manager"/>
    <n v="1"/>
    <s v="Noida"/>
    <n v="38000"/>
    <n v="13.2"/>
    <n v="6.7"/>
    <n v="0.4"/>
    <n v="0"/>
    <n v="3"/>
    <n v="4"/>
    <n v="2"/>
    <s v="Yes"/>
    <n v="4"/>
    <n v="1"/>
    <m/>
  </r>
  <r>
    <s v="EMP0150"/>
    <d v="2015-10-24T00:00:00"/>
    <m/>
    <s v="No"/>
    <n v="31"/>
    <s v="Male"/>
    <s v="Divorced"/>
    <s v="PhD"/>
    <x v="4"/>
    <s v="HR Manager"/>
    <n v="2"/>
    <s v="Bengaluru"/>
    <n v="42000"/>
    <n v="7.2"/>
    <n v="15.5"/>
    <n v="10.199999999999999"/>
    <n v="1.1000000000000001"/>
    <n v="3"/>
    <n v="4"/>
    <n v="1"/>
    <s v="No"/>
    <n v="3"/>
    <n v="1"/>
    <m/>
  </r>
  <r>
    <s v="EMP0151"/>
    <d v="2019-01-26T00:00:00"/>
    <m/>
    <s v="No"/>
    <n v="38"/>
    <s v="Non-Binary"/>
    <s v="Married"/>
    <s v="Bachelor's"/>
    <x v="6"/>
    <s v="Account Manager"/>
    <n v="3"/>
    <s v="Bengaluru"/>
    <n v="69000"/>
    <n v="12.5"/>
    <n v="10"/>
    <n v="6.9"/>
    <n v="4.4000000000000004"/>
    <n v="3"/>
    <n v="4"/>
    <n v="3"/>
    <s v="No"/>
    <n v="2"/>
    <n v="1"/>
    <m/>
  </r>
  <r>
    <s v="EMP0152"/>
    <d v="2021-09-18T00:00:00"/>
    <m/>
    <s v="No"/>
    <n v="36"/>
    <s v="Female"/>
    <s v="Divorced"/>
    <s v="PhD"/>
    <x v="3"/>
    <s v="Accountant"/>
    <n v="4"/>
    <s v="Mumbai"/>
    <n v="132000"/>
    <n v="5.9"/>
    <n v="10.5"/>
    <n v="4.3"/>
    <n v="0.1"/>
    <n v="4"/>
    <n v="3"/>
    <n v="4"/>
    <s v="No"/>
    <n v="3"/>
    <n v="1"/>
    <m/>
  </r>
  <r>
    <s v="EMP0153"/>
    <d v="2025-08-22T00:00:00"/>
    <m/>
    <s v="No"/>
    <n v="21"/>
    <s v="Female"/>
    <s v="Married"/>
    <s v="Bachelor's"/>
    <x v="1"/>
    <s v="Data Engineer"/>
    <n v="1"/>
    <s v="Bengaluru"/>
    <n v="53000"/>
    <n v="11.6"/>
    <n v="1"/>
    <n v="0.4"/>
    <n v="0"/>
    <n v="4"/>
    <n v="3"/>
    <n v="3"/>
    <s v="No"/>
    <n v="4"/>
    <n v="1"/>
    <m/>
  </r>
  <r>
    <s v="EMP0154"/>
    <d v="2016-10-16T00:00:00"/>
    <m/>
    <s v="No"/>
    <n v="35"/>
    <s v="Non-Binary"/>
    <s v="Divorced"/>
    <s v="Diploma"/>
    <x v="5"/>
    <s v="QA Engineer"/>
    <n v="2"/>
    <s v="Mumbai"/>
    <s v="₹49,000"/>
    <n v="18.8"/>
    <n v="13.7"/>
    <n v="9.1999999999999993"/>
    <n v="3.1"/>
    <n v="2"/>
    <n v="2"/>
    <n v="2"/>
    <s v="Yes"/>
    <n v="4"/>
    <n v="1"/>
    <m/>
  </r>
  <r>
    <s v="EMP0155"/>
    <d v="2016-08-01T00:00:00"/>
    <m/>
    <s v="No"/>
    <n v="34"/>
    <s v="Female"/>
    <s v="Married"/>
    <s v="Master's"/>
    <x v="5"/>
    <s v="QA Engineer"/>
    <n v="2"/>
    <s v="Bengaluru"/>
    <n v="66000"/>
    <n v="10.9"/>
    <n v="11.4"/>
    <n v="9.4"/>
    <n v="3.1"/>
    <n v="3"/>
    <n v="3"/>
    <n v="2"/>
    <s v="No"/>
    <n v="3"/>
    <n v="1"/>
    <m/>
  </r>
  <r>
    <s v="EMP0156"/>
    <d v="2023-11-08T00:00:00"/>
    <m/>
    <s v="No"/>
    <n v="27"/>
    <s v="Male"/>
    <s v="Married"/>
    <s v="Bachelor's"/>
    <x v="1"/>
    <s v="Data Engineer"/>
    <n v="1"/>
    <s v="Mumbai"/>
    <n v="43000"/>
    <n v="16.5"/>
    <n v="9.6999999999999993"/>
    <n v="2.1"/>
    <n v="1.5"/>
    <n v="4"/>
    <n v="3"/>
    <n v="3"/>
    <s v="No"/>
    <n v="3"/>
    <n v="1"/>
    <m/>
  </r>
  <r>
    <s v="EMP0157"/>
    <d v="2021-11-05T00:00:00"/>
    <m/>
    <s v="No"/>
    <n v="44"/>
    <s v="Female"/>
    <s v="Single"/>
    <s v="PhD"/>
    <x v="6"/>
    <s v="Business Development Executive"/>
    <n v="4"/>
    <s v="Hyderabad"/>
    <n v="106000"/>
    <n v="5"/>
    <n v="11.9"/>
    <n v="4.2"/>
    <n v="0.6"/>
    <n v="4"/>
    <n v="3"/>
    <n v="4"/>
    <s v="No"/>
    <n v="3"/>
    <n v="1"/>
    <m/>
  </r>
  <r>
    <s v="EMP0158"/>
    <d v="2016-07-20T00:00:00"/>
    <m/>
    <s v="No"/>
    <n v="33"/>
    <s v="Non-Binary"/>
    <s v="Single"/>
    <s v="PhD"/>
    <x v="6"/>
    <s v="Business Development Executive"/>
    <n v="5"/>
    <s v="Noida"/>
    <n v="163000"/>
    <n v="2.2000000000000002"/>
    <n v="12.4"/>
    <n v="9.4"/>
    <n v="5.6"/>
    <n v="3"/>
    <n v="2"/>
    <n v="4"/>
    <s v="No"/>
    <n v="3"/>
    <n v="1"/>
    <m/>
  </r>
  <r>
    <s v="EMP0159"/>
    <d v="2015-12-23T00:00:00"/>
    <m/>
    <s v="No"/>
    <n v="32"/>
    <s v="Female"/>
    <s v="Married"/>
    <s v="Bachelor's"/>
    <x v="1"/>
    <s v="Data Engineer"/>
    <n v="3"/>
    <s v="Mumbai"/>
    <n v="86000"/>
    <n v="5"/>
    <n v="15.4"/>
    <n v="10"/>
    <n v="0.8"/>
    <n v="4"/>
    <n v="3"/>
    <n v="2"/>
    <s v="Yes"/>
    <n v="2"/>
    <n v="1"/>
    <m/>
  </r>
  <r>
    <s v="EMP0160"/>
    <d v="2019-06-13T00:00:00"/>
    <m/>
    <s v="No"/>
    <n v="39"/>
    <s v="Male"/>
    <s v="Single"/>
    <s v="Master's"/>
    <x v="4"/>
    <s v="HR Manager"/>
    <n v="3"/>
    <s v="Noida"/>
    <n v="74000"/>
    <n v="3.8"/>
    <n v="6.8"/>
    <n v="6.6"/>
    <n v="5.8"/>
    <n v="4"/>
    <n v="3"/>
    <n v="4"/>
    <s v="No"/>
    <n v="4"/>
    <n v="1"/>
    <m/>
  </r>
  <r>
    <s v="EMP0161"/>
    <d v="2019-02-22T00:00:00"/>
    <m/>
    <s v="No"/>
    <n v="31"/>
    <s v="Male"/>
    <s v="Divorced"/>
    <s v="Master's"/>
    <x v="0"/>
    <s v="Operations Manager"/>
    <n v="2"/>
    <s v="Mumbai"/>
    <n v="65000"/>
    <n v="8"/>
    <n v="14.6"/>
    <n v="6.9"/>
    <n v="2"/>
    <n v="3"/>
    <n v="4"/>
    <n v="2"/>
    <s v="No"/>
    <n v="2"/>
    <n v="1"/>
    <m/>
  </r>
  <r>
    <s v="EMP0162"/>
    <d v="2018-06-06T00:00:00"/>
    <m/>
    <s v="No"/>
    <n v="31"/>
    <s v="Non-Binary"/>
    <s v="Single"/>
    <s v="Diploma"/>
    <x v="6"/>
    <s v="Business Development Executive"/>
    <n v="3"/>
    <s v="Hyderabad"/>
    <n v="74000"/>
    <n v="0"/>
    <n v="11.4"/>
    <n v="7.6"/>
    <n v="1.8"/>
    <n v="2"/>
    <n v="4"/>
    <n v="2"/>
    <s v="No"/>
    <n v="4"/>
    <n v="1"/>
    <m/>
  </r>
  <r>
    <s v="EMP0163"/>
    <d v="2020-02-15T00:00:00"/>
    <m/>
    <s v="No"/>
    <n v="31"/>
    <s v="Female"/>
    <s v="Divorced"/>
    <s v="Bachelor's"/>
    <x v="6"/>
    <s v="Business Development Executive"/>
    <n v="3"/>
    <s v="Noida"/>
    <n v="83000"/>
    <n v="16.399999999999999"/>
    <n v="9.5"/>
    <n v="5.9"/>
    <n v="0.4"/>
    <n v="2"/>
    <n v="1"/>
    <n v="3"/>
    <s v="No"/>
    <n v="1"/>
    <n v="1"/>
    <m/>
  </r>
  <r>
    <s v="EMP0164"/>
    <d v="2017-10-11T00:00:00"/>
    <m/>
    <s v="No"/>
    <n v="31"/>
    <s v="Non-Binary"/>
    <s v="Married"/>
    <s v="PhD"/>
    <x v="2"/>
    <s v="System Administrator"/>
    <n v="4"/>
    <s v="Bengaluru"/>
    <n v="98000"/>
    <n v="19.3"/>
    <n v="11.6"/>
    <n v="8.1999999999999993"/>
    <n v="2.8"/>
    <n v="3"/>
    <n v="4"/>
    <n v="3"/>
    <s v="No"/>
    <n v="3"/>
    <n v="1"/>
    <m/>
  </r>
  <r>
    <s v="EMP0165"/>
    <d v="2020-09-03T00:00:00"/>
    <m/>
    <s v="No"/>
    <n v="33"/>
    <s v="Female"/>
    <s v="Married"/>
    <s v="Master's"/>
    <x v="0"/>
    <s v="Operations Analyst"/>
    <n v="2"/>
    <s v="Mumbai"/>
    <n v="49000"/>
    <n v="9.8000000000000007"/>
    <n v="11"/>
    <n v="5.3"/>
    <n v="4.2"/>
    <n v="2"/>
    <n v="3"/>
    <n v="4"/>
    <s v="Yes"/>
    <n v="4"/>
    <n v="1"/>
    <m/>
  </r>
  <r>
    <s v="EMP0166"/>
    <d v="2021-06-11T00:00:00"/>
    <m/>
    <s v="No"/>
    <n v="29"/>
    <s v="Non-Binary"/>
    <s v="Divorced"/>
    <s v="Diploma"/>
    <x v="5"/>
    <s v="QA Engineer"/>
    <n v="3"/>
    <s v="Chennai"/>
    <n v="81000"/>
    <n v="8.9"/>
    <n v="7.7"/>
    <n v="4.5999999999999996"/>
    <n v="0.5"/>
    <n v="3"/>
    <n v="3"/>
    <n v="3"/>
    <s v="No"/>
    <n v="3"/>
    <n v="1"/>
    <m/>
  </r>
  <r>
    <s v="EMP0167"/>
    <d v="2023-04-16T00:00:00"/>
    <m/>
    <s v="No"/>
    <n v="28"/>
    <s v="Female"/>
    <s v="Divorced"/>
    <s v="Master's"/>
    <x v="4"/>
    <s v="HR Executive"/>
    <n v="3"/>
    <s v="Chennai"/>
    <n v="75000"/>
    <n v="8"/>
    <n v="3.8"/>
    <n v="2.7"/>
    <n v="1"/>
    <n v="2"/>
    <n v="3"/>
    <n v="3"/>
    <s v="Yes"/>
    <n v="3"/>
    <n v="1"/>
    <m/>
  </r>
  <r>
    <s v="EMP0168"/>
    <d v="2025-07-01T00:00:00"/>
    <m/>
    <s v="No"/>
    <n v="21"/>
    <s v="Non-Binary"/>
    <s v="Divorced"/>
    <s v="PhD"/>
    <x v="1"/>
    <s v="Data Engineer"/>
    <n v="1"/>
    <s v="Mumbai"/>
    <n v="49000"/>
    <n v="14"/>
    <n v="7.4"/>
    <n v="0.5"/>
    <n v="0"/>
    <n v="4"/>
    <n v="3"/>
    <n v="2"/>
    <s v="Yes"/>
    <n v="3"/>
    <n v="1"/>
    <m/>
  </r>
  <r>
    <s v="EMP0169"/>
    <d v="2016-09-17T00:00:00"/>
    <d v="2025-04-23T00:00:00"/>
    <s v="Yes"/>
    <n v="31"/>
    <s v="Non-Binary"/>
    <s v="Married"/>
    <s v="Bachelor's"/>
    <x v="0"/>
    <s v="Process Associate"/>
    <n v="2"/>
    <s v="Chennai"/>
    <n v="46000"/>
    <n v="3.4"/>
    <n v="10.9"/>
    <n v="8.6"/>
    <n v="1.6"/>
    <n v="2"/>
    <n v="3"/>
    <n v="2"/>
    <s v="No"/>
    <n v="3"/>
    <n v="1"/>
    <m/>
  </r>
  <r>
    <s v="EMP0170"/>
    <d v="2022-01-21T00:00:00"/>
    <m/>
    <s v="No"/>
    <n v="25"/>
    <s v="Non-Binary"/>
    <s v="Single"/>
    <s v="Diploma"/>
    <x v="5"/>
    <s v="QA Engineer"/>
    <n v="1"/>
    <s v="Bengaluru"/>
    <n v="54000"/>
    <n v="12.7"/>
    <n v="4.3"/>
    <n v="3.9"/>
    <n v="2.8"/>
    <n v="3"/>
    <n v="3"/>
    <n v="4"/>
    <s v="No"/>
    <n v="2"/>
    <n v="1"/>
    <m/>
  </r>
  <r>
    <s v="EMP0171"/>
    <d v="2016-02-23T00:00:00"/>
    <m/>
    <s v="No"/>
    <n v="38"/>
    <s v="Non-Binary"/>
    <s v="Married"/>
    <s v="Master's"/>
    <x v="3"/>
    <s v="Finance Executive"/>
    <n v="2"/>
    <s v="Chennai"/>
    <n v="45000"/>
    <n v="6.9"/>
    <n v="11.7"/>
    <n v="9.9"/>
    <n v="4.9000000000000004"/>
    <n v="4"/>
    <n v="3"/>
    <n v="3"/>
    <s v="No"/>
    <n v="4"/>
    <n v="1"/>
    <m/>
  </r>
  <r>
    <s v="EMP0172"/>
    <d v="2022-09-10T00:00:00"/>
    <m/>
    <s v="No"/>
    <n v="24"/>
    <s v="Non-Binary"/>
    <s v="Divorced"/>
    <s v="Bachelor's"/>
    <x v="1"/>
    <s v="BI Analyst"/>
    <n v="1"/>
    <s v="Pune"/>
    <n v="46000"/>
    <n v="8"/>
    <n v="8.1"/>
    <n v="3.3"/>
    <n v="0.6"/>
    <n v="3"/>
    <n v="4"/>
    <n v="3"/>
    <s v="No"/>
    <n v="4"/>
    <n v="1"/>
    <m/>
  </r>
  <r>
    <s v="EMP0173"/>
    <d v="2014-02-02T00:00:00"/>
    <m/>
    <s v="No"/>
    <n v="38"/>
    <s v="Female"/>
    <s v="Single"/>
    <s v="Diploma"/>
    <x v="2"/>
    <s v="IT Support Lead"/>
    <n v="4"/>
    <s v="Noida"/>
    <n v="112000"/>
    <n v="7.6"/>
    <n v="13.9"/>
    <n v="11.9"/>
    <n v="4.3"/>
    <n v="2"/>
    <n v="4"/>
    <n v="4"/>
    <s v="No"/>
    <n v="4"/>
    <n v="1"/>
    <m/>
  </r>
  <r>
    <s v="EMP0174"/>
    <d v="2023-07-30T00:00:00"/>
    <d v="2025-09-21T00:00:00"/>
    <s v="Yes"/>
    <n v="25"/>
    <s v="Non-Binary"/>
    <s v="Single"/>
    <s v="Bachelor's"/>
    <x v="3"/>
    <s v="Finance Manager"/>
    <n v="1"/>
    <s v="Noida"/>
    <n v="41000"/>
    <n v="11.4"/>
    <n v="8.1"/>
    <n v="2.1"/>
    <n v="1.5"/>
    <n v="4"/>
    <n v="4"/>
    <n v="3"/>
    <s v="No"/>
    <n v="3"/>
    <n v="1"/>
    <m/>
  </r>
  <r>
    <s v="EMP0175"/>
    <d v="2016-05-23T00:00:00"/>
    <m/>
    <s v="No"/>
    <n v="35"/>
    <s v="Female"/>
    <s v="Married"/>
    <s v="Bachelor's"/>
    <x v="3"/>
    <s v="Finance Executive"/>
    <n v="4"/>
    <s v="Bengaluru"/>
    <n v="104000"/>
    <n v="12.7"/>
    <n v="13.6"/>
    <n v="9.6"/>
    <n v="1.9"/>
    <n v="4"/>
    <n v="3"/>
    <n v="3"/>
    <s v="No"/>
    <n v="2"/>
    <n v="1"/>
    <m/>
  </r>
  <r>
    <s v="EMP0176"/>
    <d v="2017-08-12T00:00:00"/>
    <m/>
    <s v="No"/>
    <n v="29"/>
    <s v="Female"/>
    <s v="Single"/>
    <s v="Diploma"/>
    <x v="5"/>
    <s v="Tech Lead"/>
    <n v="1"/>
    <s v="Hyderabad"/>
    <n v="47000"/>
    <n v="6.2"/>
    <n v="11.8"/>
    <n v="8.4"/>
    <n v="6"/>
    <n v="3"/>
    <n v="4"/>
    <n v="4"/>
    <s v="Yes"/>
    <n v="3"/>
    <n v="1"/>
    <m/>
  </r>
  <r>
    <s v="EMP0177"/>
    <d v="2024-07-27T00:00:00"/>
    <m/>
    <s v="No"/>
    <n v="22"/>
    <s v="Male"/>
    <s v="Married"/>
    <s v="Bachelor's"/>
    <x v="5"/>
    <s v="QA Engineer"/>
    <n v="1"/>
    <s v="Pune"/>
    <n v="43000"/>
    <n v="3.9"/>
    <n v="7.2"/>
    <n v="1.4"/>
    <n v="1.1000000000000001"/>
    <n v="1"/>
    <n v="3"/>
    <n v="2"/>
    <s v="No"/>
    <n v="2"/>
    <n v="1"/>
    <m/>
  </r>
  <r>
    <s v="EMP0178"/>
    <d v="2025-05-03T00:00:00"/>
    <m/>
    <s v="No"/>
    <n v="21"/>
    <s v="Male"/>
    <s v="Divorced"/>
    <s v="Bachelor's"/>
    <x v="4"/>
    <s v="Recruiter"/>
    <n v="1"/>
    <s v="Bengaluru"/>
    <n v="47000"/>
    <n v="9.8000000000000007"/>
    <n v="1.6"/>
    <n v="0.7"/>
    <n v="0"/>
    <n v="1"/>
    <n v="3"/>
    <n v="3"/>
    <s v="No"/>
    <n v="3"/>
    <n v="1"/>
    <m/>
  </r>
  <r>
    <s v="EMP0179"/>
    <d v="2024-07-04T00:00:00"/>
    <d v="2025-12-13T00:00:00"/>
    <s v="Yes"/>
    <n v="29"/>
    <s v="Non-Binary"/>
    <s v="Single"/>
    <s v="Master's"/>
    <x v="6"/>
    <s v="Sales Manager"/>
    <n v="4"/>
    <s v="Mumbai"/>
    <n v="114000"/>
    <n v="8.8000000000000007"/>
    <n v="2.6"/>
    <n v="1.4"/>
    <n v="0.7"/>
    <n v="4"/>
    <n v="1"/>
    <n v="3"/>
    <s v="No"/>
    <n v="3"/>
    <n v="1"/>
    <m/>
  </r>
  <r>
    <s v="EMP0180"/>
    <d v="2024-09-07T00:00:00"/>
    <m/>
    <s v="No"/>
    <n v="34"/>
    <s v="Male"/>
    <s v="Single"/>
    <s v="Diploma"/>
    <x v="4"/>
    <s v="HR Manager"/>
    <n v="4"/>
    <s v="Noida"/>
    <n v="107000"/>
    <n v="7.5"/>
    <n v="4.4000000000000004"/>
    <n v="1.3"/>
    <n v="1.3"/>
    <n v="4"/>
    <n v="3"/>
    <n v="2"/>
    <s v="Yes"/>
    <n v="3"/>
    <n v="1"/>
    <m/>
  </r>
  <r>
    <s v="EMP0181"/>
    <d v="2018-08-07T00:00:00"/>
    <m/>
    <s v="No"/>
    <n v="35"/>
    <s v="Non-Binary"/>
    <s v="Divorced"/>
    <s v="Bachelor's"/>
    <x v="5"/>
    <s v="QA Engineer"/>
    <n v="2"/>
    <s v="Chennai"/>
    <n v="44000"/>
    <n v="3.6"/>
    <n v="13.7"/>
    <n v="7.4"/>
    <n v="4.8"/>
    <n v="3"/>
    <n v="2"/>
    <n v="3"/>
    <s v="Yes"/>
    <n v="3"/>
    <n v="1"/>
    <m/>
  </r>
  <r>
    <s v="EMP0182"/>
    <d v="2024-02-27T00:00:00"/>
    <m/>
    <s v="No"/>
    <n v="34"/>
    <s v="Male"/>
    <s v="Single"/>
    <s v="Diploma"/>
    <x v="5"/>
    <s v="QA Engineer"/>
    <n v="4"/>
    <s v="Pune"/>
    <n v="123000"/>
    <n v="9.1"/>
    <n v="7.3"/>
    <n v="1.8"/>
    <n v="1.4"/>
    <n v="3"/>
    <n v="4"/>
    <n v="4"/>
    <s v="No"/>
    <n v="1"/>
    <n v="1"/>
    <m/>
  </r>
  <r>
    <s v="EMP0183"/>
    <d v="2022-03-28T00:00:00"/>
    <m/>
    <s v="No"/>
    <n v="29"/>
    <s v="Male"/>
    <s v="Married"/>
    <s v="Bachelor's"/>
    <x v="5"/>
    <s v="Software Developer"/>
    <n v="4"/>
    <s v="Chennai"/>
    <n v="117000"/>
    <n v="9.8000000000000007"/>
    <n v="7.2"/>
    <n v="3.8"/>
    <n v="1.5"/>
    <n v="3"/>
    <n v="3"/>
    <n v="3"/>
    <s v="No"/>
    <n v="2"/>
    <n v="1"/>
    <m/>
  </r>
  <r>
    <s v="EMP0184"/>
    <d v="2021-02-16T00:00:00"/>
    <m/>
    <s v="No"/>
    <n v="36"/>
    <s v="Male"/>
    <s v="Married"/>
    <s v="Bachelor's"/>
    <x v="1"/>
    <s v="BI Analyst"/>
    <n v="3"/>
    <s v="Mumbai"/>
    <n v="74000"/>
    <n v="13.1"/>
    <n v="5.4"/>
    <n v="4.9000000000000004"/>
    <n v="3.4"/>
    <n v="4"/>
    <n v="3"/>
    <n v="4"/>
    <s v="No"/>
    <n v="2"/>
    <n v="1"/>
    <m/>
  </r>
  <r>
    <s v="EMP0185"/>
    <d v="2017-01-08T00:00:00"/>
    <m/>
    <s v="No"/>
    <n v="35"/>
    <s v="Non-Binary"/>
    <s v="Married"/>
    <s v="Master's"/>
    <x v="4"/>
    <s v="HR Executive"/>
    <n v="2"/>
    <s v="Hyderabad"/>
    <n v="59000"/>
    <n v="15.7"/>
    <n v="14.6"/>
    <n v="9"/>
    <n v="1"/>
    <n v="2"/>
    <n v="4"/>
    <n v="3"/>
    <s v="No"/>
    <n v="4"/>
    <n v="1"/>
    <m/>
  </r>
  <r>
    <s v="EMP0186"/>
    <d v="2025-03-10T00:00:00"/>
    <m/>
    <s v="No"/>
    <n v="21"/>
    <s v="Female"/>
    <s v="Married"/>
    <s v="Diploma"/>
    <x v="1"/>
    <s v="Senior Data Analyst"/>
    <n v="1"/>
    <s v="Bengaluru"/>
    <n v="28000"/>
    <n v="6.5"/>
    <n v="4.2"/>
    <n v="0.8"/>
    <n v="0"/>
    <n v="4"/>
    <n v="3"/>
    <n v="4"/>
    <s v="Yes"/>
    <n v="4"/>
    <n v="1"/>
    <m/>
  </r>
  <r>
    <s v="EMP0187"/>
    <d v="2022-09-19T00:00:00"/>
    <m/>
    <s v="No"/>
    <n v="37"/>
    <s v="Female"/>
    <s v="Married"/>
    <s v="PhD"/>
    <x v="3"/>
    <s v="Accountant"/>
    <n v="2"/>
    <s v="Pune"/>
    <n v="48000"/>
    <n v="9.6999999999999993"/>
    <n v="5.0999999999999996"/>
    <n v="3.3"/>
    <n v="1.7"/>
    <n v="3"/>
    <n v="1"/>
    <n v="4"/>
    <s v="Yes"/>
    <n v="3"/>
    <n v="1"/>
    <m/>
  </r>
  <r>
    <s v="EMP0188"/>
    <d v="2017-10-01T00:00:00"/>
    <m/>
    <s v="No"/>
    <n v="29"/>
    <s v="Non-Binary"/>
    <s v="Divorced"/>
    <s v="Bachelor's"/>
    <x v="1"/>
    <s v="Data Analyst"/>
    <n v="3"/>
    <s v="Pune"/>
    <n v="77000"/>
    <n v="5.3"/>
    <n v="11.6"/>
    <n v="8.1999999999999993"/>
    <n v="4.3"/>
    <n v="3"/>
    <n v="3"/>
    <n v="2"/>
    <s v="No"/>
    <n v="3"/>
    <n v="1"/>
    <m/>
  </r>
  <r>
    <s v="EMP0189"/>
    <d v="2020-04-06T00:00:00"/>
    <m/>
    <s v="No"/>
    <n v="26"/>
    <s v="Non-Binary"/>
    <s v="Married"/>
    <s v="Master's"/>
    <x v="1"/>
    <s v="Data Analyst"/>
    <n v="1"/>
    <s v="Mumbai"/>
    <n v="49000"/>
    <n v="5.2"/>
    <n v="12.5"/>
    <n v="5.7"/>
    <n v="1.9"/>
    <n v="3"/>
    <n v="3"/>
    <n v="1"/>
    <s v="Yes"/>
    <n v="3"/>
    <n v="1"/>
    <m/>
  </r>
  <r>
    <s v="EMP0190"/>
    <d v="2016-08-15T00:00:00"/>
    <m/>
    <s v="No"/>
    <n v="36"/>
    <s v="Non-Binary"/>
    <s v="Single"/>
    <s v="Diploma"/>
    <x v="6"/>
    <s v="Business Development Executive"/>
    <n v="5"/>
    <s v="Bengaluru"/>
    <n v="155000"/>
    <n v="5.6"/>
    <n v="10.6"/>
    <n v="9.4"/>
    <n v="5.6"/>
    <n v="3"/>
    <n v="1"/>
    <n v="3"/>
    <s v="No"/>
    <n v="4"/>
    <n v="1"/>
    <m/>
  </r>
  <r>
    <s v="EMP0191"/>
    <d v="2019-05-17T00:00:00"/>
    <m/>
    <s v="No"/>
    <n v="29"/>
    <s v="Male"/>
    <s v="Divorced"/>
    <s v="PhD"/>
    <x v="2"/>
    <s v="IT Support Lead"/>
    <n v="4"/>
    <s v="Noida"/>
    <n v="109000"/>
    <n v="19.2"/>
    <n v="10.6"/>
    <n v="6.6"/>
    <n v="0.4"/>
    <n v="3"/>
    <n v="4"/>
    <n v="3"/>
    <s v="Yes"/>
    <n v="2"/>
    <n v="1"/>
    <m/>
  </r>
  <r>
    <s v="EMP0192"/>
    <d v="2024-09-15T00:00:00"/>
    <m/>
    <s v="No"/>
    <n v="41"/>
    <s v="Female"/>
    <s v="Married"/>
    <s v="PhD"/>
    <x v="6"/>
    <s v="Business Development Executive"/>
    <n v="5"/>
    <s v="Noida"/>
    <n v="147000"/>
    <n v="8.9"/>
    <n v="1.9"/>
    <n v="1.3"/>
    <n v="0.7"/>
    <n v="2"/>
    <n v="3"/>
    <n v="4"/>
    <s v="Yes"/>
    <n v="3"/>
    <n v="1"/>
    <m/>
  </r>
  <r>
    <s v="EMP0193"/>
    <d v="2023-05-03T00:00:00"/>
    <m/>
    <s v="No"/>
    <n v="29"/>
    <s v="Non-Binary"/>
    <s v="Married"/>
    <s v="Master's"/>
    <x v="2"/>
    <s v="IT Analyst"/>
    <n v="2"/>
    <s v="Mumbai"/>
    <n v="68000"/>
    <n v="11.8"/>
    <n v="7.3"/>
    <n v="2.7"/>
    <n v="0.4"/>
    <n v="2"/>
    <n v="2"/>
    <n v="3"/>
    <s v="Yes"/>
    <n v="3"/>
    <n v="1"/>
    <m/>
  </r>
  <r>
    <s v="EMP0194"/>
    <d v="2024-04-18T00:00:00"/>
    <m/>
    <s v="No"/>
    <n v="37"/>
    <s v="Male"/>
    <s v="Married"/>
    <s v="PhD"/>
    <x v="6"/>
    <s v="Business Development Executive"/>
    <n v="2"/>
    <s v="Chennai"/>
    <n v="62000"/>
    <n v="11.5"/>
    <n v="7.3"/>
    <n v="1.7"/>
    <n v="0.1"/>
    <n v="3"/>
    <n v="4"/>
    <n v="3"/>
    <s v="Yes"/>
    <n v="2"/>
    <n v="1"/>
    <m/>
  </r>
  <r>
    <s v="EMP0195"/>
    <d v="2018-01-27T00:00:00"/>
    <m/>
    <s v="No"/>
    <n v="28"/>
    <s v="Male"/>
    <s v="Single"/>
    <s v="Master's"/>
    <x v="5"/>
    <s v="QA Engineer"/>
    <n v="2"/>
    <s v="Pune"/>
    <n v="57000"/>
    <n v="8.6999999999999993"/>
    <n v="13.9"/>
    <n v="7.9"/>
    <n v="1.5"/>
    <n v="3"/>
    <n v="3"/>
    <n v="4"/>
    <s v="Yes"/>
    <n v="2"/>
    <n v="1"/>
    <m/>
  </r>
  <r>
    <s v="EMP0196"/>
    <d v="2018-04-29T00:00:00"/>
    <m/>
    <s v="No"/>
    <n v="34"/>
    <s v="Male"/>
    <s v="Single"/>
    <s v="Diploma"/>
    <x v="1"/>
    <s v="Data Engineer"/>
    <n v="2"/>
    <s v="Bengaluru"/>
    <n v="50000"/>
    <n v="10.5"/>
    <n v="14.2"/>
    <n v="7.7"/>
    <n v="0.1"/>
    <n v="3"/>
    <n v="1"/>
    <n v="4"/>
    <s v="No"/>
    <n v="3"/>
    <n v="1"/>
    <m/>
  </r>
  <r>
    <s v="EMP0197"/>
    <d v="2014-11-21T00:00:00"/>
    <m/>
    <s v="No"/>
    <n v="37"/>
    <s v="Female"/>
    <s v="Single"/>
    <s v="Bachelor's"/>
    <x v="5"/>
    <s v="Tech Lead"/>
    <n v="1"/>
    <s v="Chennai"/>
    <n v="48000"/>
    <n v="12.3"/>
    <n v="14.2"/>
    <n v="11.1"/>
    <n v="2.6"/>
    <n v="3"/>
    <n v="3"/>
    <n v="4"/>
    <s v="No"/>
    <n v="3"/>
    <n v="1"/>
    <m/>
  </r>
  <r>
    <s v="EMP0198"/>
    <d v="2019-11-12T00:00:00"/>
    <d v="2025-07-16T00:00:00"/>
    <s v="Yes"/>
    <n v="33"/>
    <s v="Non-Binary"/>
    <s v="Single"/>
    <s v="PhD"/>
    <x v="4"/>
    <s v="Recruiter"/>
    <n v="3"/>
    <s v="Noida"/>
    <n v="59000"/>
    <n v="10.7"/>
    <n v="6.8"/>
    <n v="5.7"/>
    <n v="1.1000000000000001"/>
    <n v="3"/>
    <n v="4"/>
    <n v="3"/>
    <s v="No"/>
    <n v="4"/>
    <n v="1"/>
    <m/>
  </r>
  <r>
    <s v="EMP0199"/>
    <d v="2020-01-12T00:00:00"/>
    <m/>
    <s v="No"/>
    <n v="35"/>
    <s v="Male"/>
    <s v="Married"/>
    <s v="Diploma"/>
    <x v="6"/>
    <s v="Business Development Executive"/>
    <n v="3"/>
    <s v="Chennai"/>
    <n v="65000"/>
    <n v="4.7"/>
    <n v="7.4"/>
    <n v="6"/>
    <n v="1.9"/>
    <n v="3"/>
    <n v="2"/>
    <n v="4"/>
    <s v="No"/>
    <n v="4"/>
    <n v="1"/>
    <m/>
  </r>
  <r>
    <s v="EMP0200"/>
    <d v="2018-01-06T00:00:00"/>
    <m/>
    <s v="No"/>
    <n v="33"/>
    <s v="Female"/>
    <s v="Single"/>
    <s v="Master's"/>
    <x v="1"/>
    <s v="BI Analyst"/>
    <n v="2"/>
    <s v="Pune"/>
    <n v="68000"/>
    <n v="9.1"/>
    <n v="8.4"/>
    <n v="8"/>
    <n v="6"/>
    <n v="4"/>
    <n v="2"/>
    <n v="4"/>
    <s v="Yes"/>
    <n v="4"/>
    <n v="1"/>
    <m/>
  </r>
  <r>
    <s v="EMP0201"/>
    <d v="2017-07-16T00:00:00"/>
    <m/>
    <s v="No"/>
    <n v="40"/>
    <s v="Female"/>
    <s v="Divorced"/>
    <s v="Diploma"/>
    <x v="4"/>
    <s v="HR Analyst"/>
    <n v="4"/>
    <s v="Pune"/>
    <n v="101000"/>
    <n v="9.4"/>
    <n v="16"/>
    <n v="8.5"/>
    <n v="3.4"/>
    <n v="1"/>
    <n v="3"/>
    <n v="2"/>
    <s v="No"/>
    <n v="5"/>
    <n v="1"/>
    <m/>
  </r>
  <r>
    <s v="EMP0202"/>
    <d v="2023-06-12T00:00:00"/>
    <d v="2025-11-11T00:00:00"/>
    <s v="Yes"/>
    <n v="30"/>
    <s v="Female"/>
    <s v="Single"/>
    <s v="Bachelor's"/>
    <x v="3"/>
    <s v="Financial Analyst"/>
    <n v="1"/>
    <s v="Pune"/>
    <n v="32000"/>
    <n v="9.9"/>
    <n v="4"/>
    <n v="2.4"/>
    <n v="0.3"/>
    <n v="3"/>
    <n v="3"/>
    <n v="4"/>
    <s v="Yes"/>
    <n v="4"/>
    <n v="1"/>
    <m/>
  </r>
  <r>
    <s v="EMP0203"/>
    <d v="2015-10-19T00:00:00"/>
    <m/>
    <s v="No"/>
    <n v="42"/>
    <s v="Male"/>
    <s v="Divorced"/>
    <s v="PhD"/>
    <x v="4"/>
    <s v="Recruiter"/>
    <n v="3"/>
    <s v="Noida"/>
    <n v="66000"/>
    <n v="8.3000000000000007"/>
    <n v="17.7"/>
    <n v="10.199999999999999"/>
    <n v="2.4"/>
    <n v="4"/>
    <n v="2"/>
    <n v="3"/>
    <s v="No"/>
    <n v="2"/>
    <n v="1"/>
    <m/>
  </r>
  <r>
    <s v="EMP0204"/>
    <d v="2014-05-14T00:00:00"/>
    <m/>
    <s v="No"/>
    <n v="43"/>
    <s v="Male"/>
    <s v="Single"/>
    <s v="Bachelor's"/>
    <x v="3"/>
    <s v="Finance Executive"/>
    <n v="2"/>
    <s v="Noida"/>
    <n v="57000"/>
    <n v="13.1"/>
    <n v="13.4"/>
    <n v="11.6"/>
    <n v="3.5"/>
    <n v="4"/>
    <n v="2"/>
    <n v="3"/>
    <s v="No"/>
    <n v="4"/>
    <n v="1"/>
    <m/>
  </r>
  <r>
    <s v="EMP0205"/>
    <d v="2016-09-06T00:00:00"/>
    <m/>
    <s v="No"/>
    <n v="35"/>
    <s v="Female"/>
    <s v="Divorced"/>
    <s v="Bachelor's"/>
    <x v="4"/>
    <s v="HR Manager"/>
    <n v="4"/>
    <s v="Pune"/>
    <n v="114000"/>
    <n v="9.3000000000000007"/>
    <n v="15.8"/>
    <n v="9.3000000000000007"/>
    <n v="3.7"/>
    <n v="2"/>
    <n v="3"/>
    <n v="2"/>
    <s v="No"/>
    <n v="3"/>
    <n v="1"/>
    <m/>
  </r>
  <r>
    <s v="EMP0206"/>
    <d v="2017-12-31T00:00:00"/>
    <m/>
    <s v="No"/>
    <n v="29"/>
    <s v="Female"/>
    <s v="Single"/>
    <s v="Bachelor's"/>
    <x v="6"/>
    <s v="Sales Manager"/>
    <n v="2"/>
    <s v="Bengaluru"/>
    <n v="65000"/>
    <n v="18.2"/>
    <n v="15.1"/>
    <n v="8"/>
    <n v="2.7"/>
    <n v="3"/>
    <n v="3"/>
    <n v="2"/>
    <s v="Yes"/>
    <n v="2"/>
    <n v="1"/>
    <m/>
  </r>
  <r>
    <s v="EMP0207"/>
    <d v="2016-04-19T00:00:00"/>
    <m/>
    <s v="No"/>
    <n v="30"/>
    <s v="Non-Binary"/>
    <s v="Single"/>
    <s v="Master's"/>
    <x v="3"/>
    <s v="Finance Manager"/>
    <n v="3"/>
    <s v="Mumbai"/>
    <n v="93000"/>
    <n v="15.3"/>
    <n v="14.1"/>
    <n v="9.6999999999999993"/>
    <n v="0.6"/>
    <n v="3"/>
    <n v="3"/>
    <n v="4"/>
    <s v="No"/>
    <n v="4"/>
    <n v="1"/>
    <m/>
  </r>
  <r>
    <s v="EMP0208"/>
    <d v="2022-08-11T00:00:00"/>
    <m/>
    <s v="No"/>
    <n v="30"/>
    <s v="Non-Binary"/>
    <s v="Divorced"/>
    <s v="PhD"/>
    <x v="5"/>
    <s v="Software Developer"/>
    <n v="2"/>
    <s v="Noida"/>
    <n v="57000"/>
    <n v="3.6"/>
    <n v="6.4"/>
    <n v="3.4"/>
    <n v="2.5"/>
    <n v="1"/>
    <n v="3"/>
    <n v="4"/>
    <s v="No"/>
    <n v="2"/>
    <n v="1"/>
    <m/>
  </r>
  <r>
    <s v="EMP0209"/>
    <d v="2020-04-30T00:00:00"/>
    <d v="2025-02-21T00:00:00"/>
    <s v="Yes"/>
    <n v="26"/>
    <s v="Non-Binary"/>
    <m/>
    <s v="Diploma"/>
    <x v="5"/>
    <s v="Tech Lead"/>
    <n v="1"/>
    <s v="Hyderabad"/>
    <n v="31000"/>
    <n v="8.9"/>
    <n v="7.5"/>
    <n v="4.8"/>
    <n v="4.7"/>
    <n v="4"/>
    <n v="3"/>
    <n v="3"/>
    <s v="Yes"/>
    <n v="5"/>
    <n v="1"/>
    <m/>
  </r>
  <r>
    <s v="EMP0210"/>
    <d v="2019-01-05T00:00:00"/>
    <m/>
    <s v="No"/>
    <n v="44"/>
    <s v="Male"/>
    <s v="Single"/>
    <s v="Master's"/>
    <x v="1"/>
    <s v="Data Analyst"/>
    <n v="1"/>
    <s v="Noida"/>
    <n v="30000"/>
    <n v="12.9"/>
    <n v="10.4"/>
    <n v="7"/>
    <n v="1.8"/>
    <n v="2"/>
    <n v="3"/>
    <n v="3"/>
    <s v="No"/>
    <n v="3"/>
    <n v="1"/>
    <m/>
  </r>
  <r>
    <s v="EMP0211"/>
    <d v="2024-05-07T00:00:00"/>
    <m/>
    <s v="No"/>
    <n v="33"/>
    <s v="Male"/>
    <s v="Married"/>
    <s v="Bachelor's"/>
    <x v="6"/>
    <s v="Sales Executive"/>
    <n v="3"/>
    <s v="Hyderabad"/>
    <n v="83000"/>
    <n v="4.5"/>
    <n v="3.8"/>
    <n v="1.7"/>
    <n v="1.1000000000000001"/>
    <n v="3"/>
    <n v="3"/>
    <n v="3"/>
    <s v="No"/>
    <n v="3"/>
    <n v="1"/>
    <m/>
  </r>
  <r>
    <s v="EMP0212"/>
    <d v="2015-11-28T00:00:00"/>
    <m/>
    <s v="No"/>
    <n v="34"/>
    <s v="Male"/>
    <s v="Divorced"/>
    <s v="Bachelor's"/>
    <x v="3"/>
    <s v="Finance Manager"/>
    <n v="2"/>
    <s v="Mumbai"/>
    <n v="59000"/>
    <n v="10.199999999999999"/>
    <n v="10.9"/>
    <n v="10.1"/>
    <n v="4"/>
    <n v="2"/>
    <n v="4"/>
    <n v="3"/>
    <s v="No"/>
    <n v="4"/>
    <n v="1"/>
    <m/>
  </r>
  <r>
    <s v="EMP0213"/>
    <d v="2019-09-22T00:00:00"/>
    <m/>
    <s v="No"/>
    <n v="29"/>
    <s v="Non-Binary"/>
    <s v="Divorced"/>
    <s v="Master's"/>
    <x v="2"/>
    <s v="IT Support Lead"/>
    <n v="5"/>
    <s v="Bengaluru"/>
    <n v="146000"/>
    <n v="6.5"/>
    <n v="8.6999999999999993"/>
    <n v="6.3"/>
    <n v="2.4"/>
    <n v="3"/>
    <n v="4"/>
    <n v="1"/>
    <s v="No"/>
    <n v="4"/>
    <n v="1"/>
    <m/>
  </r>
  <r>
    <s v="EMP0214"/>
    <d v="2017-02-19T00:00:00"/>
    <m/>
    <s v="No"/>
    <n v="29"/>
    <s v="Non-Binary"/>
    <s v="Married"/>
    <s v="Diploma"/>
    <x v="2"/>
    <s v="IT Support Lead"/>
    <n v="2"/>
    <s v="Noida"/>
    <n v="62000"/>
    <n v="14.7"/>
    <n v="12.2"/>
    <n v="8.9"/>
    <n v="5.9"/>
    <n v="4"/>
    <n v="3"/>
    <n v="4"/>
    <s v="No"/>
    <n v="4"/>
    <n v="1"/>
    <m/>
  </r>
  <r>
    <s v="EMP0215"/>
    <d v="2025-02-12T00:00:00"/>
    <m/>
    <s v="No"/>
    <n v="27"/>
    <s v="Female"/>
    <s v="Single"/>
    <s v="PhD"/>
    <x v="2"/>
    <s v="IT Support Specialist"/>
    <n v="1"/>
    <s v="Pune"/>
    <n v="37000"/>
    <n v="6.8"/>
    <n v="5"/>
    <n v="0.9"/>
    <n v="0"/>
    <n v="3"/>
    <n v="1"/>
    <n v="3"/>
    <s v="No"/>
    <n v="4"/>
    <n v="1"/>
    <m/>
  </r>
  <r>
    <s v="EMP0216"/>
    <d v="2019-02-12T00:00:00"/>
    <m/>
    <s v="No"/>
    <n v="34"/>
    <s v="Male"/>
    <s v="Single"/>
    <s v="Diploma"/>
    <x v="1"/>
    <s v="Data Analyst"/>
    <n v="4"/>
    <s v="Mumbai"/>
    <n v="115000"/>
    <n v="15.2"/>
    <n v="9.6"/>
    <n v="6.9"/>
    <n v="2.5"/>
    <n v="3"/>
    <n v="3"/>
    <n v="3"/>
    <s v="Yes"/>
    <n v="4"/>
    <n v="1"/>
    <m/>
  </r>
  <r>
    <s v="EMP0217"/>
    <d v="2017-12-17T00:00:00"/>
    <m/>
    <s v="No"/>
    <n v="29"/>
    <s v="Female"/>
    <s v="Married"/>
    <s v="Bachelor's"/>
    <x v="1"/>
    <s v="Data Engineer"/>
    <n v="1"/>
    <s v="Pune"/>
    <n v="36000"/>
    <n v="10.1"/>
    <n v="15.4"/>
    <n v="8"/>
    <n v="5.4"/>
    <n v="2"/>
    <n v="1"/>
    <n v="4"/>
    <s v="No"/>
    <n v="3"/>
    <n v="1"/>
    <m/>
  </r>
  <r>
    <s v="EMP0218"/>
    <d v="2020-07-07T00:00:00"/>
    <m/>
    <s v="No"/>
    <n v="38"/>
    <s v="Non-Binary"/>
    <s v="Married"/>
    <s v="Bachelor's"/>
    <x v="1"/>
    <s v="Senior Data Analyst"/>
    <n v="5"/>
    <s v="Chennai"/>
    <n v="197000"/>
    <n v="8.3000000000000007"/>
    <n v="10.6"/>
    <n v="5.5"/>
    <n v="1"/>
    <n v="3"/>
    <n v="2"/>
    <n v="4"/>
    <s v="No"/>
    <n v="4"/>
    <n v="1"/>
    <m/>
  </r>
  <r>
    <s v="EMP0219"/>
    <d v="2025-07-10T00:00:00"/>
    <m/>
    <s v="No"/>
    <n v="23"/>
    <s v="Male"/>
    <s v="Single"/>
    <s v="Bachelor's"/>
    <x v="2"/>
    <s v="System Administrator"/>
    <n v="1"/>
    <s v="Mumbai"/>
    <n v="26000"/>
    <n v="8.9"/>
    <n v="4.7"/>
    <n v="0.5"/>
    <n v="0"/>
    <n v="3"/>
    <n v="2"/>
    <n v="4"/>
    <s v="No"/>
    <n v="3"/>
    <n v="1"/>
    <m/>
  </r>
  <r>
    <s v="EMP0220"/>
    <d v="2023-04-26T00:00:00"/>
    <m/>
    <s v="No"/>
    <n v="29"/>
    <s v="Female"/>
    <s v="Divorced"/>
    <s v="Diploma"/>
    <x v="5"/>
    <s v="QA Engineer"/>
    <n v="3"/>
    <s v="Hyderabad"/>
    <n v="88000"/>
    <n v="8.9"/>
    <n v="3.7"/>
    <n v="2.7"/>
    <n v="0.1"/>
    <n v="3"/>
    <n v="3"/>
    <n v="3"/>
    <s v="No"/>
    <n v="3"/>
    <n v="1"/>
    <m/>
  </r>
  <r>
    <s v="EMP0221"/>
    <d v="2017-08-22T00:00:00"/>
    <m/>
    <s v="No"/>
    <n v="51"/>
    <s v="Female"/>
    <s v="Divorced"/>
    <s v="PhD"/>
    <x v="1"/>
    <s v="Senior Data Analyst"/>
    <n v="3"/>
    <s v="Chennai"/>
    <n v="85000"/>
    <n v="7"/>
    <n v="12.9"/>
    <n v="8.4"/>
    <n v="5.8"/>
    <n v="3"/>
    <n v="4"/>
    <n v="3"/>
    <s v="No"/>
    <n v="4"/>
    <n v="1"/>
    <m/>
  </r>
  <r>
    <s v="EMP0222"/>
    <d v="2024-02-25T00:00:00"/>
    <m/>
    <s v="No"/>
    <n v="38"/>
    <s v="Female"/>
    <s v="Married"/>
    <s v="PhD"/>
    <x v="5"/>
    <s v="Software Developer"/>
    <n v="3"/>
    <s v="Hyderabad"/>
    <n v="103000"/>
    <n v="11.3"/>
    <n v="6.7"/>
    <n v="1.8"/>
    <n v="1.7"/>
    <n v="4"/>
    <n v="3"/>
    <n v="3"/>
    <s v="Yes"/>
    <n v="3"/>
    <n v="1"/>
    <m/>
  </r>
  <r>
    <s v="EMP0223"/>
    <d v="2019-08-11T00:00:00"/>
    <d v="2025-12-06T00:00:00"/>
    <s v="Yes"/>
    <n v="37"/>
    <s v="Non-Binary"/>
    <s v="Single"/>
    <s v="PhD"/>
    <x v="1"/>
    <s v="Data Engineer"/>
    <n v="2"/>
    <s v="Bengaluru"/>
    <n v="72000"/>
    <n v="12.3"/>
    <n v="14.1"/>
    <n v="6.3"/>
    <n v="5"/>
    <n v="3"/>
    <n v="3"/>
    <n v="3"/>
    <s v="No"/>
    <n v="3"/>
    <n v="1"/>
    <m/>
  </r>
  <r>
    <s v="EMP0224"/>
    <d v="2015-08-15T00:00:00"/>
    <m/>
    <s v="No"/>
    <n v="40"/>
    <s v="Non-Binary"/>
    <s v="Married"/>
    <s v="Diploma"/>
    <x v="6"/>
    <s v="Sales Manager"/>
    <n v="3"/>
    <s v="Noida"/>
    <n v="87000"/>
    <n v="14.5"/>
    <n v="12.8"/>
    <n v="10.4"/>
    <n v="0.9"/>
    <n v="3"/>
    <n v="4"/>
    <n v="4"/>
    <s v="Yes"/>
    <n v="4"/>
    <n v="1"/>
    <m/>
  </r>
  <r>
    <s v="EMP0225"/>
    <d v="2014-01-11T00:00:00"/>
    <m/>
    <s v="No"/>
    <n v="32"/>
    <s v="Male"/>
    <s v="Divorced"/>
    <s v="PhD"/>
    <x v="1"/>
    <s v="Data Analyst"/>
    <n v="3"/>
    <s v="Noida"/>
    <n v="91000"/>
    <n v="13.8"/>
    <n v="12.3"/>
    <n v="12"/>
    <n v="4.2"/>
    <n v="3"/>
    <n v="3"/>
    <n v="2"/>
    <s v="Yes"/>
    <n v="4"/>
    <n v="1"/>
    <m/>
  </r>
  <r>
    <s v="EMP0226"/>
    <d v="2015-11-13T00:00:00"/>
    <d v="2025-03-07T00:00:00"/>
    <s v="Yes"/>
    <n v="36"/>
    <s v="Female"/>
    <s v="Divorced"/>
    <s v="Bachelor's"/>
    <x v="6"/>
    <s v="Sales Manager"/>
    <n v="4"/>
    <s v="Pune"/>
    <n v="107000"/>
    <n v="9.1"/>
    <n v="15.2"/>
    <n v="9.3000000000000007"/>
    <n v="4.4000000000000004"/>
    <n v="2"/>
    <n v="3"/>
    <n v="4"/>
    <s v="No"/>
    <n v="5"/>
    <n v="1"/>
    <m/>
  </r>
  <r>
    <s v="EMP0227"/>
    <d v="2022-02-09T00:00:00"/>
    <m/>
    <s v="No"/>
    <n v="34"/>
    <s v="Non-Binary"/>
    <s v="Single"/>
    <s v="PhD"/>
    <x v="6"/>
    <s v="Account Manager"/>
    <n v="3"/>
    <s v="Pune"/>
    <n v="77000"/>
    <n v="3.6"/>
    <n v="6.2"/>
    <n v="3.9"/>
    <n v="3.3"/>
    <n v="3"/>
    <n v="3"/>
    <n v="4"/>
    <s v="No"/>
    <n v="4"/>
    <n v="1"/>
    <m/>
  </r>
  <r>
    <s v="EMP0228"/>
    <d v="2021-03-27T00:00:00"/>
    <m/>
    <s v="No"/>
    <n v="38"/>
    <s v="Female"/>
    <s v="Single"/>
    <s v="Diploma"/>
    <x v="4"/>
    <s v="HR Executive"/>
    <n v="4"/>
    <s v="Noida"/>
    <n v="125000"/>
    <n v="7.8"/>
    <n v="5.9"/>
    <n v="4.8"/>
    <n v="1"/>
    <n v="1"/>
    <n v="3"/>
    <n v="3"/>
    <s v="No"/>
    <n v="5"/>
    <n v="1"/>
    <m/>
  </r>
  <r>
    <s v="EMP0229"/>
    <d v="2018-04-26T00:00:00"/>
    <d v="2025-05-21T00:00:00"/>
    <s v="Yes"/>
    <n v="35"/>
    <s v="Male"/>
    <s v="Single"/>
    <s v="PhD"/>
    <x v="1"/>
    <s v="Data Analyst"/>
    <n v="3"/>
    <s v="Noida"/>
    <n v="104000"/>
    <n v="8.6"/>
    <n v="8.6999999999999993"/>
    <n v="7.1"/>
    <n v="4.5999999999999996"/>
    <n v="3"/>
    <n v="3"/>
    <n v="2"/>
    <s v="Yes"/>
    <n v="4"/>
    <n v="1"/>
    <m/>
  </r>
  <r>
    <s v="EMP0230"/>
    <d v="2020-02-12T00:00:00"/>
    <m/>
    <s v="No"/>
    <n v="37"/>
    <s v="Male"/>
    <s v="Divorced"/>
    <s v="Master's"/>
    <x v="3"/>
    <s v="Finance Manager"/>
    <n v="2"/>
    <s v="Pune"/>
    <n v="57000"/>
    <n v="7.2"/>
    <n v="13.5"/>
    <n v="5.9"/>
    <n v="5.3"/>
    <n v="3"/>
    <n v="4"/>
    <n v="3"/>
    <s v="Yes"/>
    <n v="1"/>
    <n v="1"/>
    <m/>
  </r>
  <r>
    <s v="EMP0231"/>
    <d v="2024-07-01T00:00:00"/>
    <d v="2025-01-24T00:00:00"/>
    <s v="Yes"/>
    <n v="41"/>
    <s v="Non-Binary"/>
    <s v="Single"/>
    <s v="Diploma"/>
    <x v="0"/>
    <s v="Operations Manager"/>
    <n v="2"/>
    <s v="Mumbai"/>
    <n v="40000"/>
    <n v="9.5"/>
    <n v="3"/>
    <n v="0.6"/>
    <n v="0"/>
    <n v="3"/>
    <n v="3"/>
    <n v="3"/>
    <s v="No"/>
    <n v="3"/>
    <n v="1"/>
    <m/>
  </r>
  <r>
    <s v="EMP0232"/>
    <d v="2015-02-02T00:00:00"/>
    <m/>
    <s v="No"/>
    <n v="41"/>
    <s v="Non-Binary"/>
    <s v="Divorced"/>
    <s v="Bachelor's"/>
    <x v="6"/>
    <s v="Account Manager"/>
    <n v="2"/>
    <s v="Mumbai"/>
    <n v="39000"/>
    <n v="6.8"/>
    <n v="18.8"/>
    <n v="10.9"/>
    <n v="1.3"/>
    <n v="1"/>
    <n v="1"/>
    <n v="3"/>
    <s v="No"/>
    <n v="2"/>
    <n v="1"/>
    <m/>
  </r>
  <r>
    <s v="EMP0233"/>
    <d v="2018-05-30T00:00:00"/>
    <d v="2025-01-11T00:00:00"/>
    <s v="Yes"/>
    <n v="44"/>
    <s v="Non-Binary"/>
    <s v="Single"/>
    <s v="Master's"/>
    <x v="0"/>
    <s v="Operations Manager"/>
    <n v="3"/>
    <s v="Noida"/>
    <n v="71000"/>
    <n v="6.8"/>
    <n v="7"/>
    <n v="6.6"/>
    <n v="0.7"/>
    <n v="1"/>
    <n v="3"/>
    <n v="2"/>
    <s v="No"/>
    <n v="3"/>
    <n v="1"/>
    <m/>
  </r>
  <r>
    <s v="EMP0234"/>
    <d v="2024-11-20T00:00:00"/>
    <m/>
    <s v="No"/>
    <n v="23"/>
    <s v="Male"/>
    <s v="Married"/>
    <s v="Bachelor's"/>
    <x v="0"/>
    <s v="Operations Executive"/>
    <n v="1"/>
    <s v="Bengaluru"/>
    <n v="22000"/>
    <n v="10.8"/>
    <n v="6"/>
    <n v="1.1000000000000001"/>
    <n v="0.2"/>
    <n v="3"/>
    <n v="4"/>
    <n v="2"/>
    <s v="No"/>
    <n v="4"/>
    <n v="1"/>
    <m/>
  </r>
  <r>
    <s v="EMP0235"/>
    <d v="2022-03-25T00:00:00"/>
    <m/>
    <s v="No"/>
    <n v="26"/>
    <s v="Non-Binary"/>
    <s v="Married"/>
    <s v="Diploma"/>
    <x v="3"/>
    <s v="Accountant"/>
    <n v="1"/>
    <s v="Pune"/>
    <n v="41000"/>
    <n v="10"/>
    <n v="6.6"/>
    <n v="3.8"/>
    <n v="1.6"/>
    <n v="4"/>
    <n v="2"/>
    <n v="3"/>
    <s v="No"/>
    <n v="5"/>
    <n v="1"/>
    <m/>
  </r>
  <r>
    <s v="EMP0236"/>
    <d v="2023-03-20T00:00:00"/>
    <m/>
    <s v="No"/>
    <n v="24"/>
    <s v="Female"/>
    <s v="Divorced"/>
    <s v="Master's"/>
    <x v="5"/>
    <s v="Software Developer"/>
    <n v="1"/>
    <s v="Mumbai"/>
    <n v="46000"/>
    <n v="11.6"/>
    <n v="4"/>
    <n v="2.8"/>
    <n v="0.3"/>
    <n v="4"/>
    <n v="3"/>
    <n v="3"/>
    <s v="No"/>
    <n v="2"/>
    <n v="1"/>
    <m/>
  </r>
  <r>
    <s v="EMP0237"/>
    <d v="2024-07-13T00:00:00"/>
    <m/>
    <s v="No"/>
    <n v="46"/>
    <s v="Male"/>
    <s v="Single"/>
    <s v="Master's"/>
    <x v="6"/>
    <s v="Sales Manager"/>
    <n v="3"/>
    <s v="Noida"/>
    <n v="67000"/>
    <n v="2.9"/>
    <n v="7.9"/>
    <n v="1.5"/>
    <n v="0.5"/>
    <n v="1"/>
    <n v="3"/>
    <n v="2"/>
    <s v="Yes"/>
    <n v="4"/>
    <n v="1"/>
    <m/>
  </r>
  <r>
    <s v="EMP0238"/>
    <d v="2015-03-27T00:00:00"/>
    <m/>
    <s v="No"/>
    <n v="33"/>
    <s v="Female"/>
    <s v="Divorced"/>
    <s v="PhD"/>
    <x v="0"/>
    <s v="Operations Analyst"/>
    <n v="2"/>
    <s v="Mumbai"/>
    <n v="52000"/>
    <n v="8"/>
    <n v="13.7"/>
    <n v="10.8"/>
    <n v="2.1"/>
    <n v="3"/>
    <n v="2"/>
    <n v="3"/>
    <s v="No"/>
    <n v="3"/>
    <n v="1"/>
    <m/>
  </r>
  <r>
    <s v="EMP0239"/>
    <d v="2025-04-13T00:00:00"/>
    <m/>
    <s v="No"/>
    <n v="24"/>
    <s v="Male"/>
    <s v="Divorced"/>
    <s v="PhD"/>
    <x v="0"/>
    <s v="Operations Analyst"/>
    <n v="1"/>
    <s v="Hyderabad"/>
    <n v="44000"/>
    <n v="8.6999999999999993"/>
    <n v="2"/>
    <n v="0.7"/>
    <n v="0"/>
    <n v="1"/>
    <n v="3"/>
    <n v="4"/>
    <s v="No"/>
    <n v="4"/>
    <n v="1"/>
    <m/>
  </r>
  <r>
    <s v="EMP0240"/>
    <d v="2015-05-29T00:00:00"/>
    <m/>
    <s v="No"/>
    <n v="35"/>
    <s v="Male"/>
    <s v="Divorced"/>
    <s v="Master's"/>
    <x v="4"/>
    <s v="HR Executive"/>
    <n v="4"/>
    <s v="Noida"/>
    <n v="110000"/>
    <n v="11.3"/>
    <n v="14.5"/>
    <n v="10.6"/>
    <n v="5.3"/>
    <n v="4"/>
    <n v="3"/>
    <n v="2"/>
    <s v="No"/>
    <n v="4"/>
    <n v="1"/>
    <m/>
  </r>
  <r>
    <s v="EMP0241"/>
    <d v="2017-08-25T00:00:00"/>
    <m/>
    <s v="No"/>
    <n v="37"/>
    <s v="Non-Binary"/>
    <s v="Single"/>
    <s v="Bachelor's"/>
    <x v="2"/>
    <s v="IT Analyst"/>
    <n v="3"/>
    <s v="Noida"/>
    <n v="87000"/>
    <n v="9.8000000000000007"/>
    <n v="12.2"/>
    <n v="8.4"/>
    <n v="4"/>
    <n v="3"/>
    <n v="3"/>
    <n v="2"/>
    <s v="No"/>
    <n v="4"/>
    <n v="1"/>
    <m/>
  </r>
  <r>
    <s v="EMP0242"/>
    <d v="2015-07-13T00:00:00"/>
    <m/>
    <s v="No"/>
    <n v="32"/>
    <s v="Male"/>
    <s v="Single"/>
    <s v="PhD"/>
    <x v="1"/>
    <s v="Data Engineer"/>
    <n v="4"/>
    <s v="Mumbai"/>
    <n v="142000"/>
    <n v="6.3"/>
    <n v="18.2"/>
    <n v="10.5"/>
    <n v="0.3"/>
    <n v="3"/>
    <n v="2"/>
    <n v="3"/>
    <s v="Yes"/>
    <n v="3"/>
    <n v="1"/>
    <m/>
  </r>
  <r>
    <s v="EMP0243"/>
    <d v="2019-11-14T00:00:00"/>
    <m/>
    <s v="No"/>
    <n v="33"/>
    <s v="Non-Binary"/>
    <s v="Divorced"/>
    <s v="Diploma"/>
    <x v="2"/>
    <s v="IT Support Lead"/>
    <n v="1"/>
    <s v="Chennai"/>
    <n v="22000"/>
    <n v="9.5"/>
    <n v="6.3"/>
    <n v="6.1"/>
    <n v="2.4"/>
    <n v="4"/>
    <n v="1"/>
    <n v="3"/>
    <s v="No"/>
    <n v="4"/>
    <n v="1"/>
    <m/>
  </r>
  <r>
    <s v="EMP0244"/>
    <d v="2020-05-12T00:00:00"/>
    <m/>
    <s v="No"/>
    <n v="39"/>
    <s v="Female"/>
    <s v="Divorced"/>
    <s v="PhD"/>
    <x v="4"/>
    <s v="Recruiter"/>
    <n v="3"/>
    <s v="Bengaluru"/>
    <n v="68000"/>
    <n v="7.2"/>
    <n v="12.4"/>
    <n v="5.6"/>
    <n v="1.9"/>
    <n v="4"/>
    <n v="4"/>
    <n v="3"/>
    <s v="No"/>
    <n v="4"/>
    <n v="1"/>
    <m/>
  </r>
  <r>
    <s v="EMP0245"/>
    <d v="2022-04-04T00:00:00"/>
    <m/>
    <s v="No"/>
    <n v="30"/>
    <s v="Non-Binary"/>
    <s v="Divorced"/>
    <s v="PhD"/>
    <x v="5"/>
    <s v="Senior Software Developer"/>
    <n v="1"/>
    <s v="Bengaluru"/>
    <n v="22000"/>
    <n v="2.7"/>
    <n v="6.7"/>
    <n v="3.7"/>
    <n v="0.4"/>
    <n v="4"/>
    <n v="4"/>
    <n v="3"/>
    <s v="No"/>
    <n v="4"/>
    <n v="1"/>
    <m/>
  </r>
  <r>
    <s v="EMP0246"/>
    <d v="2014-10-26T00:00:00"/>
    <m/>
    <s v="No"/>
    <n v="39"/>
    <s v="Non-Binary"/>
    <s v="Single"/>
    <s v="PhD"/>
    <x v="6"/>
    <s v="Account Manager"/>
    <n v="2"/>
    <s v="Mumbai"/>
    <n v="57000"/>
    <n v="5.0999999999999996"/>
    <n v="16.899999999999999"/>
    <n v="11.2"/>
    <n v="0.6"/>
    <n v="3"/>
    <n v="3"/>
    <n v="4"/>
    <s v="No"/>
    <n v="4"/>
    <n v="1"/>
    <m/>
  </r>
  <r>
    <s v="EMP0247"/>
    <d v="2025-08-25T00:00:00"/>
    <m/>
    <s v="No"/>
    <n v="33"/>
    <s v="Male"/>
    <s v="Divorced"/>
    <s v="Master's"/>
    <x v="0"/>
    <s v="Operations Analyst"/>
    <n v="5"/>
    <s v="Bengaluru"/>
    <n v="134000"/>
    <n v="15"/>
    <n v="5"/>
    <n v="0.4"/>
    <n v="0"/>
    <n v="3"/>
    <n v="4"/>
    <n v="4"/>
    <s v="No"/>
    <n v="4"/>
    <n v="1"/>
    <m/>
  </r>
  <r>
    <s v="EMP0248"/>
    <d v="2021-08-02T00:00:00"/>
    <m/>
    <s v="No"/>
    <n v="31"/>
    <s v="Female"/>
    <s v="Divorced"/>
    <s v="Diploma"/>
    <x v="3"/>
    <s v="Finance Executive"/>
    <n v="3"/>
    <s v="Noida"/>
    <n v="80000"/>
    <n v="9.8000000000000007"/>
    <n v="6.6"/>
    <n v="4.4000000000000004"/>
    <n v="4.2"/>
    <n v="4"/>
    <n v="4"/>
    <n v="3"/>
    <s v="No"/>
    <n v="2"/>
    <n v="1"/>
    <m/>
  </r>
  <r>
    <s v="EMP0249"/>
    <d v="2015-09-10T00:00:00"/>
    <m/>
    <s v="No"/>
    <n v="31"/>
    <s v="Male"/>
    <s v="Divorced"/>
    <s v="Diploma"/>
    <x v="4"/>
    <s v="HR Analyst"/>
    <n v="3"/>
    <s v="Noida"/>
    <n v="67000"/>
    <n v="5"/>
    <n v="12.6"/>
    <n v="10.3"/>
    <n v="2.1"/>
    <n v="2"/>
    <n v="3"/>
    <n v="4"/>
    <s v="No"/>
    <n v="4"/>
    <n v="1"/>
    <m/>
  </r>
  <r>
    <s v="EMP0250"/>
    <d v="2018-11-18T00:00:00"/>
    <m/>
    <s v="No"/>
    <n v="46"/>
    <s v="Male"/>
    <s v="Single"/>
    <s v="PhD"/>
    <x v="5"/>
    <s v="QA Engineer"/>
    <n v="3"/>
    <s v="Pune"/>
    <n v="92000"/>
    <n v="6.7"/>
    <n v="14.3"/>
    <n v="7.1"/>
    <n v="3.2"/>
    <n v="3"/>
    <n v="4"/>
    <n v="3"/>
    <s v="No"/>
    <n v="1"/>
    <n v="1"/>
    <m/>
  </r>
  <r>
    <s v="EMP0251"/>
    <d v="2016-12-03T00:00:00"/>
    <m/>
    <s v="No"/>
    <n v="43"/>
    <s v="Female"/>
    <s v="Single"/>
    <s v="Master's"/>
    <x v="5"/>
    <s v="Software Developer"/>
    <n v="2"/>
    <s v="Noida"/>
    <n v="68000"/>
    <n v="9.1999999999999993"/>
    <n v="15.8"/>
    <n v="9.1"/>
    <n v="4.0999999999999996"/>
    <n v="3"/>
    <n v="3"/>
    <n v="3"/>
    <s v="Yes"/>
    <n v="1"/>
    <n v="1"/>
    <m/>
  </r>
  <r>
    <s v="EMP0252"/>
    <d v="2016-07-10T00:00:00"/>
    <m/>
    <s v="No"/>
    <n v="38"/>
    <s v="Non-Binary"/>
    <s v="Single"/>
    <s v="Bachelor's"/>
    <x v="0"/>
    <s v="Process Associate"/>
    <n v="2"/>
    <s v="Noida"/>
    <n v="53000"/>
    <n v="12.6"/>
    <n v="16.899999999999999"/>
    <n v="9.5"/>
    <n v="2.2999999999999998"/>
    <n v="3"/>
    <n v="4"/>
    <n v="4"/>
    <s v="No"/>
    <n v="3"/>
    <n v="1"/>
    <m/>
  </r>
  <r>
    <s v="EMP0253"/>
    <d v="2016-07-25T00:00:00"/>
    <m/>
    <s v="No"/>
    <n v="40"/>
    <s v="Non-Binary"/>
    <s v="Single"/>
    <s v="Diploma"/>
    <x v="6"/>
    <s v="Account Manager"/>
    <n v="3"/>
    <s v="Mumbai"/>
    <n v="72000"/>
    <n v="14.3"/>
    <n v="15.1"/>
    <n v="9.4"/>
    <n v="3.9"/>
    <n v="4"/>
    <n v="4"/>
    <n v="3"/>
    <s v="No"/>
    <n v="4"/>
    <n v="1"/>
    <m/>
  </r>
  <r>
    <s v="EMP0254"/>
    <d v="2023-09-01T00:00:00"/>
    <m/>
    <s v="No"/>
    <n v="48"/>
    <s v="Non-Binary"/>
    <s v="Single"/>
    <s v="Bachelor's"/>
    <x v="1"/>
    <s v="Data Analyst"/>
    <n v="2"/>
    <s v="Pune"/>
    <n v="55000"/>
    <n v="15.9"/>
    <n v="6.8"/>
    <n v="2.2999999999999998"/>
    <n v="0.3"/>
    <n v="3"/>
    <n v="3"/>
    <n v="2"/>
    <s v="No"/>
    <n v="3"/>
    <n v="1"/>
    <m/>
  </r>
  <r>
    <s v="EMP0255"/>
    <d v="2020-11-19T00:00:00"/>
    <m/>
    <s v="No"/>
    <n v="28"/>
    <s v="Non-Binary"/>
    <s v="Single"/>
    <s v="Master's"/>
    <x v="6"/>
    <s v="Sales Executive"/>
    <n v="3"/>
    <s v="Mumbai"/>
    <n v="72000"/>
    <n v="7.7"/>
    <n v="9.5"/>
    <n v="5.0999999999999996"/>
    <n v="0.4"/>
    <n v="3"/>
    <n v="3"/>
    <n v="3"/>
    <s v="No"/>
    <n v="5"/>
    <n v="1"/>
    <m/>
  </r>
  <r>
    <s v="EMP0256"/>
    <d v="2023-02-11T00:00:00"/>
    <m/>
    <s v="No"/>
    <n v="37"/>
    <s v="Non-Binary"/>
    <s v="Single"/>
    <s v="Bachelor's"/>
    <x v="4"/>
    <s v="HR Manager"/>
    <n v="1"/>
    <s v="Noida"/>
    <n v="27000"/>
    <n v="8.9"/>
    <n v="4.5999999999999996"/>
    <n v="2.9"/>
    <n v="2.2000000000000002"/>
    <n v="3"/>
    <n v="3"/>
    <n v="4"/>
    <s v="Yes"/>
    <n v="4"/>
    <n v="1"/>
    <m/>
  </r>
  <r>
    <s v="EMP0257"/>
    <d v="2018-03-09T00:00:00"/>
    <d v="2025-06-14T00:00:00"/>
    <s v="Yes"/>
    <n v="45"/>
    <s v="Male"/>
    <s v="Divorced"/>
    <s v="Diploma"/>
    <x v="6"/>
    <s v="Business Development Executive"/>
    <n v="2"/>
    <s v="Chennai"/>
    <n v="57000"/>
    <n v="9.1999999999999993"/>
    <n v="10.3"/>
    <n v="7.3"/>
    <n v="4.8"/>
    <n v="2"/>
    <n v="2"/>
    <n v="2"/>
    <s v="No"/>
    <n v="4"/>
    <n v="1"/>
    <m/>
  </r>
  <r>
    <s v="EMP0258"/>
    <d v="2022-03-26T00:00:00"/>
    <d v="2025-02-19T00:00:00"/>
    <s v="Yes"/>
    <n v="37"/>
    <s v="Non-Binary"/>
    <s v="Divorced"/>
    <s v="Master's"/>
    <x v="2"/>
    <s v="IT Support Lead"/>
    <n v="3"/>
    <s v="Noida"/>
    <n v="66000"/>
    <n v="8"/>
    <n v="4.2"/>
    <n v="2.9"/>
    <n v="2.8"/>
    <n v="3"/>
    <n v="3"/>
    <n v="1"/>
    <s v="No"/>
    <n v="2"/>
    <n v="1"/>
    <m/>
  </r>
  <r>
    <s v="EMP0259"/>
    <d v="2016-01-02T00:00:00"/>
    <m/>
    <s v="No"/>
    <n v="36"/>
    <s v="Male"/>
    <s v="Single"/>
    <s v="Bachelor's"/>
    <x v="3"/>
    <s v="Financial Analyst"/>
    <n v="2"/>
    <s v="Bengaluru"/>
    <n v="61000"/>
    <n v="7.1"/>
    <n v="16.5"/>
    <n v="10"/>
    <n v="0.4"/>
    <n v="4"/>
    <n v="3"/>
    <n v="1"/>
    <s v="No"/>
    <n v="4"/>
    <n v="1"/>
    <m/>
  </r>
  <r>
    <s v="EMP0260"/>
    <d v="2023-08-21T00:00:00"/>
    <m/>
    <s v="No"/>
    <n v="24"/>
    <s v="Non-Binary"/>
    <s v="Single"/>
    <s v="Bachelor's"/>
    <x v="1"/>
    <s v="Senior Data Analyst"/>
    <n v="1"/>
    <s v="Noida"/>
    <n v="26000"/>
    <n v="9.9"/>
    <n v="5.5"/>
    <n v="2.4"/>
    <n v="1.5"/>
    <n v="2"/>
    <n v="3"/>
    <n v="1"/>
    <s v="No"/>
    <n v="4"/>
    <n v="1"/>
    <m/>
  </r>
  <r>
    <s v="EMP0261"/>
    <d v="2024-11-07T00:00:00"/>
    <m/>
    <s v="No"/>
    <n v="45"/>
    <s v="Non-Binary"/>
    <s v="Single"/>
    <s v="PhD"/>
    <x v="4"/>
    <s v="HR Executive"/>
    <n v="3"/>
    <s v="Pune"/>
    <n v="69000"/>
    <n v="13.3"/>
    <n v="3.6"/>
    <n v="1.1000000000000001"/>
    <n v="0.1"/>
    <n v="2"/>
    <n v="4"/>
    <n v="3"/>
    <s v="No"/>
    <n v="3"/>
    <n v="1"/>
    <m/>
  </r>
  <r>
    <s v="EMP0262"/>
    <d v="2021-02-15T00:00:00"/>
    <m/>
    <s v="No"/>
    <n v="32"/>
    <s v="Female"/>
    <s v="Single"/>
    <s v="Master's"/>
    <x v="4"/>
    <s v="Recruiter"/>
    <n v="2"/>
    <s v="Bengaluru"/>
    <n v="59000"/>
    <n v="11.6"/>
    <n v="6"/>
    <n v="4.9000000000000004"/>
    <n v="3.3"/>
    <n v="3"/>
    <n v="4"/>
    <n v="4"/>
    <s v="No"/>
    <n v="4"/>
    <n v="1"/>
    <m/>
  </r>
  <r>
    <s v="EMP0263"/>
    <d v="2021-02-02T00:00:00"/>
    <m/>
    <s v="No"/>
    <n v="43"/>
    <s v="Male"/>
    <s v="Single"/>
    <s v="Master's"/>
    <x v="5"/>
    <s v="Software Developer"/>
    <n v="3"/>
    <s v="Pune"/>
    <n v="99000"/>
    <n v="6.5"/>
    <n v="10.8"/>
    <n v="4.9000000000000004"/>
    <n v="3.6"/>
    <n v="2"/>
    <n v="2"/>
    <n v="4"/>
    <s v="No"/>
    <n v="4"/>
    <n v="1"/>
    <m/>
  </r>
  <r>
    <s v="EMP0264"/>
    <d v="2023-07-31T00:00:00"/>
    <m/>
    <s v="No"/>
    <n v="36"/>
    <s v="Male"/>
    <s v="Married"/>
    <s v="Bachelor's"/>
    <x v="4"/>
    <s v="HR Analyst"/>
    <n v="2"/>
    <s v="Pune"/>
    <n v="53000"/>
    <n v="6.8"/>
    <n v="9.9"/>
    <n v="2.4"/>
    <n v="2.4"/>
    <n v="4"/>
    <n v="3"/>
    <n v="3"/>
    <s v="No"/>
    <n v="3"/>
    <n v="1"/>
    <m/>
  </r>
  <r>
    <s v="EMP0265"/>
    <d v="2021-07-10T00:00:00"/>
    <m/>
    <s v="No"/>
    <n v="33"/>
    <s v="Non-Binary"/>
    <s v="Divorced"/>
    <s v="Master's"/>
    <x v="0"/>
    <s v="Process Associate"/>
    <n v="5"/>
    <s v="Chennai"/>
    <n v="155000"/>
    <n v="11.2"/>
    <n v="5"/>
    <n v="4.5"/>
    <n v="0.9"/>
    <n v="2"/>
    <n v="3"/>
    <n v="3"/>
    <s v="No"/>
    <n v="4"/>
    <n v="1"/>
    <m/>
  </r>
  <r>
    <s v="EMP0266"/>
    <d v="2014-06-26T00:00:00"/>
    <m/>
    <s v="No"/>
    <n v="38"/>
    <s v="Female"/>
    <s v="Married"/>
    <s v="PhD"/>
    <x v="4"/>
    <s v="HR Analyst"/>
    <n v="4"/>
    <s v="Mumbai"/>
    <n v="80000"/>
    <n v="13.6"/>
    <n v="17.2"/>
    <n v="11.5"/>
    <n v="3.8"/>
    <n v="3"/>
    <n v="3"/>
    <n v="3"/>
    <s v="Yes"/>
    <n v="4"/>
    <n v="1"/>
    <m/>
  </r>
  <r>
    <s v="EMP0267"/>
    <d v="2024-08-23T00:00:00"/>
    <m/>
    <s v="No"/>
    <n v="30"/>
    <s v="Non-Binary"/>
    <s v="Single"/>
    <s v="Bachelor's"/>
    <x v="6"/>
    <s v="Sales Manager"/>
    <n v="3"/>
    <s v="Chennai"/>
    <s v="₹67,000"/>
    <n v="3.8"/>
    <n v="8"/>
    <n v="1.4"/>
    <n v="1.2"/>
    <n v="2"/>
    <n v="2"/>
    <n v="3"/>
    <s v="No"/>
    <n v="4"/>
    <n v="1"/>
    <m/>
  </r>
  <r>
    <s v="EMP0268"/>
    <d v="2020-02-01T00:00:00"/>
    <d v="2025-05-14T00:00:00"/>
    <s v="Yes"/>
    <n v="30"/>
    <s v="Male"/>
    <s v="Divorced"/>
    <s v="Diploma"/>
    <x v="0"/>
    <s v="Operations Executive"/>
    <n v="4"/>
    <s v="Pune"/>
    <n v="107000"/>
    <n v="8.8000000000000007"/>
    <n v="9.6"/>
    <n v="5.3"/>
    <n v="5.3"/>
    <n v="2"/>
    <n v="3"/>
    <n v="4"/>
    <s v="No"/>
    <n v="3"/>
    <n v="1"/>
    <m/>
  </r>
  <r>
    <s v="EMP0269"/>
    <d v="2019-10-29T00:00:00"/>
    <m/>
    <s v="No"/>
    <n v="34"/>
    <s v="Non-Binary"/>
    <s v="Divorced"/>
    <s v="Master's"/>
    <x v="3"/>
    <s v="Financial Analyst"/>
    <n v="2"/>
    <s v="Noida"/>
    <n v="43000"/>
    <n v="13"/>
    <n v="11.1"/>
    <n v="6.2"/>
    <n v="1"/>
    <n v="4"/>
    <n v="3"/>
    <n v="3"/>
    <s v="No"/>
    <n v="3"/>
    <n v="1"/>
    <m/>
  </r>
  <r>
    <s v="EMP0270"/>
    <d v="2024-02-08T00:00:00"/>
    <d v="2025-05-16T00:00:00"/>
    <s v="Yes"/>
    <n v="22"/>
    <s v="Female"/>
    <s v="Married"/>
    <s v="Bachelor's"/>
    <x v="0"/>
    <s v="Process Associate"/>
    <n v="1"/>
    <s v="Bengaluru"/>
    <n v="28000"/>
    <n v="15"/>
    <n v="4.2"/>
    <n v="1.3"/>
    <n v="0.1"/>
    <n v="4"/>
    <n v="2"/>
    <n v="4"/>
    <s v="Yes"/>
    <n v="3"/>
    <n v="1"/>
    <m/>
  </r>
  <r>
    <s v="EMP0271"/>
    <d v="2015-05-04T00:00:00"/>
    <m/>
    <s v="No"/>
    <n v="31"/>
    <s v="Male"/>
    <s v="Divorced"/>
    <s v="Diploma"/>
    <x v="0"/>
    <s v="Operations Manager"/>
    <n v="2"/>
    <s v="Mumbai"/>
    <n v="46000"/>
    <n v="7.7"/>
    <n v="15.3"/>
    <n v="10.7"/>
    <n v="3.4"/>
    <n v="3"/>
    <n v="3"/>
    <n v="3"/>
    <s v="No"/>
    <n v="4"/>
    <n v="1"/>
    <m/>
  </r>
  <r>
    <s v="EMP0272"/>
    <d v="2015-07-20T00:00:00"/>
    <m/>
    <s v="No"/>
    <n v="36"/>
    <s v="Male"/>
    <s v="Single"/>
    <s v="Master's"/>
    <x v="1"/>
    <s v="Data Engineer"/>
    <n v="2"/>
    <s v="Pune"/>
    <n v="65000"/>
    <n v="13.1"/>
    <n v="14.5"/>
    <n v="10.5"/>
    <n v="0.8"/>
    <n v="3"/>
    <n v="2"/>
    <n v="2"/>
    <s v="No"/>
    <n v="4"/>
    <n v="1"/>
    <m/>
  </r>
  <r>
    <s v="EMP0273"/>
    <d v="2021-04-07T00:00:00"/>
    <m/>
    <s v="No"/>
    <n v="31"/>
    <s v="Male"/>
    <s v="Divorced"/>
    <s v="Master's"/>
    <x v="6"/>
    <s v="Sales Executive"/>
    <n v="3"/>
    <s v="Pune"/>
    <n v="75000"/>
    <n v="8.6999999999999993"/>
    <n v="8.6"/>
    <n v="4.7"/>
    <n v="2.8"/>
    <n v="2"/>
    <n v="3"/>
    <n v="3"/>
    <s v="No"/>
    <n v="3"/>
    <n v="1"/>
    <m/>
  </r>
  <r>
    <s v="EMP0274"/>
    <d v="2023-12-25T00:00:00"/>
    <m/>
    <s v="No"/>
    <n v="38"/>
    <s v="Female"/>
    <s v="Single"/>
    <s v="Master's"/>
    <x v="0"/>
    <s v="Operations Executive"/>
    <n v="4"/>
    <s v="Mumbai"/>
    <n v="104000"/>
    <n v="11.9"/>
    <n v="5.3"/>
    <n v="2"/>
    <n v="1.9"/>
    <n v="4"/>
    <n v="3"/>
    <n v="4"/>
    <s v="Yes"/>
    <n v="4"/>
    <n v="1"/>
    <m/>
  </r>
  <r>
    <s v="EMP0275"/>
    <d v="2023-09-15T00:00:00"/>
    <m/>
    <s v="No"/>
    <n v="34"/>
    <s v="Female"/>
    <s v="Married"/>
    <s v="Bachelor's"/>
    <x v="4"/>
    <s v="HR Manager"/>
    <n v="4"/>
    <s v="Pune"/>
    <n v="88000"/>
    <n v="12.7"/>
    <n v="8.9"/>
    <n v="2.2999999999999998"/>
    <n v="0.4"/>
    <n v="3"/>
    <n v="3"/>
    <n v="3"/>
    <s v="No"/>
    <n v="4"/>
    <n v="1"/>
    <m/>
  </r>
  <r>
    <s v="EMP0276"/>
    <d v="2025-07-04T00:00:00"/>
    <m/>
    <s v="No"/>
    <n v="40"/>
    <s v="Non-Binary"/>
    <s v="Divorced"/>
    <s v="Bachelor's"/>
    <x v="3"/>
    <s v="Finance Manager"/>
    <n v="2"/>
    <s v="Bengaluru"/>
    <n v="29000"/>
    <n v="17.399999999999999"/>
    <n v="7.1"/>
    <n v="0.5"/>
    <n v="0"/>
    <n v="4"/>
    <n v="2"/>
    <n v="4"/>
    <s v="No"/>
    <n v="4"/>
    <n v="1"/>
    <m/>
  </r>
  <r>
    <s v="EMP0277"/>
    <d v="2019-05-23T00:00:00"/>
    <m/>
    <s v="No"/>
    <n v="41"/>
    <s v="Female"/>
    <s v="Married"/>
    <s v="Diploma"/>
    <x v="3"/>
    <s v="Accountant"/>
    <n v="4"/>
    <s v="Chennai"/>
    <n v="106000"/>
    <n v="11.5"/>
    <n v="10.1"/>
    <n v="6.6"/>
    <n v="2.5"/>
    <n v="4"/>
    <n v="4"/>
    <n v="3"/>
    <s v="Yes"/>
    <n v="3"/>
    <n v="1"/>
    <m/>
  </r>
  <r>
    <s v="EMP0278"/>
    <d v="2023-06-27T00:00:00"/>
    <d v="2025-11-03T00:00:00"/>
    <s v="Yes"/>
    <n v="29"/>
    <s v="Non-Binary"/>
    <s v="Divorced"/>
    <s v="Bachelor's"/>
    <x v="2"/>
    <s v="IT Support Specialist"/>
    <n v="2"/>
    <s v="Chennai"/>
    <n v="69000"/>
    <n v="8.1999999999999993"/>
    <n v="9.4"/>
    <n v="2.4"/>
    <n v="1"/>
    <n v="4"/>
    <n v="2"/>
    <n v="3"/>
    <s v="No"/>
    <n v="4"/>
    <n v="1"/>
    <m/>
  </r>
  <r>
    <s v="EMP0279"/>
    <d v="2017-08-27T00:00:00"/>
    <m/>
    <s v="No"/>
    <n v="39"/>
    <s v="Female"/>
    <s v="Divorced"/>
    <s v="PhD"/>
    <x v="5"/>
    <s v="Tech Lead"/>
    <n v="3"/>
    <s v="Pune"/>
    <n v="91000"/>
    <n v="9.6"/>
    <n v="13.6"/>
    <n v="8.3000000000000007"/>
    <n v="1.5"/>
    <n v="3"/>
    <n v="4"/>
    <n v="3"/>
    <s v="No"/>
    <n v="3"/>
    <n v="1"/>
    <m/>
  </r>
  <r>
    <s v="EMP0280"/>
    <d v="2019-02-28T00:00:00"/>
    <m/>
    <s v="No"/>
    <n v="50"/>
    <s v="Male"/>
    <s v="Married"/>
    <s v="Master's"/>
    <x v="3"/>
    <s v="Finance Manager"/>
    <n v="2"/>
    <s v="Bengaluru"/>
    <n v="54000"/>
    <n v="9.8000000000000007"/>
    <n v="13"/>
    <n v="6.8"/>
    <n v="2.4"/>
    <n v="4"/>
    <n v="2"/>
    <n v="4"/>
    <s v="No"/>
    <n v="2"/>
    <n v="1"/>
    <m/>
  </r>
  <r>
    <s v="EMP0281"/>
    <d v="2016-05-01T00:00:00"/>
    <d v="2025-07-19T00:00:00"/>
    <s v="Yes"/>
    <n v="41"/>
    <s v="Female"/>
    <s v="Single"/>
    <s v="Bachelor's"/>
    <x v="1"/>
    <s v="Data Engineer"/>
    <n v="3"/>
    <s v="Hyderabad"/>
    <n v="100000"/>
    <n v="11.6"/>
    <n v="16.899999999999999"/>
    <n v="9.1999999999999993"/>
    <n v="0"/>
    <n v="3"/>
    <n v="2"/>
    <n v="2"/>
    <s v="No"/>
    <n v="5"/>
    <n v="1"/>
    <m/>
  </r>
  <r>
    <s v="EMP0282"/>
    <d v="2025-04-05T00:00:00"/>
    <m/>
    <s v="No"/>
    <n v="44"/>
    <s v="Non-Binary"/>
    <s v="Married"/>
    <s v="PhD"/>
    <x v="1"/>
    <s v="Senior Data Analyst"/>
    <n v="1"/>
    <s v="Bengaluru"/>
    <n v="29000"/>
    <n v="10.199999999999999"/>
    <n v="4.9000000000000004"/>
    <n v="0.7"/>
    <n v="0"/>
    <n v="4"/>
    <n v="3"/>
    <n v="4"/>
    <s v="No"/>
    <n v="4"/>
    <n v="1"/>
    <m/>
  </r>
  <r>
    <s v="EMP0283"/>
    <d v="2016-07-12T00:00:00"/>
    <m/>
    <s v="No"/>
    <n v="33"/>
    <s v="Female"/>
    <s v="Married"/>
    <s v="Diploma"/>
    <x v="1"/>
    <s v="Senior Data Analyst"/>
    <n v="2"/>
    <s v="Noida"/>
    <n v="65000"/>
    <n v="10.3"/>
    <n v="14.9"/>
    <n v="9.5"/>
    <n v="2.2000000000000002"/>
    <n v="3"/>
    <n v="3"/>
    <n v="4"/>
    <s v="No"/>
    <n v="2"/>
    <n v="1"/>
    <m/>
  </r>
  <r>
    <s v="EMP0284"/>
    <d v="2019-08-23T00:00:00"/>
    <d v="2025-05-26T00:00:00"/>
    <s v="Yes"/>
    <n v="44"/>
    <s v="Male"/>
    <s v="Divorced"/>
    <s v="Master's"/>
    <x v="3"/>
    <s v="Finance Manager"/>
    <n v="3"/>
    <s v="Mumbai"/>
    <n v="84000"/>
    <n v="8"/>
    <n v="11.6"/>
    <n v="5.8"/>
    <n v="3.2"/>
    <n v="1"/>
    <n v="3"/>
    <n v="3"/>
    <s v="No"/>
    <n v="4"/>
    <n v="1"/>
    <m/>
  </r>
  <r>
    <s v="EMP0285"/>
    <d v="2020-12-08T00:00:00"/>
    <m/>
    <s v="No"/>
    <n v="41"/>
    <s v="Non-Binary"/>
    <s v="Married"/>
    <s v="PhD"/>
    <x v="3"/>
    <s v="Financial Analyst"/>
    <n v="2"/>
    <s v="Mumbai"/>
    <n v="44000"/>
    <n v="11.4"/>
    <n v="12.6"/>
    <n v="5.0999999999999996"/>
    <n v="4.0999999999999996"/>
    <n v="1"/>
    <n v="4"/>
    <n v="4"/>
    <s v="Yes"/>
    <n v="4"/>
    <n v="1"/>
    <m/>
  </r>
  <r>
    <s v="EMP0286"/>
    <d v="2017-08-06T00:00:00"/>
    <m/>
    <s v="No"/>
    <n v="31"/>
    <s v="Male"/>
    <s v="Divorced"/>
    <s v="Master's"/>
    <x v="4"/>
    <s v="HR Manager"/>
    <n v="3"/>
    <s v="Hyderabad"/>
    <n v="86000"/>
    <n v="8.4"/>
    <n v="13.1"/>
    <n v="8.4"/>
    <n v="0.2"/>
    <n v="3"/>
    <n v="2"/>
    <n v="2"/>
    <s v="No"/>
    <n v="4"/>
    <n v="1"/>
    <m/>
  </r>
  <r>
    <s v="EMP0287"/>
    <d v="2025-08-02T00:00:00"/>
    <d v="2025-12-26T00:00:00"/>
    <s v="Yes"/>
    <n v="32"/>
    <s v="Male"/>
    <s v="Divorced"/>
    <s v="Diploma"/>
    <x v="3"/>
    <s v="Finance Executive"/>
    <n v="3"/>
    <s v="Pune"/>
    <n v="80000"/>
    <n v="4.5999999999999996"/>
    <n v="6.4"/>
    <n v="0.4"/>
    <n v="0"/>
    <n v="2"/>
    <n v="3"/>
    <n v="2"/>
    <s v="No"/>
    <n v="3"/>
    <n v="1"/>
    <m/>
  </r>
  <r>
    <s v="EMP0288"/>
    <d v="2023-05-14T00:00:00"/>
    <m/>
    <s v="No"/>
    <n v="44"/>
    <s v="Male"/>
    <s v="Divorced"/>
    <s v="PhD"/>
    <x v="0"/>
    <s v="Operations Analyst"/>
    <n v="3"/>
    <s v="Chennai"/>
    <n v="64000"/>
    <n v="5"/>
    <n v="4.3"/>
    <n v="2.6"/>
    <n v="0.6"/>
    <n v="4"/>
    <n v="3"/>
    <n v="2"/>
    <s v="No"/>
    <n v="2"/>
    <n v="1"/>
    <m/>
  </r>
  <r>
    <s v="EMP0289"/>
    <d v="2022-06-21T00:00:00"/>
    <m/>
    <s v="No"/>
    <n v="29"/>
    <s v="Female"/>
    <s v="Single"/>
    <s v="Master's"/>
    <x v="5"/>
    <s v="Software Developer"/>
    <n v="4"/>
    <s v="Bengaluru"/>
    <n v="112000"/>
    <n v="15.6"/>
    <n v="8.1"/>
    <n v="3.5"/>
    <n v="1"/>
    <n v="4"/>
    <n v="2"/>
    <n v="4"/>
    <s v="No"/>
    <n v="3"/>
    <n v="1"/>
    <m/>
  </r>
  <r>
    <s v="EMP0290"/>
    <d v="2021-07-15T00:00:00"/>
    <m/>
    <s v="No"/>
    <n v="28"/>
    <s v="Male"/>
    <s v="Divorced"/>
    <s v="Master's"/>
    <x v="4"/>
    <s v="HR Manager"/>
    <n v="3"/>
    <s v="Mumbai"/>
    <n v="94000"/>
    <n v="12.9"/>
    <n v="5.9"/>
    <n v="4.5"/>
    <n v="4.4000000000000004"/>
    <n v="3"/>
    <n v="3"/>
    <n v="3"/>
    <s v="No"/>
    <n v="4"/>
    <n v="1"/>
    <m/>
  </r>
  <r>
    <s v="EMP0291"/>
    <d v="2025-06-22T00:00:00"/>
    <m/>
    <s v="No"/>
    <n v="21"/>
    <s v="Male"/>
    <s v="Married"/>
    <s v="Diploma"/>
    <x v="4"/>
    <s v="HR Executive"/>
    <n v="1"/>
    <s v="Hyderabad"/>
    <n v="53000"/>
    <n v="3.4"/>
    <n v="2.4"/>
    <n v="0.5"/>
    <n v="0"/>
    <n v="3"/>
    <n v="3"/>
    <n v="3"/>
    <s v="No"/>
    <n v="3"/>
    <n v="1"/>
    <m/>
  </r>
  <r>
    <s v="EMP0292"/>
    <d v="2023-08-06T00:00:00"/>
    <m/>
    <s v="No"/>
    <n v="40"/>
    <s v="Male"/>
    <s v="Divorced"/>
    <s v="Master's"/>
    <x v="2"/>
    <s v="IT Support Lead"/>
    <n v="2"/>
    <s v="Mumbai"/>
    <n v="74000"/>
    <n v="14.5"/>
    <n v="3.2"/>
    <n v="2.4"/>
    <n v="0.6"/>
    <n v="3"/>
    <n v="2"/>
    <n v="3"/>
    <s v="Yes"/>
    <n v="3"/>
    <n v="1"/>
    <m/>
  </r>
  <r>
    <s v="EMP0293"/>
    <d v="2019-11-09T00:00:00"/>
    <m/>
    <s v="No"/>
    <n v="37"/>
    <s v="Female"/>
    <s v="Single"/>
    <s v="Master's"/>
    <x v="2"/>
    <s v="IT Support Specialist"/>
    <n v="2"/>
    <s v="Bengaluru"/>
    <n v="59000"/>
    <n v="12"/>
    <n v="11.9"/>
    <n v="6.1"/>
    <n v="4.7"/>
    <n v="4"/>
    <n v="3"/>
    <n v="3"/>
    <s v="No"/>
    <n v="4"/>
    <n v="1"/>
    <m/>
  </r>
  <r>
    <s v="EMP0294"/>
    <d v="2018-05-01T00:00:00"/>
    <m/>
    <s v="No"/>
    <n v="34"/>
    <s v="Non-Binary"/>
    <s v="Divorced"/>
    <s v="Master's"/>
    <x v="1"/>
    <s v="Senior Data Analyst"/>
    <n v="3"/>
    <s v="Chennai"/>
    <n v="89000"/>
    <n v="6"/>
    <n v="12.2"/>
    <n v="7.7"/>
    <n v="5.6"/>
    <n v="3"/>
    <n v="3"/>
    <n v="1"/>
    <s v="No"/>
    <n v="2"/>
    <n v="1"/>
    <m/>
  </r>
  <r>
    <s v="EMP0295"/>
    <d v="2025-01-06T00:00:00"/>
    <m/>
    <s v="No"/>
    <n v="21"/>
    <s v="Male"/>
    <s v="Single"/>
    <s v="Diploma"/>
    <x v="4"/>
    <s v="Recruiter"/>
    <n v="1"/>
    <s v="Mumbai"/>
    <n v="31000"/>
    <n v="5"/>
    <n v="7.2"/>
    <n v="1"/>
    <n v="0.4"/>
    <n v="3"/>
    <n v="2"/>
    <n v="3"/>
    <s v="No"/>
    <n v="3"/>
    <n v="1"/>
    <m/>
  </r>
  <r>
    <s v="EMP0296"/>
    <d v="2024-11-12T00:00:00"/>
    <m/>
    <s v="No"/>
    <n v="34"/>
    <s v="Female"/>
    <s v="Divorced"/>
    <s v="PhD"/>
    <x v="0"/>
    <s v="Process Associate"/>
    <n v="4"/>
    <s v="Mumbai"/>
    <n v="116000"/>
    <n v="12.7"/>
    <n v="3.5"/>
    <n v="1.1000000000000001"/>
    <n v="0.3"/>
    <n v="2"/>
    <n v="3"/>
    <n v="3"/>
    <s v="Yes"/>
    <n v="3"/>
    <n v="1"/>
    <m/>
  </r>
  <r>
    <s v="EMP0297"/>
    <d v="2020-10-31T00:00:00"/>
    <m/>
    <s v="No"/>
    <n v="26"/>
    <s v="Female"/>
    <s v="Divorced"/>
    <s v="Bachelor's"/>
    <x v="1"/>
    <s v="BI Analyst"/>
    <n v="1"/>
    <s v="Bengaluru"/>
    <n v="48000"/>
    <n v="5.0999999999999996"/>
    <n v="11.1"/>
    <n v="5.2"/>
    <n v="3.9"/>
    <n v="2"/>
    <n v="2"/>
    <n v="3"/>
    <s v="Yes"/>
    <n v="2"/>
    <n v="1"/>
    <m/>
  </r>
  <r>
    <s v="EMP0298"/>
    <d v="2014-01-18T00:00:00"/>
    <d v="2025-07-19T00:00:00"/>
    <s v="Yes"/>
    <n v="37"/>
    <s v="Male"/>
    <s v="Single"/>
    <s v="Bachelor's"/>
    <x v="2"/>
    <s v="IT Support Lead"/>
    <n v="3"/>
    <s v="Noida"/>
    <n v="66000"/>
    <n v="9.4"/>
    <n v="14"/>
    <n v="11.5"/>
    <n v="1.5"/>
    <n v="3"/>
    <n v="3"/>
    <n v="3"/>
    <s v="Yes"/>
    <n v="2"/>
    <n v="1"/>
    <m/>
  </r>
  <r>
    <s v="EMP0299"/>
    <d v="2021-08-20T00:00:00"/>
    <m/>
    <s v="No"/>
    <n v="29"/>
    <s v="Non-Binary"/>
    <s v="Divorced"/>
    <s v="PhD"/>
    <x v="6"/>
    <s v="Sales Manager"/>
    <n v="4"/>
    <s v="Chennai"/>
    <n v="113000"/>
    <n v="2.6"/>
    <n v="5.4"/>
    <n v="4.4000000000000004"/>
    <n v="4.2"/>
    <n v="4"/>
    <n v="3"/>
    <n v="3"/>
    <s v="No"/>
    <n v="3"/>
    <n v="1"/>
    <m/>
  </r>
  <r>
    <s v="EMP0300"/>
    <d v="2020-01-25T00:00:00"/>
    <m/>
    <s v="No"/>
    <n v="33"/>
    <s v="Male"/>
    <s v="Married"/>
    <s v="Diploma"/>
    <x v="0"/>
    <s v="Operations Manager"/>
    <n v="4"/>
    <s v="Mumbai"/>
    <n v="108000"/>
    <n v="9.9"/>
    <n v="9.1999999999999993"/>
    <n v="5.9"/>
    <n v="0.9"/>
    <n v="2"/>
    <n v="1"/>
    <n v="3"/>
    <s v="Yes"/>
    <n v="4"/>
    <n v="1"/>
    <m/>
  </r>
  <r>
    <s v="EMP0301"/>
    <d v="2019-12-12T00:00:00"/>
    <m/>
    <s v="No"/>
    <n v="34"/>
    <s v="Non-Binary"/>
    <s v="Married"/>
    <s v="PhD"/>
    <x v="4"/>
    <s v="HR Executive"/>
    <n v="3"/>
    <s v="Pune"/>
    <n v="70000"/>
    <n v="9.5"/>
    <n v="12.4"/>
    <n v="6.1"/>
    <n v="3.6"/>
    <n v="3"/>
    <n v="4"/>
    <n v="3"/>
    <s v="No"/>
    <n v="3"/>
    <n v="1"/>
    <m/>
  </r>
  <r>
    <s v="EMP0302"/>
    <d v="2023-02-13T00:00:00"/>
    <m/>
    <s v="No"/>
    <n v="33"/>
    <s v="Non-Binary"/>
    <s v="Married"/>
    <s v="PhD"/>
    <x v="1"/>
    <s v="Data Engineer"/>
    <n v="4"/>
    <s v="Pune"/>
    <n v="129000"/>
    <m/>
    <n v="9.3000000000000007"/>
    <n v="2.9"/>
    <n v="1.8"/>
    <n v="3"/>
    <n v="3"/>
    <n v="3"/>
    <s v="Yes"/>
    <n v="4"/>
    <n v="1"/>
    <m/>
  </r>
  <r>
    <s v="EMP0303"/>
    <d v="2025-03-17T00:00:00"/>
    <m/>
    <s v="No"/>
    <n v="23"/>
    <s v="Non-Binary"/>
    <s v="Single"/>
    <s v="Master's"/>
    <x v="2"/>
    <s v="IT Support Specialist"/>
    <n v="1"/>
    <s v="Bengaluru"/>
    <n v="49000"/>
    <n v="4"/>
    <n v="3"/>
    <n v="0.8"/>
    <n v="0"/>
    <n v="3"/>
    <n v="2"/>
    <n v="1"/>
    <s v="No"/>
    <n v="1"/>
    <n v="1"/>
    <m/>
  </r>
  <r>
    <s v="EMP0304"/>
    <d v="2022-04-29T00:00:00"/>
    <d v="2025-04-22T00:00:00"/>
    <s v="Yes"/>
    <n v="28"/>
    <s v="Male"/>
    <s v="Married"/>
    <s v="Bachelor's"/>
    <x v="6"/>
    <s v="Sales Manager"/>
    <n v="2"/>
    <s v="Pune"/>
    <n v="61000"/>
    <n v="7.8"/>
    <n v="5.7"/>
    <n v="3"/>
    <n v="0.9"/>
    <n v="2"/>
    <n v="4"/>
    <n v="4"/>
    <s v="Yes"/>
    <n v="3"/>
    <n v="1"/>
    <m/>
  </r>
  <r>
    <s v="EMP0305"/>
    <d v="2025-02-24T00:00:00"/>
    <m/>
    <s v="No"/>
    <n v="28"/>
    <s v="Female"/>
    <s v="Single"/>
    <s v="Bachelor's"/>
    <x v="5"/>
    <s v="QA Engineer"/>
    <n v="3"/>
    <s v="Pune"/>
    <n v="89000"/>
    <n v="5.7"/>
    <n v="7.4"/>
    <n v="0.8"/>
    <n v="0"/>
    <n v="2"/>
    <n v="2"/>
    <n v="4"/>
    <s v="No"/>
    <n v="3"/>
    <n v="1"/>
    <m/>
  </r>
  <r>
    <s v="EMP0306"/>
    <d v="2023-04-02T00:00:00"/>
    <m/>
    <s v="No"/>
    <n v="25"/>
    <s v="Non-Binary"/>
    <s v="Single"/>
    <s v="Diploma"/>
    <x v="3"/>
    <s v="Financial Analyst"/>
    <n v="1"/>
    <s v="Mumbai"/>
    <n v="38000"/>
    <n v="11.5"/>
    <n v="5.2"/>
    <n v="2.7"/>
    <n v="0.9"/>
    <n v="3"/>
    <n v="3"/>
    <n v="1"/>
    <s v="No"/>
    <n v="5"/>
    <n v="1"/>
    <m/>
  </r>
  <r>
    <s v="EMP0307"/>
    <d v="2015-04-26T00:00:00"/>
    <d v="2025-11-21T00:00:00"/>
    <s v="Yes"/>
    <n v="32"/>
    <s v="Male"/>
    <s v="Single"/>
    <s v="Bachelor's"/>
    <x v="0"/>
    <s v="Operations Manager"/>
    <n v="2"/>
    <s v="Chennai"/>
    <n v="48000"/>
    <n v="9.1999999999999993"/>
    <n v="14"/>
    <n v="10.6"/>
    <n v="0.1"/>
    <n v="2"/>
    <n v="4"/>
    <n v="3"/>
    <s v="No"/>
    <n v="3"/>
    <n v="1"/>
    <m/>
  </r>
  <r>
    <s v="EMP0308"/>
    <d v="2023-11-21T00:00:00"/>
    <m/>
    <s v="No"/>
    <n v="40"/>
    <s v="Female"/>
    <s v="Divorced"/>
    <s v="Master's"/>
    <x v="2"/>
    <s v="IT Support Lead"/>
    <n v="3"/>
    <s v="Noida"/>
    <n v="95000"/>
    <n v="6.8"/>
    <n v="7.6"/>
    <n v="2.1"/>
    <n v="0.7"/>
    <n v="2"/>
    <n v="4"/>
    <n v="3"/>
    <s v="No"/>
    <n v="2"/>
    <n v="1"/>
    <m/>
  </r>
  <r>
    <s v="EMP0309"/>
    <d v="2022-12-24T00:00:00"/>
    <m/>
    <s v="No"/>
    <n v="32"/>
    <s v="Male"/>
    <s v="Married"/>
    <s v="Bachelor's"/>
    <x v="4"/>
    <s v="HR Executive"/>
    <n v="2"/>
    <s v="Mumbai"/>
    <n v="74000"/>
    <n v="5.8"/>
    <n v="9.5"/>
    <n v="3"/>
    <n v="1.3"/>
    <n v="4"/>
    <n v="2"/>
    <n v="3"/>
    <s v="No"/>
    <n v="3"/>
    <n v="1"/>
    <m/>
  </r>
  <r>
    <s v="EMP0310"/>
    <d v="2019-05-09T00:00:00"/>
    <m/>
    <s v="No"/>
    <n v="45"/>
    <s v="Male"/>
    <s v="Single"/>
    <s v="Master's"/>
    <x v="0"/>
    <s v="Process Associate"/>
    <n v="3"/>
    <s v="Mumbai"/>
    <n v="67000"/>
    <n v="11.3"/>
    <n v="9.1999999999999993"/>
    <n v="6.6"/>
    <n v="2.8"/>
    <n v="3"/>
    <n v="4"/>
    <n v="3"/>
    <s v="No"/>
    <n v="4"/>
    <n v="1"/>
    <m/>
  </r>
  <r>
    <s v="EMP0311"/>
    <d v="2021-04-18T00:00:00"/>
    <m/>
    <s v="No"/>
    <n v="30"/>
    <s v="Male"/>
    <s v="Divorced"/>
    <s v="PhD"/>
    <x v="6"/>
    <s v="Sales Manager"/>
    <n v="3"/>
    <s v="Pune"/>
    <n v="75000"/>
    <n v="6.7"/>
    <n v="11.8"/>
    <n v="4.7"/>
    <n v="2.9"/>
    <n v="3"/>
    <n v="3"/>
    <n v="3"/>
    <s v="No"/>
    <n v="3"/>
    <n v="1"/>
    <m/>
  </r>
  <r>
    <s v="EMP0312"/>
    <d v="2024-07-06T00:00:00"/>
    <m/>
    <s v="No"/>
    <n v="28"/>
    <s v="Male"/>
    <s v="Single"/>
    <s v="Bachelor's"/>
    <x v="4"/>
    <s v="HR Manager"/>
    <n v="3"/>
    <s v="Mumbai"/>
    <n v="63000"/>
    <n v="9.1"/>
    <n v="2.2999999999999998"/>
    <n v="1.5"/>
    <n v="1"/>
    <n v="3"/>
    <n v="1"/>
    <n v="4"/>
    <s v="No"/>
    <n v="3"/>
    <n v="1"/>
    <m/>
  </r>
  <r>
    <s v="EMP0313"/>
    <d v="2018-03-11T00:00:00"/>
    <m/>
    <s v="No"/>
    <n v="35"/>
    <s v="Male"/>
    <s v="Divorced"/>
    <s v="PhD"/>
    <x v="1"/>
    <s v="Data Analyst"/>
    <n v="1"/>
    <s v="Bengaluru"/>
    <n v="25000"/>
    <n v="10.3"/>
    <n v="12.5"/>
    <n v="7.8"/>
    <n v="0.3"/>
    <n v="3"/>
    <n v="2"/>
    <n v="3"/>
    <s v="No"/>
    <n v="1"/>
    <n v="1"/>
    <m/>
  </r>
  <r>
    <s v="EMP0314"/>
    <d v="2025-06-13T00:00:00"/>
    <m/>
    <s v="No"/>
    <n v="21"/>
    <s v="Female"/>
    <s v="Single"/>
    <s v="Master's"/>
    <x v="3"/>
    <s v="Financial Analyst"/>
    <n v="1"/>
    <s v="Chennai"/>
    <n v="38000"/>
    <n v="13.9"/>
    <n v="6.9"/>
    <n v="0.6"/>
    <n v="0"/>
    <n v="4"/>
    <n v="3"/>
    <n v="3"/>
    <s v="No"/>
    <n v="4"/>
    <n v="1"/>
    <m/>
  </r>
  <r>
    <s v="EMP0315"/>
    <d v="2019-06-25T00:00:00"/>
    <m/>
    <s v="No"/>
    <n v="45"/>
    <s v="Non-Binary"/>
    <s v="Divorced"/>
    <s v="Diploma"/>
    <x v="5"/>
    <s v="Software Developer"/>
    <n v="3"/>
    <s v="Noida"/>
    <n v="90000"/>
    <n v="6.2"/>
    <n v="11.5"/>
    <n v="6.5"/>
    <n v="1.1000000000000001"/>
    <n v="3"/>
    <n v="4"/>
    <n v="3"/>
    <s v="Yes"/>
    <n v="2"/>
    <n v="1"/>
    <m/>
  </r>
  <r>
    <s v="EMP0316"/>
    <d v="2023-10-01T00:00:00"/>
    <m/>
    <s v="No"/>
    <n v="37"/>
    <s v="Female"/>
    <s v="Married"/>
    <s v="PhD"/>
    <x v="3"/>
    <s v="Finance Manager"/>
    <n v="4"/>
    <s v="Noida"/>
    <n v="116000"/>
    <n v="11.2"/>
    <n v="3.5"/>
    <n v="2.2999999999999998"/>
    <n v="2.2999999999999998"/>
    <n v="3"/>
    <n v="3"/>
    <n v="3"/>
    <s v="Yes"/>
    <n v="3"/>
    <n v="1"/>
    <m/>
  </r>
  <r>
    <s v="EMP0317"/>
    <d v="2019-02-10T00:00:00"/>
    <m/>
    <s v="No"/>
    <n v="34"/>
    <s v="Female"/>
    <s v="Divorced"/>
    <s v="Bachelor's"/>
    <x v="3"/>
    <s v="Finance Executive"/>
    <n v="3"/>
    <s v="Chennai"/>
    <n v="67000"/>
    <n v="8.6"/>
    <n v="8.9"/>
    <n v="6.9"/>
    <n v="5.8"/>
    <n v="4"/>
    <n v="3"/>
    <n v="3"/>
    <s v="Yes"/>
    <n v="4"/>
    <n v="1"/>
    <m/>
  </r>
  <r>
    <s v="EMP0318"/>
    <d v="2018-02-13T00:00:00"/>
    <m/>
    <s v="No"/>
    <n v="28"/>
    <s v="Non-Binary"/>
    <s v="Single"/>
    <s v="Bachelor's"/>
    <x v="1"/>
    <s v="Senior Data Analyst"/>
    <n v="1"/>
    <s v="Bengaluru"/>
    <n v="50000"/>
    <n v="13.4"/>
    <n v="15.4"/>
    <n v="7.9"/>
    <n v="4.9000000000000004"/>
    <n v="3"/>
    <n v="4"/>
    <n v="3"/>
    <s v="Yes"/>
    <n v="4"/>
    <n v="1"/>
    <m/>
  </r>
  <r>
    <s v="EMP0319"/>
    <d v="2024-12-19T00:00:00"/>
    <m/>
    <s v="No"/>
    <n v="25"/>
    <s v="Male"/>
    <s v="Divorced"/>
    <s v="Diploma"/>
    <x v="3"/>
    <s v="Finance Executive"/>
    <n v="1"/>
    <s v="Mumbai"/>
    <n v="32000"/>
    <n v="13.9"/>
    <n v="3.1"/>
    <n v="1"/>
    <n v="0.3"/>
    <n v="4"/>
    <n v="3"/>
    <n v="3"/>
    <s v="Yes"/>
    <n v="3"/>
    <n v="1"/>
    <m/>
  </r>
  <r>
    <s v="EMP0320"/>
    <d v="2017-08-19T00:00:00"/>
    <m/>
    <s v="No"/>
    <n v="49"/>
    <s v="Female"/>
    <s v="Married"/>
    <s v="PhD"/>
    <x v="1"/>
    <s v="Data Engineer"/>
    <n v="4"/>
    <s v="Mumbai"/>
    <n v="132000"/>
    <n v="9.8000000000000007"/>
    <n v="10.8"/>
    <n v="8.4"/>
    <n v="4.4000000000000004"/>
    <n v="4"/>
    <n v="3"/>
    <n v="2"/>
    <s v="No"/>
    <n v="2"/>
    <n v="1"/>
    <m/>
  </r>
  <r>
    <s v="EMP0321"/>
    <d v="2023-01-18T00:00:00"/>
    <d v="2025-11-20T00:00:00"/>
    <s v="Yes"/>
    <n v="34"/>
    <s v="Non-Binary"/>
    <s v="Divorced"/>
    <s v="Master's"/>
    <x v="2"/>
    <s v="IT Support Specialist"/>
    <n v="4"/>
    <s v="Pune"/>
    <n v="107000"/>
    <n v="11.8"/>
    <n v="5.9"/>
    <n v="2.8"/>
    <n v="0.9"/>
    <n v="3"/>
    <n v="1"/>
    <n v="3"/>
    <s v="No"/>
    <n v="2"/>
    <n v="1"/>
    <m/>
  </r>
  <r>
    <s v="EMP0322"/>
    <d v="2019-03-13T00:00:00"/>
    <d v="2025-08-10T00:00:00"/>
    <s v="Yes"/>
    <n v="27"/>
    <s v="Male"/>
    <s v="Divorced"/>
    <s v="PhD"/>
    <x v="5"/>
    <s v="Tech Lead"/>
    <n v="1"/>
    <s v="Hyderabad"/>
    <n v="26000"/>
    <n v="1.7"/>
    <n v="8.6999999999999993"/>
    <n v="6.4"/>
    <n v="2.4"/>
    <n v="3"/>
    <n v="2"/>
    <n v="2"/>
    <s v="No"/>
    <n v="4"/>
    <n v="1"/>
    <m/>
  </r>
  <r>
    <s v="EMP0323"/>
    <d v="2023-05-05T00:00:00"/>
    <d v="2025-10-14T00:00:00"/>
    <s v="Yes"/>
    <n v="25"/>
    <s v="Non-Binary"/>
    <s v="Single"/>
    <s v="Master's"/>
    <x v="5"/>
    <s v="Tech Lead"/>
    <n v="1"/>
    <s v="Bengaluru"/>
    <n v="22000"/>
    <n v="10.6"/>
    <n v="4"/>
    <n v="2.4"/>
    <n v="0.9"/>
    <n v="2"/>
    <n v="3"/>
    <n v="3"/>
    <s v="No"/>
    <n v="5"/>
    <n v="1"/>
    <m/>
  </r>
  <r>
    <s v="EMP0324"/>
    <d v="2014-11-21T00:00:00"/>
    <m/>
    <s v="No"/>
    <n v="33"/>
    <s v="Female"/>
    <s v="Divorced"/>
    <s v="PhD"/>
    <x v="6"/>
    <s v="Business Development Executive"/>
    <n v="2"/>
    <s v="Chennai"/>
    <n v="60000"/>
    <n v="9.3000000000000007"/>
    <n v="13.9"/>
    <n v="11.1"/>
    <n v="1.9"/>
    <n v="3"/>
    <n v="3"/>
    <n v="1"/>
    <s v="Yes"/>
    <n v="3"/>
    <n v="1"/>
    <m/>
  </r>
  <r>
    <s v="EMP0325"/>
    <d v="2016-02-17T00:00:00"/>
    <m/>
    <s v="No"/>
    <n v="39"/>
    <s v="Female"/>
    <s v="Single"/>
    <s v="Diploma"/>
    <x v="1"/>
    <s v="Data Engineer"/>
    <n v="1"/>
    <s v="Noida"/>
    <n v="37000"/>
    <n v="10.1"/>
    <n v="16.7"/>
    <n v="9.9"/>
    <n v="0.7"/>
    <n v="3"/>
    <n v="1"/>
    <n v="4"/>
    <s v="Yes"/>
    <n v="5"/>
    <n v="1"/>
    <m/>
  </r>
  <r>
    <s v="EMP0326"/>
    <d v="2022-01-27T00:00:00"/>
    <m/>
    <s v="No"/>
    <n v="28"/>
    <s v="Non-Binary"/>
    <s v="Divorced"/>
    <s v="Bachelor's"/>
    <x v="2"/>
    <s v="IT Support Specialist"/>
    <n v="2"/>
    <s v="Mumbai"/>
    <n v="61000"/>
    <n v="8.3000000000000007"/>
    <n v="8.3000000000000007"/>
    <n v="3.9"/>
    <n v="2.9"/>
    <n v="4"/>
    <n v="3"/>
    <n v="3"/>
    <s v="No"/>
    <n v="5"/>
    <n v="1"/>
    <m/>
  </r>
  <r>
    <s v="EMP0327"/>
    <d v="2024-12-30T00:00:00"/>
    <m/>
    <s v="No"/>
    <n v="37"/>
    <s v="Non-Binary"/>
    <s v="Married"/>
    <s v="Bachelor's"/>
    <x v="4"/>
    <s v="HR Executive"/>
    <n v="2"/>
    <s v="Bengaluru"/>
    <n v="43000"/>
    <n v="9.1"/>
    <n v="4.7"/>
    <n v="1"/>
    <n v="0.9"/>
    <n v="3"/>
    <n v="1"/>
    <n v="3"/>
    <s v="Yes"/>
    <n v="4"/>
    <n v="1"/>
    <m/>
  </r>
  <r>
    <s v="EMP0328"/>
    <d v="2021-03-31T00:00:00"/>
    <m/>
    <s v="No"/>
    <n v="41"/>
    <s v="Non-Binary"/>
    <s v="Single"/>
    <s v="Bachelor's"/>
    <x v="6"/>
    <s v="Business Development Executive"/>
    <n v="2"/>
    <s v="Pune"/>
    <n v="57000"/>
    <n v="8.9"/>
    <n v="11.7"/>
    <n v="4.8"/>
    <n v="2.6"/>
    <n v="2"/>
    <n v="2"/>
    <n v="3"/>
    <s v="No"/>
    <n v="3"/>
    <n v="1"/>
    <m/>
  </r>
  <r>
    <s v="EMP0329"/>
    <d v="2021-02-05T00:00:00"/>
    <m/>
    <s v="No"/>
    <n v="43"/>
    <s v="Non-Binary"/>
    <s v="Married"/>
    <s v="PhD"/>
    <x v="4"/>
    <s v="HR Analyst"/>
    <n v="2"/>
    <s v="Bengaluru"/>
    <n v="56000"/>
    <n v="9"/>
    <n v="9.9"/>
    <n v="4.9000000000000004"/>
    <n v="1.2"/>
    <n v="3"/>
    <n v="4"/>
    <n v="3"/>
    <s v="Yes"/>
    <n v="4"/>
    <n v="1"/>
    <m/>
  </r>
  <r>
    <s v="EMP0330"/>
    <d v="2024-05-31T00:00:00"/>
    <d v="2025-07-15T00:00:00"/>
    <s v="Yes"/>
    <n v="26"/>
    <s v="Non-Binary"/>
    <s v="Single"/>
    <s v="PhD"/>
    <x v="4"/>
    <s v="HR Analyst"/>
    <n v="1"/>
    <s v="Hyderabad"/>
    <n v="29000"/>
    <n v="6.6"/>
    <n v="5.3"/>
    <n v="1.1000000000000001"/>
    <n v="0.7"/>
    <n v="3"/>
    <n v="4"/>
    <n v="3"/>
    <s v="No"/>
    <n v="3"/>
    <n v="1"/>
    <m/>
  </r>
  <r>
    <s v="EMP0331"/>
    <d v="2024-02-28T00:00:00"/>
    <m/>
    <s v="No"/>
    <n v="33"/>
    <s v="Female"/>
    <s v="Single"/>
    <s v="Master's"/>
    <x v="4"/>
    <s v="HR Analyst"/>
    <n v="2"/>
    <s v="Hyderabad"/>
    <n v="55000"/>
    <n v="8.6999999999999993"/>
    <n v="3.5"/>
    <n v="1.8"/>
    <n v="0.2"/>
    <n v="3"/>
    <n v="3"/>
    <n v="4"/>
    <s v="No"/>
    <n v="5"/>
    <n v="1"/>
    <m/>
  </r>
  <r>
    <s v="EMP0332"/>
    <d v="2015-11-17T00:00:00"/>
    <m/>
    <s v="No"/>
    <n v="33"/>
    <s v="Non-Binary"/>
    <s v="Divorced"/>
    <s v="Diploma"/>
    <x v="5"/>
    <s v="Software Developer"/>
    <n v="2"/>
    <s v="Pune"/>
    <n v="42000"/>
    <n v="5.2"/>
    <n v="17.899999999999999"/>
    <n v="10.1"/>
    <n v="5.8"/>
    <n v="1"/>
    <n v="3"/>
    <n v="3"/>
    <s v="Yes"/>
    <n v="4"/>
    <n v="1"/>
    <m/>
  </r>
  <r>
    <s v="EMP0333"/>
    <d v="2025-03-14T00:00:00"/>
    <m/>
    <s v="No"/>
    <n v="25"/>
    <s v="Female"/>
    <s v="Single"/>
    <s v="PhD"/>
    <x v="2"/>
    <s v="System Administrator"/>
    <n v="1"/>
    <s v="Pune"/>
    <n v="38000"/>
    <n v="15.1"/>
    <n v="2.9"/>
    <n v="0.8"/>
    <n v="0"/>
    <n v="4"/>
    <n v="2"/>
    <n v="2"/>
    <s v="Yes"/>
    <n v="4"/>
    <n v="1"/>
    <m/>
  </r>
  <r>
    <s v="EMP0334"/>
    <d v="2021-04-29T00:00:00"/>
    <m/>
    <s v="No"/>
    <n v="32"/>
    <s v="Female"/>
    <s v="Single"/>
    <s v="Master's"/>
    <x v="4"/>
    <s v="HR Manager"/>
    <n v="3"/>
    <s v="Pune"/>
    <n v="87000"/>
    <n v="9.6"/>
    <n v="6.2"/>
    <n v="4.7"/>
    <n v="0.2"/>
    <n v="3"/>
    <n v="4"/>
    <n v="1"/>
    <s v="No"/>
    <n v="3"/>
    <n v="1"/>
    <m/>
  </r>
  <r>
    <s v="EMP0335"/>
    <d v="2017-02-15T00:00:00"/>
    <m/>
    <s v="No"/>
    <n v="29"/>
    <s v="Female"/>
    <s v="Divorced"/>
    <s v="Diploma"/>
    <x v="5"/>
    <s v="Senior Software Developer"/>
    <n v="4"/>
    <s v="Mumbai"/>
    <n v="121000"/>
    <n v="7.4"/>
    <n v="12.5"/>
    <n v="8.9"/>
    <n v="1.5"/>
    <n v="3"/>
    <n v="3"/>
    <n v="1"/>
    <s v="No"/>
    <n v="4"/>
    <n v="1"/>
    <m/>
  </r>
  <r>
    <s v="EMP0336"/>
    <d v="2020-06-01T00:00:00"/>
    <m/>
    <s v="No"/>
    <n v="34"/>
    <s v="Non-Binary"/>
    <s v="Single"/>
    <s v="Master's"/>
    <x v="4"/>
    <s v="HR Executive"/>
    <n v="3"/>
    <s v="Hyderabad"/>
    <n v="74000"/>
    <n v="10.7"/>
    <n v="9.6999999999999993"/>
    <n v="5.6"/>
    <n v="2.2000000000000002"/>
    <n v="1"/>
    <n v="3"/>
    <n v="3"/>
    <s v="No"/>
    <n v="3"/>
    <n v="1"/>
    <m/>
  </r>
  <r>
    <s v="EMP0337"/>
    <d v="2016-08-25T00:00:00"/>
    <m/>
    <s v="No"/>
    <n v="40"/>
    <s v="Male"/>
    <s v="Divorced"/>
    <s v="Bachelor's"/>
    <x v="3"/>
    <s v="Finance Manager"/>
    <n v="4"/>
    <s v="Pune"/>
    <n v="102000"/>
    <n v="0"/>
    <n v="16.7"/>
    <n v="9.3000000000000007"/>
    <n v="4.0999999999999996"/>
    <n v="2"/>
    <n v="4"/>
    <n v="3"/>
    <s v="No"/>
    <n v="4"/>
    <n v="1"/>
    <m/>
  </r>
  <r>
    <s v="EMP0338"/>
    <d v="2024-08-21T00:00:00"/>
    <m/>
    <s v="No"/>
    <n v="23"/>
    <s v="Non-Binary"/>
    <s v="Divorced"/>
    <s v="Master's"/>
    <x v="2"/>
    <s v="System Administrator"/>
    <n v="1"/>
    <s v="Noida"/>
    <n v="31000"/>
    <n v="4.3"/>
    <n v="8.5"/>
    <n v="1.4"/>
    <n v="1.3"/>
    <n v="1"/>
    <n v="4"/>
    <n v="2"/>
    <s v="No"/>
    <n v="3"/>
    <n v="1"/>
    <m/>
  </r>
  <r>
    <s v="EMP0339"/>
    <d v="2017-06-09T00:00:00"/>
    <m/>
    <s v="No"/>
    <n v="37"/>
    <s v="Male"/>
    <s v="Single"/>
    <s v="Diploma"/>
    <x v="0"/>
    <s v="Operations Executive"/>
    <n v="1"/>
    <m/>
    <n v="38000"/>
    <n v="6.7"/>
    <n v="14.4"/>
    <n v="8.6"/>
    <n v="5.9"/>
    <n v="2"/>
    <n v="3"/>
    <n v="2"/>
    <s v="No"/>
    <n v="4"/>
    <n v="1"/>
    <m/>
  </r>
  <r>
    <s v="EMP0340"/>
    <d v="2024-06-10T00:00:00"/>
    <m/>
    <s v="No"/>
    <n v="29"/>
    <s v="Male"/>
    <s v="Single"/>
    <s v="Diploma"/>
    <x v="2"/>
    <s v="System Administrator"/>
    <n v="2"/>
    <s v="Bengaluru"/>
    <n v="55000"/>
    <n v="3.1"/>
    <n v="7.4"/>
    <n v="1.6"/>
    <n v="1.5"/>
    <n v="1"/>
    <n v="3"/>
    <n v="2"/>
    <s v="No"/>
    <n v="5"/>
    <n v="1"/>
    <m/>
  </r>
  <r>
    <s v="EMP0341"/>
    <d v="2019-05-05T00:00:00"/>
    <m/>
    <s v="No"/>
    <n v="33"/>
    <s v="Male"/>
    <s v="Divorced"/>
    <s v="Diploma"/>
    <x v="3"/>
    <s v="Finance Manager"/>
    <n v="4"/>
    <s v="Chennai"/>
    <n v="120000"/>
    <n v="9.5"/>
    <n v="11.4"/>
    <n v="6.7"/>
    <n v="2.9"/>
    <n v="4"/>
    <n v="3"/>
    <n v="2"/>
    <s v="Yes"/>
    <n v="4"/>
    <n v="1"/>
    <m/>
  </r>
  <r>
    <s v="EMP0342"/>
    <d v="2023-12-19T00:00:00"/>
    <m/>
    <s v="No"/>
    <n v="41"/>
    <s v="Female"/>
    <s v="Single"/>
    <s v="Master's"/>
    <x v="0"/>
    <s v="Operations Analyst"/>
    <n v="1"/>
    <s v="Noida"/>
    <n v="30000"/>
    <n v="8.9"/>
    <n v="7.4"/>
    <n v="2"/>
    <n v="1.7"/>
    <n v="1"/>
    <n v="3"/>
    <n v="4"/>
    <s v="No"/>
    <n v="1"/>
    <n v="1"/>
    <m/>
  </r>
  <r>
    <s v="EMP0343"/>
    <d v="2018-06-07T00:00:00"/>
    <m/>
    <s v="No"/>
    <n v="30"/>
    <s v="Male"/>
    <s v="Married"/>
    <s v="PhD"/>
    <x v="6"/>
    <s v="Account Manager"/>
    <n v="5"/>
    <s v="Pune"/>
    <n v="146000"/>
    <n v="8.3000000000000007"/>
    <n v="10.1"/>
    <n v="7.6"/>
    <n v="5.4"/>
    <n v="1"/>
    <n v="4"/>
    <n v="3"/>
    <s v="No"/>
    <n v="4"/>
    <n v="1"/>
    <m/>
  </r>
  <r>
    <s v="EMP0344"/>
    <d v="2024-10-23T00:00:00"/>
    <d v="2025-01-30T00:00:00"/>
    <s v="Yes"/>
    <n v="23"/>
    <s v="Non-Binary"/>
    <s v="Divorced"/>
    <s v="Diploma"/>
    <x v="5"/>
    <s v="QA Engineer"/>
    <n v="1"/>
    <s v="Mumbai"/>
    <n v="23000"/>
    <n v="14.9"/>
    <n v="1.1000000000000001"/>
    <n v="0.3"/>
    <n v="0"/>
    <n v="2"/>
    <n v="3"/>
    <n v="4"/>
    <s v="No"/>
    <n v="3"/>
    <n v="1"/>
    <m/>
  </r>
  <r>
    <s v="EMP0345"/>
    <d v="2021-04-09T00:00:00"/>
    <m/>
    <s v="No"/>
    <n v="28"/>
    <s v="Male"/>
    <s v="Divorced"/>
    <s v="Diploma"/>
    <x v="4"/>
    <s v="HR Analyst"/>
    <n v="2"/>
    <s v="Pune"/>
    <n v="60000"/>
    <n v="6.6"/>
    <n v="8.6999999999999993"/>
    <n v="4.7"/>
    <n v="3.4"/>
    <n v="4"/>
    <n v="3"/>
    <n v="4"/>
    <s v="No"/>
    <n v="5"/>
    <n v="1"/>
    <m/>
  </r>
  <r>
    <s v="EMP0346"/>
    <d v="2018-05-20T00:00:00"/>
    <m/>
    <s v="No"/>
    <n v="38"/>
    <s v="Male"/>
    <s v="Divorced"/>
    <s v="Master's"/>
    <x v="5"/>
    <s v="Software Developer"/>
    <n v="1"/>
    <s v="Noida"/>
    <n v="33000"/>
    <n v="17.600000000000001"/>
    <n v="15.6"/>
    <n v="7.6"/>
    <n v="2.5"/>
    <n v="4"/>
    <n v="3"/>
    <n v="3"/>
    <s v="Yes"/>
    <n v="4"/>
    <n v="1"/>
    <m/>
  </r>
  <r>
    <s v="EMP0347"/>
    <d v="2022-02-06T00:00:00"/>
    <d v="2025-12-18T00:00:00"/>
    <s v="Yes"/>
    <n v="38"/>
    <s v="Male"/>
    <s v="Married"/>
    <s v="Diploma"/>
    <x v="6"/>
    <s v="Sales Manager"/>
    <n v="3"/>
    <s v="Noida"/>
    <n v="79000"/>
    <n v="14.2"/>
    <n v="6.5"/>
    <n v="3.9"/>
    <n v="1.5"/>
    <n v="3"/>
    <n v="3"/>
    <n v="4"/>
    <s v="No"/>
    <n v="4"/>
    <n v="1"/>
    <m/>
  </r>
  <r>
    <s v="EMP0348"/>
    <d v="2018-02-23T00:00:00"/>
    <m/>
    <s v="No"/>
    <n v="33"/>
    <s v="Non-Binary"/>
    <s v="Married"/>
    <s v="Diploma"/>
    <x v="3"/>
    <s v="Finance Manager"/>
    <n v="3"/>
    <s v="Chennai"/>
    <n v="73000"/>
    <n v="10.8"/>
    <n v="12.1"/>
    <n v="7.9"/>
    <n v="2"/>
    <n v="3"/>
    <n v="4"/>
    <n v="3"/>
    <s v="No"/>
    <n v="4"/>
    <n v="1"/>
    <m/>
  </r>
  <r>
    <s v="EMP0349"/>
    <d v="2017-09-06T00:00:00"/>
    <m/>
    <s v="No"/>
    <n v="47"/>
    <s v="Male"/>
    <s v="Divorced"/>
    <s v="PhD"/>
    <x v="4"/>
    <s v="HR Executive"/>
    <n v="2"/>
    <s v="Pune"/>
    <n v="52000"/>
    <n v="7.5"/>
    <n v="16.100000000000001"/>
    <n v="8.3000000000000007"/>
    <n v="1.7"/>
    <n v="4"/>
    <m/>
    <n v="4"/>
    <s v="No"/>
    <n v="4"/>
    <n v="1"/>
    <m/>
  </r>
  <r>
    <s v="EMP0350"/>
    <d v="2022-07-02T00:00:00"/>
    <m/>
    <s v="No"/>
    <n v="24"/>
    <s v="Female"/>
    <s v="Single"/>
    <s v="Diploma"/>
    <x v="4"/>
    <s v="HR Executive"/>
    <n v="1"/>
    <s v="Pune"/>
    <n v="23000"/>
    <n v="13.8"/>
    <n v="3.8"/>
    <n v="3.5"/>
    <n v="1.4"/>
    <n v="3"/>
    <n v="3"/>
    <n v="2"/>
    <s v="No"/>
    <n v="3"/>
    <n v="1"/>
    <m/>
  </r>
  <r>
    <s v="EMP0351"/>
    <d v="2021-03-24T00:00:00"/>
    <m/>
    <s v="No"/>
    <n v="26"/>
    <s v="Non-Binary"/>
    <s v="Divorced"/>
    <s v="Diploma"/>
    <x v="5"/>
    <s v="QA Engineer"/>
    <n v="1"/>
    <s v="Hyderabad"/>
    <n v="43000"/>
    <n v="13.7"/>
    <n v="5"/>
    <n v="4.8"/>
    <n v="2.2999999999999998"/>
    <n v="4"/>
    <n v="3"/>
    <n v="2"/>
    <s v="No"/>
    <n v="5"/>
    <n v="1"/>
    <m/>
  </r>
  <r>
    <s v="EMP0352"/>
    <d v="2014-09-22T00:00:00"/>
    <m/>
    <s v="No"/>
    <n v="40"/>
    <s v="Non-Binary"/>
    <s v="Divorced"/>
    <s v="Bachelor's"/>
    <x v="1"/>
    <s v="Data Analyst"/>
    <n v="4"/>
    <s v="Hyderabad"/>
    <n v="122000"/>
    <n v="3.3"/>
    <n v="14.9"/>
    <n v="11.3"/>
    <n v="4.3"/>
    <n v="2"/>
    <n v="3"/>
    <n v="1"/>
    <s v="No"/>
    <n v="5"/>
    <n v="1"/>
    <m/>
  </r>
  <r>
    <s v="EMP0353"/>
    <d v="2017-07-03T00:00:00"/>
    <m/>
    <s v="No"/>
    <n v="31"/>
    <s v="Female"/>
    <s v="Divorced"/>
    <s v="Bachelor's"/>
    <x v="3"/>
    <s v="Financial Analyst"/>
    <n v="2"/>
    <s v="Hyderabad"/>
    <n v="53000"/>
    <n v="14.3"/>
    <n v="13.6"/>
    <n v="8.5"/>
    <n v="1.3"/>
    <m/>
    <n v="2"/>
    <n v="3"/>
    <s v="No"/>
    <n v="4"/>
    <n v="1"/>
    <m/>
  </r>
  <r>
    <s v="EMP0354"/>
    <d v="2025-07-10T00:00:00"/>
    <m/>
    <s v="No"/>
    <n v="36"/>
    <s v="Male"/>
    <s v="Single"/>
    <s v="Bachelor's"/>
    <x v="1"/>
    <s v="BI Analyst"/>
    <n v="2"/>
    <s v="Hyderabad"/>
    <n v="81000"/>
    <n v="6.4"/>
    <n v="3.3"/>
    <n v="0.5"/>
    <n v="0"/>
    <n v="3"/>
    <n v="2"/>
    <n v="3"/>
    <s v="No"/>
    <n v="3"/>
    <n v="1"/>
    <m/>
  </r>
  <r>
    <s v="EMP0355"/>
    <d v="2025-02-08T00:00:00"/>
    <d v="2025-10-22T00:00:00"/>
    <s v="Yes"/>
    <n v="33"/>
    <s v="Non-Binary"/>
    <s v="Divorced"/>
    <s v="PhD"/>
    <x v="4"/>
    <s v="HR Analyst"/>
    <n v="3"/>
    <s v="Chennai"/>
    <n v="76000"/>
    <n v="15.1"/>
    <n v="1.1000000000000001"/>
    <n v="0.7"/>
    <n v="0"/>
    <n v="4"/>
    <n v="2"/>
    <n v="3"/>
    <s v="Yes"/>
    <n v="4"/>
    <n v="1"/>
    <m/>
  </r>
  <r>
    <s v="EMP0356"/>
    <d v="2023-05-20T00:00:00"/>
    <d v="2025-08-27T00:00:00"/>
    <s v="Yes"/>
    <n v="37"/>
    <s v="Female"/>
    <s v="Divorced"/>
    <s v="PhD"/>
    <x v="6"/>
    <s v="Sales Manager"/>
    <n v="2"/>
    <s v="Mumbai"/>
    <n v="62000"/>
    <n v="7.5"/>
    <n v="6.8"/>
    <n v="2.2999999999999998"/>
    <n v="0.2"/>
    <n v="4"/>
    <n v="4"/>
    <n v="3"/>
    <s v="No"/>
    <n v="2"/>
    <n v="1"/>
    <m/>
  </r>
  <r>
    <s v="EMP0357"/>
    <d v="2024-11-18T00:00:00"/>
    <m/>
    <s v="No"/>
    <n v="26"/>
    <s v="Female"/>
    <s v="Single"/>
    <s v="Bachelor's"/>
    <x v="1"/>
    <s v="BI Analyst"/>
    <n v="1"/>
    <s v="Mumbai"/>
    <n v="22000"/>
    <n v="17.2"/>
    <n v="2.6"/>
    <n v="1.1000000000000001"/>
    <n v="1"/>
    <n v="3"/>
    <n v="3"/>
    <n v="4"/>
    <s v="No"/>
    <n v="3"/>
    <n v="1"/>
    <m/>
  </r>
  <r>
    <s v="EMP0358"/>
    <d v="2016-08-26T00:00:00"/>
    <m/>
    <s v="No"/>
    <n v="31"/>
    <s v="Male"/>
    <s v="Married"/>
    <s v="PhD"/>
    <x v="5"/>
    <s v="QA Engineer"/>
    <n v="3"/>
    <s v="Mumbai"/>
    <n v="84000"/>
    <n v="10.199999999999999"/>
    <n v="13.4"/>
    <n v="9.3000000000000007"/>
    <n v="2.4"/>
    <n v="3"/>
    <n v="3"/>
    <n v="2"/>
    <s v="No"/>
    <n v="4"/>
    <n v="1"/>
    <m/>
  </r>
  <r>
    <s v="EMP0359"/>
    <d v="2022-11-07T00:00:00"/>
    <d v="2025-04-17T00:00:00"/>
    <s v="Yes"/>
    <n v="39"/>
    <s v="Non-Binary"/>
    <s v="Divorced"/>
    <s v="Master's"/>
    <x v="4"/>
    <s v="HR Manager"/>
    <n v="2"/>
    <s v="Pune"/>
    <n v="45000"/>
    <n v="8.3000000000000007"/>
    <n v="9"/>
    <n v="2.4"/>
    <n v="1.4"/>
    <n v="3"/>
    <n v="4"/>
    <n v="3"/>
    <s v="Yes"/>
    <n v="4"/>
    <n v="1"/>
    <m/>
  </r>
  <r>
    <s v="EMP0360"/>
    <d v="2018-01-31T00:00:00"/>
    <m/>
    <s v="No"/>
    <n v="31"/>
    <s v="Non-Binary"/>
    <s v="Single"/>
    <s v="PhD"/>
    <x v="0"/>
    <s v="Operations Executive"/>
    <n v="3"/>
    <s v="Hyderabad"/>
    <n v="86000"/>
    <n v="11"/>
    <n v="10.5"/>
    <n v="7.9"/>
    <n v="0.6"/>
    <n v="2"/>
    <n v="3"/>
    <n v="3"/>
    <s v="No"/>
    <n v="3"/>
    <n v="1"/>
    <m/>
  </r>
  <r>
    <s v="EMP0361"/>
    <d v="2016-02-21T00:00:00"/>
    <m/>
    <s v="No"/>
    <n v="38"/>
    <s v="Non-Binary"/>
    <s v="Married"/>
    <s v="Master's"/>
    <x v="3"/>
    <s v="Financial Analyst"/>
    <n v="1"/>
    <s v="Pune"/>
    <n v="46000"/>
    <n v="9.6999999999999993"/>
    <n v="9.9"/>
    <n v="9.9"/>
    <n v="0.9"/>
    <n v="4"/>
    <n v="2"/>
    <n v="3"/>
    <s v="No"/>
    <n v="3"/>
    <n v="1"/>
    <m/>
  </r>
  <r>
    <s v="EMP0362"/>
    <d v="2016-05-28T00:00:00"/>
    <m/>
    <s v="No"/>
    <n v="36"/>
    <s v="Non-Binary"/>
    <s v="Married"/>
    <s v="Master's"/>
    <x v="0"/>
    <s v="Operations Manager"/>
    <n v="2"/>
    <s v="Hyderabad"/>
    <n v="44000"/>
    <n v="6.9"/>
    <n v="15.3"/>
    <n v="9.6"/>
    <n v="5.5"/>
    <n v="4"/>
    <n v="4"/>
    <n v="3"/>
    <s v="No"/>
    <n v="4"/>
    <n v="1"/>
    <m/>
  </r>
  <r>
    <s v="EMP0363"/>
    <d v="2014-05-18T00:00:00"/>
    <m/>
    <s v="No"/>
    <n v="42"/>
    <s v="Non-Binary"/>
    <s v="Married"/>
    <s v="PhD"/>
    <x v="5"/>
    <s v="QA Engineer"/>
    <n v="4"/>
    <s v="Mumbai"/>
    <n v="124000"/>
    <n v="10.199999999999999"/>
    <n v="12.5"/>
    <n v="11.6"/>
    <n v="1.7"/>
    <n v="3"/>
    <n v="1"/>
    <n v="3"/>
    <s v="Yes"/>
    <n v="4"/>
    <n v="1"/>
    <m/>
  </r>
  <r>
    <s v="EMP0364"/>
    <d v="2017-12-13T00:00:00"/>
    <m/>
    <s v="No"/>
    <n v="35"/>
    <s v="Male"/>
    <s v="Single"/>
    <s v="Bachelor's"/>
    <x v="3"/>
    <s v="Finance Manager"/>
    <n v="3"/>
    <s v="Noida"/>
    <n v="103000"/>
    <n v="11.3"/>
    <n v="15.4"/>
    <n v="8"/>
    <n v="5"/>
    <n v="2"/>
    <n v="2"/>
    <n v="4"/>
    <s v="No"/>
    <n v="4"/>
    <n v="1"/>
    <m/>
  </r>
  <r>
    <s v="EMP0365"/>
    <d v="2020-01-03T00:00:00"/>
    <d v="2025-11-25T00:00:00"/>
    <s v="Yes"/>
    <n v="38"/>
    <s v="Non-Binary"/>
    <s v="Single"/>
    <s v="PhD"/>
    <x v="5"/>
    <s v="Senior Software Developer"/>
    <n v="3"/>
    <s v="Chennai"/>
    <n v="90000"/>
    <n v="14.2"/>
    <n v="12.3"/>
    <n v="5.9"/>
    <n v="5.0999999999999996"/>
    <n v="4"/>
    <n v="4"/>
    <n v="3"/>
    <s v="No"/>
    <n v="5"/>
    <n v="1"/>
    <m/>
  </r>
  <r>
    <s v="EMP0366"/>
    <d v="2023-01-22T00:00:00"/>
    <m/>
    <s v="No"/>
    <n v="32"/>
    <s v="Male"/>
    <s v="Single"/>
    <s v="PhD"/>
    <x v="3"/>
    <s v="Finance Manager"/>
    <n v="2"/>
    <s v="Noida"/>
    <n v="44000"/>
    <n v="8.1999999999999993"/>
    <n v="8.8000000000000007"/>
    <n v="2.9"/>
    <n v="2.1"/>
    <n v="1"/>
    <n v="3"/>
    <n v="4"/>
    <s v="No"/>
    <n v="4"/>
    <n v="1"/>
    <m/>
  </r>
  <r>
    <s v="EMP0367"/>
    <d v="2017-05-02T00:00:00"/>
    <m/>
    <s v="No"/>
    <n v="29"/>
    <s v="Non-Binary"/>
    <s v="Single"/>
    <s v="Master's"/>
    <x v="6"/>
    <s v="Sales Executive"/>
    <n v="3"/>
    <s v="Mumbai"/>
    <n v="82000"/>
    <n v="15.7"/>
    <n v="15.5"/>
    <n v="8.6999999999999993"/>
    <n v="4.5"/>
    <n v="4"/>
    <n v="3"/>
    <n v="3"/>
    <s v="Yes"/>
    <n v="4"/>
    <n v="1"/>
    <m/>
  </r>
  <r>
    <s v="EMP0368"/>
    <d v="2022-06-27T00:00:00"/>
    <m/>
    <s v="No"/>
    <n v="25"/>
    <s v="Non-Binary"/>
    <s v="Divorced"/>
    <s v="Diploma"/>
    <x v="0"/>
    <s v="Operations Executive"/>
    <n v="1"/>
    <s v="Mumbai"/>
    <n v="36000"/>
    <n v="13.8"/>
    <n v="10.7"/>
    <n v="3.5"/>
    <n v="1.9"/>
    <n v="3"/>
    <n v="1"/>
    <n v="3"/>
    <s v="No"/>
    <n v="5"/>
    <n v="1"/>
    <m/>
  </r>
  <r>
    <s v="EMP0369"/>
    <d v="2025-04-15T00:00:00"/>
    <m/>
    <s v="No"/>
    <n v="32"/>
    <s v="Female"/>
    <s v="Divorced"/>
    <s v="Bachelor's"/>
    <x v="6"/>
    <s v="Sales Manager"/>
    <n v="2"/>
    <s v="Hyderabad"/>
    <n v="53000"/>
    <n v="5.9"/>
    <n v="5.2"/>
    <n v="0.7"/>
    <n v="0"/>
    <n v="4"/>
    <n v="3"/>
    <n v="2"/>
    <s v="No"/>
    <n v="2"/>
    <n v="1"/>
    <m/>
  </r>
  <r>
    <s v="EMP0370"/>
    <d v="2024-10-19T00:00:00"/>
    <m/>
    <s v="No"/>
    <n v="32"/>
    <s v="Non-Binary"/>
    <s v="Single"/>
    <s v="PhD"/>
    <x v="3"/>
    <s v="Financial Analyst"/>
    <n v="2"/>
    <s v="Hyderabad"/>
    <n v="59000"/>
    <n v="5.5"/>
    <n v="3.4"/>
    <n v="1.2"/>
    <n v="0.3"/>
    <n v="3"/>
    <n v="4"/>
    <n v="3"/>
    <s v="No"/>
    <n v="5"/>
    <n v="1"/>
    <m/>
  </r>
  <r>
    <s v="EMP0371"/>
    <d v="2017-07-02T00:00:00"/>
    <m/>
    <s v="No"/>
    <n v="38"/>
    <s v="Female"/>
    <s v="Married"/>
    <s v="PhD"/>
    <x v="2"/>
    <s v="System Administrator"/>
    <n v="2"/>
    <s v="Pune"/>
    <n v="48000"/>
    <n v="15.9"/>
    <n v="11.2"/>
    <n v="8.5"/>
    <n v="0.5"/>
    <n v="4"/>
    <n v="2"/>
    <n v="4"/>
    <s v="No"/>
    <n v="2"/>
    <n v="1"/>
    <m/>
  </r>
  <r>
    <s v="EMP0372"/>
    <d v="2023-09-29T00:00:00"/>
    <d v="2025-05-16T00:00:00"/>
    <s v="Yes"/>
    <n v="35"/>
    <s v="Non-Binary"/>
    <s v="Divorced"/>
    <s v="Master's"/>
    <x v="0"/>
    <s v="Process Associate"/>
    <n v="3"/>
    <s v="Mumbai"/>
    <n v="80000"/>
    <n v="3.3"/>
    <n v="7.7"/>
    <n v="1.6"/>
    <n v="0.2"/>
    <n v="4"/>
    <n v="2"/>
    <n v="3"/>
    <s v="No"/>
    <n v="3"/>
    <n v="1"/>
    <m/>
  </r>
  <r>
    <s v="EMP0373"/>
    <d v="2024-11-22T00:00:00"/>
    <d v="2025-09-07T00:00:00"/>
    <s v="Yes"/>
    <n v="22"/>
    <s v="Non-Binary"/>
    <s v="Divorced"/>
    <s v="Diploma"/>
    <x v="0"/>
    <s v="Process Associate"/>
    <n v="1"/>
    <s v="Mumbai"/>
    <n v="43000"/>
    <n v="6.8"/>
    <n v="3.8"/>
    <n v="0.8"/>
    <n v="0"/>
    <n v="4"/>
    <n v="3"/>
    <n v="4"/>
    <s v="Yes"/>
    <n v="2"/>
    <n v="1"/>
    <m/>
  </r>
  <r>
    <s v="EMP0374"/>
    <d v="2023-05-18T00:00:00"/>
    <m/>
    <s v="No"/>
    <n v="29"/>
    <s v="Female"/>
    <s v="Divorced"/>
    <s v="Master's"/>
    <x v="4"/>
    <s v="HR Analyst"/>
    <n v="2"/>
    <s v="Hyderabad"/>
    <n v="52000"/>
    <n v="15.2"/>
    <n v="8.8000000000000007"/>
    <n v="2.6"/>
    <n v="1.9"/>
    <n v="3"/>
    <n v="3"/>
    <n v="3"/>
    <s v="Yes"/>
    <n v="3"/>
    <n v="1"/>
    <m/>
  </r>
  <r>
    <s v="EMP0375"/>
    <d v="2015-12-21T00:00:00"/>
    <d v="2025-08-17T00:00:00"/>
    <s v="Yes"/>
    <n v="47"/>
    <s v="Male"/>
    <s v="Divorced"/>
    <s v="Master's"/>
    <x v="4"/>
    <s v="HR Executive"/>
    <n v="3"/>
    <s v="Chennai"/>
    <n v="84000"/>
    <n v="13.1"/>
    <n v="12.5"/>
    <n v="9.6999999999999993"/>
    <n v="4.4000000000000004"/>
    <n v="2"/>
    <n v="3"/>
    <n v="1"/>
    <s v="Yes"/>
    <n v="4"/>
    <n v="1"/>
    <m/>
  </r>
  <r>
    <s v="EMP0376"/>
    <d v="2024-04-18T00:00:00"/>
    <m/>
    <s v="No"/>
    <n v="38"/>
    <s v="Female"/>
    <s v="Married"/>
    <s v="PhD"/>
    <x v="0"/>
    <s v="Operations Executive"/>
    <n v="3"/>
    <s v="Noida"/>
    <n v="67000"/>
    <n v="5.7"/>
    <n v="8.9"/>
    <n v="1.7"/>
    <n v="1"/>
    <n v="2"/>
    <n v="4"/>
    <n v="4"/>
    <s v="No"/>
    <n v="4"/>
    <n v="1"/>
    <m/>
  </r>
  <r>
    <s v="EMP0377"/>
    <d v="2022-06-20T00:00:00"/>
    <m/>
    <s v="No"/>
    <n v="32"/>
    <s v="Female"/>
    <s v="Single"/>
    <s v="Diploma"/>
    <x v="5"/>
    <s v="Tech Lead"/>
    <n v="4"/>
    <s v="Hyderabad"/>
    <n v="120000"/>
    <n v="11.8"/>
    <n v="6.1"/>
    <n v="3.5"/>
    <n v="0.6"/>
    <n v="4"/>
    <n v="2"/>
    <n v="4"/>
    <s v="No"/>
    <n v="3"/>
    <n v="1"/>
    <m/>
  </r>
  <r>
    <s v="EMP0378"/>
    <d v="2014-03-29T00:00:00"/>
    <m/>
    <s v="No"/>
    <n v="34"/>
    <s v="Female"/>
    <s v="Divorced"/>
    <s v="Diploma"/>
    <x v="1"/>
    <s v="Data Engineer"/>
    <n v="1"/>
    <s v="Bengaluru"/>
    <s v="₹52,000"/>
    <n v="4.4000000000000004"/>
    <n v="12.6"/>
    <n v="11.8"/>
    <n v="3.2"/>
    <n v="3"/>
    <n v="3"/>
    <n v="3"/>
    <s v="Yes"/>
    <n v="2"/>
    <n v="1"/>
    <m/>
  </r>
  <r>
    <s v="EMP0379"/>
    <d v="2020-02-06T00:00:00"/>
    <m/>
    <s v="No"/>
    <n v="28"/>
    <s v="Female"/>
    <s v="Married"/>
    <s v="Bachelor's"/>
    <x v="5"/>
    <s v="Software Developer"/>
    <n v="1"/>
    <s v="Chennai"/>
    <n v="22000"/>
    <n v="8.6999999999999993"/>
    <n v="11.1"/>
    <n v="5.9"/>
    <n v="0"/>
    <n v="1"/>
    <n v="1"/>
    <n v="3"/>
    <s v="No"/>
    <n v="2"/>
    <n v="1"/>
    <m/>
  </r>
  <r>
    <s v="EMP0380"/>
    <d v="2020-12-22T00:00:00"/>
    <d v="2025-04-26T00:00:00"/>
    <s v="Yes"/>
    <n v="44"/>
    <s v="Female"/>
    <s v="Married"/>
    <s v="Diploma"/>
    <x v="0"/>
    <s v="Process Associate"/>
    <n v="3"/>
    <s v="Mumbai"/>
    <n v="78000"/>
    <n v="4.9000000000000004"/>
    <n v="4.4000000000000004"/>
    <n v="4.3"/>
    <n v="4.0999999999999996"/>
    <n v="4"/>
    <n v="4"/>
    <n v="3"/>
    <s v="No"/>
    <n v="4"/>
    <n v="1"/>
    <m/>
  </r>
  <r>
    <s v="EMP0381"/>
    <d v="2015-09-19T00:00:00"/>
    <m/>
    <s v="No"/>
    <n v="42"/>
    <s v="Female"/>
    <s v="Divorced"/>
    <s v="PhD"/>
    <x v="5"/>
    <s v="Software Developer"/>
    <n v="2"/>
    <s v="Bengaluru"/>
    <n v="65000"/>
    <n v="8.1"/>
    <n v="12.6"/>
    <n v="10.3"/>
    <n v="1.2"/>
    <n v="4"/>
    <n v="3"/>
    <n v="4"/>
    <s v="No"/>
    <n v="4"/>
    <n v="1"/>
    <m/>
  </r>
  <r>
    <s v="EMP0382"/>
    <d v="2017-02-11T00:00:00"/>
    <d v="2025-01-13T00:00:00"/>
    <s v="Yes"/>
    <n v="30"/>
    <s v="Female"/>
    <s v="Married"/>
    <s v="PhD"/>
    <x v="0"/>
    <s v="Operations Manager"/>
    <n v="3"/>
    <s v="Bengaluru"/>
    <n v="82000"/>
    <n v="16.5"/>
    <n v="13.7"/>
    <n v="7.9"/>
    <n v="3.6"/>
    <n v="2"/>
    <n v="3"/>
    <n v="2"/>
    <s v="No"/>
    <n v="4"/>
    <n v="1"/>
    <m/>
  </r>
  <r>
    <s v="EMP0383"/>
    <d v="2018-01-22T00:00:00"/>
    <m/>
    <s v="No"/>
    <n v="30"/>
    <s v="Non-Binary"/>
    <s v="Single"/>
    <s v="Bachelor's"/>
    <x v="8"/>
    <s v="QA Engineer"/>
    <n v="1"/>
    <s v="Bengaluru"/>
    <n v="28000"/>
    <n v="9.6"/>
    <n v="13.3"/>
    <n v="7.9"/>
    <n v="2.8"/>
    <n v="2"/>
    <n v="3"/>
    <n v="4"/>
    <s v="Yes"/>
    <n v="2"/>
    <n v="1"/>
    <m/>
  </r>
  <r>
    <s v="EMP0384"/>
    <d v="2025-06-23T00:00:00"/>
    <m/>
    <s v="No"/>
    <n v="35"/>
    <s v="Male"/>
    <s v="Married"/>
    <s v="Master's"/>
    <x v="0"/>
    <s v="Operations Analyst"/>
    <n v="3"/>
    <s v="Chennai"/>
    <n v="71000"/>
    <n v="7.1"/>
    <n v="5.7"/>
    <n v="0.5"/>
    <n v="0"/>
    <n v="3"/>
    <n v="3"/>
    <n v="4"/>
    <s v="No"/>
    <n v="4"/>
    <n v="1"/>
    <m/>
  </r>
  <r>
    <s v="EMP0385"/>
    <d v="2018-09-27T00:00:00"/>
    <m/>
    <s v="No"/>
    <n v="37"/>
    <s v="Non-Binary"/>
    <s v="Divorced"/>
    <s v="Master's"/>
    <x v="5"/>
    <s v="Software Developer"/>
    <n v="2"/>
    <s v="Hyderabad"/>
    <n v="55000"/>
    <n v="4.3"/>
    <n v="10"/>
    <n v="7.3"/>
    <n v="5"/>
    <n v="1"/>
    <n v="3"/>
    <n v="3"/>
    <s v="No"/>
    <n v="2"/>
    <n v="1"/>
    <m/>
  </r>
  <r>
    <s v="EMP0386"/>
    <d v="2018-10-05T00:00:00"/>
    <d v="2025-08-01T00:00:00"/>
    <s v="Yes"/>
    <n v="33"/>
    <s v="Male"/>
    <s v="Single"/>
    <s v="PhD"/>
    <x v="2"/>
    <s v="System Administrator"/>
    <n v="3"/>
    <s v="Pune"/>
    <n v="91000"/>
    <n v="15.6"/>
    <n v="8.1999999999999993"/>
    <n v="6.8"/>
    <n v="2.2000000000000002"/>
    <n v="2"/>
    <n v="2"/>
    <n v="2"/>
    <s v="No"/>
    <n v="4"/>
    <n v="1"/>
    <m/>
  </r>
  <r>
    <s v="EMP0387"/>
    <d v="2025-08-21T00:00:00"/>
    <m/>
    <s v="No"/>
    <n v="29"/>
    <s v="Male"/>
    <s v="Divorced"/>
    <s v="Diploma"/>
    <x v="5"/>
    <s v="Tech Lead"/>
    <n v="1"/>
    <s v="Chennai"/>
    <n v="42000"/>
    <n v="5"/>
    <n v="2.6"/>
    <n v="0.4"/>
    <n v="0"/>
    <n v="3"/>
    <n v="4"/>
    <n v="3"/>
    <s v="No"/>
    <n v="2"/>
    <n v="1"/>
    <m/>
  </r>
  <r>
    <s v="EMP0388"/>
    <d v="2023-08-29T00:00:00"/>
    <m/>
    <s v="No"/>
    <n v="38"/>
    <s v="Non-Binary"/>
    <s v="Single"/>
    <s v="Master's"/>
    <x v="3"/>
    <s v="Finance Manager"/>
    <n v="2"/>
    <s v="Bengaluru"/>
    <n v="66000"/>
    <n v="8.6"/>
    <n v="7.2"/>
    <n v="2.2999999999999998"/>
    <n v="0.2"/>
    <n v="3"/>
    <n v="4"/>
    <n v="3"/>
    <s v="No"/>
    <n v="3"/>
    <n v="1"/>
    <m/>
  </r>
  <r>
    <s v="EMP0389"/>
    <d v="2021-07-21T00:00:00"/>
    <m/>
    <s v="No"/>
    <n v="27"/>
    <s v="Male"/>
    <m/>
    <s v="PhD"/>
    <x v="4"/>
    <s v="HR Executive"/>
    <n v="1"/>
    <s v="Mumbai"/>
    <n v="25000"/>
    <n v="8.1"/>
    <n v="8.1999999999999993"/>
    <n v="4.4000000000000004"/>
    <n v="2.8"/>
    <n v="4"/>
    <n v="2"/>
    <n v="1"/>
    <s v="No"/>
    <n v="2"/>
    <n v="1"/>
    <m/>
  </r>
  <r>
    <s v="EMP0390"/>
    <d v="2025-03-13T00:00:00"/>
    <m/>
    <s v="No"/>
    <n v="39"/>
    <s v="Non-Binary"/>
    <s v="Single"/>
    <s v="Master's"/>
    <x v="1"/>
    <s v="BI Analyst"/>
    <n v="3"/>
    <s v="Bengaluru"/>
    <n v="82000"/>
    <n v="15"/>
    <n v="3.5"/>
    <n v="0.8"/>
    <n v="0"/>
    <n v="3"/>
    <n v="4"/>
    <n v="1"/>
    <s v="No"/>
    <n v="4"/>
    <n v="1"/>
    <m/>
  </r>
  <r>
    <s v="EMP0391"/>
    <d v="2022-12-12T00:00:00"/>
    <m/>
    <s v="No"/>
    <n v="33"/>
    <s v="Male"/>
    <s v="Divorced"/>
    <s v="PhD"/>
    <x v="3"/>
    <s v="Financial Analyst"/>
    <n v="1"/>
    <s v="Pune"/>
    <n v="28000"/>
    <n v="0"/>
    <n v="9"/>
    <n v="3.1"/>
    <n v="2.8"/>
    <n v="3"/>
    <n v="2"/>
    <n v="2"/>
    <s v="No"/>
    <n v="3"/>
    <n v="1"/>
    <m/>
  </r>
  <r>
    <s v="EMP0392"/>
    <d v="2018-11-09T00:00:00"/>
    <m/>
    <s v="No"/>
    <n v="38"/>
    <s v="Female"/>
    <s v="Married"/>
    <s v="Master's"/>
    <x v="3"/>
    <s v="Accountant"/>
    <n v="1"/>
    <s v="Hyderabad"/>
    <n v="32000"/>
    <n v="9.3000000000000007"/>
    <n v="12"/>
    <n v="7.1"/>
    <n v="1.1000000000000001"/>
    <n v="3"/>
    <n v="3"/>
    <n v="3"/>
    <s v="Yes"/>
    <n v="3"/>
    <n v="1"/>
    <m/>
  </r>
  <r>
    <s v="EMP0393"/>
    <d v="2024-07-10T00:00:00"/>
    <m/>
    <s v="No"/>
    <n v="22"/>
    <s v="Non-Binary"/>
    <s v="Divorced"/>
    <s v="Master's"/>
    <x v="1"/>
    <s v="Data Analyst"/>
    <n v="1"/>
    <s v="Chennai"/>
    <n v="34000"/>
    <n v="12.2"/>
    <n v="5.0999999999999996"/>
    <n v="1.5"/>
    <n v="0.3"/>
    <n v="2"/>
    <n v="3"/>
    <n v="4"/>
    <s v="Yes"/>
    <n v="4"/>
    <n v="1"/>
    <m/>
  </r>
  <r>
    <s v="EMP0394"/>
    <d v="2015-09-04T00:00:00"/>
    <m/>
    <s v="No"/>
    <n v="35"/>
    <s v="Female"/>
    <s v="Married"/>
    <s v="Master's"/>
    <x v="4"/>
    <s v="Recruiter"/>
    <n v="1"/>
    <s v="Chennai"/>
    <n v="22000"/>
    <n v="10.9"/>
    <n v="17"/>
    <n v="10.3"/>
    <n v="1.7"/>
    <n v="4"/>
    <n v="3"/>
    <n v="3"/>
    <s v="No"/>
    <n v="3"/>
    <n v="1"/>
    <m/>
  </r>
  <r>
    <s v="EMP0395"/>
    <d v="2024-12-28T00:00:00"/>
    <m/>
    <s v="No"/>
    <n v="22"/>
    <s v="Male"/>
    <s v="Married"/>
    <s v="PhD"/>
    <x v="1"/>
    <s v="Data Analyst"/>
    <n v="1"/>
    <s v="Pune"/>
    <n v="50000"/>
    <n v="6.1"/>
    <n v="5"/>
    <n v="1"/>
    <n v="0.4"/>
    <n v="4"/>
    <n v="3"/>
    <n v="4"/>
    <s v="Yes"/>
    <n v="4"/>
    <n v="1"/>
    <m/>
  </r>
  <r>
    <s v="EMP0396"/>
    <d v="2020-12-10T00:00:00"/>
    <m/>
    <s v="No"/>
    <n v="34"/>
    <s v="Non-Binary"/>
    <s v="Divorced"/>
    <s v="Bachelor's"/>
    <x v="5"/>
    <s v="Software Developer"/>
    <n v="3"/>
    <s v="Mumbai"/>
    <n v="97000"/>
    <n v="4.9000000000000004"/>
    <n v="13"/>
    <n v="5.0999999999999996"/>
    <n v="0.1"/>
    <n v="3"/>
    <n v="3"/>
    <n v="2"/>
    <s v="Yes"/>
    <n v="3"/>
    <n v="1"/>
    <m/>
  </r>
  <r>
    <s v="EMP0397"/>
    <d v="2020-12-16T00:00:00"/>
    <m/>
    <s v="No"/>
    <n v="36"/>
    <s v="Male"/>
    <s v="Married"/>
    <s v="PhD"/>
    <x v="3"/>
    <s v="Accountant"/>
    <n v="4"/>
    <s v="Hyderabad"/>
    <n v="121000"/>
    <n v="9.6999999999999993"/>
    <n v="10.1"/>
    <n v="5"/>
    <n v="4.3"/>
    <n v="3"/>
    <n v="2"/>
    <n v="4"/>
    <s v="No"/>
    <n v="3"/>
    <n v="1"/>
    <m/>
  </r>
  <r>
    <s v="EMP0398"/>
    <d v="2020-06-03T00:00:00"/>
    <m/>
    <s v="No"/>
    <n v="27"/>
    <s v="Female"/>
    <s v="Married"/>
    <s v="Bachelor's"/>
    <x v="0"/>
    <s v="Operations Analyst"/>
    <n v="1"/>
    <s v="Hyderabad"/>
    <n v="32000"/>
    <n v="4.7"/>
    <n v="6"/>
    <n v="5.6"/>
    <n v="5.3"/>
    <n v="4"/>
    <n v="3"/>
    <n v="4"/>
    <s v="Yes"/>
    <n v="2"/>
    <n v="1"/>
    <m/>
  </r>
  <r>
    <s v="EMP0399"/>
    <d v="2017-06-15T00:00:00"/>
    <d v="2025-06-21T00:00:00"/>
    <s v="Yes"/>
    <n v="36"/>
    <s v="Non-Binary"/>
    <s v="Single"/>
    <s v="Master's"/>
    <x v="6"/>
    <s v="Account Manager"/>
    <n v="3"/>
    <s v="Hyderabad"/>
    <n v="85000"/>
    <n v="0"/>
    <n v="9.9"/>
    <n v="8"/>
    <n v="0.7"/>
    <n v="4"/>
    <n v="3"/>
    <n v="4"/>
    <s v="No"/>
    <n v="4"/>
    <n v="1"/>
    <m/>
  </r>
  <r>
    <s v="EMP0400"/>
    <d v="2020-10-02T00:00:00"/>
    <m/>
    <s v="No"/>
    <n v="37"/>
    <s v="Female"/>
    <s v="Married"/>
    <s v="Diploma"/>
    <x v="6"/>
    <s v="Sales Manager"/>
    <n v="3"/>
    <s v="Noida"/>
    <n v="95000"/>
    <n v="9.1"/>
    <n v="9.3000000000000007"/>
    <n v="5.2"/>
    <n v="4.3"/>
    <n v="3"/>
    <n v="3"/>
    <n v="3"/>
    <s v="Yes"/>
    <n v="4"/>
    <n v="1"/>
    <m/>
  </r>
  <r>
    <s v="EMP0401"/>
    <d v="2015-05-11T00:00:00"/>
    <m/>
    <s v="No"/>
    <n v="32"/>
    <s v="Male"/>
    <s v="Single"/>
    <s v="Bachelor's"/>
    <x v="0"/>
    <s v="Operations Executive"/>
    <n v="2"/>
    <s v="Hyderabad"/>
    <n v="62000"/>
    <n v="6.4"/>
    <n v="18.3"/>
    <n v="10.6"/>
    <n v="0.5"/>
    <n v="3"/>
    <n v="2"/>
    <n v="2"/>
    <s v="Yes"/>
    <n v="2"/>
    <n v="1"/>
    <m/>
  </r>
  <r>
    <s v="EMP0402"/>
    <d v="2021-08-16T00:00:00"/>
    <m/>
    <s v="No"/>
    <n v="30"/>
    <s v="Non-Binary"/>
    <s v="Married"/>
    <s v="Diploma"/>
    <x v="3"/>
    <s v="Accountant"/>
    <n v="3"/>
    <s v="Mumbai"/>
    <n v="71000"/>
    <n v="9.5"/>
    <n v="4.5999999999999996"/>
    <n v="4.4000000000000004"/>
    <n v="3.5"/>
    <n v="1"/>
    <n v="4"/>
    <n v="3"/>
    <s v="No"/>
    <n v="3"/>
    <n v="1"/>
    <m/>
  </r>
  <r>
    <s v="EMP0403"/>
    <d v="2019-01-24T00:00:00"/>
    <m/>
    <s v="No"/>
    <n v="35"/>
    <s v="Female"/>
    <s v="Married"/>
    <s v="Master's"/>
    <x v="4"/>
    <s v="HR Manager"/>
    <n v="3"/>
    <s v="Chennai"/>
    <n v="71000"/>
    <n v="7.8"/>
    <n v="8.6999999999999993"/>
    <n v="6.9"/>
    <n v="2.2000000000000002"/>
    <n v="3"/>
    <n v="3"/>
    <n v="4"/>
    <s v="No"/>
    <n v="2"/>
    <n v="1"/>
    <m/>
  </r>
  <r>
    <s v="EMP0404"/>
    <d v="2023-08-26T00:00:00"/>
    <m/>
    <s v="No"/>
    <n v="39"/>
    <s v="Female"/>
    <s v="Single"/>
    <s v="Master's"/>
    <x v="1"/>
    <s v="Senior Data Analyst"/>
    <n v="2"/>
    <m/>
    <n v="61000"/>
    <n v="8.3000000000000007"/>
    <n v="3.6"/>
    <n v="2.2999999999999998"/>
    <n v="0.3"/>
    <n v="4"/>
    <n v="4"/>
    <n v="3"/>
    <s v="No"/>
    <n v="3"/>
    <n v="1"/>
    <m/>
  </r>
  <r>
    <s v="EMP0405"/>
    <d v="2014-04-04T00:00:00"/>
    <m/>
    <s v="No"/>
    <n v="35"/>
    <s v="Female"/>
    <m/>
    <s v="Master's"/>
    <x v="0"/>
    <s v="Operations Executive"/>
    <n v="3"/>
    <s v="Bengaluru"/>
    <n v="65000"/>
    <n v="7.3"/>
    <n v="16"/>
    <n v="11.7"/>
    <n v="0.7"/>
    <n v="3"/>
    <n v="1"/>
    <n v="4"/>
    <s v="Yes"/>
    <n v="4"/>
    <n v="1"/>
    <m/>
  </r>
  <r>
    <s v="EMP0406"/>
    <d v="2022-03-30T00:00:00"/>
    <m/>
    <s v="No"/>
    <n v="34"/>
    <s v="Female"/>
    <s v="Divorced"/>
    <s v="Bachelor's"/>
    <x v="0"/>
    <s v="Operations Manager"/>
    <n v="3"/>
    <s v="Noida"/>
    <n v="59000"/>
    <n v="12.7"/>
    <n v="11.7"/>
    <n v="3.8"/>
    <n v="2.5"/>
    <n v="4"/>
    <n v="4"/>
    <n v="3"/>
    <s v="No"/>
    <n v="5"/>
    <n v="1"/>
    <m/>
  </r>
  <r>
    <s v="EMP0407"/>
    <d v="2019-04-03T00:00:00"/>
    <m/>
    <s v="No"/>
    <n v="46"/>
    <s v="Male"/>
    <s v="Married"/>
    <s v="Master's"/>
    <x v="3"/>
    <s v="Financial Analyst"/>
    <n v="2"/>
    <s v="Bengaluru"/>
    <n v="65000"/>
    <n v="7.2"/>
    <n v="10.3"/>
    <n v="6.7"/>
    <n v="0.6"/>
    <n v="3"/>
    <n v="1"/>
    <n v="3"/>
    <s v="No"/>
    <n v="4"/>
    <n v="1"/>
    <m/>
  </r>
  <r>
    <s v="EMP0408"/>
    <d v="2014-07-01T00:00:00"/>
    <m/>
    <s v="No"/>
    <n v="33"/>
    <s v="Non-Binary"/>
    <s v="Married"/>
    <s v="Diploma"/>
    <x v="5"/>
    <s v="Tech Lead"/>
    <n v="3"/>
    <s v="Mumbai"/>
    <n v="94000"/>
    <n v="10.9"/>
    <n v="16.3"/>
    <n v="11.5"/>
    <n v="3.1"/>
    <n v="3"/>
    <n v="1"/>
    <n v="3"/>
    <s v="No"/>
    <n v="3"/>
    <n v="1"/>
    <m/>
  </r>
  <r>
    <s v="EMP0409"/>
    <d v="2022-12-30T00:00:00"/>
    <d v="2025-08-16T00:00:00"/>
    <s v="Yes"/>
    <n v="28"/>
    <s v="Female"/>
    <s v="Divorced"/>
    <s v="PhD"/>
    <x v="6"/>
    <s v="Sales Executive"/>
    <n v="2"/>
    <s v="Pune"/>
    <n v="62000"/>
    <n v="7.7"/>
    <n v="8.6"/>
    <n v="2.6"/>
    <n v="1.1000000000000001"/>
    <n v="4"/>
    <n v="3"/>
    <n v="2"/>
    <s v="No"/>
    <n v="4"/>
    <n v="1"/>
    <m/>
  </r>
  <r>
    <s v="EMP0410"/>
    <d v="2024-11-18T00:00:00"/>
    <m/>
    <s v="No"/>
    <n v="26"/>
    <s v="Non-Binary"/>
    <s v="Married"/>
    <s v="PhD"/>
    <x v="2"/>
    <s v="IT Support Specialist"/>
    <n v="1"/>
    <s v="Pune"/>
    <n v="37000"/>
    <n v="17.3"/>
    <n v="3.8"/>
    <n v="1.1000000000000001"/>
    <n v="1"/>
    <n v="4"/>
    <n v="3"/>
    <n v="3"/>
    <s v="No"/>
    <n v="1"/>
    <n v="1"/>
    <m/>
  </r>
  <r>
    <s v="EMP0411"/>
    <d v="2016-11-11T00:00:00"/>
    <m/>
    <s v="No"/>
    <n v="33"/>
    <s v="Non-Binary"/>
    <s v="Divorced"/>
    <s v="PhD"/>
    <x v="4"/>
    <s v="HR Manager"/>
    <n v="3"/>
    <s v="Pune"/>
    <n v="86000"/>
    <n v="8.6999999999999993"/>
    <n v="13.6"/>
    <n v="9.1"/>
    <n v="0.3"/>
    <n v="2"/>
    <n v="4"/>
    <n v="4"/>
    <s v="Yes"/>
    <n v="3"/>
    <n v="1"/>
    <m/>
  </r>
  <r>
    <s v="EMP0412"/>
    <d v="2024-10-27T00:00:00"/>
    <m/>
    <s v="No"/>
    <n v="26"/>
    <s v="Non-Binary"/>
    <s v="Single"/>
    <s v="Bachelor's"/>
    <x v="5"/>
    <s v="Software Developer"/>
    <n v="1"/>
    <s v="Bengaluru"/>
    <n v="42000"/>
    <n v="8.3000000000000007"/>
    <n v="2.2000000000000002"/>
    <n v="1.2"/>
    <n v="0.8"/>
    <n v="3"/>
    <n v="3"/>
    <n v="2"/>
    <s v="No"/>
    <n v="5"/>
    <n v="1"/>
    <m/>
  </r>
  <r>
    <s v="EMP0413"/>
    <d v="2014-05-06T00:00:00"/>
    <m/>
    <s v="No"/>
    <n v="41"/>
    <s v="Female"/>
    <s v="Divorced"/>
    <s v="Bachelor's"/>
    <x v="2"/>
    <s v="IT Analyst"/>
    <n v="3"/>
    <s v="Hyderabad"/>
    <n v="99000"/>
    <n v="11.3"/>
    <n v="15.1"/>
    <n v="11.7"/>
    <n v="1.5"/>
    <n v="3"/>
    <n v="3"/>
    <n v="4"/>
    <s v="No"/>
    <n v="4"/>
    <n v="1"/>
    <m/>
  </r>
  <r>
    <s v="EMP0414"/>
    <d v="2020-04-22T00:00:00"/>
    <d v="2025-07-04T00:00:00"/>
    <s v="Yes"/>
    <n v="34"/>
    <s v="Male"/>
    <s v="Divorced"/>
    <s v="Master's"/>
    <x v="1"/>
    <s v="Data Analyst"/>
    <n v="2"/>
    <s v="Noida"/>
    <n v="58000"/>
    <n v="10.4"/>
    <n v="8.6"/>
    <n v="5.2"/>
    <n v="4.7"/>
    <n v="3"/>
    <n v="3"/>
    <n v="3"/>
    <s v="No"/>
    <n v="4"/>
    <n v="1"/>
    <m/>
  </r>
  <r>
    <s v="EMP0415"/>
    <d v="2023-09-30T00:00:00"/>
    <m/>
    <s v="No"/>
    <n v="34"/>
    <s v="Female"/>
    <s v="Single"/>
    <s v="Bachelor's"/>
    <x v="1"/>
    <s v="Data Analyst"/>
    <n v="3"/>
    <s v="Pune"/>
    <n v="101000"/>
    <n v="5"/>
    <n v="8.6999999999999993"/>
    <n v="2.2999999999999998"/>
    <n v="0.6"/>
    <n v="3"/>
    <n v="3"/>
    <n v="3"/>
    <s v="No"/>
    <n v="4"/>
    <n v="1"/>
    <m/>
  </r>
  <r>
    <s v="EMP0416"/>
    <d v="2020-01-11T00:00:00"/>
    <d v="2025-03-21T00:00:00"/>
    <s v="Yes"/>
    <n v="42"/>
    <s v="Non-Binary"/>
    <s v="Divorced"/>
    <s v="Bachelor's"/>
    <x v="4"/>
    <s v="HR Analyst"/>
    <n v="2"/>
    <s v="Mumbai"/>
    <n v="50000"/>
    <n v="0.5"/>
    <n v="9.1999999999999993"/>
    <n v="5.2"/>
    <n v="4.3"/>
    <n v="4"/>
    <n v="4"/>
    <n v="3"/>
    <s v="No"/>
    <n v="4"/>
    <n v="1"/>
    <m/>
  </r>
  <r>
    <s v="EMP0417"/>
    <d v="2024-03-01T00:00:00"/>
    <m/>
    <s v="No"/>
    <n v="42"/>
    <s v="Male"/>
    <s v="Divorced"/>
    <s v="Diploma"/>
    <x v="3"/>
    <s v="Financial Analyst"/>
    <n v="2"/>
    <s v="Bengaluru"/>
    <n v="55000"/>
    <n v="5"/>
    <n v="2.9"/>
    <n v="1.8"/>
    <n v="0.8"/>
    <n v="3"/>
    <n v="4"/>
    <n v="3"/>
    <s v="Yes"/>
    <n v="5"/>
    <n v="1"/>
    <m/>
  </r>
  <r>
    <s v="EMP0418"/>
    <d v="2015-09-04T00:00:00"/>
    <d v="2025-03-08T00:00:00"/>
    <s v="Yes"/>
    <n v="39"/>
    <s v="Female"/>
    <s v="Married"/>
    <s v="Bachelor's"/>
    <x v="0"/>
    <s v="Operations Executive"/>
    <n v="2"/>
    <s v="Pune"/>
    <n v="54000"/>
    <n v="8"/>
    <n v="17.399999999999999"/>
    <n v="9.5"/>
    <n v="2.5"/>
    <n v="2"/>
    <n v="4"/>
    <n v="2"/>
    <s v="Yes"/>
    <n v="1"/>
    <n v="1"/>
    <m/>
  </r>
  <r>
    <s v="EMP0419"/>
    <d v="2020-09-20T00:00:00"/>
    <m/>
    <s v="No"/>
    <n v="30"/>
    <s v="Male"/>
    <s v="Divorced"/>
    <s v="Master's"/>
    <x v="5"/>
    <s v="Software Developer"/>
    <n v="3"/>
    <s v="Pune"/>
    <n v="78000"/>
    <n v="15.5"/>
    <n v="5.8"/>
    <n v="5.3"/>
    <n v="3.5"/>
    <n v="2"/>
    <n v="4"/>
    <n v="4"/>
    <s v="Yes"/>
    <n v="5"/>
    <n v="1"/>
    <m/>
  </r>
  <r>
    <s v="EMP0420"/>
    <d v="2023-12-31T00:00:00"/>
    <m/>
    <s v="No"/>
    <n v="42"/>
    <s v="Male"/>
    <s v="Single"/>
    <s v="Bachelor's"/>
    <x v="0"/>
    <s v="Operations Manager"/>
    <n v="1"/>
    <s v="Chennai"/>
    <n v="45000"/>
    <n v="13"/>
    <n v="4.8"/>
    <n v="2"/>
    <n v="1.7"/>
    <n v="3"/>
    <n v="4"/>
    <n v="3"/>
    <s v="No"/>
    <n v="3"/>
    <n v="1"/>
    <m/>
  </r>
  <r>
    <s v="EMP0421"/>
    <d v="2023-09-10T00:00:00"/>
    <m/>
    <s v="No"/>
    <n v="36"/>
    <s v="Male"/>
    <s v="Married"/>
    <s v="Bachelor's"/>
    <x v="1"/>
    <s v="BI Analyst"/>
    <n v="5"/>
    <s v="Pune"/>
    <n v="179000"/>
    <n v="5.4"/>
    <n v="9.6999999999999993"/>
    <n v="2.2999999999999998"/>
    <n v="2.1"/>
    <n v="1"/>
    <n v="4"/>
    <n v="3"/>
    <s v="No"/>
    <n v="4"/>
    <n v="1"/>
    <m/>
  </r>
  <r>
    <s v="EMP0422"/>
    <d v="2021-02-01T00:00:00"/>
    <m/>
    <s v="No"/>
    <n v="25"/>
    <s v="Female"/>
    <s v="Divorced"/>
    <s v="Diploma"/>
    <x v="2"/>
    <s v="IT Analyst"/>
    <n v="1"/>
    <s v="Chennai"/>
    <n v="44000"/>
    <n v="7.1"/>
    <n v="11"/>
    <n v="4.9000000000000004"/>
    <n v="1.5"/>
    <n v="3"/>
    <n v="3"/>
    <n v="3"/>
    <s v="No"/>
    <n v="3"/>
    <n v="1"/>
    <m/>
  </r>
  <r>
    <s v="EMP0423"/>
    <d v="2019-12-04T00:00:00"/>
    <m/>
    <s v="No"/>
    <n v="35"/>
    <s v="Female"/>
    <s v="Single"/>
    <s v="Bachelor's"/>
    <x v="0"/>
    <s v="Operations Executive"/>
    <n v="1"/>
    <s v="Mumbai"/>
    <n v="29000"/>
    <n v="11.3"/>
    <n v="11.6"/>
    <n v="6.1"/>
    <n v="5"/>
    <n v="3"/>
    <n v="2"/>
    <n v="3"/>
    <s v="No"/>
    <n v="5"/>
    <n v="1"/>
    <m/>
  </r>
  <r>
    <s v="EMP0424"/>
    <d v="2014-01-06T00:00:00"/>
    <m/>
    <s v="No"/>
    <n v="39"/>
    <s v="Male"/>
    <s v="Divorced"/>
    <s v="Master's"/>
    <x v="0"/>
    <s v="Operations Manager"/>
    <n v="2"/>
    <s v="Bengaluru"/>
    <n v="37000"/>
    <n v="9.5"/>
    <n v="17.3"/>
    <n v="12"/>
    <n v="0.5"/>
    <n v="2"/>
    <n v="2"/>
    <n v="3"/>
    <s v="No"/>
    <n v="4"/>
    <n v="1"/>
    <m/>
  </r>
  <r>
    <s v="EMP0425"/>
    <d v="2023-10-09T00:00:00"/>
    <d v="2025-08-06T00:00:00"/>
    <s v="Yes"/>
    <n v="26"/>
    <s v="Non-Binary"/>
    <s v="Married"/>
    <s v="Diploma"/>
    <x v="6"/>
    <s v="Account Manager"/>
    <n v="1"/>
    <s v="Mumbai"/>
    <n v="28000"/>
    <n v="11.1"/>
    <n v="7.6"/>
    <n v="1.8"/>
    <n v="0.5"/>
    <n v="4"/>
    <n v="3"/>
    <n v="3"/>
    <s v="No"/>
    <n v="3"/>
    <n v="1"/>
    <m/>
  </r>
  <r>
    <s v="EMP0426"/>
    <d v="2019-09-19T00:00:00"/>
    <d v="2025-09-08T00:00:00"/>
    <s v="Yes"/>
    <n v="35"/>
    <s v="Male"/>
    <s v="Married"/>
    <s v="Bachelor's"/>
    <x v="0"/>
    <s v="Process Associate"/>
    <n v="5"/>
    <s v="Pune"/>
    <n v="148000"/>
    <n v="11.5"/>
    <n v="9.9"/>
    <n v="6"/>
    <n v="3.8"/>
    <n v="3"/>
    <n v="2"/>
    <n v="2"/>
    <s v="Yes"/>
    <n v="2"/>
    <n v="1"/>
    <m/>
  </r>
  <r>
    <s v="EMP0427"/>
    <d v="2018-06-04T00:00:00"/>
    <m/>
    <s v="No"/>
    <n v="36"/>
    <s v="Female"/>
    <s v="Divorced"/>
    <s v="Diploma"/>
    <x v="3"/>
    <s v="Finance Executive"/>
    <n v="2"/>
    <s v="Chennai"/>
    <n v="53000"/>
    <n v="11.7"/>
    <n v="13.7"/>
    <n v="7.6"/>
    <n v="4.8"/>
    <n v="1"/>
    <n v="2"/>
    <n v="3"/>
    <s v="Yes"/>
    <n v="3"/>
    <n v="1"/>
    <m/>
  </r>
  <r>
    <s v="EMP0428"/>
    <d v="2025-05-01T00:00:00"/>
    <m/>
    <s v="No"/>
    <n v="32"/>
    <s v="Female"/>
    <s v="Divorced"/>
    <s v="Master's"/>
    <x v="4"/>
    <s v="HR Executive"/>
    <n v="5"/>
    <s v="Mumbai"/>
    <n v="138000"/>
    <n v="13.4"/>
    <n v="3.2"/>
    <n v="0.7"/>
    <n v="0"/>
    <n v="4"/>
    <n v="3"/>
    <n v="1"/>
    <s v="No"/>
    <n v="4"/>
    <n v="1"/>
    <m/>
  </r>
  <r>
    <s v="EMP0429"/>
    <d v="2025-06-25T00:00:00"/>
    <m/>
    <s v="No"/>
    <n v="21"/>
    <s v="Male"/>
    <s v="Divorced"/>
    <s v="Bachelor's"/>
    <x v="3"/>
    <s v="Accountant"/>
    <n v="1"/>
    <s v="Mumbai"/>
    <n v="43000"/>
    <n v="6.9"/>
    <n v="4.4000000000000004"/>
    <n v="0.5"/>
    <n v="0"/>
    <n v="4"/>
    <n v="3"/>
    <n v="3"/>
    <s v="No"/>
    <n v="4"/>
    <n v="1"/>
    <m/>
  </r>
  <r>
    <s v="EMP0430"/>
    <d v="2021-04-12T00:00:00"/>
    <m/>
    <s v="No"/>
    <n v="35"/>
    <s v="Non-Binary"/>
    <s v="Single"/>
    <s v="Diploma"/>
    <x v="6"/>
    <s v="Business Development Executive"/>
    <n v="3"/>
    <s v="Mumbai"/>
    <n v="79000"/>
    <n v="11.8"/>
    <n v="5.2"/>
    <n v="4.7"/>
    <n v="2.8"/>
    <n v="4"/>
    <n v="2"/>
    <n v="3"/>
    <s v="No"/>
    <n v="4"/>
    <n v="1"/>
    <m/>
  </r>
  <r>
    <s v="EMP0431"/>
    <d v="2021-07-09T00:00:00"/>
    <m/>
    <s v="No"/>
    <n v="37"/>
    <s v="Female"/>
    <s v="Single"/>
    <s v="Bachelor's"/>
    <x v="5"/>
    <s v="Tech Lead"/>
    <n v="2"/>
    <s v="Chennai"/>
    <n v="57000"/>
    <n v="12"/>
    <n v="9.6999999999999993"/>
    <n v="4.5"/>
    <n v="2.7"/>
    <n v="3"/>
    <n v="4"/>
    <n v="2"/>
    <s v="No"/>
    <n v="3"/>
    <n v="1"/>
    <m/>
  </r>
  <r>
    <s v="EMP0432"/>
    <d v="2023-01-27T00:00:00"/>
    <m/>
    <s v="No"/>
    <n v="26"/>
    <s v="Female"/>
    <s v="Married"/>
    <s v="Bachelor's"/>
    <x v="6"/>
    <s v="Sales Executive"/>
    <n v="1"/>
    <s v="Mumbai"/>
    <n v="43000"/>
    <n v="6.9"/>
    <n v="5.0999999999999996"/>
    <n v="2.9"/>
    <n v="2"/>
    <n v="3"/>
    <n v="3"/>
    <n v="4"/>
    <s v="No"/>
    <n v="3"/>
    <n v="1"/>
    <m/>
  </r>
  <r>
    <s v="EMP0433"/>
    <d v="2019-10-26T00:00:00"/>
    <m/>
    <s v="No"/>
    <n v="36"/>
    <s v="Non-Binary"/>
    <s v="Single"/>
    <s v="Diploma"/>
    <x v="5"/>
    <s v="Senior Software Developer"/>
    <n v="2"/>
    <s v="Hyderabad"/>
    <n v="76000"/>
    <n v="8.1"/>
    <n v="9.1"/>
    <n v="6.2"/>
    <n v="2.6"/>
    <n v="3"/>
    <n v="3"/>
    <n v="4"/>
    <s v="No"/>
    <n v="4"/>
    <n v="1"/>
    <m/>
  </r>
  <r>
    <s v="EMP0434"/>
    <d v="2020-12-30T00:00:00"/>
    <d v="2025-10-24T00:00:00"/>
    <s v="Yes"/>
    <n v="33"/>
    <s v="Male"/>
    <s v="Married"/>
    <s v="Bachelor's"/>
    <x v="5"/>
    <s v="QA Engineer"/>
    <n v="5"/>
    <s v="Noida"/>
    <n v="170000"/>
    <n v="12.2"/>
    <n v="5.6"/>
    <n v="4.8"/>
    <n v="1.6"/>
    <n v="4"/>
    <n v="1"/>
    <n v="4"/>
    <s v="Yes"/>
    <n v="3"/>
    <n v="1"/>
    <m/>
  </r>
  <r>
    <s v="EMP0435"/>
    <d v="2022-10-28T00:00:00"/>
    <m/>
    <s v="No"/>
    <n v="26"/>
    <s v="Male"/>
    <s v="Divorced"/>
    <s v="Master's"/>
    <x v="2"/>
    <s v="IT Analyst"/>
    <n v="1"/>
    <s v="Chennai"/>
    <n v="23000"/>
    <n v="12.8"/>
    <n v="6.5"/>
    <n v="3.2"/>
    <n v="0.8"/>
    <n v="3"/>
    <n v="3"/>
    <n v="3"/>
    <s v="No"/>
    <n v="4"/>
    <n v="1"/>
    <m/>
  </r>
  <r>
    <s v="EMP0436"/>
    <d v="2016-01-23T00:00:00"/>
    <m/>
    <s v="No"/>
    <n v="32"/>
    <s v="Male"/>
    <s v="Divorced"/>
    <s v="Master's"/>
    <x v="3"/>
    <s v="Accountant"/>
    <n v="3"/>
    <s v="Hyderabad"/>
    <n v="78000"/>
    <n v="9.3000000000000007"/>
    <n v="16.399999999999999"/>
    <n v="9.9"/>
    <n v="5.0999999999999996"/>
    <n v="3"/>
    <n v="4"/>
    <n v="4"/>
    <s v="No"/>
    <n v="4"/>
    <n v="1"/>
    <m/>
  </r>
  <r>
    <s v="EMP0437"/>
    <d v="2024-02-03T00:00:00"/>
    <m/>
    <s v="No"/>
    <n v="27"/>
    <s v="Female"/>
    <s v="Married"/>
    <s v="Master's"/>
    <x v="3"/>
    <s v="Accountant"/>
    <n v="1"/>
    <s v="Hyderabad"/>
    <n v="37000"/>
    <n v="12.9"/>
    <n v="5.2"/>
    <n v="1.9"/>
    <n v="1.6"/>
    <n v="4"/>
    <n v="4"/>
    <n v="3"/>
    <s v="No"/>
    <n v="4"/>
    <n v="1"/>
    <m/>
  </r>
  <r>
    <s v="EMP0438"/>
    <d v="2024-05-16T00:00:00"/>
    <m/>
    <s v="No"/>
    <n v="34"/>
    <s v="Male"/>
    <s v="Married"/>
    <s v="Master's"/>
    <x v="0"/>
    <s v="Operations Analyst"/>
    <n v="2"/>
    <s v="Bengaluru"/>
    <n v="59000"/>
    <n v="0"/>
    <n v="5.3"/>
    <n v="1.6"/>
    <n v="0.9"/>
    <n v="2"/>
    <n v="3"/>
    <n v="3"/>
    <s v="Yes"/>
    <n v="1"/>
    <n v="1"/>
    <m/>
  </r>
  <r>
    <s v="EMP0439"/>
    <d v="2024-05-06T00:00:00"/>
    <m/>
    <s v="No"/>
    <n v="28"/>
    <s v="Female"/>
    <s v="Married"/>
    <s v="Bachelor's"/>
    <x v="6"/>
    <s v="Sales Manager"/>
    <n v="3"/>
    <s v="Mumbai"/>
    <n v="60000"/>
    <n v="11"/>
    <n v="1.8"/>
    <n v="1.7"/>
    <n v="1.5"/>
    <n v="4"/>
    <n v="2"/>
    <n v="3"/>
    <s v="No"/>
    <n v="4"/>
    <n v="1"/>
    <m/>
  </r>
  <r>
    <s v="EMP0440"/>
    <d v="2019-01-08T00:00:00"/>
    <m/>
    <s v="No"/>
    <n v="32"/>
    <s v="Non-Binary"/>
    <s v="Single"/>
    <s v="Diploma"/>
    <x v="2"/>
    <s v="System Administrator"/>
    <n v="2"/>
    <s v="Hyderabad"/>
    <n v="60000"/>
    <n v="15.4"/>
    <n v="11.6"/>
    <n v="7"/>
    <n v="4.7"/>
    <n v="2"/>
    <n v="3"/>
    <n v="3"/>
    <s v="No"/>
    <n v="2"/>
    <n v="1"/>
    <m/>
  </r>
  <r>
    <s v="EMP0441"/>
    <d v="2016-12-30T00:00:00"/>
    <d v="2025-04-20T00:00:00"/>
    <s v="Yes"/>
    <n v="44"/>
    <s v="Female"/>
    <s v="Divorced"/>
    <s v="Bachelor's"/>
    <x v="2"/>
    <s v="IT Support Lead"/>
    <n v="4"/>
    <s v="Hyderabad"/>
    <n v="115000"/>
    <n v="9.3000000000000007"/>
    <n v="16.100000000000001"/>
    <n v="8.3000000000000007"/>
    <n v="2.6"/>
    <n v="2"/>
    <n v="3"/>
    <n v="3"/>
    <s v="No"/>
    <n v="3"/>
    <n v="1"/>
    <m/>
  </r>
  <r>
    <s v="EMP0442"/>
    <d v="2023-01-24T00:00:00"/>
    <d v="2025-09-01T00:00:00"/>
    <s v="Yes"/>
    <n v="31"/>
    <s v="Non-Binary"/>
    <m/>
    <s v="Bachelor's"/>
    <x v="4"/>
    <s v="HR Manager"/>
    <n v="3"/>
    <s v="Noida"/>
    <n v="66000"/>
    <n v="17.7"/>
    <n v="8.3000000000000007"/>
    <n v="2.6"/>
    <n v="2.1"/>
    <n v="4"/>
    <n v="1"/>
    <n v="4"/>
    <s v="Yes"/>
    <n v="4"/>
    <n v="1"/>
    <m/>
  </r>
  <r>
    <s v="EMP0443"/>
    <d v="2021-03-14T00:00:00"/>
    <m/>
    <s v="No"/>
    <n v="34"/>
    <s v="Female"/>
    <s v="Married"/>
    <s v="Diploma"/>
    <x v="2"/>
    <s v="System Administrator"/>
    <n v="2"/>
    <s v="Bengaluru"/>
    <n v="57000"/>
    <n v="9.1999999999999993"/>
    <n v="10.3"/>
    <n v="4.8"/>
    <n v="2.6"/>
    <n v="3"/>
    <n v="2"/>
    <n v="3"/>
    <s v="No"/>
    <n v="1"/>
    <n v="1"/>
    <m/>
  </r>
  <r>
    <s v="EMP0444"/>
    <d v="2018-03-23T00:00:00"/>
    <m/>
    <s v="No"/>
    <n v="29"/>
    <s v="Female"/>
    <s v="Married"/>
    <s v="PhD"/>
    <x v="2"/>
    <s v="System Administrator"/>
    <n v="2"/>
    <s v="Hyderabad"/>
    <n v="53000"/>
    <n v="6"/>
    <n v="14.3"/>
    <n v="7.8"/>
    <n v="3.9"/>
    <n v="3"/>
    <n v="4"/>
    <n v="3"/>
    <s v="Yes"/>
    <n v="2"/>
    <n v="1"/>
    <m/>
  </r>
  <r>
    <s v="EMP0445"/>
    <d v="2018-07-25T00:00:00"/>
    <m/>
    <s v="No"/>
    <n v="29"/>
    <s v="Male"/>
    <s v="Single"/>
    <s v="Master's"/>
    <x v="0"/>
    <s v="Process Associate"/>
    <n v="4"/>
    <s v="Noida"/>
    <n v="103000"/>
    <n v="7.3"/>
    <n v="10.3"/>
    <n v="7.4"/>
    <n v="3.6"/>
    <n v="3"/>
    <n v="4"/>
    <n v="3"/>
    <s v="No"/>
    <n v="3"/>
    <n v="1"/>
    <m/>
  </r>
  <r>
    <s v="EMP0446"/>
    <d v="2025-09-10T00:00:00"/>
    <m/>
    <s v="No"/>
    <n v="23"/>
    <s v="Male"/>
    <s v="Divorced"/>
    <s v="PhD"/>
    <x v="3"/>
    <s v="Accountant"/>
    <n v="1"/>
    <s v="Hyderabad"/>
    <n v="34000"/>
    <n v="3"/>
    <n v="1.2"/>
    <n v="0.3"/>
    <n v="0"/>
    <n v="3"/>
    <n v="3"/>
    <n v="4"/>
    <s v="Yes"/>
    <n v="4"/>
    <n v="1"/>
    <m/>
  </r>
  <r>
    <s v="EMP0447"/>
    <d v="2024-02-20T00:00:00"/>
    <m/>
    <s v="No"/>
    <n v="34"/>
    <s v="Non-Binary"/>
    <s v="Single"/>
    <s v="Bachelor's"/>
    <x v="3"/>
    <s v="Finance Manager"/>
    <n v="4"/>
    <s v="Bengaluru"/>
    <n v="102000"/>
    <n v="7.8"/>
    <n v="4.0999999999999996"/>
    <n v="1.9"/>
    <n v="0.2"/>
    <n v="3"/>
    <n v="3"/>
    <n v="3"/>
    <s v="Yes"/>
    <n v="3"/>
    <n v="1"/>
    <m/>
  </r>
  <r>
    <s v="EMP0448"/>
    <d v="2014-04-21T00:00:00"/>
    <m/>
    <s v="No"/>
    <n v="35"/>
    <s v="Non-Binary"/>
    <s v="Single"/>
    <s v="Bachelor's"/>
    <x v="4"/>
    <s v="Recruiter"/>
    <n v="4"/>
    <s v="Noida"/>
    <n v="118000"/>
    <n v="1.5"/>
    <n v="14.9"/>
    <n v="11.7"/>
    <n v="2.6"/>
    <n v="3"/>
    <n v="3"/>
    <n v="2"/>
    <s v="Yes"/>
    <n v="3"/>
    <n v="1"/>
    <m/>
  </r>
  <r>
    <s v="EMP0449"/>
    <d v="2014-11-03T00:00:00"/>
    <m/>
    <s v="No"/>
    <n v="32"/>
    <s v="Female"/>
    <s v="Single"/>
    <s v="PhD"/>
    <x v="4"/>
    <s v="HR Manager"/>
    <n v="3"/>
    <s v="Pune"/>
    <n v="80000"/>
    <n v="9.9"/>
    <n v="12.8"/>
    <n v="11.2"/>
    <n v="5.7"/>
    <n v="3"/>
    <n v="4"/>
    <n v="3"/>
    <s v="No"/>
    <n v="4"/>
    <n v="1"/>
    <m/>
  </r>
  <r>
    <s v="EMP0450"/>
    <d v="2022-09-03T00:00:00"/>
    <m/>
    <s v="No"/>
    <n v="31"/>
    <s v="Female"/>
    <s v="Divorced"/>
    <s v="PhD"/>
    <x v="4"/>
    <s v="Recruiter"/>
    <n v="5"/>
    <s v="Bengaluru"/>
    <n v="140000"/>
    <n v="13.3"/>
    <n v="4.5"/>
    <n v="3.3"/>
    <n v="1"/>
    <n v="3"/>
    <n v="3"/>
    <n v="3"/>
    <s v="No"/>
    <n v="5"/>
    <n v="1"/>
    <m/>
  </r>
  <r>
    <s v="EMP0451"/>
    <d v="2021-12-02T00:00:00"/>
    <m/>
    <s v="No"/>
    <n v="46"/>
    <s v="Female"/>
    <s v="Single"/>
    <s v="PhD"/>
    <x v="5"/>
    <s v="Tech Lead"/>
    <n v="2"/>
    <s v="Hyderabad"/>
    <n v="59000"/>
    <n v="6.2"/>
    <n v="9.6999999999999993"/>
    <n v="4.0999999999999996"/>
    <n v="3"/>
    <m/>
    <n v="3"/>
    <n v="2"/>
    <s v="No"/>
    <n v="2"/>
    <n v="1"/>
    <m/>
  </r>
  <r>
    <s v="EMP0452"/>
    <d v="2025-09-12T00:00:00"/>
    <m/>
    <s v="No"/>
    <n v="21"/>
    <s v="Male"/>
    <s v="Divorced"/>
    <s v="PhD"/>
    <x v="4"/>
    <s v="HR Executive"/>
    <n v="1"/>
    <s v="Hyderabad"/>
    <n v="22000"/>
    <n v="10.1"/>
    <n v="5.7"/>
    <n v="0.3"/>
    <n v="0"/>
    <n v="3"/>
    <n v="4"/>
    <n v="1"/>
    <s v="No"/>
    <n v="3"/>
    <n v="1"/>
    <m/>
  </r>
  <r>
    <s v="EMP0453"/>
    <d v="2025-07-19T00:00:00"/>
    <m/>
    <s v="No"/>
    <n v="22"/>
    <s v="Female"/>
    <s v="Married"/>
    <s v="Diploma"/>
    <x v="3"/>
    <s v="Accountant"/>
    <n v="1"/>
    <s v="Hyderabad"/>
    <n v="43000"/>
    <n v="7.1"/>
    <n v="3"/>
    <n v="0.5"/>
    <n v="0"/>
    <n v="3"/>
    <n v="3"/>
    <n v="4"/>
    <s v="No"/>
    <n v="3"/>
    <n v="1"/>
    <m/>
  </r>
  <r>
    <s v="EMP0454"/>
    <d v="2020-08-08T00:00:00"/>
    <m/>
    <s v="No"/>
    <n v="44"/>
    <s v="Male"/>
    <s v="Single"/>
    <s v="Bachelor's"/>
    <x v="4"/>
    <s v="HR Analyst"/>
    <n v="3"/>
    <s v="Pune"/>
    <n v="82000"/>
    <n v="7.9"/>
    <n v="13"/>
    <n v="5.4"/>
    <n v="3"/>
    <n v="4"/>
    <n v="4"/>
    <n v="3"/>
    <s v="Yes"/>
    <n v="3"/>
    <n v="1"/>
    <m/>
  </r>
  <r>
    <s v="EMP0455"/>
    <d v="2025-05-16T00:00:00"/>
    <d v="2025-11-18T00:00:00"/>
    <s v="Yes"/>
    <n v="21"/>
    <s v="Non-Binary"/>
    <s v="Single"/>
    <s v="Bachelor's"/>
    <x v="1"/>
    <s v="Data Analyst"/>
    <n v="1"/>
    <m/>
    <n v="33000"/>
    <n v="8.1999999999999993"/>
    <n v="0.8"/>
    <n v="0.5"/>
    <n v="0"/>
    <n v="3"/>
    <n v="3"/>
    <n v="3"/>
    <s v="Yes"/>
    <n v="3"/>
    <n v="1"/>
    <m/>
  </r>
  <r>
    <s v="EMP0456"/>
    <d v="2023-08-03T00:00:00"/>
    <m/>
    <s v="No"/>
    <n v="32"/>
    <s v="Non-Binary"/>
    <s v="Single"/>
    <s v="PhD"/>
    <x v="5"/>
    <s v="Senior Software Developer"/>
    <n v="4"/>
    <s v="Bengaluru"/>
    <n v="125000"/>
    <n v="8.1"/>
    <n v="9.5"/>
    <n v="2.4"/>
    <n v="1.4"/>
    <n v="3"/>
    <n v="3"/>
    <n v="4"/>
    <s v="Yes"/>
    <n v="4"/>
    <n v="1"/>
    <m/>
  </r>
  <r>
    <s v="EMP0457"/>
    <d v="2015-04-27T00:00:00"/>
    <m/>
    <s v="No"/>
    <n v="34"/>
    <s v="Male"/>
    <s v="Married"/>
    <s v="PhD"/>
    <x v="1"/>
    <s v="Data Engineer"/>
    <n v="3"/>
    <s v="Mumbai"/>
    <n v="94000"/>
    <n v="4.5999999999999996"/>
    <n v="13.8"/>
    <n v="10.7"/>
    <n v="3.5"/>
    <n v="3"/>
    <n v="4"/>
    <n v="4"/>
    <s v="Yes"/>
    <n v="2"/>
    <n v="1"/>
    <m/>
  </r>
  <r>
    <s v="EMP0458"/>
    <d v="2025-08-19T00:00:00"/>
    <m/>
    <s v="No"/>
    <n v="32"/>
    <s v="Male"/>
    <s v="Single"/>
    <s v="Diploma"/>
    <x v="0"/>
    <s v="Operations Manager"/>
    <n v="3"/>
    <s v="Hyderabad"/>
    <n v="72000"/>
    <n v="11.8"/>
    <n v="3"/>
    <n v="0.4"/>
    <n v="0"/>
    <n v="3"/>
    <n v="3"/>
    <n v="4"/>
    <s v="No"/>
    <n v="4"/>
    <n v="1"/>
    <m/>
  </r>
  <r>
    <s v="EMP0459"/>
    <d v="2019-04-20T00:00:00"/>
    <m/>
    <s v="No"/>
    <n v="40"/>
    <s v="Female"/>
    <s v="Married"/>
    <s v="Diploma"/>
    <x v="2"/>
    <s v="IT Support Specialist"/>
    <n v="3"/>
    <s v="Noida"/>
    <n v="78000"/>
    <n v="6.6"/>
    <n v="8.6"/>
    <n v="6.7"/>
    <n v="4.5999999999999996"/>
    <n v="2"/>
    <n v="3"/>
    <n v="1"/>
    <s v="No"/>
    <n v="3"/>
    <n v="1"/>
    <m/>
  </r>
  <r>
    <s v="EMP0460"/>
    <d v="2025-02-18T00:00:00"/>
    <m/>
    <s v="No"/>
    <n v="25"/>
    <s v="Non-Binary"/>
    <s v="Single"/>
    <s v="PhD"/>
    <x v="2"/>
    <s v="System Administrator"/>
    <n v="1"/>
    <s v="Mumbai"/>
    <n v="34000"/>
    <n v="8.9"/>
    <n v="3.3"/>
    <n v="0.9"/>
    <n v="0"/>
    <n v="3"/>
    <n v="2"/>
    <n v="3"/>
    <s v="No"/>
    <n v="4"/>
    <n v="1"/>
    <m/>
  </r>
  <r>
    <s v="EMP0461"/>
    <d v="2018-09-04T00:00:00"/>
    <m/>
    <s v="No"/>
    <n v="32"/>
    <s v="Non-Binary"/>
    <s v="Single"/>
    <s v="Master's"/>
    <x v="3"/>
    <s v="Finance Manager"/>
    <n v="2"/>
    <s v="Mumbai"/>
    <n v="38000"/>
    <n v="6.8"/>
    <n v="8.8000000000000007"/>
    <n v="7.3"/>
    <n v="3.8"/>
    <n v="3"/>
    <n v="2"/>
    <n v="3"/>
    <s v="Yes"/>
    <n v="5"/>
    <n v="1"/>
    <m/>
  </r>
  <r>
    <s v="EMP0462"/>
    <d v="2020-08-01T00:00:00"/>
    <m/>
    <s v="No"/>
    <n v="34"/>
    <s v="Male"/>
    <s v="Divorced"/>
    <s v="Bachelor's"/>
    <x v="4"/>
    <s v="HR Executive"/>
    <n v="2"/>
    <s v="Bengaluru"/>
    <n v="41000"/>
    <n v="14.1"/>
    <n v="6.4"/>
    <n v="5.4"/>
    <n v="4.9000000000000004"/>
    <n v="3"/>
    <n v="4"/>
    <n v="3"/>
    <s v="No"/>
    <n v="3"/>
    <n v="1"/>
    <m/>
  </r>
  <r>
    <s v="EMP0463"/>
    <d v="2020-11-13T00:00:00"/>
    <m/>
    <s v="No"/>
    <n v="40"/>
    <s v="Female"/>
    <s v="Single"/>
    <s v="Master's"/>
    <x v="4"/>
    <s v="HR Executive"/>
    <n v="3"/>
    <s v="Mumbai"/>
    <n v="77000"/>
    <n v="6.4"/>
    <n v="8"/>
    <n v="5.0999999999999996"/>
    <n v="3"/>
    <n v="3"/>
    <n v="4"/>
    <n v="1"/>
    <s v="No"/>
    <n v="4"/>
    <n v="1"/>
    <m/>
  </r>
  <r>
    <s v="EMP0464"/>
    <d v="2023-09-29T00:00:00"/>
    <m/>
    <s v="No"/>
    <n v="25"/>
    <s v="Male"/>
    <s v="Single"/>
    <s v="Master's"/>
    <x v="5"/>
    <s v="Software Developer"/>
    <n v="1"/>
    <s v="Bengaluru"/>
    <n v="46000"/>
    <n v="13"/>
    <n v="8.3000000000000007"/>
    <n v="2.2999999999999998"/>
    <n v="1"/>
    <n v="3"/>
    <n v="4"/>
    <n v="3"/>
    <s v="No"/>
    <n v="5"/>
    <n v="1"/>
    <m/>
  </r>
  <r>
    <s v="EMP0465"/>
    <d v="2024-06-16T00:00:00"/>
    <d v="2025-03-29T00:00:00"/>
    <s v="Yes"/>
    <n v="43"/>
    <s v="Non-Binary"/>
    <s v="Married"/>
    <s v="Diploma"/>
    <x v="0"/>
    <s v="Operations Manager"/>
    <n v="4"/>
    <s v="Chennai"/>
    <n v="101000"/>
    <n v="10.199999999999999"/>
    <n v="6"/>
    <n v="0.8"/>
    <n v="0"/>
    <n v="1"/>
    <n v="3"/>
    <n v="3"/>
    <s v="No"/>
    <n v="4"/>
    <n v="1"/>
    <m/>
  </r>
  <r>
    <s v="EMP0466"/>
    <d v="2014-06-07T00:00:00"/>
    <d v="2025-03-11T00:00:00"/>
    <s v="Yes"/>
    <n v="32"/>
    <s v="Male"/>
    <s v="Married"/>
    <s v="Master's"/>
    <x v="2"/>
    <s v="IT Analyst"/>
    <n v="3"/>
    <s v="Noida"/>
    <n v="82000"/>
    <n v="12.2"/>
    <n v="10.9"/>
    <n v="10.8"/>
    <n v="0.7"/>
    <n v="4"/>
    <n v="1"/>
    <n v="4"/>
    <s v="No"/>
    <n v="4"/>
    <n v="1"/>
    <m/>
  </r>
  <r>
    <s v="EMP0467"/>
    <d v="2015-08-30T00:00:00"/>
    <m/>
    <s v="No"/>
    <n v="42"/>
    <s v="Female"/>
    <s v="Married"/>
    <s v="PhD"/>
    <x v="1"/>
    <s v="Data Engineer"/>
    <n v="4"/>
    <s v="Bengaluru"/>
    <n v="114000"/>
    <n v="13.1"/>
    <n v="11.5"/>
    <n v="10.3"/>
    <n v="2.5"/>
    <n v="2"/>
    <n v="2"/>
    <n v="4"/>
    <s v="No"/>
    <n v="4"/>
    <n v="1"/>
    <m/>
  </r>
  <r>
    <s v="EMP0468"/>
    <d v="2022-12-13T00:00:00"/>
    <m/>
    <s v="No"/>
    <n v="25"/>
    <s v="Female"/>
    <s v="Divorced"/>
    <s v="Diploma"/>
    <x v="2"/>
    <s v="IT Support Lead"/>
    <n v="1"/>
    <s v="Bengaluru"/>
    <n v="29000"/>
    <n v="4.5999999999999996"/>
    <n v="3.5"/>
    <n v="3"/>
    <n v="0"/>
    <n v="3"/>
    <n v="3"/>
    <n v="3"/>
    <s v="Yes"/>
    <n v="5"/>
    <n v="1"/>
    <m/>
  </r>
  <r>
    <s v="EMP0469"/>
    <d v="2019-05-18T00:00:00"/>
    <m/>
    <s v="No"/>
    <n v="31"/>
    <s v="Male"/>
    <s v="Married"/>
    <s v="PhD"/>
    <x v="3"/>
    <s v="Finance Manager"/>
    <n v="3"/>
    <s v="Mumbai"/>
    <n v="87000"/>
    <n v="14.2"/>
    <n v="10.5"/>
    <n v="6.6"/>
    <n v="4.3"/>
    <n v="3"/>
    <n v="3"/>
    <n v="3"/>
    <s v="No"/>
    <n v="3"/>
    <n v="1"/>
    <m/>
  </r>
  <r>
    <s v="EMP0470"/>
    <d v="2020-01-30T00:00:00"/>
    <m/>
    <s v="No"/>
    <n v="29"/>
    <s v="Non-Binary"/>
    <s v="Married"/>
    <s v="PhD"/>
    <x v="5"/>
    <s v="Tech Lead"/>
    <n v="3"/>
    <s v="Pune"/>
    <n v="85000"/>
    <n v="2.2999999999999998"/>
    <n v="11.7"/>
    <n v="5.9"/>
    <n v="2.8"/>
    <n v="3"/>
    <n v="3"/>
    <n v="3"/>
    <s v="No"/>
    <n v="4"/>
    <n v="1"/>
    <m/>
  </r>
  <r>
    <s v="EMP0471"/>
    <d v="2015-12-15T00:00:00"/>
    <m/>
    <s v="No"/>
    <n v="40"/>
    <s v="Non-Binary"/>
    <s v="Married"/>
    <s v="Master's"/>
    <x v="6"/>
    <s v="Business Development Executive"/>
    <n v="5"/>
    <s v="Pune"/>
    <n v="168000"/>
    <n v="4.0999999999999996"/>
    <n v="16.399999999999999"/>
    <n v="10"/>
    <n v="5.0999999999999996"/>
    <n v="4"/>
    <n v="3"/>
    <n v="3"/>
    <s v="No"/>
    <n v="4"/>
    <n v="1"/>
    <m/>
  </r>
  <r>
    <s v="EMP0472"/>
    <d v="2024-07-09T00:00:00"/>
    <m/>
    <s v="No"/>
    <n v="33"/>
    <s v="Male"/>
    <s v="Single"/>
    <s v="Bachelor's"/>
    <x v="1"/>
    <s v="BI Analyst"/>
    <n v="3"/>
    <s v="Bengaluru"/>
    <n v="92000"/>
    <n v="5.8"/>
    <n v="3.2"/>
    <n v="1.5"/>
    <n v="0.1"/>
    <n v="4"/>
    <n v="1"/>
    <n v="4"/>
    <s v="No"/>
    <n v="3"/>
    <n v="1"/>
    <m/>
  </r>
  <r>
    <s v="EMP0472"/>
    <d v="2024-07-09T00:00:00"/>
    <m/>
    <s v="No"/>
    <n v="33"/>
    <s v="Male"/>
    <s v="Single"/>
    <s v="Bachelor's"/>
    <x v="1"/>
    <s v="BI Analyst"/>
    <n v="3"/>
    <s v="Bengaluru"/>
    <n v="92000"/>
    <n v="5.8"/>
    <n v="3.2"/>
    <n v="1.5"/>
    <n v="0.1"/>
    <n v="4"/>
    <n v="1"/>
    <n v="4"/>
    <s v="No"/>
    <n v="3"/>
    <n v="2"/>
    <m/>
  </r>
  <r>
    <s v="EMP0473"/>
    <d v="2023-07-03T00:00:00"/>
    <m/>
    <s v="No"/>
    <n v="30"/>
    <s v="Non-Binary"/>
    <s v="Divorced"/>
    <s v="Bachelor's"/>
    <x v="6"/>
    <s v="Business Development Executive"/>
    <n v="2"/>
    <s v="Noida"/>
    <n v="53000"/>
    <n v="11.2"/>
    <n v="8.8000000000000007"/>
    <n v="2.5"/>
    <n v="1.9"/>
    <n v="3"/>
    <n v="4"/>
    <n v="3"/>
    <s v="No"/>
    <n v="5"/>
    <n v="1"/>
    <m/>
  </r>
  <r>
    <s v="EMP0474"/>
    <d v="2016-05-12T00:00:00"/>
    <m/>
    <s v="No"/>
    <n v="30"/>
    <s v="Male"/>
    <s v="Divorced"/>
    <s v="Bachelor's"/>
    <x v="5"/>
    <s v="Tech Lead"/>
    <n v="3"/>
    <s v="Pune"/>
    <n v="85000"/>
    <n v="8.6"/>
    <n v="14.5"/>
    <n v="9.6"/>
    <n v="5.2"/>
    <n v="4"/>
    <n v="2"/>
    <n v="3"/>
    <s v="No"/>
    <n v="3"/>
    <n v="1"/>
    <m/>
  </r>
  <r>
    <s v="EMP0475"/>
    <d v="2018-02-14T00:00:00"/>
    <m/>
    <s v="No"/>
    <n v="31"/>
    <s v="Female"/>
    <s v="Single"/>
    <s v="Master's"/>
    <x v="6"/>
    <s v="Account Manager"/>
    <n v="3"/>
    <s v="Mumbai"/>
    <n v="91000"/>
    <n v="11.2"/>
    <n v="9.1"/>
    <n v="7.9"/>
    <n v="2.2000000000000002"/>
    <n v="3"/>
    <n v="4"/>
    <n v="2"/>
    <s v="No"/>
    <n v="3"/>
    <n v="1"/>
    <m/>
  </r>
  <r>
    <s v="EMP0476"/>
    <d v="2024-09-14T00:00:00"/>
    <m/>
    <s v="No"/>
    <n v="38"/>
    <s v="Female"/>
    <s v="Married"/>
    <s v="PhD"/>
    <x v="6"/>
    <s v="Sales Manager"/>
    <n v="3"/>
    <s v="Mumbai"/>
    <n v="74000"/>
    <n v="13.7"/>
    <n v="6.6"/>
    <n v="1.3"/>
    <n v="0.2"/>
    <n v="4"/>
    <n v="4"/>
    <n v="3"/>
    <s v="No"/>
    <n v="3"/>
    <n v="1"/>
    <m/>
  </r>
  <r>
    <s v="EMP0477"/>
    <d v="2020-07-10T00:00:00"/>
    <m/>
    <s v="No"/>
    <n v="32"/>
    <s v="Female"/>
    <s v="Single"/>
    <s v="Master's"/>
    <x v="2"/>
    <s v="IT Analyst"/>
    <n v="4"/>
    <s v="Chennai"/>
    <n v="112000"/>
    <n v="2.7"/>
    <n v="6"/>
    <n v="5.5"/>
    <n v="1.9"/>
    <n v="3"/>
    <n v="3"/>
    <n v="4"/>
    <s v="No"/>
    <n v="3"/>
    <n v="1"/>
    <m/>
  </r>
  <r>
    <s v="EMP0478"/>
    <d v="2023-09-24T00:00:00"/>
    <m/>
    <s v="No"/>
    <n v="25"/>
    <s v="Non-Binary"/>
    <s v="Single"/>
    <s v="PhD"/>
    <x v="5"/>
    <s v="QA Engineer"/>
    <n v="1"/>
    <s v="Mumbai"/>
    <n v="39000"/>
    <n v="15.9"/>
    <n v="8"/>
    <n v="2.2999999999999998"/>
    <n v="0.7"/>
    <n v="3"/>
    <n v="3"/>
    <n v="4"/>
    <s v="No"/>
    <n v="5"/>
    <n v="1"/>
    <m/>
  </r>
  <r>
    <s v="EMP0479"/>
    <d v="2018-05-25T00:00:00"/>
    <m/>
    <s v="No"/>
    <n v="37"/>
    <s v="Non-Binary"/>
    <s v="Married"/>
    <s v="PhD"/>
    <x v="0"/>
    <s v="Operations Analyst"/>
    <n v="4"/>
    <s v="Noida"/>
    <n v="108000"/>
    <n v="1.8"/>
    <n v="14.1"/>
    <n v="7.6"/>
    <n v="3.9"/>
    <n v="3"/>
    <n v="4"/>
    <n v="4"/>
    <s v="No"/>
    <n v="2"/>
    <n v="1"/>
    <m/>
  </r>
  <r>
    <s v="EMP0480"/>
    <d v="2022-03-19T00:00:00"/>
    <m/>
    <s v="No"/>
    <n v="27"/>
    <s v="Non-Binary"/>
    <s v="Divorced"/>
    <s v="Diploma"/>
    <x v="0"/>
    <s v="Operations Analyst"/>
    <n v="1"/>
    <s v="Pune"/>
    <n v="26000"/>
    <n v="8.3000000000000007"/>
    <n v="6.3"/>
    <n v="3.8"/>
    <n v="1.3"/>
    <n v="2"/>
    <n v="3"/>
    <n v="1"/>
    <s v="No"/>
    <n v="5"/>
    <n v="1"/>
    <m/>
  </r>
  <r>
    <s v="EMP0481"/>
    <d v="2025-03-11T00:00:00"/>
    <d v="2025-08-13T00:00:00"/>
    <s v="Yes"/>
    <n v="21"/>
    <s v="Female"/>
    <s v="Married"/>
    <s v="Bachelor's"/>
    <x v="2"/>
    <s v="IT Analyst"/>
    <n v="1"/>
    <s v="Mumbai"/>
    <n v="40000"/>
    <n v="4.7"/>
    <n v="2.5"/>
    <n v="0.4"/>
    <n v="0"/>
    <n v="2"/>
    <n v="2"/>
    <n v="3"/>
    <s v="No"/>
    <n v="5"/>
    <n v="1"/>
    <m/>
  </r>
  <r>
    <s v="EMP0482"/>
    <d v="2014-02-17T00:00:00"/>
    <m/>
    <s v="No"/>
    <n v="48"/>
    <s v="Non-Binary"/>
    <s v="Divorced"/>
    <s v="Master's"/>
    <x v="6"/>
    <s v="Account Manager"/>
    <n v="4"/>
    <s v="Noida"/>
    <n v="102000"/>
    <n v="0"/>
    <n v="16.100000000000001"/>
    <n v="11.9"/>
    <n v="3.6"/>
    <n v="4"/>
    <n v="3"/>
    <n v="3"/>
    <s v="No"/>
    <n v="4"/>
    <n v="1"/>
    <m/>
  </r>
  <r>
    <s v="EMP0483"/>
    <d v="2019-08-29T00:00:00"/>
    <m/>
    <s v="No"/>
    <n v="41"/>
    <s v="Male"/>
    <s v="Married"/>
    <s v="Master's"/>
    <x v="3"/>
    <s v="Accountant"/>
    <n v="2"/>
    <s v="Mumbai"/>
    <n v="73000"/>
    <n v="4.0999999999999996"/>
    <n v="7.5"/>
    <n v="6.3"/>
    <n v="2.6"/>
    <n v="4"/>
    <n v="3"/>
    <n v="2"/>
    <s v="Yes"/>
    <n v="3"/>
    <n v="1"/>
    <m/>
  </r>
  <r>
    <s v="EMP0484"/>
    <d v="2021-10-17T00:00:00"/>
    <m/>
    <s v="No"/>
    <n v="30"/>
    <s v="Non-Binary"/>
    <s v="Married"/>
    <s v="Master's"/>
    <x v="5"/>
    <s v="QA Engineer"/>
    <n v="3"/>
    <s v="Pune"/>
    <n v="85000"/>
    <n v="19.600000000000001"/>
    <n v="8.9"/>
    <n v="4.2"/>
    <n v="2.7"/>
    <n v="4"/>
    <n v="4"/>
    <n v="3"/>
    <s v="No"/>
    <n v="5"/>
    <n v="1"/>
    <m/>
  </r>
  <r>
    <s v="EMP0485"/>
    <d v="2020-05-06T00:00:00"/>
    <m/>
    <s v="No"/>
    <n v="35"/>
    <s v="Male"/>
    <s v="Divorced"/>
    <s v="PhD"/>
    <x v="4"/>
    <s v="Recruiter"/>
    <n v="3"/>
    <s v="Bengaluru"/>
    <n v="78000"/>
    <n v="13.3"/>
    <n v="11.2"/>
    <n v="5.7"/>
    <n v="2.6"/>
    <n v="3"/>
    <n v="1"/>
    <n v="2"/>
    <s v="No"/>
    <n v="4"/>
    <n v="1"/>
    <m/>
  </r>
  <r>
    <s v="EMP0486"/>
    <d v="2025-03-25T00:00:00"/>
    <m/>
    <s v="No"/>
    <n v="35"/>
    <s v="Male"/>
    <s v="Married"/>
    <s v="Diploma"/>
    <x v="5"/>
    <s v="QA Engineer"/>
    <n v="3"/>
    <s v="Pune"/>
    <n v="83000"/>
    <n v="10.1"/>
    <n v="3.2"/>
    <n v="0.8"/>
    <n v="0"/>
    <n v="3"/>
    <n v="4"/>
    <n v="2"/>
    <s v="Yes"/>
    <n v="4"/>
    <n v="1"/>
    <m/>
  </r>
  <r>
    <s v="EMP0487"/>
    <d v="2019-04-18T00:00:00"/>
    <m/>
    <s v="No"/>
    <n v="37"/>
    <s v="Non-Binary"/>
    <s v="Single"/>
    <s v="Master's"/>
    <x v="1"/>
    <s v="Data Engineer"/>
    <n v="1"/>
    <s v="Chennai"/>
    <n v="36000"/>
    <n v="10.5"/>
    <n v="9.1999999999999993"/>
    <n v="6.7"/>
    <n v="2.7"/>
    <n v="1"/>
    <n v="3"/>
    <n v="3"/>
    <s v="Yes"/>
    <n v="4"/>
    <n v="1"/>
    <m/>
  </r>
  <r>
    <s v="EMP0488"/>
    <d v="2017-11-23T00:00:00"/>
    <d v="2025-11-16T00:00:00"/>
    <s v="Yes"/>
    <n v="41"/>
    <s v="Non-Binary"/>
    <s v="Married"/>
    <s v="Diploma"/>
    <x v="0"/>
    <s v="Process Associate"/>
    <n v="3"/>
    <s v="Noida"/>
    <n v="72000"/>
    <n v="1.9"/>
    <n v="13.3"/>
    <n v="8"/>
    <n v="2.5"/>
    <n v="3"/>
    <n v="2"/>
    <n v="3"/>
    <s v="Yes"/>
    <n v="4"/>
    <n v="1"/>
    <m/>
  </r>
  <r>
    <s v="EMP0489"/>
    <d v="2020-12-17T00:00:00"/>
    <m/>
    <s v="No"/>
    <n v="27"/>
    <s v="Non-Binary"/>
    <s v="Single"/>
    <s v="Master's"/>
    <x v="5"/>
    <s v="Senior Software Developer"/>
    <n v="1"/>
    <s v="Mumbai"/>
    <n v="32000"/>
    <n v="6.6"/>
    <n v="9.5"/>
    <n v="5"/>
    <n v="0.6"/>
    <n v="4"/>
    <n v="3"/>
    <n v="2"/>
    <s v="No"/>
    <n v="4"/>
    <n v="1"/>
    <m/>
  </r>
  <r>
    <s v="EMP0490"/>
    <d v="2025-08-13T00:00:00"/>
    <d v="2025-11-07T00:00:00"/>
    <s v="Yes"/>
    <n v="21"/>
    <s v="Non-Binary"/>
    <s v="Married"/>
    <s v="PhD"/>
    <x v="4"/>
    <s v="HR Executive"/>
    <n v="1"/>
    <s v="Chennai"/>
    <n v="60000"/>
    <n v="13.2"/>
    <n v="2.2000000000000002"/>
    <n v="0.2"/>
    <n v="0"/>
    <n v="2"/>
    <n v="4"/>
    <n v="3"/>
    <s v="No"/>
    <n v="4"/>
    <n v="1"/>
    <m/>
  </r>
  <r>
    <s v="EMP0491"/>
    <d v="2025-06-06T00:00:00"/>
    <m/>
    <s v="No"/>
    <n v="33"/>
    <s v="Male"/>
    <s v="Single"/>
    <s v="Diploma"/>
    <x v="5"/>
    <s v="Tech Lead"/>
    <n v="4"/>
    <s v="Bengaluru"/>
    <n v="127000"/>
    <n v="11.1"/>
    <n v="3.1"/>
    <n v="0.6"/>
    <n v="0"/>
    <n v="3"/>
    <n v="2"/>
    <n v="2"/>
    <s v="No"/>
    <n v="2"/>
    <n v="1"/>
    <m/>
  </r>
  <r>
    <s v="EMP0492"/>
    <d v="2017-10-05T00:00:00"/>
    <m/>
    <s v="No"/>
    <n v="37"/>
    <s v="Female"/>
    <s v="Married"/>
    <s v="Bachelor's"/>
    <x v="1"/>
    <s v="Senior Data Analyst"/>
    <n v="5"/>
    <s v="Bengaluru"/>
    <n v="180000"/>
    <n v="8.1999999999999993"/>
    <n v="13.9"/>
    <n v="8.1999999999999993"/>
    <n v="1.8"/>
    <n v="4"/>
    <n v="2"/>
    <n v="2"/>
    <s v="Yes"/>
    <n v="5"/>
    <n v="1"/>
    <m/>
  </r>
  <r>
    <s v="EMP0493"/>
    <d v="2018-11-05T00:00:00"/>
    <m/>
    <s v="No"/>
    <n v="32"/>
    <s v="Female"/>
    <s v="Divorced"/>
    <s v="Master's"/>
    <x v="1"/>
    <s v="BI Analyst"/>
    <n v="3"/>
    <s v="Bengaluru"/>
    <n v="100000"/>
    <n v="11.4"/>
    <n v="8.1"/>
    <n v="7.2"/>
    <n v="0.4"/>
    <n v="4"/>
    <n v="3"/>
    <n v="3"/>
    <s v="No"/>
    <n v="3"/>
    <n v="1"/>
    <m/>
  </r>
  <r>
    <s v="EMP0494"/>
    <d v="2019-03-18T00:00:00"/>
    <m/>
    <s v="No"/>
    <n v="38"/>
    <s v="Male"/>
    <s v="Single"/>
    <s v="PhD"/>
    <x v="6"/>
    <s v="Sales Executive"/>
    <n v="2"/>
    <s v="Chennai"/>
    <n v="55000"/>
    <n v="8.9"/>
    <n v="7.5"/>
    <n v="6.8"/>
    <n v="3.8"/>
    <n v="3"/>
    <n v="2"/>
    <n v="4"/>
    <s v="No"/>
    <n v="3"/>
    <n v="1"/>
    <m/>
  </r>
  <r>
    <s v="EMP0495"/>
    <d v="2020-04-06T00:00:00"/>
    <m/>
    <s v="No"/>
    <n v="41"/>
    <s v="Female"/>
    <s v="Married"/>
    <s v="Master's"/>
    <x v="3"/>
    <s v="Financial Analyst"/>
    <n v="1"/>
    <s v="Chennai"/>
    <n v="44000"/>
    <n v="5.9"/>
    <n v="5.7"/>
    <n v="5.7"/>
    <n v="5.3"/>
    <n v="3"/>
    <n v="3"/>
    <n v="3"/>
    <s v="No"/>
    <n v="4"/>
    <n v="1"/>
    <m/>
  </r>
  <r>
    <s v="EMP0496"/>
    <d v="2025-06-10T00:00:00"/>
    <m/>
    <s v="No"/>
    <n v="26"/>
    <s v="Female"/>
    <s v="Single"/>
    <s v="Diploma"/>
    <x v="2"/>
    <s v="IT Analyst"/>
    <n v="1"/>
    <s v="Noida"/>
    <n v="22000"/>
    <n v="6.5"/>
    <n v="3.7"/>
    <n v="0.6"/>
    <n v="0"/>
    <n v="3"/>
    <n v="2"/>
    <n v="3"/>
    <s v="No"/>
    <n v="3"/>
    <n v="1"/>
    <m/>
  </r>
  <r>
    <s v="EMP0497"/>
    <d v="2017-06-02T00:00:00"/>
    <m/>
    <s v="No"/>
    <n v="40"/>
    <s v="Male"/>
    <s v="Divorced"/>
    <s v="PhD"/>
    <x v="6"/>
    <s v="Sales Manager"/>
    <n v="5"/>
    <s v="Bengaluru"/>
    <n v="158000"/>
    <n v="11.9"/>
    <n v="10.3"/>
    <n v="8.6"/>
    <n v="5.8"/>
    <n v="3"/>
    <n v="3"/>
    <n v="4"/>
    <s v="Yes"/>
    <n v="2"/>
    <n v="1"/>
    <m/>
  </r>
  <r>
    <s v="EMP0498"/>
    <d v="2017-11-29T00:00:00"/>
    <m/>
    <s v="No"/>
    <n v="29"/>
    <s v="Non-Binary"/>
    <s v="Married"/>
    <s v="Bachelor's"/>
    <x v="5"/>
    <s v="Senior Software Developer"/>
    <n v="2"/>
    <s v="Hyderabad"/>
    <n v="63000"/>
    <n v="12.2"/>
    <n v="14.4"/>
    <n v="8.1"/>
    <n v="3.9"/>
    <n v="4"/>
    <n v="2"/>
    <n v="1"/>
    <s v="No"/>
    <n v="4"/>
    <n v="1"/>
    <m/>
  </r>
  <r>
    <s v="EMP0499"/>
    <d v="2021-07-06T00:00:00"/>
    <m/>
    <s v="No"/>
    <n v="41"/>
    <s v="Male"/>
    <s v="Married"/>
    <s v="Diploma"/>
    <x v="2"/>
    <s v="IT Support Lead"/>
    <n v="4"/>
    <s v="Pune"/>
    <n v="114000"/>
    <n v="10.4"/>
    <n v="4.5999999999999996"/>
    <n v="4.5"/>
    <n v="2.1"/>
    <n v="4"/>
    <n v="4"/>
    <n v="3"/>
    <s v="Yes"/>
    <n v="3"/>
    <n v="1"/>
    <m/>
  </r>
  <r>
    <s v="EMP0500"/>
    <d v="2023-02-11T00:00:00"/>
    <d v="2025-09-10T00:00:00"/>
    <s v="Yes"/>
    <n v="33"/>
    <s v="Female"/>
    <m/>
    <s v="Diploma"/>
    <x v="5"/>
    <s v="QA Engineer"/>
    <n v="4"/>
    <s v="Chennai"/>
    <n v="116000"/>
    <n v="8.3000000000000007"/>
    <n v="9.8000000000000007"/>
    <n v="2.6"/>
    <n v="1.8"/>
    <n v="4"/>
    <n v="2"/>
    <n v="2"/>
    <s v="No"/>
    <n v="4"/>
    <n v="1"/>
    <m/>
  </r>
  <r>
    <s v="EMP0501"/>
    <d v="2024-03-17T00:00:00"/>
    <m/>
    <s v="No"/>
    <n v="28"/>
    <s v="Male"/>
    <s v="Divorced"/>
    <s v="Diploma"/>
    <x v="4"/>
    <s v="HR Manager"/>
    <n v="2"/>
    <s v="Pune"/>
    <n v="49000"/>
    <n v="5.8"/>
    <n v="3.2"/>
    <n v="1.8"/>
    <n v="1.1000000000000001"/>
    <n v="3"/>
    <n v="4"/>
    <n v="2"/>
    <s v="No"/>
    <n v="5"/>
    <n v="1"/>
    <m/>
  </r>
  <r>
    <s v="EMP0502"/>
    <d v="2025-01-02T00:00:00"/>
    <m/>
    <s v="No"/>
    <n v="21"/>
    <s v="Male"/>
    <s v="Married"/>
    <s v="PhD"/>
    <x v="2"/>
    <s v="IT Support Specialist"/>
    <n v="1"/>
    <s v="Mumbai"/>
    <n v="35000"/>
    <n v="9"/>
    <n v="5.5"/>
    <n v="1"/>
    <n v="0.5"/>
    <n v="3"/>
    <n v="4"/>
    <n v="3"/>
    <s v="No"/>
    <n v="5"/>
    <n v="1"/>
    <m/>
  </r>
  <r>
    <s v="EMP0503"/>
    <d v="2020-03-29T00:00:00"/>
    <m/>
    <s v="No"/>
    <n v="38"/>
    <s v="Male"/>
    <s v="Married"/>
    <s v="Bachelor's"/>
    <x v="6"/>
    <s v="Sales Executive"/>
    <n v="3"/>
    <s v="Chennai"/>
    <n v="85000"/>
    <n v="2.6"/>
    <n v="7.6"/>
    <n v="5.8"/>
    <n v="1.6"/>
    <n v="4"/>
    <n v="3"/>
    <n v="3"/>
    <s v="No"/>
    <n v="1"/>
    <n v="1"/>
    <m/>
  </r>
  <r>
    <s v="EMP0504"/>
    <d v="2023-12-18T00:00:00"/>
    <m/>
    <s v="No"/>
    <n v="28"/>
    <s v="Female"/>
    <s v="Single"/>
    <s v="Diploma"/>
    <x v="2"/>
    <s v="IT Support Specialist"/>
    <n v="5"/>
    <s v="Hyderabad"/>
    <n v="142000"/>
    <n v="12.3"/>
    <n v="3.6"/>
    <n v="2"/>
    <n v="0.7"/>
    <n v="4"/>
    <n v="1"/>
    <n v="3"/>
    <s v="No"/>
    <n v="1"/>
    <n v="1"/>
    <m/>
  </r>
  <r>
    <s v="EMP0505"/>
    <d v="2015-06-11T00:00:00"/>
    <m/>
    <s v="No"/>
    <n v="31"/>
    <s v="Female"/>
    <s v="Divorced"/>
    <s v="Bachelor's"/>
    <x v="1"/>
    <s v="Data Analyst"/>
    <n v="3"/>
    <s v="Bengaluru"/>
    <n v="72000"/>
    <n v="11.5"/>
    <n v="12.5"/>
    <n v="10.6"/>
    <n v="0.4"/>
    <n v="4"/>
    <n v="3"/>
    <n v="3"/>
    <s v="No"/>
    <n v="2"/>
    <n v="1"/>
    <m/>
  </r>
  <r>
    <s v="EMP0506"/>
    <d v="2015-04-15T00:00:00"/>
    <d v="2025-08-15T00:00:00"/>
    <s v="Yes"/>
    <n v="33"/>
    <s v="Male"/>
    <s v="Married"/>
    <s v="PhD"/>
    <x v="5"/>
    <s v="Software Developer"/>
    <n v="2"/>
    <s v="Mumbai"/>
    <n v="62000"/>
    <n v="14.4"/>
    <n v="10.8"/>
    <n v="10.3"/>
    <n v="3.7"/>
    <n v="4"/>
    <n v="3"/>
    <n v="2"/>
    <s v="No"/>
    <n v="2"/>
    <n v="1"/>
    <m/>
  </r>
  <r>
    <s v="EMP0507"/>
    <d v="2025-07-15T00:00:00"/>
    <d v="2025-11-01T00:00:00"/>
    <s v="Yes"/>
    <n v="21"/>
    <s v="Non-Binary"/>
    <s v="Single"/>
    <s v="PhD"/>
    <x v="5"/>
    <s v="Tech Lead"/>
    <n v="1"/>
    <s v="Chennai"/>
    <n v="39000"/>
    <n v="16.2"/>
    <n v="4"/>
    <n v="0.3"/>
    <n v="0"/>
    <n v="3"/>
    <n v="3"/>
    <n v="2"/>
    <s v="No"/>
    <n v="4"/>
    <n v="1"/>
    <m/>
  </r>
  <r>
    <s v="EMP0508"/>
    <d v="2025-07-22T00:00:00"/>
    <m/>
    <s v="No"/>
    <n v="34"/>
    <s v="Non-Binary"/>
    <s v="Married"/>
    <s v="Master's"/>
    <x v="6"/>
    <s v="Account Manager"/>
    <n v="2"/>
    <s v="Pune"/>
    <n v="48000"/>
    <n v="12.2"/>
    <n v="7.7"/>
    <n v="0.4"/>
    <n v="0"/>
    <n v="3"/>
    <n v="3"/>
    <n v="3"/>
    <s v="No"/>
    <n v="3"/>
    <n v="1"/>
    <m/>
  </r>
  <r>
    <s v="EMP0509"/>
    <d v="2022-01-20T00:00:00"/>
    <m/>
    <s v="No"/>
    <n v="36"/>
    <s v="Female"/>
    <s v="Married"/>
    <s v="Diploma"/>
    <x v="1"/>
    <s v="Data Analyst"/>
    <n v="1"/>
    <s v="Bengaluru"/>
    <n v="44000"/>
    <n v="13.2"/>
    <n v="6.4"/>
    <n v="3.9"/>
    <n v="3.5"/>
    <n v="4"/>
    <n v="4"/>
    <n v="2"/>
    <s v="No"/>
    <n v="3"/>
    <n v="1"/>
    <m/>
  </r>
  <r>
    <s v="EMP0510"/>
    <d v="2019-10-08T00:00:00"/>
    <m/>
    <s v="No"/>
    <n v="36"/>
    <s v="Non-Binary"/>
    <s v="Married"/>
    <s v="PhD"/>
    <x v="4"/>
    <s v="Recruiter"/>
    <n v="1"/>
    <s v="Chennai"/>
    <n v="28000"/>
    <n v="8.9"/>
    <n v="7.8"/>
    <n v="6.2"/>
    <n v="1.2"/>
    <n v="4"/>
    <n v="4"/>
    <n v="4"/>
    <s v="No"/>
    <n v="3"/>
    <n v="1"/>
    <m/>
  </r>
  <r>
    <s v="EMP0511"/>
    <d v="2021-05-05T00:00:00"/>
    <m/>
    <s v="No"/>
    <n v="28"/>
    <s v="Non-Binary"/>
    <s v="Single"/>
    <s v="Master's"/>
    <x v="0"/>
    <s v="Operations Manager"/>
    <n v="4"/>
    <s v="Mumbai"/>
    <n v="100000"/>
    <n v="6.9"/>
    <n v="5.5"/>
    <n v="4.7"/>
    <n v="4.0999999999999996"/>
    <n v="3"/>
    <n v="4"/>
    <n v="3"/>
    <s v="No"/>
    <n v="5"/>
    <n v="1"/>
    <m/>
  </r>
  <r>
    <s v="EMP0512"/>
    <d v="2024-02-06T00:00:00"/>
    <m/>
    <s v="No"/>
    <n v="27"/>
    <s v="Male"/>
    <s v="Married"/>
    <s v="Bachelor's"/>
    <x v="4"/>
    <s v="Recruiter"/>
    <n v="1"/>
    <s v="Chennai"/>
    <n v="42000"/>
    <n v="9"/>
    <n v="7.8"/>
    <n v="1.9"/>
    <n v="0.4"/>
    <n v="4"/>
    <n v="2"/>
    <n v="4"/>
    <s v="No"/>
    <n v="3"/>
    <n v="1"/>
    <m/>
  </r>
  <r>
    <s v="EMP0513"/>
    <d v="2023-08-15T00:00:00"/>
    <d v="2025-01-16T00:00:00"/>
    <s v="Yes"/>
    <n v="31"/>
    <s v="Non-Binary"/>
    <s v="Single"/>
    <s v="Master's"/>
    <x v="5"/>
    <s v="Senior Software Developer"/>
    <n v="2"/>
    <s v="Pune"/>
    <n v="61000"/>
    <n v="12.3"/>
    <n v="3"/>
    <n v="1.4"/>
    <n v="0.4"/>
    <n v="4"/>
    <n v="2"/>
    <n v="3"/>
    <s v="No"/>
    <n v="3"/>
    <n v="1"/>
    <m/>
  </r>
  <r>
    <s v="EMP0514"/>
    <d v="2018-09-09T00:00:00"/>
    <m/>
    <s v="No"/>
    <n v="28"/>
    <s v="Female"/>
    <s v="Divorced"/>
    <s v="Master's"/>
    <x v="5"/>
    <s v="Senior Software Developer"/>
    <n v="4"/>
    <s v="Chennai"/>
    <n v="121000"/>
    <n v="3.6"/>
    <n v="13.6"/>
    <n v="7.3"/>
    <n v="0.7"/>
    <n v="3"/>
    <n v="4"/>
    <n v="3"/>
    <s v="Yes"/>
    <n v="3"/>
    <n v="1"/>
    <m/>
  </r>
  <r>
    <s v="EMP0515"/>
    <d v="2025-01-24T00:00:00"/>
    <m/>
    <s v="No"/>
    <n v="30"/>
    <s v="Male"/>
    <s v="Single"/>
    <s v="Master's"/>
    <x v="2"/>
    <s v="IT Support Lead"/>
    <n v="4"/>
    <s v="Chennai"/>
    <n v="116000"/>
    <n v="10.1"/>
    <n v="2.5"/>
    <n v="0.9"/>
    <n v="0"/>
    <n v="4"/>
    <n v="3"/>
    <n v="3"/>
    <s v="Yes"/>
    <n v="5"/>
    <n v="1"/>
    <m/>
  </r>
  <r>
    <s v="EMP0516"/>
    <d v="2025-01-28T00:00:00"/>
    <m/>
    <s v="No"/>
    <n v="39"/>
    <s v="Non-Binary"/>
    <s v="Divorced"/>
    <s v="Bachelor's"/>
    <x v="6"/>
    <s v="Account Manager"/>
    <n v="2"/>
    <s v="Pune"/>
    <n v="52000"/>
    <n v="10.6"/>
    <n v="8.6999999999999993"/>
    <n v="0.9"/>
    <n v="0"/>
    <n v="4"/>
    <n v="2"/>
    <n v="2"/>
    <s v="No"/>
    <n v="3"/>
    <n v="1"/>
    <m/>
  </r>
  <r>
    <s v="EMP0517"/>
    <d v="2018-02-25T00:00:00"/>
    <m/>
    <s v="No"/>
    <n v="35"/>
    <s v="Female"/>
    <s v="Divorced"/>
    <s v="PhD"/>
    <x v="4"/>
    <s v="HR Manager"/>
    <n v="3"/>
    <s v="Noida"/>
    <n v="68000"/>
    <n v="0"/>
    <n v="10.4"/>
    <n v="7.8"/>
    <n v="2.2000000000000002"/>
    <n v="3"/>
    <n v="3"/>
    <n v="3"/>
    <s v="No"/>
    <n v="3"/>
    <n v="1"/>
    <m/>
  </r>
  <r>
    <s v="EMP0518"/>
    <d v="2015-03-26T00:00:00"/>
    <m/>
    <s v="No"/>
    <n v="43"/>
    <s v="Male"/>
    <s v="Single"/>
    <s v="Bachelor's"/>
    <x v="2"/>
    <s v="IT Support Specialist"/>
    <n v="2"/>
    <s v="Hyderabad"/>
    <n v="60000"/>
    <n v="12.9"/>
    <n v="14.2"/>
    <n v="10.8"/>
    <n v="2.2999999999999998"/>
    <n v="2"/>
    <n v="2"/>
    <n v="4"/>
    <s v="No"/>
    <n v="3"/>
    <n v="1"/>
    <m/>
  </r>
  <r>
    <s v="EMP0519"/>
    <d v="2025-03-21T00:00:00"/>
    <m/>
    <s v="No"/>
    <n v="34"/>
    <s v="Female"/>
    <s v="Single"/>
    <s v="Diploma"/>
    <x v="3"/>
    <s v="Finance Executive"/>
    <n v="2"/>
    <s v="Noida"/>
    <n v="57000"/>
    <n v="6.5"/>
    <n v="4.2"/>
    <n v="0.8"/>
    <n v="0"/>
    <n v="3"/>
    <n v="3"/>
    <n v="3"/>
    <s v="No"/>
    <n v="1"/>
    <n v="1"/>
    <m/>
  </r>
  <r>
    <s v="EMP0520"/>
    <d v="2022-04-03T00:00:00"/>
    <d v="2025-05-22T00:00:00"/>
    <s v="Yes"/>
    <n v="37"/>
    <s v="Male"/>
    <s v="Divorced"/>
    <s v="Diploma"/>
    <x v="5"/>
    <s v="QA Engineer"/>
    <n v="4"/>
    <s v="Hyderabad"/>
    <n v="135000"/>
    <n v="8.4"/>
    <n v="10.5"/>
    <n v="3.1"/>
    <n v="0.3"/>
    <n v="3"/>
    <n v="2"/>
    <n v="1"/>
    <s v="No"/>
    <n v="3"/>
    <n v="1"/>
    <m/>
  </r>
  <r>
    <s v="EMP0521"/>
    <d v="2018-08-20T00:00:00"/>
    <m/>
    <s v="No"/>
    <n v="33"/>
    <s v="Female"/>
    <s v="Married"/>
    <s v="Bachelor's"/>
    <x v="6"/>
    <s v="Sales Manager"/>
    <n v="2"/>
    <s v="Mumbai"/>
    <n v="58000"/>
    <n v="3.2"/>
    <n v="11.7"/>
    <n v="7.4"/>
    <n v="1.6"/>
    <n v="4"/>
    <n v="4"/>
    <n v="3"/>
    <s v="Yes"/>
    <n v="3"/>
    <n v="1"/>
    <m/>
  </r>
  <r>
    <s v="EMP0522"/>
    <d v="2023-09-21T00:00:00"/>
    <m/>
    <s v="No"/>
    <n v="29"/>
    <s v="Male"/>
    <s v="Married"/>
    <s v="Master's"/>
    <x v="0"/>
    <s v="Operations Analyst"/>
    <n v="4"/>
    <s v="Mumbai"/>
    <n v="93000"/>
    <n v="7"/>
    <n v="7"/>
    <n v="2.2999999999999998"/>
    <n v="1.3"/>
    <n v="2"/>
    <n v="3"/>
    <n v="4"/>
    <s v="No"/>
    <n v="3"/>
    <n v="1"/>
    <m/>
  </r>
  <r>
    <s v="EMP0523"/>
    <d v="2021-05-03T00:00:00"/>
    <m/>
    <s v="No"/>
    <n v="30"/>
    <s v="Female"/>
    <s v="Single"/>
    <s v="PhD"/>
    <x v="2"/>
    <s v="IT Support Lead"/>
    <n v="2"/>
    <s v="Mumbai"/>
    <n v="65000"/>
    <n v="10.3"/>
    <n v="5.7"/>
    <n v="4.7"/>
    <n v="4.4000000000000004"/>
    <n v="3"/>
    <n v="1"/>
    <n v="4"/>
    <s v="No"/>
    <n v="4"/>
    <n v="1"/>
    <m/>
  </r>
  <r>
    <s v="EMP0524"/>
    <d v="2017-08-15T00:00:00"/>
    <m/>
    <s v="No"/>
    <n v="37"/>
    <s v="Non-Binary"/>
    <s v="Divorced"/>
    <s v="PhD"/>
    <x v="0"/>
    <s v="Process Associate"/>
    <n v="3"/>
    <s v="Mumbai"/>
    <n v="62000"/>
    <n v="13.2"/>
    <n v="8.6"/>
    <n v="8.4"/>
    <n v="0.8"/>
    <n v="3"/>
    <n v="4"/>
    <n v="4"/>
    <s v="No"/>
    <n v="4"/>
    <n v="1"/>
    <m/>
  </r>
  <r>
    <s v="EMP0525"/>
    <d v="2021-03-07T00:00:00"/>
    <m/>
    <s v="No"/>
    <n v="38"/>
    <s v="Non-Binary"/>
    <s v="Divorced"/>
    <s v="PhD"/>
    <x v="1"/>
    <s v="Data Engineer"/>
    <n v="1"/>
    <s v="Bengaluru"/>
    <n v="30000"/>
    <n v="2.8"/>
    <n v="9.9"/>
    <n v="4.8"/>
    <n v="1.5"/>
    <n v="3"/>
    <n v="2"/>
    <n v="3"/>
    <s v="No"/>
    <n v="3"/>
    <n v="1"/>
    <m/>
  </r>
  <r>
    <s v="EMP0526"/>
    <d v="2014-06-08T00:00:00"/>
    <m/>
    <s v="No"/>
    <n v="36"/>
    <s v="Female"/>
    <s v="Married"/>
    <s v="Master's"/>
    <x v="1"/>
    <s v="BI Analyst"/>
    <n v="1"/>
    <s v="Bengaluru"/>
    <n v="31000"/>
    <n v="5.5"/>
    <n v="12.1"/>
    <n v="11.6"/>
    <n v="0.3"/>
    <n v="2"/>
    <n v="3"/>
    <n v="2"/>
    <s v="No"/>
    <n v="4"/>
    <n v="1"/>
    <m/>
  </r>
  <r>
    <s v="EMP0527"/>
    <d v="2023-06-15T00:00:00"/>
    <m/>
    <s v="No"/>
    <n v="25"/>
    <s v="Non-Binary"/>
    <s v="Divorced"/>
    <s v="Diploma"/>
    <x v="1"/>
    <s v="Data Engineer"/>
    <n v="1"/>
    <s v="Chennai"/>
    <n v="54000"/>
    <n v="5.4"/>
    <n v="3.6"/>
    <n v="2.5"/>
    <n v="0.5"/>
    <n v="4"/>
    <n v="3"/>
    <n v="3"/>
    <s v="Yes"/>
    <n v="3"/>
    <n v="1"/>
    <m/>
  </r>
  <r>
    <s v="EMP0528"/>
    <d v="2025-08-15T00:00:00"/>
    <m/>
    <s v="No"/>
    <n v="31"/>
    <s v="Non-Binary"/>
    <s v="Single"/>
    <s v="Bachelor's"/>
    <x v="1"/>
    <s v="Data Engineer"/>
    <n v="2"/>
    <s v="Hyderabad"/>
    <n v="67000"/>
    <n v="6.8"/>
    <n v="6.8"/>
    <n v="0.4"/>
    <n v="0"/>
    <n v="1"/>
    <n v="4"/>
    <n v="4"/>
    <s v="Yes"/>
    <n v="3"/>
    <n v="1"/>
    <m/>
  </r>
  <r>
    <s v="EMP0529"/>
    <d v="2015-11-04T00:00:00"/>
    <m/>
    <s v="No"/>
    <n v="33"/>
    <s v="Female"/>
    <s v="Divorced"/>
    <s v="Master's"/>
    <x v="0"/>
    <s v="Process Associate"/>
    <n v="2"/>
    <s v="Noida"/>
    <n v="40000"/>
    <n v="12"/>
    <n v="17"/>
    <n v="10.199999999999999"/>
    <n v="2.5"/>
    <n v="3"/>
    <n v="2"/>
    <n v="3"/>
    <s v="No"/>
    <n v="3"/>
    <n v="1"/>
    <m/>
  </r>
  <r>
    <s v="EMP0530"/>
    <d v="2015-08-01T00:00:00"/>
    <m/>
    <s v="No"/>
    <n v="31"/>
    <s v="Male"/>
    <s v="Married"/>
    <s v="PhD"/>
    <x v="4"/>
    <s v="HR Executive"/>
    <n v="2"/>
    <s v="Chennai"/>
    <n v="42000"/>
    <n v="0"/>
    <n v="15.4"/>
    <n v="10.4"/>
    <n v="1.8"/>
    <n v="4"/>
    <n v="4"/>
    <n v="3"/>
    <s v="Yes"/>
    <n v="4"/>
    <n v="1"/>
    <m/>
  </r>
  <r>
    <s v="EMP0531"/>
    <d v="2024-06-20T00:00:00"/>
    <m/>
    <s v="No"/>
    <n v="50"/>
    <s v="Non-Binary"/>
    <s v="Married"/>
    <s v="PhD"/>
    <x v="5"/>
    <s v="QA Engineer"/>
    <n v="1"/>
    <s v="Hyderabad"/>
    <n v="45000"/>
    <n v="8.9"/>
    <n v="3.6"/>
    <n v="1.5"/>
    <n v="0.8"/>
    <n v="3"/>
    <n v="3"/>
    <n v="2"/>
    <s v="No"/>
    <n v="4"/>
    <n v="1"/>
    <m/>
  </r>
  <r>
    <s v="EMP0532"/>
    <d v="2021-01-22T00:00:00"/>
    <m/>
    <s v="No"/>
    <n v="33"/>
    <s v="Male"/>
    <s v="Divorced"/>
    <s v="PhD"/>
    <x v="0"/>
    <s v="Process Associate"/>
    <n v="4"/>
    <s v="Pune"/>
    <n v="108000"/>
    <n v="4.3"/>
    <n v="7.6"/>
    <n v="4.9000000000000004"/>
    <n v="3.7"/>
    <n v="2"/>
    <n v="3"/>
    <n v="2"/>
    <s v="Yes"/>
    <n v="4"/>
    <n v="1"/>
    <m/>
  </r>
  <r>
    <s v="EMP0533"/>
    <d v="2023-09-15T00:00:00"/>
    <d v="2023-08-16T00:00:00"/>
    <s v="Yes"/>
    <n v="38"/>
    <s v="Male"/>
    <s v="Married"/>
    <s v="Diploma"/>
    <x v="3"/>
    <s v="Finance Executive"/>
    <n v="4"/>
    <s v="Pune"/>
    <n v="121000"/>
    <n v="10.8"/>
    <n v="6.6"/>
    <n v="2.2999999999999998"/>
    <n v="0.9"/>
    <n v="2"/>
    <n v="2"/>
    <n v="4"/>
    <s v="Yes"/>
    <n v="4"/>
    <n v="1"/>
    <m/>
  </r>
  <r>
    <s v="EMP0534"/>
    <d v="2019-06-22T00:00:00"/>
    <m/>
    <s v="No"/>
    <n v="38"/>
    <s v="Female"/>
    <s v="Single"/>
    <s v="Bachelor's"/>
    <x v="1"/>
    <s v="Data Analyst"/>
    <n v="4"/>
    <s v="Bengaluru"/>
    <n v="134000"/>
    <n v="7.6"/>
    <n v="10.7"/>
    <n v="6.5"/>
    <n v="4"/>
    <n v="1"/>
    <n v="3"/>
    <n v="2"/>
    <s v="No"/>
    <n v="4"/>
    <n v="1"/>
    <m/>
  </r>
  <r>
    <s v="EMP0535"/>
    <d v="2014-11-01T00:00:00"/>
    <d v="2025-08-04T00:00:00"/>
    <s v="Yes"/>
    <n v="34"/>
    <s v="Male"/>
    <s v="Divorced"/>
    <s v="Master's"/>
    <x v="2"/>
    <s v="IT Support Lead"/>
    <n v="3"/>
    <s v="Noida"/>
    <n v="89000"/>
    <n v="4"/>
    <n v="11"/>
    <n v="10.8"/>
    <n v="0.1"/>
    <n v="2"/>
    <n v="4"/>
    <n v="3"/>
    <s v="No"/>
    <n v="2"/>
    <n v="1"/>
    <m/>
  </r>
  <r>
    <s v="EMP0536"/>
    <d v="2024-06-10T00:00:00"/>
    <m/>
    <s v="No"/>
    <n v="34"/>
    <s v="Female"/>
    <s v="Married"/>
    <s v="Master's"/>
    <x v="1"/>
    <s v="Data Analyst"/>
    <n v="2"/>
    <s v="Bengaluru"/>
    <n v="62000"/>
    <n v="9.6999999999999993"/>
    <n v="3.2"/>
    <n v="1.6"/>
    <n v="0.9"/>
    <n v="3"/>
    <n v="4"/>
    <n v="2"/>
    <s v="No"/>
    <n v="3"/>
    <n v="1"/>
    <m/>
  </r>
  <r>
    <s v="EMP0537"/>
    <d v="2023-06-04T00:00:00"/>
    <m/>
    <s v="No"/>
    <n v="31"/>
    <s v="Female"/>
    <s v="Single"/>
    <s v="Master's"/>
    <x v="3"/>
    <s v="Finance Executive"/>
    <n v="1"/>
    <s v="Hyderabad"/>
    <n v="48000"/>
    <n v="2.6"/>
    <n v="7.6"/>
    <n v="2.6"/>
    <n v="0.1"/>
    <n v="3"/>
    <n v="4"/>
    <n v="3"/>
    <s v="Yes"/>
    <n v="4"/>
    <n v="1"/>
    <m/>
  </r>
  <r>
    <s v="EMP0538"/>
    <d v="2017-07-21T00:00:00"/>
    <m/>
    <s v="No"/>
    <n v="32"/>
    <s v="Female"/>
    <s v="Single"/>
    <s v="Diploma"/>
    <x v="5"/>
    <s v="QA Engineer"/>
    <n v="5"/>
    <s v="Bengaluru"/>
    <n v="158000"/>
    <n v="8.3000000000000007"/>
    <n v="11.1"/>
    <n v="8.4"/>
    <n v="3.8"/>
    <n v="4"/>
    <n v="4"/>
    <n v="3"/>
    <s v="No"/>
    <n v="4"/>
    <n v="1"/>
    <m/>
  </r>
  <r>
    <s v="EMP0539"/>
    <d v="2018-03-16T00:00:00"/>
    <m/>
    <s v="No"/>
    <n v="33"/>
    <s v="Male"/>
    <s v="Divorced"/>
    <s v="Bachelor's"/>
    <x v="4"/>
    <s v="HR Manager"/>
    <n v="2"/>
    <s v="Bengaluru"/>
    <n v="53000"/>
    <n v="4"/>
    <n v="9.6999999999999993"/>
    <n v="7.8"/>
    <n v="3.7"/>
    <n v="3"/>
    <n v="4"/>
    <n v="3"/>
    <s v="Yes"/>
    <n v="4"/>
    <n v="1"/>
    <m/>
  </r>
  <r>
    <s v="EMP0540"/>
    <d v="2023-09-28T00:00:00"/>
    <m/>
    <s v="No"/>
    <n v="30"/>
    <s v="Female"/>
    <s v="Divorced"/>
    <s v="Bachelor's"/>
    <x v="1"/>
    <s v="Senior Data Analyst"/>
    <n v="3"/>
    <s v="Chennai"/>
    <n v="87000"/>
    <n v="14.1"/>
    <n v="8.1"/>
    <n v="2.2999999999999998"/>
    <n v="2.2999999999999998"/>
    <n v="3"/>
    <n v="3"/>
    <n v="4"/>
    <s v="No"/>
    <n v="2"/>
    <n v="1"/>
    <m/>
  </r>
  <r>
    <s v="EMP0541"/>
    <d v="2022-08-27T00:00:00"/>
    <m/>
    <s v="No"/>
    <n v="25"/>
    <s v="Male"/>
    <s v="Divorced"/>
    <s v="Master's"/>
    <x v="2"/>
    <s v="IT Support Lead"/>
    <n v="1"/>
    <s v="Chennai"/>
    <n v="35000"/>
    <n v="11"/>
    <n v="6"/>
    <n v="3.3"/>
    <n v="0.8"/>
    <n v="1"/>
    <n v="3"/>
    <n v="4"/>
    <s v="No"/>
    <n v="4"/>
    <n v="1"/>
    <m/>
  </r>
  <r>
    <s v="EMP0542"/>
    <d v="2023-07-22T00:00:00"/>
    <m/>
    <s v="No"/>
    <n v="44"/>
    <s v="Male"/>
    <s v="Divorced"/>
    <s v="Master's"/>
    <x v="2"/>
    <s v="IT Support Lead"/>
    <n v="3"/>
    <s v="Pune"/>
    <n v="66000"/>
    <n v="5.8"/>
    <n v="10.1"/>
    <n v="2.4"/>
    <n v="0.1"/>
    <n v="1"/>
    <n v="4"/>
    <n v="4"/>
    <s v="No"/>
    <n v="2"/>
    <n v="1"/>
    <m/>
  </r>
  <r>
    <s v="EMP0543"/>
    <d v="2020-09-14T00:00:00"/>
    <m/>
    <s v="No"/>
    <n v="31"/>
    <s v="Female"/>
    <s v="Single"/>
    <s v="Diploma"/>
    <x v="4"/>
    <s v="HR Executive"/>
    <n v="2"/>
    <s v="Mumbai"/>
    <n v="55000"/>
    <n v="12.9"/>
    <n v="10.1"/>
    <n v="5.3"/>
    <n v="1.6"/>
    <n v="2"/>
    <n v="3"/>
    <n v="4"/>
    <s v="Yes"/>
    <n v="3"/>
    <n v="1"/>
    <m/>
  </r>
  <r>
    <s v="EMP0544"/>
    <d v="2021-03-06T00:00:00"/>
    <m/>
    <s v="No"/>
    <n v="31"/>
    <s v="Female"/>
    <s v="Divorced"/>
    <s v="Master's"/>
    <x v="3"/>
    <s v="Accountant"/>
    <n v="3"/>
    <s v="Chennai"/>
    <n v="81000"/>
    <n v="5.7"/>
    <n v="12.5"/>
    <n v="4.8"/>
    <n v="2.2999999999999998"/>
    <n v="3"/>
    <n v="4"/>
    <n v="3"/>
    <s v="No"/>
    <n v="2"/>
    <n v="1"/>
    <m/>
  </r>
  <r>
    <s v="EMP0545"/>
    <d v="2025-04-06T00:00:00"/>
    <m/>
    <s v="No"/>
    <n v="22"/>
    <s v="Male"/>
    <s v="Single"/>
    <s v="Bachelor's"/>
    <x v="0"/>
    <s v="Operations Analyst"/>
    <n v="1"/>
    <s v="Chennai"/>
    <n v="33000"/>
    <n v="17.100000000000001"/>
    <n v="5.6"/>
    <n v="0.7"/>
    <n v="0"/>
    <n v="3"/>
    <n v="2"/>
    <n v="3"/>
    <s v="No"/>
    <n v="2"/>
    <n v="1"/>
    <m/>
  </r>
  <r>
    <s v="EMP0546"/>
    <d v="2014-11-14T00:00:00"/>
    <m/>
    <s v="No"/>
    <n v="32"/>
    <s v="Male"/>
    <s v="Married"/>
    <s v="Master's"/>
    <x v="0"/>
    <s v="Operations Manager"/>
    <n v="3"/>
    <s v="Pune"/>
    <n v="69000"/>
    <n v="8.3000000000000007"/>
    <n v="15"/>
    <n v="11.1"/>
    <n v="3.8"/>
    <n v="4"/>
    <n v="3"/>
    <n v="3"/>
    <s v="No"/>
    <n v="1"/>
    <n v="1"/>
    <m/>
  </r>
  <r>
    <s v="EMP0547"/>
    <d v="2025-01-11T00:00:00"/>
    <m/>
    <s v="No"/>
    <n v="21"/>
    <s v="Female"/>
    <s v="Divorced"/>
    <s v="Master's"/>
    <x v="2"/>
    <s v="IT Support Lead"/>
    <n v="1"/>
    <s v="Pune"/>
    <n v="47000"/>
    <n v="3.3"/>
    <n v="6.6"/>
    <n v="1"/>
    <n v="0.6"/>
    <n v="4"/>
    <n v="3"/>
    <n v="1"/>
    <s v="No"/>
    <n v="3"/>
    <n v="1"/>
    <m/>
  </r>
  <r>
    <s v="EMP0548"/>
    <d v="2022-03-12T00:00:00"/>
    <m/>
    <s v="No"/>
    <n v="30"/>
    <s v="Non-Binary"/>
    <s v="Divorced"/>
    <s v="Master's"/>
    <x v="3"/>
    <s v="Financial Analyst"/>
    <n v="4"/>
    <s v="Bengaluru"/>
    <n v="120000"/>
    <n v="2.6"/>
    <n v="5"/>
    <n v="3.8"/>
    <n v="2.2999999999999998"/>
    <n v="1"/>
    <n v="4"/>
    <n v="2"/>
    <s v="No"/>
    <n v="3"/>
    <n v="1"/>
    <m/>
  </r>
  <r>
    <s v="EMP0548"/>
    <d v="2022-03-12T00:00:00"/>
    <m/>
    <s v="No"/>
    <n v="30"/>
    <s v="Non-Binary"/>
    <s v="Divorced"/>
    <s v="Master's"/>
    <x v="3"/>
    <s v="Financial Analyst"/>
    <n v="4"/>
    <s v="Bengaluru"/>
    <n v="120000"/>
    <n v="2.6"/>
    <n v="5"/>
    <n v="3.8"/>
    <n v="2.2999999999999998"/>
    <n v="1"/>
    <n v="4"/>
    <n v="2"/>
    <s v="No"/>
    <n v="3"/>
    <n v="2"/>
    <m/>
  </r>
  <r>
    <s v="EMP0549"/>
    <d v="2014-12-22T00:00:00"/>
    <m/>
    <s v="No"/>
    <n v="47"/>
    <s v="Female"/>
    <s v="Divorced"/>
    <s v="PhD"/>
    <x v="5"/>
    <s v="Software Developer"/>
    <n v="3"/>
    <s v="Chennai"/>
    <n v="74000"/>
    <n v="9.8000000000000007"/>
    <n v="15.2"/>
    <n v="11"/>
    <n v="1.1000000000000001"/>
    <n v="3"/>
    <n v="3"/>
    <n v="4"/>
    <s v="No"/>
    <n v="3"/>
    <n v="1"/>
    <m/>
  </r>
  <r>
    <s v="EMP0550"/>
    <d v="2014-11-20T00:00:00"/>
    <m/>
    <s v="No"/>
    <n v="36"/>
    <s v="Non-Binary"/>
    <s v="Married"/>
    <s v="Bachelor's"/>
    <x v="6"/>
    <s v="Business Development Executive"/>
    <n v="3"/>
    <s v="Pune"/>
    <n v="77000"/>
    <n v="6.4"/>
    <n v="17.5"/>
    <n v="11.1"/>
    <n v="4.9000000000000004"/>
    <n v="2"/>
    <n v="3"/>
    <n v="2"/>
    <s v="No"/>
    <n v="4"/>
    <n v="1"/>
    <m/>
  </r>
  <r>
    <s v="EMP0551"/>
    <d v="2024-11-18T00:00:00"/>
    <m/>
    <s v="No"/>
    <n v="46"/>
    <s v="Male"/>
    <s v="Divorced"/>
    <s v="Bachelor's"/>
    <x v="2"/>
    <s v="IT Support Lead"/>
    <n v="1"/>
    <s v="Mumbai"/>
    <n v="31000"/>
    <n v="11.9"/>
    <n v="7"/>
    <n v="1.1000000000000001"/>
    <n v="0.2"/>
    <n v="3"/>
    <n v="3"/>
    <n v="3"/>
    <s v="No"/>
    <n v="3"/>
    <n v="1"/>
    <m/>
  </r>
  <r>
    <s v="EMP0552"/>
    <d v="2024-08-22T00:00:00"/>
    <m/>
    <s v="No"/>
    <n v="26"/>
    <s v="Non-Binary"/>
    <s v="Single"/>
    <s v="Bachelor's"/>
    <x v="4"/>
    <s v="Recruiter"/>
    <n v="1"/>
    <s v="Hyderabad"/>
    <n v="36000"/>
    <n v="14.9"/>
    <n v="3.4"/>
    <n v="1.4"/>
    <n v="1.3"/>
    <n v="2"/>
    <n v="3"/>
    <n v="3"/>
    <s v="Yes"/>
    <n v="4"/>
    <n v="1"/>
    <m/>
  </r>
  <r>
    <s v="EMP0553"/>
    <d v="2025-01-05T00:00:00"/>
    <m/>
    <s v="No"/>
    <n v="31"/>
    <s v="Male"/>
    <s v="Single"/>
    <s v="Master's"/>
    <x v="5"/>
    <s v="Tech Lead"/>
    <n v="2"/>
    <s v="Chennai"/>
    <n v="59000"/>
    <n v="4"/>
    <n v="7.1"/>
    <n v="1"/>
    <n v="0"/>
    <n v="2"/>
    <n v="3"/>
    <n v="4"/>
    <s v="Yes"/>
    <n v="4"/>
    <n v="1"/>
    <m/>
  </r>
  <r>
    <s v="EMP0554"/>
    <d v="2019-08-13T00:00:00"/>
    <m/>
    <s v="No"/>
    <n v="39"/>
    <s v="Female"/>
    <s v="Single"/>
    <s v="Diploma"/>
    <x v="2"/>
    <s v="IT Support Specialist"/>
    <n v="2"/>
    <s v="Noida"/>
    <n v="48000"/>
    <n v="7.1"/>
    <n v="12.4"/>
    <n v="6.4"/>
    <n v="3.6"/>
    <n v="3"/>
    <n v="3"/>
    <n v="3"/>
    <s v="No"/>
    <n v="3"/>
    <n v="1"/>
    <m/>
  </r>
  <r>
    <s v="EMP0555"/>
    <d v="2016-03-28T00:00:00"/>
    <d v="2025-12-24T00:00:00"/>
    <s v="Yes"/>
    <n v="30"/>
    <s v="Non-Binary"/>
    <s v="Married"/>
    <s v="Master's"/>
    <x v="3"/>
    <s v="Finance Manager"/>
    <n v="3"/>
    <s v="Hyderabad"/>
    <n v="79000"/>
    <n v="17.399999999999999"/>
    <n v="13"/>
    <n v="9.6999999999999993"/>
    <n v="5"/>
    <n v="4"/>
    <n v="4"/>
    <n v="1"/>
    <s v="No"/>
    <n v="2"/>
    <n v="1"/>
    <m/>
  </r>
  <r>
    <s v="EMP0556"/>
    <d v="2019-04-19T00:00:00"/>
    <m/>
    <s v="No"/>
    <n v="30"/>
    <s v="Non-Binary"/>
    <s v="Married"/>
    <s v="Master's"/>
    <x v="3"/>
    <s v="Finance Manager"/>
    <n v="3"/>
    <s v="Chennai"/>
    <n v="74000"/>
    <n v="12"/>
    <n v="9.3000000000000007"/>
    <n v="6.7"/>
    <n v="3.8"/>
    <n v="3"/>
    <n v="4"/>
    <n v="4"/>
    <s v="Yes"/>
    <n v="4"/>
    <n v="1"/>
    <m/>
  </r>
  <r>
    <s v="EMP0557"/>
    <d v="2019-08-03T00:00:00"/>
    <m/>
    <s v="No"/>
    <n v="28"/>
    <s v="Non-Binary"/>
    <s v="Single"/>
    <s v="Master's"/>
    <x v="3"/>
    <s v="Finance Manager"/>
    <n v="3"/>
    <s v="Chennai"/>
    <n v="92000"/>
    <n v="14.7"/>
    <n v="10.199999999999999"/>
    <n v="6.4"/>
    <n v="4"/>
    <n v="4"/>
    <n v="3"/>
    <n v="2"/>
    <s v="No"/>
    <n v="3"/>
    <n v="1"/>
    <m/>
  </r>
  <r>
    <s v="EMP0558"/>
    <d v="2025-08-11T00:00:00"/>
    <m/>
    <s v="No"/>
    <n v="21"/>
    <s v="Non-Binary"/>
    <s v="Divorced"/>
    <s v="Master's"/>
    <x v="4"/>
    <s v="HR Executive"/>
    <n v="1"/>
    <s v="Pune"/>
    <n v="41000"/>
    <n v="6.3"/>
    <n v="4.8"/>
    <n v="0.4"/>
    <n v="0"/>
    <n v="3"/>
    <n v="2"/>
    <n v="3"/>
    <s v="No"/>
    <n v="2"/>
    <n v="1"/>
    <m/>
  </r>
  <r>
    <s v="EMP0559"/>
    <d v="2025-03-04T00:00:00"/>
    <m/>
    <s v="No"/>
    <n v="21"/>
    <s v="Male"/>
    <s v="Divorced"/>
    <s v="Diploma"/>
    <x v="1"/>
    <s v="BI Analyst"/>
    <n v="1"/>
    <s v="Noida"/>
    <n v="47000"/>
    <n v="4.2"/>
    <n v="6.6"/>
    <n v="0.8"/>
    <n v="0"/>
    <n v="2"/>
    <n v="4"/>
    <n v="4"/>
    <s v="No"/>
    <n v="4"/>
    <n v="1"/>
    <m/>
  </r>
  <r>
    <s v="EMP0560"/>
    <d v="2014-11-27T00:00:00"/>
    <m/>
    <s v="No"/>
    <n v="33"/>
    <s v="Female"/>
    <s v="Married"/>
    <s v="PhD"/>
    <x v="3"/>
    <s v="Financial Analyst"/>
    <n v="3"/>
    <s v="Noida"/>
    <n v="71000"/>
    <n v="7.4"/>
    <n v="13.8"/>
    <n v="11.1"/>
    <n v="1.3"/>
    <n v="3"/>
    <n v="3"/>
    <n v="4"/>
    <s v="No"/>
    <n v="2"/>
    <n v="1"/>
    <m/>
  </r>
  <r>
    <s v="EMP0561"/>
    <d v="2023-02-01T00:00:00"/>
    <d v="2025-10-31T00:00:00"/>
    <s v="Yes"/>
    <n v="34"/>
    <s v="Female"/>
    <s v="Divorced"/>
    <s v="Bachelor's"/>
    <x v="0"/>
    <s v="Process Associate"/>
    <n v="4"/>
    <s v="Hyderabad"/>
    <n v="109000"/>
    <n v="16.899999999999999"/>
    <n v="10.199999999999999"/>
    <n v="2.7"/>
    <n v="2"/>
    <n v="2"/>
    <n v="2"/>
    <n v="3"/>
    <s v="Yes"/>
    <n v="4"/>
    <n v="1"/>
    <m/>
  </r>
  <r>
    <s v="EMP0562"/>
    <d v="2014-03-28T00:00:00"/>
    <m/>
    <s v="No"/>
    <n v="44"/>
    <s v="Non-Binary"/>
    <s v="Married"/>
    <s v="Diploma"/>
    <x v="5"/>
    <s v="Senior Software Developer"/>
    <n v="4"/>
    <s v="Pune"/>
    <n v="125000"/>
    <n v="5.4"/>
    <n v="18.100000000000001"/>
    <n v="11.8"/>
    <n v="3.1"/>
    <n v="3"/>
    <n v="3"/>
    <n v="2"/>
    <s v="No"/>
    <n v="3"/>
    <n v="1"/>
    <m/>
  </r>
  <r>
    <s v="EMP0563"/>
    <d v="2019-11-08T00:00:00"/>
    <m/>
    <s v="No"/>
    <n v="32"/>
    <s v="Non-Binary"/>
    <s v="Single"/>
    <s v="Diploma"/>
    <x v="2"/>
    <s v="IT Analyst"/>
    <n v="4"/>
    <s v="Noida"/>
    <n v="116000"/>
    <n v="8.5"/>
    <n v="11.5"/>
    <n v="6.1"/>
    <n v="4.8"/>
    <n v="3"/>
    <n v="3"/>
    <n v="3"/>
    <s v="No"/>
    <n v="3"/>
    <n v="1"/>
    <m/>
  </r>
  <r>
    <s v="EMP0564"/>
    <d v="2023-12-31T00:00:00"/>
    <m/>
    <s v="No"/>
    <n v="23"/>
    <s v="Male"/>
    <s v="Divorced"/>
    <s v="Bachelor's"/>
    <x v="4"/>
    <s v="HR Manager"/>
    <n v="1"/>
    <s v="Pune"/>
    <n v="32000"/>
    <n v="4"/>
    <n v="2.5"/>
    <n v="2"/>
    <n v="1.6"/>
    <n v="3"/>
    <n v="2"/>
    <n v="3"/>
    <s v="Yes"/>
    <n v="4"/>
    <n v="1"/>
    <m/>
  </r>
  <r>
    <s v="EMP0565"/>
    <d v="2022-03-15T00:00:00"/>
    <m/>
    <s v="No"/>
    <n v="39"/>
    <s v="Female"/>
    <s v="Married"/>
    <s v="Bachelor's"/>
    <x v="2"/>
    <s v="IT Support Lead"/>
    <n v="3"/>
    <s v="Chennai"/>
    <n v="71000"/>
    <n v="0"/>
    <n v="4"/>
    <n v="3.8"/>
    <n v="1.5"/>
    <n v="4"/>
    <n v="3"/>
    <n v="3"/>
    <s v="No"/>
    <n v="3"/>
    <n v="1"/>
    <m/>
  </r>
  <r>
    <s v="EMP0566"/>
    <d v="2014-11-25T00:00:00"/>
    <d v="2025-06-15T00:00:00"/>
    <s v="Yes"/>
    <n v="36"/>
    <s v="Female"/>
    <s v="Divorced"/>
    <s v="Master's"/>
    <x v="0"/>
    <s v="Operations Manager"/>
    <n v="2"/>
    <s v="Chennai"/>
    <n v="53000"/>
    <n v="13.9"/>
    <n v="16.600000000000001"/>
    <n v="10.6"/>
    <n v="3.5"/>
    <n v="3"/>
    <n v="4"/>
    <n v="4"/>
    <s v="No"/>
    <n v="4"/>
    <n v="1"/>
    <m/>
  </r>
  <r>
    <s v="EMP0567"/>
    <d v="2022-04-18T00:00:00"/>
    <m/>
    <s v="No"/>
    <n v="38"/>
    <s v="Male"/>
    <s v="Married"/>
    <s v="PhD"/>
    <x v="1"/>
    <s v="Data Engineer"/>
    <n v="3"/>
    <s v="Noida"/>
    <n v="100000"/>
    <n v="1.9"/>
    <n v="9.6"/>
    <n v="3.7"/>
    <n v="0"/>
    <n v="2"/>
    <n v="3"/>
    <n v="3"/>
    <s v="Yes"/>
    <n v="4"/>
    <n v="1"/>
    <m/>
  </r>
  <r>
    <s v="EMP0568"/>
    <d v="2024-11-12T00:00:00"/>
    <d v="2025-10-01T00:00:00"/>
    <s v="Yes"/>
    <n v="29"/>
    <s v="Male"/>
    <s v="Single"/>
    <s v="Master's"/>
    <x v="2"/>
    <s v="System Administrator"/>
    <n v="4"/>
    <s v="Mumbai"/>
    <n v="107000"/>
    <n v="10.4"/>
    <n v="6.1"/>
    <n v="0.9"/>
    <n v="0"/>
    <n v="2"/>
    <n v="4"/>
    <n v="3"/>
    <s v="No"/>
    <n v="3"/>
    <n v="1"/>
    <m/>
  </r>
  <r>
    <s v="EMP0569"/>
    <d v="2018-05-08T00:00:00"/>
    <m/>
    <s v="No"/>
    <n v="28"/>
    <s v="Female"/>
    <s v="Divorced"/>
    <s v="PhD"/>
    <x v="3"/>
    <s v="Finance Executive"/>
    <n v="3"/>
    <s v="Hyderabad"/>
    <n v="80000"/>
    <n v="4.7"/>
    <n v="14"/>
    <n v="7.6"/>
    <n v="4"/>
    <n v="3"/>
    <n v="4"/>
    <n v="4"/>
    <s v="No"/>
    <n v="4"/>
    <n v="1"/>
    <m/>
  </r>
  <r>
    <s v="EMP0570"/>
    <d v="2024-04-09T00:00:00"/>
    <m/>
    <s v="No"/>
    <n v="38"/>
    <s v="Non-Binary"/>
    <s v="Single"/>
    <s v="PhD"/>
    <x v="5"/>
    <s v="Software Developer"/>
    <n v="2"/>
    <s v="Mumbai"/>
    <n v="49000"/>
    <n v="11.7"/>
    <n v="6.4"/>
    <n v="1.7"/>
    <n v="1.7"/>
    <n v="4"/>
    <n v="3"/>
    <n v="3"/>
    <s v="No"/>
    <n v="2"/>
    <n v="1"/>
    <m/>
  </r>
  <r>
    <s v="EMP0571"/>
    <d v="2025-06-29T00:00:00"/>
    <m/>
    <s v="No"/>
    <n v="21"/>
    <s v="Non-Binary"/>
    <s v="Divorced"/>
    <s v="PhD"/>
    <x v="0"/>
    <s v="Process Associate"/>
    <n v="1"/>
    <s v="Bengaluru"/>
    <n v="25000"/>
    <n v="13.8"/>
    <n v="7.4"/>
    <n v="0.5"/>
    <n v="0"/>
    <n v="3"/>
    <n v="3"/>
    <n v="3"/>
    <s v="Yes"/>
    <n v="3"/>
    <n v="1"/>
    <m/>
  </r>
  <r>
    <s v="EMP0572"/>
    <d v="2023-09-09T00:00:00"/>
    <m/>
    <s v="No"/>
    <n v="30"/>
    <s v="Non-Binary"/>
    <s v="Single"/>
    <s v="Master's"/>
    <x v="4"/>
    <s v="HR Executive"/>
    <n v="3"/>
    <s v="Bengaluru"/>
    <n v="78000"/>
    <n v="12.1"/>
    <n v="7.9"/>
    <n v="2.2999999999999998"/>
    <n v="0"/>
    <n v="2"/>
    <n v="3"/>
    <n v="3"/>
    <s v="No"/>
    <n v="1"/>
    <n v="1"/>
    <m/>
  </r>
  <r>
    <s v="EMP0573"/>
    <d v="2025-05-25T00:00:00"/>
    <m/>
    <s v="No"/>
    <n v="29"/>
    <s v="Non-Binary"/>
    <s v="Married"/>
    <s v="PhD"/>
    <x v="4"/>
    <s v="HR Analyst"/>
    <n v="4"/>
    <s v="Pune"/>
    <n v="119000"/>
    <n v="16"/>
    <n v="5"/>
    <n v="0.6"/>
    <n v="0"/>
    <n v="3"/>
    <n v="4"/>
    <n v="1"/>
    <s v="No"/>
    <n v="3"/>
    <n v="1"/>
    <m/>
  </r>
  <r>
    <s v="EMP0574"/>
    <d v="2019-08-02T00:00:00"/>
    <m/>
    <s v="No"/>
    <n v="34"/>
    <s v="Female"/>
    <s v="Single"/>
    <s v="Master's"/>
    <x v="4"/>
    <s v="HR Manager"/>
    <n v="3"/>
    <s v="Chennai"/>
    <n v="66000"/>
    <n v="5.7"/>
    <n v="8.1"/>
    <n v="6.4"/>
    <n v="0.6"/>
    <n v="3"/>
    <n v="4"/>
    <n v="2"/>
    <s v="No"/>
    <n v="3"/>
    <n v="1"/>
    <m/>
  </r>
  <r>
    <s v="EMP0575"/>
    <d v="2022-06-15T00:00:00"/>
    <m/>
    <s v="No"/>
    <n v="36"/>
    <s v="Non-Binary"/>
    <s v="Married"/>
    <s v="Master's"/>
    <x v="4"/>
    <s v="Recruiter"/>
    <n v="3"/>
    <s v="Chennai"/>
    <n v="86000"/>
    <n v="11.6"/>
    <n v="5.6"/>
    <n v="3.5"/>
    <n v="2.2999999999999998"/>
    <n v="3"/>
    <n v="2"/>
    <n v="3"/>
    <s v="No"/>
    <n v="5"/>
    <n v="1"/>
    <m/>
  </r>
  <r>
    <s v="EMP0576"/>
    <d v="2022-07-20T00:00:00"/>
    <m/>
    <s v="No"/>
    <n v="40"/>
    <s v="Female"/>
    <s v="Married"/>
    <s v="PhD"/>
    <x v="1"/>
    <s v="Data Analyst"/>
    <n v="3"/>
    <s v="Bengaluru"/>
    <n v="81000"/>
    <n v="7.5"/>
    <n v="8"/>
    <n v="3.4"/>
    <n v="2.2000000000000002"/>
    <n v="3"/>
    <n v="3"/>
    <n v="2"/>
    <s v="No"/>
    <n v="4"/>
    <n v="1"/>
    <m/>
  </r>
  <r>
    <s v="EMP0577"/>
    <d v="2024-03-29T00:00:00"/>
    <d v="2025-11-24T00:00:00"/>
    <s v="Yes"/>
    <n v="47"/>
    <s v="Female"/>
    <s v="Single"/>
    <s v="Bachelor's"/>
    <x v="4"/>
    <s v="Recruiter"/>
    <n v="1"/>
    <s v="Mumbai"/>
    <n v="60000"/>
    <n v="11.4"/>
    <n v="2.4"/>
    <n v="1.7"/>
    <n v="1.5"/>
    <n v="3"/>
    <n v="4"/>
    <n v="2"/>
    <s v="Yes"/>
    <n v="4"/>
    <n v="1"/>
    <m/>
  </r>
  <r>
    <s v="EMP0578"/>
    <d v="2016-07-17T00:00:00"/>
    <m/>
    <s v="No"/>
    <n v="37"/>
    <s v="Female"/>
    <s v="Divorced"/>
    <s v="Diploma"/>
    <x v="1"/>
    <s v="Data Engineer"/>
    <n v="5"/>
    <s v="Chennai"/>
    <n v="187000"/>
    <n v="7.7"/>
    <n v="14.2"/>
    <n v="9.5"/>
    <n v="4.8"/>
    <n v="3"/>
    <n v="2"/>
    <n v="3"/>
    <s v="Yes"/>
    <n v="4"/>
    <n v="1"/>
    <m/>
  </r>
  <r>
    <s v="EMP0579"/>
    <d v="2014-08-17T00:00:00"/>
    <m/>
    <s v="No"/>
    <n v="35"/>
    <s v="Male"/>
    <s v="Married"/>
    <s v="Bachelor's"/>
    <x v="5"/>
    <s v="Software Developer"/>
    <n v="2"/>
    <s v="Noida"/>
    <n v="64000"/>
    <n v="11.7"/>
    <n v="19.100000000000001"/>
    <n v="11.4"/>
    <n v="3.2"/>
    <n v="3"/>
    <n v="3"/>
    <n v="4"/>
    <s v="No"/>
    <n v="3"/>
    <n v="1"/>
    <m/>
  </r>
  <r>
    <s v="EMP0580"/>
    <d v="2024-01-12T00:00:00"/>
    <m/>
    <s v="No"/>
    <n v="39"/>
    <s v="Female"/>
    <s v="Single"/>
    <s v="PhD"/>
    <x v="4"/>
    <s v="Recruiter"/>
    <n v="3"/>
    <s v="Hyderabad"/>
    <n v="68000"/>
    <n v="6.8"/>
    <n v="7.1"/>
    <n v="2"/>
    <n v="0.7"/>
    <n v="3"/>
    <n v="4"/>
    <n v="3"/>
    <s v="No"/>
    <n v="3"/>
    <n v="1"/>
    <m/>
  </r>
  <r>
    <s v="EMP0581"/>
    <d v="2022-06-22T00:00:00"/>
    <m/>
    <s v="No"/>
    <n v="36"/>
    <s v="Female"/>
    <s v="Single"/>
    <s v="Bachelor's"/>
    <x v="2"/>
    <s v="IT Support Lead"/>
    <n v="3"/>
    <s v="Bengaluru"/>
    <n v="82000"/>
    <n v="10.8"/>
    <n v="10"/>
    <n v="3.5"/>
    <n v="1.1000000000000001"/>
    <n v="4"/>
    <n v="4"/>
    <n v="4"/>
    <s v="No"/>
    <n v="3"/>
    <n v="1"/>
    <m/>
  </r>
  <r>
    <s v="EMP0582"/>
    <d v="2023-10-08T00:00:00"/>
    <m/>
    <s v="No"/>
    <n v="33"/>
    <s v="Non-Binary"/>
    <s v="Single"/>
    <s v="PhD"/>
    <x v="0"/>
    <s v="Operations Analyst"/>
    <n v="4"/>
    <s v="Mumbai"/>
    <n v="110000"/>
    <n v="4.5999999999999996"/>
    <n v="6.2"/>
    <n v="2.2000000000000002"/>
    <n v="1.9"/>
    <n v="4"/>
    <n v="4"/>
    <n v="3"/>
    <s v="Yes"/>
    <n v="3"/>
    <n v="1"/>
    <m/>
  </r>
  <r>
    <s v="EMP0583"/>
    <d v="2018-06-28T00:00:00"/>
    <m/>
    <s v="No"/>
    <n v="38"/>
    <s v="Non-Binary"/>
    <s v="Divorced"/>
    <s v="Bachelor's"/>
    <x v="4"/>
    <s v="HR Executive"/>
    <n v="2"/>
    <s v="Chennai"/>
    <n v="58000"/>
    <n v="7.8"/>
    <n v="13.1"/>
    <n v="7.5"/>
    <n v="4.5"/>
    <n v="4"/>
    <n v="2"/>
    <n v="3"/>
    <s v="No"/>
    <n v="5"/>
    <n v="1"/>
    <m/>
  </r>
  <r>
    <s v="EMP0584"/>
    <d v="2024-07-21T00:00:00"/>
    <d v="2025-02-08T00:00:00"/>
    <s v="Yes"/>
    <n v="22"/>
    <s v="Male"/>
    <s v="Married"/>
    <s v="Bachelor's"/>
    <x v="3"/>
    <s v="Accountant"/>
    <n v="1"/>
    <s v="Hyderabad"/>
    <n v="32000"/>
    <n v="12.6"/>
    <n v="3.5"/>
    <n v="0.6"/>
    <n v="0"/>
    <n v="3"/>
    <n v="3"/>
    <n v="1"/>
    <s v="No"/>
    <n v="3"/>
    <n v="1"/>
    <m/>
  </r>
  <r>
    <s v="EMP0585"/>
    <d v="2015-09-30T00:00:00"/>
    <m/>
    <s v="No"/>
    <n v="37"/>
    <s v="Non-Binary"/>
    <s v="Divorced"/>
    <s v="Bachelor's"/>
    <x v="0"/>
    <s v="Operations Analyst"/>
    <n v="4"/>
    <s v="Mumbai"/>
    <n v="104000"/>
    <n v="9"/>
    <n v="12.4"/>
    <n v="10.3"/>
    <n v="0"/>
    <n v="3"/>
    <n v="3"/>
    <n v="3"/>
    <s v="No"/>
    <n v="5"/>
    <n v="1"/>
    <m/>
  </r>
  <r>
    <s v="EMP0586"/>
    <d v="2025-08-19T00:00:00"/>
    <d v="2025-12-01T00:00:00"/>
    <s v="Yes"/>
    <n v="38"/>
    <s v="Male"/>
    <s v="Divorced"/>
    <s v="Master's"/>
    <x v="4"/>
    <s v="HR Manager"/>
    <n v="1"/>
    <s v="Mumbai"/>
    <n v="36000"/>
    <n v="11"/>
    <n v="7.4"/>
    <n v="0.3"/>
    <n v="0"/>
    <n v="3"/>
    <n v="3"/>
    <n v="2"/>
    <s v="No"/>
    <n v="3"/>
    <n v="1"/>
    <m/>
  </r>
  <r>
    <s v="EMP0587"/>
    <d v="2025-09-11T00:00:00"/>
    <m/>
    <s v="No"/>
    <n v="21"/>
    <s v="Female"/>
    <s v="Divorced"/>
    <s v="PhD"/>
    <x v="5"/>
    <s v="Tech Lead"/>
    <n v="1"/>
    <m/>
    <n v="48000"/>
    <n v="7.1"/>
    <n v="3.3"/>
    <n v="0.3"/>
    <n v="0"/>
    <n v="3"/>
    <n v="4"/>
    <n v="3"/>
    <s v="No"/>
    <n v="3"/>
    <n v="1"/>
    <m/>
  </r>
  <r>
    <s v="EMP0588"/>
    <d v="2025-08-19T00:00:00"/>
    <d v="2025-11-23T00:00:00"/>
    <s v="Yes"/>
    <n v="38"/>
    <s v="Male"/>
    <s v="Married"/>
    <s v="Diploma"/>
    <x v="1"/>
    <s v="Senior Data Analyst"/>
    <n v="3"/>
    <s v="Bengaluru"/>
    <n v="86000"/>
    <n v="13.2"/>
    <n v="0.6"/>
    <n v="0.3"/>
    <n v="0"/>
    <n v="3"/>
    <n v="4"/>
    <n v="4"/>
    <s v="No"/>
    <n v="2"/>
    <n v="1"/>
    <m/>
  </r>
  <r>
    <s v="EMP0589"/>
    <d v="2016-05-05T00:00:00"/>
    <m/>
    <s v="No"/>
    <n v="38"/>
    <s v="Male"/>
    <s v="Single"/>
    <s v="Bachelor's"/>
    <x v="3"/>
    <s v="Finance Manager"/>
    <n v="3"/>
    <s v="Pune"/>
    <n v="68000"/>
    <n v="13.8"/>
    <n v="16.7"/>
    <n v="9.6999999999999993"/>
    <n v="3"/>
    <n v="3"/>
    <n v="4"/>
    <n v="4"/>
    <s v="No"/>
    <n v="3"/>
    <n v="1"/>
    <m/>
  </r>
  <r>
    <s v="EMP0590"/>
    <d v="2018-04-04T00:00:00"/>
    <m/>
    <s v="No"/>
    <n v="30"/>
    <s v="Female"/>
    <s v="Single"/>
    <s v="Master's"/>
    <x v="1"/>
    <s v="Senior Data Analyst"/>
    <n v="3"/>
    <s v="Noida"/>
    <n v="91000"/>
    <n v="1.9"/>
    <n v="15.6"/>
    <n v="7.7"/>
    <n v="4.4000000000000004"/>
    <n v="3"/>
    <n v="3"/>
    <n v="3"/>
    <s v="Yes"/>
    <n v="3"/>
    <n v="1"/>
    <m/>
  </r>
  <r>
    <s v="EMP0591"/>
    <d v="2024-04-12T00:00:00"/>
    <m/>
    <s v="No"/>
    <n v="26"/>
    <s v="Non-Binary"/>
    <s v="Divorced"/>
    <s v="Master's"/>
    <x v="4"/>
    <s v="Recruiter"/>
    <n v="1"/>
    <s v="Pune"/>
    <n v="22000"/>
    <n v="2.9"/>
    <n v="3.7"/>
    <n v="1.7"/>
    <n v="1.4"/>
    <n v="4"/>
    <n v="2"/>
    <n v="3"/>
    <s v="No"/>
    <n v="4"/>
    <n v="1"/>
    <m/>
  </r>
  <r>
    <s v="EMP0592"/>
    <d v="2024-07-20T00:00:00"/>
    <m/>
    <s v="No"/>
    <n v="29"/>
    <s v="Female"/>
    <s v="Divorced"/>
    <s v="Master's"/>
    <x v="2"/>
    <s v="System Administrator"/>
    <n v="2"/>
    <s v="Pune"/>
    <n v="66000"/>
    <n v="6.9"/>
    <n v="4.9000000000000004"/>
    <n v="1.4"/>
    <n v="0.9"/>
    <n v="4"/>
    <n v="2"/>
    <n v="1"/>
    <s v="Yes"/>
    <n v="3"/>
    <n v="1"/>
    <m/>
  </r>
  <r>
    <s v="EMP0593"/>
    <d v="2023-06-13T00:00:00"/>
    <m/>
    <s v="No"/>
    <n v="25"/>
    <s v="Male"/>
    <s v="Single"/>
    <s v="Bachelor's"/>
    <x v="6"/>
    <s v="Business Development Executive"/>
    <n v="1"/>
    <s v="Bengaluru"/>
    <n v="45000"/>
    <n v="8.4"/>
    <n v="4.7"/>
    <n v="2.6"/>
    <n v="0.7"/>
    <n v="3"/>
    <n v="3"/>
    <n v="3"/>
    <s v="No"/>
    <n v="3"/>
    <n v="1"/>
    <m/>
  </r>
  <r>
    <s v="EMP0594"/>
    <d v="2020-03-06T00:00:00"/>
    <m/>
    <s v="No"/>
    <n v="34"/>
    <s v="Non-Binary"/>
    <s v="Single"/>
    <s v="Diploma"/>
    <x v="5"/>
    <s v="QA Engineer"/>
    <n v="2"/>
    <s v="Hyderabad"/>
    <n v="64000"/>
    <n v="13.5"/>
    <n v="13.4"/>
    <n v="5.8"/>
    <n v="2.1"/>
    <n v="2"/>
    <n v="3"/>
    <n v="2"/>
    <s v="No"/>
    <n v="1"/>
    <n v="1"/>
    <m/>
  </r>
  <r>
    <s v="EMP0595"/>
    <d v="2019-12-27T00:00:00"/>
    <m/>
    <s v="No"/>
    <n v="30"/>
    <s v="Male"/>
    <s v="Divorced"/>
    <s v="Master's"/>
    <x v="0"/>
    <s v="Operations Manager"/>
    <n v="3"/>
    <s v="Pune"/>
    <n v="60000"/>
    <n v="7.3"/>
    <n v="10.7"/>
    <n v="6"/>
    <n v="0.5"/>
    <n v="2"/>
    <n v="2"/>
    <n v="3"/>
    <s v="No"/>
    <n v="4"/>
    <n v="1"/>
    <m/>
  </r>
  <r>
    <s v="EMP0596"/>
    <d v="2020-06-04T00:00:00"/>
    <m/>
    <s v="No"/>
    <n v="26"/>
    <s v="Male"/>
    <s v="Married"/>
    <s v="Diploma"/>
    <x v="0"/>
    <s v="Process Associate"/>
    <n v="1"/>
    <s v="Chennai"/>
    <n v="23000"/>
    <n v="10.4"/>
    <n v="11.4"/>
    <n v="5.6"/>
    <n v="5.5"/>
    <n v="3"/>
    <n v="2"/>
    <n v="3"/>
    <s v="Yes"/>
    <n v="1"/>
    <n v="1"/>
    <m/>
  </r>
  <r>
    <s v="EMP0597"/>
    <d v="2017-04-22T00:00:00"/>
    <m/>
    <s v="No"/>
    <n v="33"/>
    <s v="Male"/>
    <s v="Married"/>
    <s v="Bachelor's"/>
    <x v="6"/>
    <s v="Sales Manager"/>
    <n v="2"/>
    <s v="Chennai"/>
    <n v="46000"/>
    <n v="8.1"/>
    <n v="16.100000000000001"/>
    <n v="8.6999999999999993"/>
    <n v="3"/>
    <n v="1"/>
    <n v="1"/>
    <n v="3"/>
    <s v="No"/>
    <n v="4"/>
    <n v="1"/>
    <m/>
  </r>
  <r>
    <s v="EMP0598"/>
    <d v="2021-01-18T00:00:00"/>
    <m/>
    <s v="No"/>
    <n v="39"/>
    <s v="Female"/>
    <s v="Single"/>
    <s v="Master's"/>
    <x v="5"/>
    <s v="Senior Software Developer"/>
    <n v="3"/>
    <s v="Bengaluru"/>
    <n v="96000"/>
    <n v="1.6"/>
    <n v="6.3"/>
    <n v="5"/>
    <n v="3.8"/>
    <n v="4"/>
    <m/>
    <n v="4"/>
    <s v="No"/>
    <n v="3"/>
    <n v="1"/>
    <m/>
  </r>
  <r>
    <s v="EMP0599"/>
    <d v="2024-02-07T00:00:00"/>
    <m/>
    <s v="No"/>
    <n v="23"/>
    <s v="Female"/>
    <s v="Divorced"/>
    <s v="Bachelor's"/>
    <x v="1"/>
    <s v="BI Analyst"/>
    <n v="1"/>
    <s v="Pune"/>
    <n v="33000"/>
    <n v="8.6999999999999993"/>
    <n v="5.9"/>
    <n v="1.9"/>
    <n v="1.4"/>
    <n v="4"/>
    <n v="3"/>
    <n v="4"/>
    <s v="Yes"/>
    <n v="3"/>
    <n v="1"/>
    <m/>
  </r>
  <r>
    <s v="EMP0600"/>
    <d v="2022-02-15T00:00:00"/>
    <m/>
    <s v="No"/>
    <n v="27"/>
    <s v="Male"/>
    <s v="Divorced"/>
    <s v="Bachelor's"/>
    <x v="1"/>
    <s v="Data Analyst"/>
    <n v="1"/>
    <s v="Bengaluru"/>
    <n v="30000"/>
    <n v="9.8000000000000007"/>
    <n v="6.1"/>
    <n v="3.9"/>
    <n v="0.5"/>
    <n v="3"/>
    <n v="4"/>
    <n v="1"/>
    <s v="No"/>
    <n v="5"/>
    <n v="1"/>
    <m/>
  </r>
  <r>
    <s v="EMP0601"/>
    <d v="2018-03-20T00:00:00"/>
    <m/>
    <s v="No"/>
    <n v="28"/>
    <s v="Non-Binary"/>
    <s v="Single"/>
    <s v="Diploma"/>
    <x v="0"/>
    <s v="Operations Manager"/>
    <n v="3"/>
    <s v="Pune"/>
    <n v="74000"/>
    <n v="6.8"/>
    <n v="9.9"/>
    <n v="7.8"/>
    <n v="0.8"/>
    <n v="4"/>
    <n v="4"/>
    <n v="3"/>
    <s v="No"/>
    <n v="5"/>
    <n v="1"/>
    <m/>
  </r>
  <r>
    <s v="EMP0602"/>
    <d v="2014-05-02T00:00:00"/>
    <m/>
    <s v="No"/>
    <n v="45"/>
    <s v="Non-Binary"/>
    <s v="Divorced"/>
    <s v="Master's"/>
    <x v="0"/>
    <s v="Operations Manager"/>
    <n v="2"/>
    <s v="Mumbai"/>
    <n v="62000"/>
    <n v="3.8"/>
    <n v="17.899999999999999"/>
    <n v="11.7"/>
    <n v="0.6"/>
    <n v="4"/>
    <n v="4"/>
    <n v="3"/>
    <s v="No"/>
    <n v="4"/>
    <n v="1"/>
    <m/>
  </r>
  <r>
    <s v="EMP0603"/>
    <d v="2018-11-23T00:00:00"/>
    <m/>
    <s v="No"/>
    <n v="39"/>
    <s v="Male"/>
    <s v="Married"/>
    <s v="Master's"/>
    <x v="1"/>
    <s v="Senior Data Analyst"/>
    <n v="2"/>
    <s v="Pune"/>
    <n v="51000"/>
    <n v="12.3"/>
    <n v="9"/>
    <n v="7.1"/>
    <n v="4.4000000000000004"/>
    <n v="4"/>
    <n v="3"/>
    <n v="4"/>
    <s v="No"/>
    <n v="2"/>
    <n v="1"/>
    <m/>
  </r>
  <r>
    <s v="EMP0604"/>
    <d v="2021-04-07T00:00:00"/>
    <m/>
    <s v="No"/>
    <n v="25"/>
    <s v="Female"/>
    <s v="Single"/>
    <s v="PhD"/>
    <x v="1"/>
    <s v="Data Engineer"/>
    <n v="1"/>
    <s v="Noida"/>
    <n v="31000"/>
    <n v="13.1"/>
    <n v="11.8"/>
    <n v="4.7"/>
    <n v="3.8"/>
    <n v="3"/>
    <n v="3"/>
    <n v="2"/>
    <s v="Yes"/>
    <n v="2"/>
    <n v="1"/>
    <m/>
  </r>
  <r>
    <s v="EMP0605"/>
    <d v="2024-02-04T00:00:00"/>
    <d v="2025-07-16T00:00:00"/>
    <s v="Yes"/>
    <n v="37"/>
    <s v="Male"/>
    <s v="Single"/>
    <s v="Diploma"/>
    <x v="3"/>
    <s v="Financial Analyst"/>
    <n v="3"/>
    <s v="Pune"/>
    <n v="83000"/>
    <n v="10.6"/>
    <n v="1.6"/>
    <n v="1.4"/>
    <n v="1.2"/>
    <n v="1"/>
    <n v="4"/>
    <n v="3"/>
    <s v="No"/>
    <n v="1"/>
    <n v="1"/>
    <m/>
  </r>
  <r>
    <s v="EMP0606"/>
    <d v="2025-08-04T00:00:00"/>
    <m/>
    <s v="No"/>
    <n v="40"/>
    <s v="Male"/>
    <s v="Married"/>
    <s v="Diploma"/>
    <x v="0"/>
    <s v="Operations Executive"/>
    <n v="3"/>
    <s v="Mumbai"/>
    <n v="83000"/>
    <n v="8.1"/>
    <n v="7.2"/>
    <n v="0.4"/>
    <n v="0"/>
    <n v="3"/>
    <n v="2"/>
    <n v="3"/>
    <s v="No"/>
    <n v="5"/>
    <n v="1"/>
    <m/>
  </r>
  <r>
    <s v="EMP0607"/>
    <d v="2025-08-09T00:00:00"/>
    <d v="2025-10-13T00:00:00"/>
    <s v="Yes"/>
    <n v="22"/>
    <s v="Male"/>
    <s v="Single"/>
    <s v="Master's"/>
    <x v="1"/>
    <s v="BI Analyst"/>
    <n v="1"/>
    <s v="Mumbai"/>
    <n v="44000"/>
    <n v="11.3"/>
    <n v="1"/>
    <n v="0.2"/>
    <n v="0"/>
    <n v="3"/>
    <n v="3"/>
    <n v="4"/>
    <s v="No"/>
    <n v="2"/>
    <n v="1"/>
    <m/>
  </r>
  <r>
    <s v="EMP0608"/>
    <d v="2022-05-06T00:00:00"/>
    <m/>
    <s v="No"/>
    <n v="41"/>
    <s v="Female"/>
    <s v="Married"/>
    <s v="Bachelor's"/>
    <x v="3"/>
    <s v="Accountant"/>
    <n v="2"/>
    <s v="Chennai"/>
    <n v="52000"/>
    <n v="11.3"/>
    <n v="9.4"/>
    <n v="3.7"/>
    <n v="3.3"/>
    <n v="3"/>
    <n v="3"/>
    <n v="4"/>
    <s v="No"/>
    <n v="3"/>
    <n v="1"/>
    <m/>
  </r>
  <r>
    <s v="EMP0609"/>
    <d v="2014-11-18T00:00:00"/>
    <d v="2025-08-08T00:00:00"/>
    <s v="Yes"/>
    <n v="33"/>
    <s v="Female"/>
    <s v="Divorced"/>
    <s v="Diploma"/>
    <x v="6"/>
    <s v="Sales Executive"/>
    <n v="2"/>
    <s v="Hyderabad"/>
    <n v="51000"/>
    <n v="9.9"/>
    <n v="15"/>
    <n v="10.7"/>
    <n v="3.6"/>
    <n v="1"/>
    <n v="3"/>
    <n v="2"/>
    <s v="Yes"/>
    <n v="4"/>
    <n v="1"/>
    <m/>
  </r>
  <r>
    <s v="EMP0610"/>
    <d v="2017-12-16T00:00:00"/>
    <m/>
    <s v="No"/>
    <n v="32"/>
    <s v="Female"/>
    <s v="Single"/>
    <s v="PhD"/>
    <x v="5"/>
    <s v="QA Engineer"/>
    <n v="4"/>
    <s v="Mumbai"/>
    <s v="₹132,000"/>
    <n v="7.3"/>
    <n v="8.6999999999999993"/>
    <n v="8"/>
    <n v="0"/>
    <n v="4"/>
    <n v="4"/>
    <n v="2"/>
    <s v="No"/>
    <n v="4"/>
    <n v="1"/>
    <m/>
  </r>
  <r>
    <s v="EMP0611"/>
    <d v="2024-05-17T00:00:00"/>
    <m/>
    <s v="No"/>
    <n v="45"/>
    <s v="Female"/>
    <s v="Divorced"/>
    <s v="PhD"/>
    <x v="0"/>
    <s v="Process Associate"/>
    <n v="4"/>
    <s v="Chennai"/>
    <n v="116000"/>
    <n v="3.8"/>
    <n v="4.2"/>
    <n v="1.6"/>
    <n v="0.2"/>
    <n v="3"/>
    <n v="4"/>
    <n v="3"/>
    <s v="No"/>
    <n v="3"/>
    <n v="1"/>
    <m/>
  </r>
  <r>
    <s v="EMP0612"/>
    <d v="2017-06-27T00:00:00"/>
    <m/>
    <s v="No"/>
    <n v="29"/>
    <s v="Non-Binary"/>
    <s v="Married"/>
    <s v="Master's"/>
    <x v="2"/>
    <s v="IT Analyst"/>
    <n v="2"/>
    <s v="Noida"/>
    <n v="54000"/>
    <n v="10.199999999999999"/>
    <n v="12.8"/>
    <n v="8.5"/>
    <n v="3"/>
    <n v="3"/>
    <n v="3"/>
    <n v="2"/>
    <s v="No"/>
    <n v="2"/>
    <n v="1"/>
    <m/>
  </r>
  <r>
    <s v="EMP0613"/>
    <d v="2024-02-19T00:00:00"/>
    <m/>
    <s v="No"/>
    <n v="28"/>
    <s v="Male"/>
    <s v="Married"/>
    <s v="PhD"/>
    <x v="5"/>
    <s v="Senior Software Developer"/>
    <n v="2"/>
    <s v="Pune"/>
    <n v="53000"/>
    <n v="5.3"/>
    <n v="2.9"/>
    <n v="1.9"/>
    <n v="0.2"/>
    <n v="3"/>
    <n v="4"/>
    <n v="3"/>
    <s v="No"/>
    <n v="4"/>
    <n v="1"/>
    <m/>
  </r>
  <r>
    <s v="EMP0614"/>
    <d v="2016-01-06T00:00:00"/>
    <m/>
    <s v="No"/>
    <n v="33"/>
    <s v="Non-Binary"/>
    <s v="Single"/>
    <s v="Bachelor's"/>
    <x v="2"/>
    <s v="IT Support Lead"/>
    <n v="2"/>
    <s v="Mumbai"/>
    <n v="45000"/>
    <n v="11.7"/>
    <n v="15.6"/>
    <n v="10"/>
    <n v="2.2999999999999998"/>
    <n v="2"/>
    <n v="1"/>
    <n v="4"/>
    <s v="Yes"/>
    <n v="3"/>
    <n v="1"/>
    <m/>
  </r>
  <r>
    <s v="EMP0615"/>
    <d v="2022-07-10T00:00:00"/>
    <m/>
    <s v="No"/>
    <n v="29"/>
    <s v="Non-Binary"/>
    <s v="Married"/>
    <s v="PhD"/>
    <x v="2"/>
    <s v="System Administrator"/>
    <n v="1"/>
    <s v="Mumbai"/>
    <n v="35000"/>
    <n v="11"/>
    <n v="10"/>
    <n v="3.5"/>
    <n v="0.5"/>
    <n v="1"/>
    <n v="2"/>
    <n v="3"/>
    <s v="Yes"/>
    <n v="4"/>
    <n v="1"/>
    <m/>
  </r>
  <r>
    <s v="EMP0616"/>
    <d v="2018-02-26T00:00:00"/>
    <d v="2025-11-25T00:00:00"/>
    <s v="Yes"/>
    <n v="34"/>
    <s v="Non-Binary"/>
    <s v="Married"/>
    <s v="Diploma"/>
    <x v="0"/>
    <s v="Operations Manager"/>
    <n v="2"/>
    <s v="Chennai"/>
    <n v="56000"/>
    <n v="10.9"/>
    <n v="8"/>
    <n v="7.7"/>
    <n v="4.5"/>
    <n v="2"/>
    <n v="3"/>
    <n v="1"/>
    <s v="Yes"/>
    <n v="4"/>
    <n v="1"/>
    <m/>
  </r>
  <r>
    <s v="EMP0617"/>
    <d v="2020-09-28T00:00:00"/>
    <m/>
    <s v="No"/>
    <n v="39"/>
    <s v="Male"/>
    <s v="Divorced"/>
    <s v="Bachelor's"/>
    <x v="4"/>
    <s v="HR Analyst"/>
    <n v="3"/>
    <s v="Noida"/>
    <n v="82000"/>
    <n v="5.9"/>
    <n v="13.1"/>
    <n v="5.3"/>
    <n v="0.7"/>
    <n v="4"/>
    <n v="2"/>
    <n v="3"/>
    <s v="Yes"/>
    <n v="3"/>
    <n v="1"/>
    <m/>
  </r>
  <r>
    <s v="EMP0618"/>
    <d v="2018-03-11T00:00:00"/>
    <m/>
    <s v="No"/>
    <n v="38"/>
    <s v="Female"/>
    <m/>
    <s v="Master's"/>
    <x v="3"/>
    <s v="Finance Manager"/>
    <n v="2"/>
    <s v="Hyderabad"/>
    <n v="53000"/>
    <n v="13.3"/>
    <n v="13"/>
    <n v="7.8"/>
    <n v="1.2"/>
    <n v="2"/>
    <n v="2"/>
    <n v="2"/>
    <s v="No"/>
    <n v="4"/>
    <n v="1"/>
    <m/>
  </r>
  <r>
    <s v="EMP0619"/>
    <d v="2025-04-06T00:00:00"/>
    <m/>
    <s v="No"/>
    <n v="27"/>
    <s v="Non-Binary"/>
    <s v="Single"/>
    <s v="PhD"/>
    <x v="1"/>
    <s v="Data Analyst"/>
    <n v="1"/>
    <s v="Bengaluru"/>
    <n v="27000"/>
    <n v="10.199999999999999"/>
    <n v="5.2"/>
    <n v="0.7"/>
    <n v="0"/>
    <n v="4"/>
    <n v="1"/>
    <n v="3"/>
    <s v="No"/>
    <n v="5"/>
    <n v="1"/>
    <m/>
  </r>
  <r>
    <s v="EMP0620"/>
    <d v="2022-05-26T00:00:00"/>
    <m/>
    <s v="No"/>
    <n v="31"/>
    <s v="Non-Binary"/>
    <s v="Single"/>
    <s v="Diploma"/>
    <x v="5"/>
    <s v="QA Engineer"/>
    <n v="1"/>
    <s v="Mumbai"/>
    <n v="51000"/>
    <n v="3.6"/>
    <n v="7.6"/>
    <n v="3.6"/>
    <n v="1.1000000000000001"/>
    <n v="4"/>
    <n v="3"/>
    <n v="3"/>
    <s v="No"/>
    <n v="2"/>
    <n v="1"/>
    <m/>
  </r>
  <r>
    <s v="EMP0621"/>
    <d v="2018-12-16T00:00:00"/>
    <m/>
    <s v="No"/>
    <n v="29"/>
    <s v="Non-Binary"/>
    <s v="Single"/>
    <s v="Master's"/>
    <x v="0"/>
    <s v="Operations Executive"/>
    <n v="3"/>
    <s v="Pune"/>
    <n v="87000"/>
    <n v="17"/>
    <n v="14"/>
    <n v="7"/>
    <n v="0.2"/>
    <n v="4"/>
    <n v="2"/>
    <n v="3"/>
    <s v="Yes"/>
    <n v="2"/>
    <n v="1"/>
    <m/>
  </r>
  <r>
    <s v="EMP0622"/>
    <d v="2024-04-19T00:00:00"/>
    <m/>
    <s v="No"/>
    <n v="29"/>
    <s v="Female"/>
    <s v="Divorced"/>
    <s v="PhD"/>
    <x v="2"/>
    <s v="System Administrator"/>
    <n v="3"/>
    <s v="Bengaluru"/>
    <n v="83000"/>
    <n v="7.5"/>
    <n v="6.9"/>
    <n v="1.7"/>
    <n v="1.6"/>
    <n v="3"/>
    <n v="3"/>
    <n v="4"/>
    <s v="No"/>
    <n v="3"/>
    <n v="1"/>
    <m/>
  </r>
  <r>
    <s v="EMP0623"/>
    <d v="2014-01-13T00:00:00"/>
    <m/>
    <s v="No"/>
    <n v="33"/>
    <s v="Male"/>
    <s v="Married"/>
    <s v="Bachelor's"/>
    <x v="0"/>
    <s v="Process Associate"/>
    <n v="2"/>
    <s v="Mumbai"/>
    <n v="32000"/>
    <n v="8.9"/>
    <n v="19.899999999999999"/>
    <n v="12"/>
    <n v="0.6"/>
    <n v="4"/>
    <n v="1"/>
    <n v="4"/>
    <s v="No"/>
    <n v="3"/>
    <n v="1"/>
    <m/>
  </r>
  <r>
    <s v="EMP0624"/>
    <d v="2024-02-19T00:00:00"/>
    <d v="2025-04-02T00:00:00"/>
    <s v="Yes"/>
    <n v="30"/>
    <s v="Female"/>
    <s v="Divorced"/>
    <s v="Master's"/>
    <x v="6"/>
    <s v="Account Manager"/>
    <n v="4"/>
    <s v="Bengaluru"/>
    <n v="123000"/>
    <n v="4"/>
    <n v="6.8"/>
    <n v="1.1000000000000001"/>
    <n v="0.5"/>
    <n v="3"/>
    <n v="4"/>
    <n v="4"/>
    <s v="No"/>
    <n v="4"/>
    <n v="1"/>
    <m/>
  </r>
  <r>
    <s v="EMP0625"/>
    <d v="2016-07-05T00:00:00"/>
    <m/>
    <s v="No"/>
    <n v="31"/>
    <s v="Non-Binary"/>
    <s v="Married"/>
    <s v="PhD"/>
    <x v="4"/>
    <s v="HR Manager"/>
    <n v="1"/>
    <s v="Hyderabad"/>
    <n v="30000"/>
    <n v="12.2"/>
    <n v="10.5"/>
    <n v="9.5"/>
    <n v="2.2000000000000002"/>
    <n v="4"/>
    <n v="4"/>
    <n v="4"/>
    <s v="No"/>
    <n v="3"/>
    <n v="1"/>
    <m/>
  </r>
  <r>
    <s v="EMP0626"/>
    <d v="2018-03-02T00:00:00"/>
    <m/>
    <s v="No"/>
    <n v="37"/>
    <s v="Male"/>
    <s v="Single"/>
    <s v="PhD"/>
    <x v="0"/>
    <s v="Operations Executive"/>
    <n v="3"/>
    <s v="Mumbai"/>
    <n v="81000"/>
    <n v="7.7"/>
    <n v="7.9"/>
    <n v="7.8"/>
    <n v="5.0999999999999996"/>
    <n v="2"/>
    <n v="3"/>
    <n v="2"/>
    <s v="No"/>
    <n v="3"/>
    <n v="1"/>
    <m/>
  </r>
  <r>
    <s v="EMP0627"/>
    <d v="2024-01-23T00:00:00"/>
    <m/>
    <s v="No"/>
    <n v="25"/>
    <s v="Female"/>
    <s v="Single"/>
    <s v="PhD"/>
    <x v="0"/>
    <s v="Operations Executive"/>
    <n v="1"/>
    <s v="Hyderabad"/>
    <n v="24000"/>
    <n v="20.8"/>
    <n v="2.8"/>
    <n v="1.9"/>
    <n v="0.3"/>
    <n v="3"/>
    <n v="2"/>
    <n v="4"/>
    <s v="No"/>
    <n v="3"/>
    <n v="1"/>
    <m/>
  </r>
  <r>
    <s v="EMP0628"/>
    <d v="2024-06-07T00:00:00"/>
    <m/>
    <s v="No"/>
    <n v="24"/>
    <s v="Male"/>
    <s v="Married"/>
    <s v="Bachelor's"/>
    <x v="5"/>
    <s v="QA Engineer"/>
    <n v="1"/>
    <s v="Chennai"/>
    <n v="26000"/>
    <n v="10.9"/>
    <n v="2.5"/>
    <n v="1.6"/>
    <n v="0.7"/>
    <n v="2"/>
    <n v="3"/>
    <n v="4"/>
    <s v="No"/>
    <n v="2"/>
    <n v="1"/>
    <m/>
  </r>
  <r>
    <s v="EMP0629"/>
    <d v="2016-03-29T00:00:00"/>
    <m/>
    <s v="No"/>
    <n v="37"/>
    <s v="Male"/>
    <s v="Single"/>
    <s v="Master's"/>
    <x v="2"/>
    <s v="IT Support Lead"/>
    <n v="1"/>
    <s v="Bengaluru"/>
    <n v="31000"/>
    <n v="8.5"/>
    <n v="11.4"/>
    <n v="9.8000000000000007"/>
    <n v="0.1"/>
    <n v="4"/>
    <n v="4"/>
    <n v="3"/>
    <s v="No"/>
    <n v="3"/>
    <n v="1"/>
    <m/>
  </r>
  <r>
    <s v="EMP0630"/>
    <d v="2015-06-24T00:00:00"/>
    <m/>
    <s v="No"/>
    <n v="34"/>
    <s v="Female"/>
    <s v="Single"/>
    <s v="Master's"/>
    <x v="6"/>
    <s v="Business Development Executive"/>
    <n v="1"/>
    <s v="Hyderabad"/>
    <n v="22000"/>
    <n v="8.1"/>
    <n v="17.7"/>
    <n v="10.5"/>
    <n v="1.1000000000000001"/>
    <n v="3"/>
    <n v="1"/>
    <n v="4"/>
    <s v="No"/>
    <n v="3"/>
    <n v="1"/>
    <m/>
  </r>
  <r>
    <s v="EMP0631"/>
    <d v="2017-08-22T00:00:00"/>
    <m/>
    <s v="No"/>
    <n v="34"/>
    <s v="Male"/>
    <s v="Divorced"/>
    <s v="Master's"/>
    <x v="3"/>
    <s v="Finance Manager"/>
    <n v="3"/>
    <s v="Hyderabad"/>
    <n v="107000"/>
    <n v="10.5"/>
    <n v="13.9"/>
    <n v="8.4"/>
    <n v="2.2999999999999998"/>
    <n v="3"/>
    <n v="1"/>
    <n v="4"/>
    <s v="Yes"/>
    <n v="4"/>
    <n v="1"/>
    <m/>
  </r>
  <r>
    <s v="EMP0632"/>
    <d v="2015-03-19T00:00:00"/>
    <m/>
    <s v="No"/>
    <n v="39"/>
    <s v="Male"/>
    <s v="Divorced"/>
    <s v="PhD"/>
    <x v="0"/>
    <s v="Operations Manager"/>
    <n v="1"/>
    <s v="Noida"/>
    <n v="36000"/>
    <n v="10.7"/>
    <n v="17.100000000000001"/>
    <n v="10.8"/>
    <n v="4"/>
    <n v="3"/>
    <n v="3"/>
    <n v="3"/>
    <s v="No"/>
    <n v="5"/>
    <n v="1"/>
    <m/>
  </r>
  <r>
    <s v="EMP0633"/>
    <d v="2016-12-22T00:00:00"/>
    <m/>
    <s v="No"/>
    <n v="47"/>
    <s v="Male"/>
    <s v="Married"/>
    <s v="Diploma"/>
    <x v="4"/>
    <s v="HR Executive"/>
    <n v="1"/>
    <s v="Bengaluru"/>
    <n v="22000"/>
    <n v="10.9"/>
    <n v="13.8"/>
    <n v="9"/>
    <n v="1.3"/>
    <n v="3"/>
    <n v="2"/>
    <n v="2"/>
    <s v="Yes"/>
    <n v="4"/>
    <n v="1"/>
    <m/>
  </r>
  <r>
    <s v="EMP0634"/>
    <d v="2015-07-20T00:00:00"/>
    <m/>
    <s v="No"/>
    <n v="37"/>
    <s v="Male"/>
    <s v="Single"/>
    <s v="PhD"/>
    <x v="6"/>
    <s v="Sales Manager"/>
    <n v="3"/>
    <s v="Mumbai"/>
    <n v="69000"/>
    <n v="7.3"/>
    <n v="13.7"/>
    <n v="10.5"/>
    <n v="2.1"/>
    <n v="3"/>
    <n v="3"/>
    <n v="3"/>
    <s v="No"/>
    <n v="4"/>
    <n v="1"/>
    <m/>
  </r>
  <r>
    <s v="EMP0635"/>
    <d v="2023-10-19T00:00:00"/>
    <m/>
    <s v="No"/>
    <n v="40"/>
    <s v="Male"/>
    <s v="Single"/>
    <s v="Bachelor's"/>
    <x v="6"/>
    <s v="Account Manager"/>
    <n v="3"/>
    <s v="Bengaluru"/>
    <n v="85000"/>
    <n v="4"/>
    <n v="7.6"/>
    <n v="2.2000000000000002"/>
    <n v="1.4"/>
    <n v="3"/>
    <n v="3"/>
    <n v="4"/>
    <s v="No"/>
    <n v="5"/>
    <n v="1"/>
    <m/>
  </r>
  <r>
    <s v="EMP0636"/>
    <d v="2022-07-14T00:00:00"/>
    <m/>
    <s v="No"/>
    <n v="28"/>
    <s v="Female"/>
    <s v="Single"/>
    <s v="Master's"/>
    <x v="0"/>
    <s v="Operations Executive"/>
    <n v="3"/>
    <s v="Mumbai"/>
    <n v="61000"/>
    <m/>
    <n v="4.3"/>
    <n v="3.5"/>
    <n v="1.6"/>
    <n v="4"/>
    <n v="3"/>
    <n v="1"/>
    <s v="No"/>
    <n v="3"/>
    <n v="1"/>
    <m/>
  </r>
  <r>
    <s v="EMP0637"/>
    <d v="2015-09-06T00:00:00"/>
    <m/>
    <s v="No"/>
    <n v="50"/>
    <s v="Female"/>
    <s v="Single"/>
    <s v="Diploma"/>
    <x v="4"/>
    <s v="HR Manager"/>
    <n v="2"/>
    <s v="Hyderabad"/>
    <n v="54000"/>
    <n v="3.5"/>
    <n v="14"/>
    <n v="10.3"/>
    <n v="5.4"/>
    <n v="3"/>
    <n v="3"/>
    <n v="4"/>
    <s v="No"/>
    <n v="3"/>
    <n v="1"/>
    <m/>
  </r>
  <r>
    <s v="EMP0638"/>
    <d v="2015-02-20T00:00:00"/>
    <d v="2025-08-01T00:00:00"/>
    <s v="Yes"/>
    <n v="40"/>
    <s v="Non-Binary"/>
    <s v="Divorced"/>
    <s v="Diploma"/>
    <x v="0"/>
    <s v="Operations Manager"/>
    <n v="2"/>
    <s v="Hyderabad"/>
    <n v="68000"/>
    <n v="2.7"/>
    <n v="10.7"/>
    <n v="10.4"/>
    <n v="0.2"/>
    <n v="3"/>
    <n v="4"/>
    <n v="4"/>
    <s v="No"/>
    <n v="3"/>
    <n v="1"/>
    <m/>
  </r>
  <r>
    <s v="EMP0639"/>
    <d v="2014-04-24T00:00:00"/>
    <m/>
    <s v="No"/>
    <n v="46"/>
    <s v="Male"/>
    <s v="Married"/>
    <s v="Diploma"/>
    <x v="1"/>
    <s v="Data Engineer"/>
    <n v="2"/>
    <s v="Chennai"/>
    <n v="65000"/>
    <n v="5.5"/>
    <n v="18.100000000000001"/>
    <n v="11.7"/>
    <n v="3.5"/>
    <n v="3"/>
    <n v="2"/>
    <n v="3"/>
    <s v="Yes"/>
    <n v="5"/>
    <n v="1"/>
    <m/>
  </r>
  <r>
    <s v="EMP0639"/>
    <d v="2014-04-24T00:00:00"/>
    <m/>
    <s v="No"/>
    <n v="46"/>
    <s v="Male"/>
    <s v="Married"/>
    <s v="Diploma"/>
    <x v="1"/>
    <s v="Data Engineer"/>
    <n v="2"/>
    <s v="Chennai"/>
    <n v="65000"/>
    <n v="5.5"/>
    <n v="18.100000000000001"/>
    <n v="11.7"/>
    <n v="3.5"/>
    <n v="3"/>
    <n v="2"/>
    <n v="3"/>
    <s v="Yes"/>
    <n v="5"/>
    <n v="2"/>
    <m/>
  </r>
  <r>
    <s v="EMP0640"/>
    <d v="2025-07-16T00:00:00"/>
    <d v="2025-11-26T00:00:00"/>
    <s v="Yes"/>
    <n v="21"/>
    <s v="Female"/>
    <s v="Single"/>
    <s v="Bachelor's"/>
    <x v="1"/>
    <s v="Data Engineer"/>
    <n v="1"/>
    <s v="Bengaluru"/>
    <n v="39000"/>
    <n v="10.3"/>
    <n v="6.6"/>
    <n v="0.4"/>
    <n v="0"/>
    <n v="2"/>
    <n v="3"/>
    <n v="3"/>
    <s v="No"/>
    <n v="4"/>
    <n v="1"/>
    <m/>
  </r>
  <r>
    <s v="EMP0641"/>
    <d v="2025-08-20T00:00:00"/>
    <m/>
    <s v="No"/>
    <n v="26"/>
    <s v="Female"/>
    <s v="Divorced"/>
    <s v="Diploma"/>
    <x v="5"/>
    <s v="Tech Lead"/>
    <n v="1"/>
    <s v="Pune"/>
    <n v="39000"/>
    <n v="5.3"/>
    <n v="4.7"/>
    <n v="0.4"/>
    <n v="0"/>
    <n v="2"/>
    <n v="3"/>
    <n v="1"/>
    <s v="No"/>
    <n v="4"/>
    <n v="1"/>
    <m/>
  </r>
  <r>
    <s v="EMP0642"/>
    <d v="2023-09-17T00:00:00"/>
    <m/>
    <s v="No"/>
    <n v="27"/>
    <s v="Non-Binary"/>
    <s v="Single"/>
    <s v="Bachelor's"/>
    <x v="1"/>
    <s v="BI Analyst"/>
    <n v="1"/>
    <s v="Bengaluru"/>
    <n v="36000"/>
    <n v="5"/>
    <n v="8.6"/>
    <n v="2.2999999999999998"/>
    <n v="1.8"/>
    <n v="2"/>
    <m/>
    <n v="3"/>
    <s v="No"/>
    <n v="5"/>
    <n v="1"/>
    <m/>
  </r>
  <r>
    <s v="EMP0643"/>
    <d v="2022-05-25T00:00:00"/>
    <m/>
    <s v="No"/>
    <n v="39"/>
    <s v="Male"/>
    <s v="Married"/>
    <s v="Bachelor's"/>
    <x v="3"/>
    <s v="Financial Analyst"/>
    <n v="2"/>
    <s v="Pune"/>
    <n v="53000"/>
    <n v="9.1999999999999993"/>
    <n v="6.5"/>
    <n v="3.6"/>
    <n v="3"/>
    <n v="2"/>
    <n v="3"/>
    <n v="3"/>
    <s v="No"/>
    <n v="1"/>
    <n v="1"/>
    <m/>
  </r>
  <r>
    <s v="EMP0644"/>
    <d v="2022-05-06T00:00:00"/>
    <m/>
    <s v="No"/>
    <n v="31"/>
    <s v="Female"/>
    <s v="Married"/>
    <s v="PhD"/>
    <x v="0"/>
    <s v="Process Associate"/>
    <n v="2"/>
    <s v="Chennai"/>
    <n v="49000"/>
    <n v="19.5"/>
    <n v="3.7"/>
    <n v="3.7"/>
    <n v="0.7"/>
    <n v="4"/>
    <n v="3"/>
    <n v="3"/>
    <s v="No"/>
    <n v="1"/>
    <n v="1"/>
    <m/>
  </r>
  <r>
    <s v="EMP0645"/>
    <d v="2017-01-08T00:00:00"/>
    <d v="2025-01-12T00:00:00"/>
    <s v="Yes"/>
    <n v="43"/>
    <s v="Male"/>
    <s v="Married"/>
    <s v="Master's"/>
    <x v="4"/>
    <s v="HR Executive"/>
    <n v="2"/>
    <s v="Pune"/>
    <n v="60000"/>
    <n v="10.1"/>
    <n v="12.2"/>
    <n v="8"/>
    <n v="4.5999999999999996"/>
    <n v="2"/>
    <n v="2"/>
    <n v="3"/>
    <s v="No"/>
    <n v="5"/>
    <n v="1"/>
    <m/>
  </r>
  <r>
    <s v="EMP0646"/>
    <d v="2020-01-25T00:00:00"/>
    <m/>
    <s v="No"/>
    <n v="36"/>
    <s v="Male"/>
    <s v="Married"/>
    <s v="Master's"/>
    <x v="5"/>
    <s v="Senior Software Developer"/>
    <n v="2"/>
    <s v="Pune"/>
    <n v="63000"/>
    <n v="8.8000000000000007"/>
    <n v="8.3000000000000007"/>
    <n v="5.9"/>
    <n v="4.4000000000000004"/>
    <n v="3"/>
    <n v="3"/>
    <n v="3"/>
    <s v="No"/>
    <n v="3"/>
    <n v="1"/>
    <m/>
  </r>
  <r>
    <s v="EMP0647"/>
    <d v="2024-06-30T00:00:00"/>
    <m/>
    <s v="No"/>
    <n v="41"/>
    <s v="Female"/>
    <s v="Married"/>
    <s v="Bachelor's"/>
    <x v="0"/>
    <s v="Operations Manager"/>
    <n v="5"/>
    <s v="Chennai"/>
    <n v="138000"/>
    <n v="3.7"/>
    <n v="3.1"/>
    <n v="1.5"/>
    <n v="1.1000000000000001"/>
    <n v="3"/>
    <n v="3"/>
    <n v="3"/>
    <s v="No"/>
    <n v="4"/>
    <n v="1"/>
    <m/>
  </r>
  <r>
    <s v="EMP0648"/>
    <d v="2024-05-12T00:00:00"/>
    <m/>
    <s v="No"/>
    <n v="27"/>
    <s v="Non-Binary"/>
    <s v="Divorced"/>
    <s v="Diploma"/>
    <x v="3"/>
    <s v="Finance Manager"/>
    <n v="1"/>
    <s v="Mumbai"/>
    <n v="34000"/>
    <n v="13.9"/>
    <n v="5.2"/>
    <n v="1.6"/>
    <n v="1.4"/>
    <n v="4"/>
    <n v="4"/>
    <n v="2"/>
    <s v="No"/>
    <n v="3"/>
    <n v="1"/>
    <m/>
  </r>
  <r>
    <s v="EMP0649"/>
    <d v="2021-12-04T00:00:00"/>
    <d v="2025-12-03T00:00:00"/>
    <s v="Yes"/>
    <n v="33"/>
    <s v="Non-Binary"/>
    <s v="Married"/>
    <s v="Master's"/>
    <x v="5"/>
    <s v="Software Developer"/>
    <n v="2"/>
    <s v="Mumbai"/>
    <n v="60000"/>
    <n v="12.4"/>
    <n v="7"/>
    <n v="4"/>
    <n v="0.6"/>
    <n v="3"/>
    <n v="3"/>
    <n v="1"/>
    <s v="No"/>
    <n v="4"/>
    <n v="1"/>
    <m/>
  </r>
  <r>
    <s v="EMP0650"/>
    <d v="2020-10-24T00:00:00"/>
    <m/>
    <s v="No"/>
    <n v="29"/>
    <s v="Male"/>
    <s v="Divorced"/>
    <s v="PhD"/>
    <x v="4"/>
    <s v="HR Analyst"/>
    <n v="4"/>
    <s v="Noida"/>
    <n v="108000"/>
    <n v="13.8"/>
    <n v="6"/>
    <n v="5.2"/>
    <n v="1.4"/>
    <n v="3"/>
    <n v="3"/>
    <n v="4"/>
    <s v="No"/>
    <n v="4"/>
    <n v="1"/>
    <m/>
  </r>
  <r>
    <s v="EMP0651"/>
    <d v="2025-06-24T00:00:00"/>
    <m/>
    <s v="No"/>
    <n v="21"/>
    <s v="Female"/>
    <s v="Divorced"/>
    <s v="PhD"/>
    <x v="2"/>
    <s v="IT Support Lead"/>
    <n v="1"/>
    <s v="Pune"/>
    <n v="38000"/>
    <n v="6.5"/>
    <n v="4.5"/>
    <n v="0.5"/>
    <n v="0"/>
    <n v="2"/>
    <n v="3"/>
    <n v="2"/>
    <s v="No"/>
    <n v="3"/>
    <n v="1"/>
    <m/>
  </r>
  <r>
    <s v="EMP0652"/>
    <d v="2020-02-07T00:00:00"/>
    <m/>
    <s v="No"/>
    <n v="29"/>
    <s v="Male"/>
    <s v="Married"/>
    <s v="Bachelor's"/>
    <x v="4"/>
    <s v="HR Executive"/>
    <n v="2"/>
    <s v="Bengaluru"/>
    <n v="49000"/>
    <n v="6.6"/>
    <n v="8.1999999999999993"/>
    <n v="5.9"/>
    <n v="5"/>
    <n v="4"/>
    <n v="3"/>
    <n v="4"/>
    <s v="No"/>
    <n v="5"/>
    <n v="1"/>
    <m/>
  </r>
  <r>
    <s v="EMP0653"/>
    <d v="2020-11-04T00:00:00"/>
    <m/>
    <s v="No"/>
    <n v="39"/>
    <s v="Female"/>
    <s v="Married"/>
    <s v="Bachelor's"/>
    <x v="3"/>
    <s v="Financial Analyst"/>
    <n v="4"/>
    <s v="Hyderabad"/>
    <n v="126000"/>
    <n v="11.6"/>
    <n v="5.8"/>
    <n v="5.2"/>
    <n v="4"/>
    <n v="3"/>
    <n v="3"/>
    <n v="1"/>
    <s v="No"/>
    <n v="3"/>
    <n v="1"/>
    <m/>
  </r>
  <r>
    <s v="EMP0654"/>
    <d v="2025-02-21T00:00:00"/>
    <m/>
    <s v="No"/>
    <n v="32"/>
    <s v="Female"/>
    <s v="Divorced"/>
    <s v="Bachelor's"/>
    <x v="4"/>
    <s v="HR Executive"/>
    <n v="1"/>
    <s v="Noida"/>
    <n v="32000"/>
    <n v="11.4"/>
    <n v="6.4"/>
    <n v="0.9"/>
    <n v="0"/>
    <n v="2"/>
    <n v="2"/>
    <n v="2"/>
    <s v="Yes"/>
    <n v="5"/>
    <n v="1"/>
    <m/>
  </r>
  <r>
    <s v="EMP0655"/>
    <d v="2019-08-28T00:00:00"/>
    <d v="2025-06-18T00:00:00"/>
    <s v="Yes"/>
    <n v="28"/>
    <s v="Non-Binary"/>
    <s v="Married"/>
    <s v="Bachelor's"/>
    <x v="2"/>
    <s v="IT Support Specialist"/>
    <n v="2"/>
    <s v="Pune"/>
    <n v="52000"/>
    <n v="10.8"/>
    <n v="11.3"/>
    <n v="5.8"/>
    <n v="4.5999999999999996"/>
    <n v="4"/>
    <n v="3"/>
    <n v="3"/>
    <s v="Yes"/>
    <n v="5"/>
    <n v="1"/>
    <m/>
  </r>
  <r>
    <s v="EMP0656"/>
    <d v="2015-04-25T00:00:00"/>
    <m/>
    <s v="No"/>
    <n v="38"/>
    <s v="Female"/>
    <s v="Divorced"/>
    <s v="PhD"/>
    <x v="6"/>
    <s v="Account Manager"/>
    <n v="3"/>
    <s v="Pune"/>
    <n v="84000"/>
    <n v="9.3000000000000007"/>
    <n v="11.7"/>
    <n v="10.7"/>
    <n v="3.2"/>
    <n v="3"/>
    <n v="3"/>
    <n v="3"/>
    <s v="No"/>
    <n v="5"/>
    <n v="1"/>
    <m/>
  </r>
  <r>
    <s v="EMP0657"/>
    <d v="2017-05-18T00:00:00"/>
    <m/>
    <s v="No"/>
    <n v="36"/>
    <s v="Male"/>
    <s v="Single"/>
    <s v="Master's"/>
    <x v="5"/>
    <s v="QA Engineer"/>
    <n v="3"/>
    <s v="Mumbai"/>
    <n v="79000"/>
    <n v="14.6"/>
    <n v="13.8"/>
    <n v="8.6"/>
    <n v="5.0999999999999996"/>
    <n v="4"/>
    <n v="3"/>
    <n v="2"/>
    <s v="No"/>
    <n v="3"/>
    <n v="1"/>
    <m/>
  </r>
  <r>
    <s v="EMP0658"/>
    <d v="2024-09-08T00:00:00"/>
    <m/>
    <s v="No"/>
    <n v="30"/>
    <s v="Non-Binary"/>
    <s v="Single"/>
    <s v="Master's"/>
    <x v="2"/>
    <s v="IT Support Lead"/>
    <n v="2"/>
    <s v="Pune"/>
    <n v="47000"/>
    <n v="10.199999999999999"/>
    <n v="8.1999999999999993"/>
    <n v="1.3"/>
    <n v="1"/>
    <n v="3"/>
    <n v="3"/>
    <n v="3"/>
    <s v="Yes"/>
    <n v="2"/>
    <n v="1"/>
    <m/>
  </r>
  <r>
    <s v="EMP0659"/>
    <d v="2015-07-19T00:00:00"/>
    <m/>
    <s v="No"/>
    <n v="34"/>
    <s v="Male"/>
    <s v="Married"/>
    <s v="Bachelor's"/>
    <x v="6"/>
    <s v="Business Development Executive"/>
    <n v="5"/>
    <s v="Noida"/>
    <n v="156000"/>
    <n v="15.8"/>
    <n v="12.7"/>
    <n v="10.5"/>
    <n v="1"/>
    <n v="4"/>
    <n v="3"/>
    <n v="4"/>
    <s v="No"/>
    <n v="4"/>
    <n v="1"/>
    <m/>
  </r>
  <r>
    <s v="EMP0660"/>
    <d v="2020-04-23T00:00:00"/>
    <m/>
    <s v="No"/>
    <n v="34"/>
    <s v="Female"/>
    <s v="Divorced"/>
    <s v="PhD"/>
    <x v="5"/>
    <s v="Senior Software Developer"/>
    <n v="1"/>
    <s v="Chennai"/>
    <n v="46000"/>
    <n v="4.9000000000000004"/>
    <n v="8.5"/>
    <n v="5.7"/>
    <n v="0.7"/>
    <n v="3"/>
    <n v="3"/>
    <n v="3"/>
    <s v="Yes"/>
    <n v="3"/>
    <n v="1"/>
    <m/>
  </r>
  <r>
    <s v="EMP0661"/>
    <d v="2021-05-17T00:00:00"/>
    <m/>
    <s v="No"/>
    <n v="46"/>
    <s v="Non-Binary"/>
    <s v="Married"/>
    <s v="Bachelor's"/>
    <x v="6"/>
    <s v="Sales Executive"/>
    <n v="2"/>
    <s v="Noida"/>
    <n v="51000"/>
    <n v="5.6"/>
    <n v="6.2"/>
    <n v="4.5999999999999996"/>
    <n v="0.9"/>
    <n v="3"/>
    <n v="2"/>
    <n v="3"/>
    <s v="Yes"/>
    <n v="4"/>
    <n v="1"/>
    <m/>
  </r>
  <r>
    <s v="EMP0662"/>
    <d v="2021-03-12T00:00:00"/>
    <d v="2025-05-17T00:00:00"/>
    <s v="Yes"/>
    <n v="25"/>
    <s v="Female"/>
    <s v="Married"/>
    <s v="PhD"/>
    <x v="5"/>
    <s v="Senior Software Developer"/>
    <n v="1"/>
    <s v="Bengaluru"/>
    <n v="31000"/>
    <n v="7.5"/>
    <n v="6.1"/>
    <n v="4.2"/>
    <n v="2.2000000000000002"/>
    <n v="1"/>
    <n v="3"/>
    <n v="4"/>
    <s v="Yes"/>
    <n v="4"/>
    <n v="1"/>
    <m/>
  </r>
  <r>
    <s v="EMP0663"/>
    <d v="2023-09-13T00:00:00"/>
    <m/>
    <s v="No"/>
    <n v="33"/>
    <s v="Non-Binary"/>
    <s v="Married"/>
    <s v="Master's"/>
    <x v="1"/>
    <s v="Senior Data Analyst"/>
    <n v="3"/>
    <s v="Pune"/>
    <n v="98000"/>
    <n v="5.4"/>
    <n v="4.5999999999999996"/>
    <n v="2.2999999999999998"/>
    <n v="0"/>
    <n v="3"/>
    <n v="2"/>
    <n v="4"/>
    <s v="Yes"/>
    <n v="4"/>
    <n v="1"/>
    <m/>
  </r>
  <r>
    <s v="EMP0664"/>
    <d v="2021-10-24T00:00:00"/>
    <m/>
    <s v="No"/>
    <n v="37"/>
    <s v="Male"/>
    <s v="Divorced"/>
    <s v="Diploma"/>
    <x v="6"/>
    <s v="Sales Executive"/>
    <n v="2"/>
    <s v="Mumbai"/>
    <n v="62000"/>
    <n v="6.4"/>
    <n v="7.6"/>
    <n v="4.2"/>
    <n v="0.1"/>
    <n v="4"/>
    <n v="4"/>
    <n v="4"/>
    <s v="No"/>
    <n v="3"/>
    <n v="1"/>
    <m/>
  </r>
  <r>
    <s v="EMP0665"/>
    <d v="2023-05-29T00:00:00"/>
    <m/>
    <s v="No"/>
    <n v="25"/>
    <s v="Male"/>
    <s v="Single"/>
    <s v="Bachelor's"/>
    <x v="4"/>
    <s v="HR Executive"/>
    <n v="1"/>
    <s v="Hyderabad"/>
    <n v="40000"/>
    <n v="9.6999999999999993"/>
    <n v="7.1"/>
    <n v="2.6"/>
    <n v="2.6"/>
    <n v="2"/>
    <n v="4"/>
    <n v="3"/>
    <s v="Yes"/>
    <n v="2"/>
    <n v="1"/>
    <m/>
  </r>
  <r>
    <s v="EMP0666"/>
    <d v="2023-07-29T00:00:00"/>
    <m/>
    <s v="No"/>
    <n v="25"/>
    <s v="Non-Binary"/>
    <s v="Divorced"/>
    <s v="PhD"/>
    <x v="2"/>
    <s v="IT Analyst"/>
    <n v="1"/>
    <s v="Bengaluru"/>
    <n v="25000"/>
    <n v="11.4"/>
    <n v="6.3"/>
    <n v="2.4"/>
    <n v="0.9"/>
    <n v="4"/>
    <n v="1"/>
    <n v="3"/>
    <s v="No"/>
    <n v="4"/>
    <n v="1"/>
    <m/>
  </r>
  <r>
    <s v="EMP0667"/>
    <d v="2020-11-24T00:00:00"/>
    <m/>
    <s v="No"/>
    <n v="36"/>
    <s v="Male"/>
    <s v="Single"/>
    <s v="PhD"/>
    <x v="6"/>
    <s v="Sales Executive"/>
    <n v="2"/>
    <s v="Noida"/>
    <n v="40000"/>
    <n v="12.4"/>
    <n v="5.3"/>
    <n v="5.0999999999999996"/>
    <n v="2.9"/>
    <n v="4"/>
    <n v="3"/>
    <n v="3"/>
    <s v="Yes"/>
    <n v="3"/>
    <n v="1"/>
    <m/>
  </r>
  <r>
    <s v="EMP0668"/>
    <d v="2017-10-04T00:00:00"/>
    <m/>
    <s v="No"/>
    <n v="37"/>
    <s v="Female"/>
    <s v="Married"/>
    <s v="Diploma"/>
    <x v="5"/>
    <s v="QA Engineer"/>
    <n v="4"/>
    <s v="Pune"/>
    <n v="130000"/>
    <n v="6.2"/>
    <n v="12.5"/>
    <n v="8.1999999999999993"/>
    <n v="1.6"/>
    <n v="3"/>
    <n v="3"/>
    <n v="4"/>
    <s v="No"/>
    <n v="3"/>
    <n v="1"/>
    <m/>
  </r>
  <r>
    <s v="EMP0669"/>
    <d v="2024-04-05T00:00:00"/>
    <m/>
    <s v="No"/>
    <n v="35"/>
    <s v="Non-Binary"/>
    <s v="Single"/>
    <s v="Diploma"/>
    <x v="5"/>
    <s v="QA Engineer"/>
    <n v="4"/>
    <s v="Chennai"/>
    <n v="119000"/>
    <n v="5"/>
    <n v="4.5"/>
    <n v="1.7"/>
    <n v="0.2"/>
    <n v="3"/>
    <n v="1"/>
    <n v="4"/>
    <s v="No"/>
    <n v="2"/>
    <n v="1"/>
    <m/>
  </r>
  <r>
    <s v="EMP0670"/>
    <d v="2022-04-30T00:00:00"/>
    <d v="2025-05-25T00:00:00"/>
    <s v="Yes"/>
    <n v="35"/>
    <s v="Male"/>
    <s v="Single"/>
    <s v="Diploma"/>
    <x v="4"/>
    <s v="Recruiter"/>
    <n v="2"/>
    <s v="Pune"/>
    <n v="37000"/>
    <n v="9.4"/>
    <n v="9.6999999999999993"/>
    <n v="3.1"/>
    <n v="0.4"/>
    <n v="1"/>
    <n v="3"/>
    <n v="1"/>
    <s v="No"/>
    <n v="3"/>
    <n v="1"/>
    <m/>
  </r>
  <r>
    <s v="EMP0671"/>
    <d v="2019-10-30T00:00:00"/>
    <m/>
    <s v="No"/>
    <n v="38"/>
    <s v="Female"/>
    <s v="Single"/>
    <s v="Bachelor's"/>
    <x v="6"/>
    <s v="Sales Manager"/>
    <n v="3"/>
    <s v="Mumbai"/>
    <n v="74000"/>
    <n v="7.7"/>
    <n v="11.9"/>
    <n v="6.2"/>
    <n v="0.9"/>
    <n v="3"/>
    <n v="3"/>
    <n v="3"/>
    <s v="No"/>
    <n v="5"/>
    <n v="1"/>
    <m/>
  </r>
  <r>
    <s v="EMP0672"/>
    <d v="2018-04-01T00:00:00"/>
    <d v="2025-05-14T00:00:00"/>
    <s v="Yes"/>
    <n v="35"/>
    <s v="Non-Binary"/>
    <s v="Single"/>
    <s v="Master's"/>
    <x v="6"/>
    <s v="Account Manager"/>
    <n v="4"/>
    <s v="Hyderabad"/>
    <n v="113000"/>
    <n v="10.9"/>
    <n v="14.5"/>
    <n v="7.1"/>
    <n v="3.6"/>
    <n v="4"/>
    <n v="2"/>
    <n v="3"/>
    <s v="No"/>
    <n v="5"/>
    <n v="1"/>
    <m/>
  </r>
  <r>
    <s v="EMP0673"/>
    <d v="2022-03-06T00:00:00"/>
    <m/>
    <s v="No"/>
    <n v="38"/>
    <s v="Female"/>
    <s v="Divorced"/>
    <s v="Diploma"/>
    <x v="1"/>
    <s v="Data Engineer"/>
    <n v="3"/>
    <s v="Chennai"/>
    <n v="95000"/>
    <n v="4.9000000000000004"/>
    <n v="8.1999999999999993"/>
    <n v="3.8"/>
    <n v="1.4"/>
    <n v="3"/>
    <n v="4"/>
    <n v="3"/>
    <s v="Yes"/>
    <n v="2"/>
    <n v="1"/>
    <m/>
  </r>
  <r>
    <s v="EMP0674"/>
    <d v="2020-09-11T00:00:00"/>
    <d v="2025-10-14T00:00:00"/>
    <s v="Yes"/>
    <n v="33"/>
    <s v="Male"/>
    <s v="Divorced"/>
    <s v="Diploma"/>
    <x v="0"/>
    <s v="Operations Manager"/>
    <n v="3"/>
    <s v="Pune"/>
    <n v="71000"/>
    <n v="10.3"/>
    <n v="5.3"/>
    <n v="5.0999999999999996"/>
    <n v="3.9"/>
    <n v="3"/>
    <n v="2"/>
    <n v="2"/>
    <s v="No"/>
    <n v="5"/>
    <n v="1"/>
    <m/>
  </r>
  <r>
    <s v="EMP0675"/>
    <d v="2015-10-24T00:00:00"/>
    <m/>
    <s v="No"/>
    <n v="41"/>
    <s v="Non-Binary"/>
    <s v="Single"/>
    <s v="Diploma"/>
    <x v="4"/>
    <s v="HR Analyst"/>
    <n v="1"/>
    <s v="Chennai"/>
    <n v="22000"/>
    <n v="11.5"/>
    <n v="16.3"/>
    <n v="10.199999999999999"/>
    <n v="3.1"/>
    <n v="3"/>
    <n v="4"/>
    <n v="2"/>
    <s v="Yes"/>
    <n v="3"/>
    <n v="1"/>
    <m/>
  </r>
  <r>
    <s v="EMP0676"/>
    <d v="2017-08-15T00:00:00"/>
    <m/>
    <s v="No"/>
    <n v="36"/>
    <s v="Female"/>
    <s v="Single"/>
    <s v="Master's"/>
    <x v="5"/>
    <s v="QA Engineer"/>
    <n v="3"/>
    <s v="Noida"/>
    <n v="96000"/>
    <n v="17"/>
    <n v="12.5"/>
    <n v="8.4"/>
    <n v="4.3"/>
    <n v="2"/>
    <n v="3"/>
    <n v="3"/>
    <s v="No"/>
    <n v="4"/>
    <n v="1"/>
    <m/>
  </r>
  <r>
    <s v="EMP0677"/>
    <d v="2022-01-23T00:00:00"/>
    <m/>
    <s v="No"/>
    <n v="35"/>
    <s v="Male"/>
    <s v="Single"/>
    <s v="Master's"/>
    <x v="0"/>
    <s v="Operations Analyst"/>
    <n v="2"/>
    <s v="Bengaluru"/>
    <n v="59000"/>
    <n v="9.6"/>
    <n v="9.4"/>
    <n v="3.9"/>
    <n v="0.4"/>
    <n v="1"/>
    <n v="1"/>
    <n v="3"/>
    <s v="No"/>
    <n v="2"/>
    <n v="1"/>
    <m/>
  </r>
  <r>
    <s v="EMP0678"/>
    <d v="2020-12-13T00:00:00"/>
    <m/>
    <s v="No"/>
    <n v="31"/>
    <s v="Non-Binary"/>
    <s v="Married"/>
    <s v="Bachelor's"/>
    <x v="3"/>
    <s v="Financial Analyst"/>
    <n v="4"/>
    <s v="Mumbai"/>
    <n v="129000"/>
    <n v="5.7"/>
    <n v="12.9"/>
    <n v="5"/>
    <n v="4.0999999999999996"/>
    <n v="2"/>
    <n v="4"/>
    <n v="3"/>
    <s v="Yes"/>
    <n v="4"/>
    <n v="1"/>
    <m/>
  </r>
  <r>
    <s v="EMP0679"/>
    <d v="2016-02-15T00:00:00"/>
    <m/>
    <s v="No"/>
    <n v="36"/>
    <s v="Female"/>
    <s v="Married"/>
    <s v="Diploma"/>
    <x v="1"/>
    <s v="Data Analyst"/>
    <n v="2"/>
    <s v="Mumbai"/>
    <n v="49000"/>
    <n v="10.5"/>
    <n v="14.2"/>
    <n v="9.9"/>
    <n v="2.9"/>
    <n v="2"/>
    <n v="3"/>
    <n v="3"/>
    <s v="No"/>
    <n v="5"/>
    <n v="1"/>
    <m/>
  </r>
  <r>
    <s v="EMP0680"/>
    <d v="2016-03-08T00:00:00"/>
    <d v="2025-07-19T00:00:00"/>
    <s v="Yes"/>
    <n v="37"/>
    <s v="Male"/>
    <s v="Married"/>
    <s v="Master's"/>
    <x v="3"/>
    <s v="Financial Analyst"/>
    <n v="3"/>
    <s v="Mumbai"/>
    <n v="88000"/>
    <n v="6.6"/>
    <n v="9.5"/>
    <n v="9.4"/>
    <n v="1.8"/>
    <n v="3"/>
    <n v="3"/>
    <n v="4"/>
    <s v="Yes"/>
    <n v="4"/>
    <n v="1"/>
    <m/>
  </r>
  <r>
    <s v="EMP0681"/>
    <d v="2014-03-19T00:00:00"/>
    <m/>
    <s v="No"/>
    <n v="47"/>
    <s v="Female"/>
    <s v="Divorced"/>
    <s v="Diploma"/>
    <x v="0"/>
    <s v="Process Associate"/>
    <n v="2"/>
    <s v="Mumbai"/>
    <n v="45000"/>
    <n v="4.8"/>
    <n v="14.6"/>
    <n v="11.8"/>
    <n v="4.2"/>
    <n v="4"/>
    <n v="3"/>
    <n v="2"/>
    <s v="No"/>
    <n v="4"/>
    <n v="1"/>
    <m/>
  </r>
  <r>
    <s v="EMP0682"/>
    <d v="2016-10-11T00:00:00"/>
    <m/>
    <s v="No"/>
    <n v="47"/>
    <s v="Non-Binary"/>
    <s v="Divorced"/>
    <s v="Diploma"/>
    <x v="0"/>
    <s v="Operations Analyst"/>
    <n v="2"/>
    <s v="Pune"/>
    <n v="50000"/>
    <n v="13"/>
    <n v="14.4"/>
    <n v="9.1999999999999993"/>
    <n v="2.2999999999999998"/>
    <n v="3"/>
    <n v="3"/>
    <n v="3"/>
    <s v="No"/>
    <n v="4"/>
    <n v="1"/>
    <m/>
  </r>
  <r>
    <s v="EMP0683"/>
    <d v="2021-03-25T00:00:00"/>
    <d v="2025-01-16T00:00:00"/>
    <s v="Yes"/>
    <n v="28"/>
    <s v="Female"/>
    <s v="Married"/>
    <s v="Master's"/>
    <x v="0"/>
    <s v="Operations Manager"/>
    <n v="3"/>
    <s v="Noida"/>
    <n v="68000"/>
    <n v="13.9"/>
    <n v="10.6"/>
    <n v="3.8"/>
    <n v="0.6"/>
    <n v="4"/>
    <n v="2"/>
    <n v="2"/>
    <s v="No"/>
    <n v="5"/>
    <n v="1"/>
    <m/>
  </r>
  <r>
    <s v="EMP0684"/>
    <d v="2015-05-25T00:00:00"/>
    <m/>
    <s v="No"/>
    <n v="37"/>
    <s v="Female"/>
    <s v="Married"/>
    <s v="Bachelor's"/>
    <x v="2"/>
    <s v="System Administrator"/>
    <n v="2"/>
    <s v="Pune"/>
    <n v="44000"/>
    <n v="16.899999999999999"/>
    <n v="18"/>
    <n v="10.6"/>
    <n v="0.4"/>
    <n v="3"/>
    <n v="3"/>
    <n v="1"/>
    <s v="No"/>
    <n v="4"/>
    <n v="1"/>
    <m/>
  </r>
  <r>
    <s v="EMP0685"/>
    <d v="2021-08-29T00:00:00"/>
    <m/>
    <s v="No"/>
    <n v="31"/>
    <s v="Non-Binary"/>
    <s v="Single"/>
    <s v="Bachelor's"/>
    <x v="6"/>
    <s v="Sales Executive"/>
    <n v="3"/>
    <s v="Chennai"/>
    <n v="80000"/>
    <n v="15.2"/>
    <n v="6.4"/>
    <n v="4.3"/>
    <n v="1.9"/>
    <n v="3"/>
    <n v="3"/>
    <n v="2"/>
    <s v="No"/>
    <n v="2"/>
    <n v="1"/>
    <m/>
  </r>
  <r>
    <s v="EMP0686"/>
    <d v="2016-03-22T00:00:00"/>
    <m/>
    <s v="No"/>
    <n v="36"/>
    <s v="Non-Binary"/>
    <s v="Divorced"/>
    <s v="PhD"/>
    <x v="5"/>
    <s v="Software Developer"/>
    <n v="2"/>
    <s v="Pune"/>
    <n v="64000"/>
    <n v="9.1999999999999993"/>
    <n v="14.1"/>
    <n v="9.8000000000000007"/>
    <n v="0.4"/>
    <n v="3"/>
    <n v="2"/>
    <n v="3"/>
    <s v="No"/>
    <n v="5"/>
    <n v="1"/>
    <m/>
  </r>
  <r>
    <s v="EMP0687"/>
    <d v="2025-04-20T00:00:00"/>
    <m/>
    <s v="No"/>
    <n v="21"/>
    <s v="Male"/>
    <s v="Divorced"/>
    <s v="Bachelor's"/>
    <x v="2"/>
    <s v="System Administrator"/>
    <n v="1"/>
    <s v="Pune"/>
    <n v="30000"/>
    <n v="10"/>
    <n v="5.2"/>
    <n v="0.7"/>
    <n v="0"/>
    <n v="3"/>
    <n v="1"/>
    <n v="3"/>
    <s v="No"/>
    <n v="3"/>
    <n v="1"/>
    <m/>
  </r>
  <r>
    <s v="EMP0688"/>
    <d v="2019-11-13T00:00:00"/>
    <d v="2025-05-29T00:00:00"/>
    <s v="Yes"/>
    <n v="36"/>
    <s v="Female"/>
    <s v="Single"/>
    <s v="Master's"/>
    <x v="2"/>
    <s v="IT Analyst"/>
    <n v="2"/>
    <s v="Chennai"/>
    <n v="50000"/>
    <n v="16"/>
    <n v="12.9"/>
    <n v="5.5"/>
    <n v="1.4"/>
    <n v="3"/>
    <n v="3"/>
    <n v="2"/>
    <s v="Yes"/>
    <n v="5"/>
    <n v="1"/>
    <m/>
  </r>
  <r>
    <s v="EMP0689"/>
    <d v="2025-02-24T00:00:00"/>
    <m/>
    <s v="No"/>
    <n v="30"/>
    <s v="Female"/>
    <s v="Single"/>
    <s v="Master's"/>
    <x v="4"/>
    <s v="HR Analyst"/>
    <n v="2"/>
    <s v="Pune"/>
    <n v="49000"/>
    <n v="8.6999999999999993"/>
    <n v="8.1999999999999993"/>
    <n v="0.8"/>
    <n v="0"/>
    <n v="2"/>
    <n v="1"/>
    <n v="3"/>
    <s v="No"/>
    <n v="3"/>
    <n v="1"/>
    <m/>
  </r>
  <r>
    <s v="EMP0690"/>
    <d v="2017-12-09T00:00:00"/>
    <d v="2025-10-16T00:00:00"/>
    <s v="Yes"/>
    <n v="34"/>
    <s v="Female"/>
    <s v="Divorced"/>
    <s v="Bachelor's"/>
    <x v="9"/>
    <s v="HR Analyst"/>
    <n v="4"/>
    <s v="Chennai"/>
    <n v="99000"/>
    <n v="4.5"/>
    <n v="15.1"/>
    <n v="7.9"/>
    <n v="4.2"/>
    <n v="2"/>
    <n v="4"/>
    <n v="1"/>
    <s v="No"/>
    <n v="5"/>
    <n v="1"/>
    <m/>
  </r>
  <r>
    <s v="EMP0691"/>
    <d v="2025-03-19T00:00:00"/>
    <m/>
    <s v="No"/>
    <n v="37"/>
    <s v="Male"/>
    <s v="Single"/>
    <s v="Master's"/>
    <x v="3"/>
    <s v="Accountant"/>
    <n v="2"/>
    <s v="Chennai"/>
    <n v="48000"/>
    <n v="12.6"/>
    <n v="4.2"/>
    <n v="0.8"/>
    <n v="0"/>
    <n v="3"/>
    <n v="4"/>
    <n v="4"/>
    <s v="Yes"/>
    <n v="1"/>
    <n v="1"/>
    <m/>
  </r>
  <r>
    <s v="EMP0692"/>
    <d v="2017-01-24T00:00:00"/>
    <m/>
    <s v="No"/>
    <n v="35"/>
    <s v="Non-Binary"/>
    <s v="Married"/>
    <s v="Diploma"/>
    <x v="4"/>
    <s v="HR Manager"/>
    <n v="3"/>
    <s v="Pune"/>
    <n v="81000"/>
    <n v="8.9"/>
    <n v="14.5"/>
    <n v="8.9"/>
    <n v="2.6"/>
    <n v="1"/>
    <n v="3"/>
    <n v="2"/>
    <s v="No"/>
    <n v="3"/>
    <n v="1"/>
    <m/>
  </r>
  <r>
    <s v="EMP0693"/>
    <d v="2023-08-18T00:00:00"/>
    <m/>
    <s v="No"/>
    <n v="29"/>
    <s v="Non-Binary"/>
    <s v="Single"/>
    <s v="Bachelor's"/>
    <x v="6"/>
    <s v="Business Development Executive"/>
    <n v="4"/>
    <s v="Bengaluru"/>
    <n v="109000"/>
    <n v="8.1999999999999993"/>
    <n v="8.4"/>
    <n v="2.4"/>
    <n v="1.9"/>
    <n v="1"/>
    <n v="3"/>
    <n v="1"/>
    <s v="Yes"/>
    <n v="4"/>
    <n v="1"/>
    <m/>
  </r>
  <r>
    <s v="EMP0694"/>
    <d v="2022-05-24T00:00:00"/>
    <m/>
    <s v="No"/>
    <n v="32"/>
    <s v="Male"/>
    <s v="Married"/>
    <s v="Master's"/>
    <x v="5"/>
    <s v="Senior Software Developer"/>
    <n v="2"/>
    <s v="Mumbai"/>
    <n v="45000"/>
    <n v="7"/>
    <n v="11.6"/>
    <n v="3.6"/>
    <n v="0.5"/>
    <n v="3"/>
    <n v="3"/>
    <n v="3"/>
    <s v="No"/>
    <n v="4"/>
    <n v="1"/>
    <m/>
  </r>
  <r>
    <s v="EMP0695"/>
    <d v="2016-07-06T00:00:00"/>
    <m/>
    <s v="No"/>
    <n v="31"/>
    <s v="Non-Binary"/>
    <s v="Divorced"/>
    <s v="Bachelor's"/>
    <x v="0"/>
    <s v="Operations Manager"/>
    <n v="4"/>
    <s v="Bengaluru"/>
    <n v="101000"/>
    <n v="8.8000000000000007"/>
    <n v="13.9"/>
    <n v="9.5"/>
    <n v="5.2"/>
    <n v="3"/>
    <n v="2"/>
    <n v="4"/>
    <s v="No"/>
    <n v="3"/>
    <n v="1"/>
    <m/>
  </r>
  <r>
    <s v="EMP0696"/>
    <d v="2018-06-04T00:00:00"/>
    <d v="2025-09-24T00:00:00"/>
    <s v="Yes"/>
    <n v="39"/>
    <s v="Male"/>
    <s v="Single"/>
    <s v="Master's"/>
    <x v="6"/>
    <s v="Business Development Executive"/>
    <n v="3"/>
    <s v="Noida"/>
    <n v="71000"/>
    <n v="4.2"/>
    <n v="9.1999999999999993"/>
    <n v="7.3"/>
    <n v="4.5"/>
    <n v="2"/>
    <n v="2"/>
    <n v="3"/>
    <s v="Yes"/>
    <n v="4"/>
    <n v="1"/>
    <m/>
  </r>
  <r>
    <s v="EMP0697"/>
    <d v="2025-06-29T00:00:00"/>
    <m/>
    <s v="No"/>
    <n v="30"/>
    <s v="Male"/>
    <s v="Married"/>
    <s v="PhD"/>
    <x v="3"/>
    <s v="Finance Manager"/>
    <n v="5"/>
    <s v="Mumbai"/>
    <n v="157000"/>
    <n v="5.9"/>
    <n v="2.9"/>
    <n v="0.5"/>
    <n v="0"/>
    <n v="3"/>
    <n v="1"/>
    <n v="4"/>
    <s v="No"/>
    <n v="3"/>
    <n v="1"/>
    <m/>
  </r>
  <r>
    <s v="EMP0698"/>
    <d v="2023-11-30T00:00:00"/>
    <m/>
    <s v="No"/>
    <n v="30"/>
    <s v="Female"/>
    <s v="Divorced"/>
    <s v="Master's"/>
    <x v="5"/>
    <s v="Senior Software Developer"/>
    <n v="2"/>
    <s v="Bengaluru"/>
    <n v="61000"/>
    <n v="11.4"/>
    <n v="6.4"/>
    <n v="2.1"/>
    <n v="0.7"/>
    <n v="1"/>
    <n v="1"/>
    <n v="3"/>
    <s v="No"/>
    <n v="5"/>
    <n v="1"/>
    <m/>
  </r>
  <r>
    <s v="EMP0699"/>
    <d v="2018-02-09T00:00:00"/>
    <m/>
    <s v="No"/>
    <n v="30"/>
    <s v="Non-Binary"/>
    <s v="Married"/>
    <s v="PhD"/>
    <x v="6"/>
    <s v="Business Development Executive"/>
    <n v="4"/>
    <s v="Chennai"/>
    <n v="102000"/>
    <n v="8.9"/>
    <n v="12.3"/>
    <n v="7.9"/>
    <n v="5.7"/>
    <n v="4"/>
    <n v="4"/>
    <n v="3"/>
    <s v="No"/>
    <n v="5"/>
    <n v="1"/>
    <m/>
  </r>
  <r>
    <s v="EMP0700"/>
    <d v="2021-03-29T00:00:00"/>
    <m/>
    <s v="No"/>
    <n v="37"/>
    <s v="Non-Binary"/>
    <s v="Married"/>
    <s v="Diploma"/>
    <x v="0"/>
    <s v="Operations Manager"/>
    <n v="2"/>
    <s v="Chennai"/>
    <n v="33000"/>
    <n v="7.6"/>
    <n v="4.9000000000000004"/>
    <n v="4.8"/>
    <n v="3.8"/>
    <n v="4"/>
    <n v="4"/>
    <n v="2"/>
    <s v="No"/>
    <n v="3"/>
    <n v="1"/>
    <m/>
  </r>
  <r>
    <s v="EMP0701"/>
    <d v="2021-06-20T00:00:00"/>
    <m/>
    <s v="No"/>
    <n v="34"/>
    <s v="Male"/>
    <s v="Married"/>
    <s v="PhD"/>
    <x v="3"/>
    <s v="Financial Analyst"/>
    <n v="3"/>
    <s v="Bengaluru"/>
    <n v="104000"/>
    <n v="10.4"/>
    <n v="9.4"/>
    <n v="4.5"/>
    <n v="0.6"/>
    <n v="4"/>
    <n v="3"/>
    <n v="3"/>
    <s v="No"/>
    <n v="3"/>
    <n v="1"/>
    <m/>
  </r>
  <r>
    <s v="EMP0702"/>
    <d v="2014-05-26T00:00:00"/>
    <m/>
    <s v="No"/>
    <n v="32"/>
    <s v="Male"/>
    <s v="Married"/>
    <s v="Master's"/>
    <x v="3"/>
    <s v="Financial Analyst"/>
    <n v="3"/>
    <s v="Hyderabad"/>
    <n v="64000"/>
    <n v="8.6999999999999993"/>
    <n v="12.1"/>
    <n v="11.6"/>
    <n v="5.6"/>
    <n v="4"/>
    <n v="3"/>
    <n v="3"/>
    <s v="No"/>
    <n v="3"/>
    <n v="1"/>
    <m/>
  </r>
  <r>
    <s v="EMP0703"/>
    <d v="2019-11-29T00:00:00"/>
    <m/>
    <s v="No"/>
    <n v="39"/>
    <s v="Female"/>
    <s v="Divorced"/>
    <s v="Diploma"/>
    <x v="2"/>
    <s v="IT Analyst"/>
    <n v="2"/>
    <s v="Bengaluru"/>
    <n v="47000"/>
    <n v="8.5"/>
    <n v="11.3"/>
    <n v="6.1"/>
    <n v="1.4"/>
    <n v="2"/>
    <n v="3"/>
    <n v="2"/>
    <s v="Yes"/>
    <n v="3"/>
    <n v="1"/>
    <m/>
  </r>
  <r>
    <s v="EMP0704"/>
    <d v="2017-05-04T00:00:00"/>
    <m/>
    <s v="No"/>
    <n v="45"/>
    <s v="Male"/>
    <s v="Divorced"/>
    <s v="PhD"/>
    <x v="4"/>
    <s v="Recruiter"/>
    <n v="1"/>
    <s v="Bengaluru"/>
    <n v="29000"/>
    <n v="16.3"/>
    <n v="15.5"/>
    <n v="8.6999999999999993"/>
    <n v="2.1"/>
    <n v="3"/>
    <n v="3"/>
    <n v="3"/>
    <s v="Yes"/>
    <n v="3"/>
    <n v="1"/>
    <m/>
  </r>
  <r>
    <s v="EMP0705"/>
    <d v="2021-11-21T00:00:00"/>
    <m/>
    <s v="No"/>
    <n v="36"/>
    <s v="Female"/>
    <s v="Married"/>
    <s v="Diploma"/>
    <x v="4"/>
    <s v="HR Executive"/>
    <n v="2"/>
    <s v="Mumbai"/>
    <n v="54000"/>
    <n v="10.6"/>
    <n v="9.1999999999999993"/>
    <n v="4.0999999999999996"/>
    <n v="3.6"/>
    <n v="4"/>
    <n v="2"/>
    <n v="3"/>
    <s v="No"/>
    <n v="4"/>
    <n v="1"/>
    <m/>
  </r>
  <r>
    <s v="EMP0706"/>
    <d v="2025-03-23T00:00:00"/>
    <d v="2025-10-24T00:00:00"/>
    <s v="Yes"/>
    <n v="31"/>
    <s v="Non-Binary"/>
    <s v="Married"/>
    <s v="Master's"/>
    <x v="6"/>
    <s v="Sales Executive"/>
    <n v="2"/>
    <s v="Mumbai"/>
    <n v="60000"/>
    <n v="8.8000000000000007"/>
    <n v="2.2999999999999998"/>
    <n v="0.6"/>
    <n v="0"/>
    <n v="4"/>
    <n v="3"/>
    <n v="3"/>
    <s v="No"/>
    <n v="4"/>
    <n v="1"/>
    <m/>
  </r>
  <r>
    <s v="EMP0707"/>
    <d v="2023-12-12T00:00:00"/>
    <m/>
    <s v="No"/>
    <n v="33"/>
    <s v="Non-Binary"/>
    <s v="Married"/>
    <s v="Bachelor's"/>
    <x v="2"/>
    <s v="IT Support Specialist"/>
    <n v="3"/>
    <s v="Chennai"/>
    <n v="91000"/>
    <n v="14"/>
    <n v="9.6999999999999993"/>
    <n v="2.1"/>
    <n v="2.1"/>
    <n v="3"/>
    <n v="3"/>
    <n v="4"/>
    <s v="No"/>
    <n v="4"/>
    <n v="1"/>
    <m/>
  </r>
  <r>
    <s v="EMP0708"/>
    <d v="2017-12-27T00:00:00"/>
    <m/>
    <s v="No"/>
    <n v="40"/>
    <s v="Male"/>
    <s v="Married"/>
    <s v="Diploma"/>
    <x v="2"/>
    <s v="IT Support Specialist"/>
    <n v="3"/>
    <s v="Noida"/>
    <n v="72000"/>
    <n v="2.2000000000000002"/>
    <n v="12.6"/>
    <n v="8"/>
    <n v="5.5"/>
    <n v="3"/>
    <n v="3"/>
    <n v="4"/>
    <s v="No"/>
    <n v="5"/>
    <n v="1"/>
    <m/>
  </r>
  <r>
    <s v="EMP0709"/>
    <d v="2014-07-01T00:00:00"/>
    <m/>
    <s v="No"/>
    <n v="44"/>
    <s v="Male"/>
    <s v="Divorced"/>
    <s v="Master's"/>
    <x v="5"/>
    <s v="Senior Software Developer"/>
    <n v="2"/>
    <s v="Chennai"/>
    <n v="57000"/>
    <n v="8"/>
    <n v="12.1"/>
    <n v="11.5"/>
    <n v="2.2000000000000002"/>
    <n v="1"/>
    <n v="3"/>
    <n v="2"/>
    <s v="No"/>
    <n v="4"/>
    <n v="1"/>
    <m/>
  </r>
  <r>
    <s v="EMP0710"/>
    <d v="2017-11-28T00:00:00"/>
    <m/>
    <s v="No"/>
    <n v="46"/>
    <s v="Male"/>
    <s v="Single"/>
    <s v="PhD"/>
    <x v="1"/>
    <s v="Data Engineer"/>
    <n v="3"/>
    <s v="Bengaluru"/>
    <n v="104000"/>
    <n v="17.899999999999999"/>
    <n v="9"/>
    <n v="8.1"/>
    <n v="2.5"/>
    <n v="4"/>
    <n v="3"/>
    <n v="2"/>
    <s v="No"/>
    <n v="3"/>
    <n v="1"/>
    <m/>
  </r>
  <r>
    <s v="EMP0711"/>
    <d v="2016-09-29T00:00:00"/>
    <d v="2025-01-18T00:00:00"/>
    <s v="Yes"/>
    <n v="35"/>
    <s v="Non-Binary"/>
    <s v="Married"/>
    <s v="PhD"/>
    <x v="1"/>
    <s v="Data Analyst"/>
    <n v="2"/>
    <s v="Hyderabad"/>
    <n v="48000"/>
    <n v="14.9"/>
    <n v="15"/>
    <n v="8.3000000000000007"/>
    <n v="0.1"/>
    <n v="3"/>
    <n v="2"/>
    <n v="2"/>
    <s v="No"/>
    <n v="3"/>
    <n v="1"/>
    <m/>
  </r>
  <r>
    <s v="EMP0712"/>
    <d v="2022-11-16T00:00:00"/>
    <m/>
    <s v="No"/>
    <n v="35"/>
    <s v="Female"/>
    <s v="Married"/>
    <s v="PhD"/>
    <x v="1"/>
    <s v="Data Engineer"/>
    <n v="3"/>
    <s v="Noida"/>
    <n v="80000"/>
    <n v="6.6"/>
    <n v="5.8"/>
    <n v="3.1"/>
    <n v="1.9"/>
    <n v="3"/>
    <n v="2"/>
    <n v="3"/>
    <s v="No"/>
    <n v="2"/>
    <n v="1"/>
    <m/>
  </r>
  <r>
    <s v="EMP0713"/>
    <d v="2021-07-20T00:00:00"/>
    <m/>
    <s v="No"/>
    <n v="29"/>
    <s v="Female"/>
    <s v="Divorced"/>
    <s v="PhD"/>
    <x v="3"/>
    <s v="Finance Manager"/>
    <n v="2"/>
    <s v="Mumbai"/>
    <n v="50000"/>
    <n v="6.8"/>
    <n v="11.8"/>
    <n v="4.4000000000000004"/>
    <n v="4.0999999999999996"/>
    <n v="2"/>
    <n v="2"/>
    <n v="4"/>
    <s v="Yes"/>
    <n v="4"/>
    <n v="1"/>
    <m/>
  </r>
  <r>
    <s v="EMP0713"/>
    <d v="2021-07-20T00:00:00"/>
    <m/>
    <s v="No"/>
    <n v="29"/>
    <s v="Female"/>
    <s v="Divorced"/>
    <s v="PhD"/>
    <x v="3"/>
    <s v="Finance Manager"/>
    <n v="2"/>
    <s v="Mumbai"/>
    <n v="50000"/>
    <n v="6.8"/>
    <n v="11.8"/>
    <n v="4.4000000000000004"/>
    <n v="4.0999999999999996"/>
    <n v="2"/>
    <n v="2"/>
    <n v="4"/>
    <s v="Yes"/>
    <n v="4"/>
    <n v="2"/>
    <m/>
  </r>
  <r>
    <s v="EMP0714"/>
    <d v="2024-11-14T00:00:00"/>
    <m/>
    <s v="No"/>
    <n v="25"/>
    <s v="Non-Binary"/>
    <s v="Married"/>
    <s v="Diploma"/>
    <x v="6"/>
    <s v="Business Development Executive"/>
    <n v="1"/>
    <s v="Hyderabad"/>
    <n v="36000"/>
    <n v="13.9"/>
    <n v="3"/>
    <n v="1.1000000000000001"/>
    <n v="0.5"/>
    <n v="3"/>
    <n v="1"/>
    <n v="3"/>
    <s v="No"/>
    <n v="4"/>
    <n v="1"/>
    <m/>
  </r>
  <r>
    <s v="EMP0715"/>
    <d v="2018-05-11T00:00:00"/>
    <m/>
    <s v="No"/>
    <n v="28"/>
    <s v="Female"/>
    <s v="Married"/>
    <s v="Master's"/>
    <x v="3"/>
    <s v="Finance Executive"/>
    <n v="3"/>
    <s v="Bengaluru"/>
    <n v="78000"/>
    <n v="13.7"/>
    <n v="13.5"/>
    <n v="7.6"/>
    <n v="2.6"/>
    <n v="4"/>
    <n v="3"/>
    <n v="4"/>
    <s v="Yes"/>
    <n v="3"/>
    <n v="1"/>
    <m/>
  </r>
  <r>
    <s v="EMP0716"/>
    <d v="2023-10-03T00:00:00"/>
    <m/>
    <s v="No"/>
    <n v="29"/>
    <s v="Non-Binary"/>
    <s v="Divorced"/>
    <s v="Master's"/>
    <x v="6"/>
    <s v="Sales Manager"/>
    <n v="3"/>
    <s v="Bengaluru"/>
    <n v="81000"/>
    <n v="4.5999999999999996"/>
    <n v="7.1"/>
    <n v="2.2000000000000002"/>
    <n v="0.2"/>
    <n v="4"/>
    <n v="2"/>
    <n v="3"/>
    <s v="Yes"/>
    <n v="2"/>
    <n v="1"/>
    <m/>
  </r>
  <r>
    <s v="EMP0717"/>
    <d v="2019-05-21T00:00:00"/>
    <m/>
    <s v="No"/>
    <n v="36"/>
    <s v="Non-Binary"/>
    <s v="Single"/>
    <s v="PhD"/>
    <x v="4"/>
    <s v="HR Executive"/>
    <n v="5"/>
    <s v="Hyderabad"/>
    <n v="144000"/>
    <n v="5.6"/>
    <n v="6.8"/>
    <n v="6.6"/>
    <n v="1.2"/>
    <n v="1"/>
    <n v="4"/>
    <n v="3"/>
    <s v="No"/>
    <n v="4"/>
    <n v="1"/>
    <m/>
  </r>
  <r>
    <s v="EMP0718"/>
    <d v="2020-08-23T00:00:00"/>
    <m/>
    <s v="No"/>
    <n v="37"/>
    <s v="Non-Binary"/>
    <s v="Single"/>
    <s v="Diploma"/>
    <x v="5"/>
    <s v="Software Developer"/>
    <n v="2"/>
    <s v="Pune"/>
    <n v="70000"/>
    <n v="6.5"/>
    <n v="11.2"/>
    <n v="5.4"/>
    <n v="0.6"/>
    <n v="4"/>
    <n v="3"/>
    <n v="2"/>
    <s v="Yes"/>
    <n v="4"/>
    <n v="1"/>
    <m/>
  </r>
  <r>
    <s v="EMP0719"/>
    <d v="2025-07-04T00:00:00"/>
    <m/>
    <s v="No"/>
    <n v="21"/>
    <s v="Non-Binary"/>
    <s v="Married"/>
    <s v="Master's"/>
    <x v="4"/>
    <s v="HR Analyst"/>
    <n v="1"/>
    <s v="Chennai"/>
    <n v="27000"/>
    <n v="8.9"/>
    <n v="6.1"/>
    <n v="0.5"/>
    <n v="0"/>
    <n v="3"/>
    <n v="4"/>
    <n v="3"/>
    <s v="No"/>
    <n v="5"/>
    <n v="1"/>
    <m/>
  </r>
  <r>
    <s v="EMP0720"/>
    <d v="2020-04-16T00:00:00"/>
    <m/>
    <s v="No"/>
    <n v="26"/>
    <s v="Male"/>
    <s v="Divorced"/>
    <s v="PhD"/>
    <x v="0"/>
    <s v="Operations Executive"/>
    <n v="1"/>
    <s v="Hyderabad"/>
    <n v="25000"/>
    <n v="10.199999999999999"/>
    <n v="12.7"/>
    <n v="5.7"/>
    <n v="1.3"/>
    <n v="2"/>
    <n v="2"/>
    <n v="3"/>
    <s v="No"/>
    <n v="3"/>
    <n v="1"/>
    <m/>
  </r>
  <r>
    <s v="EMP0721"/>
    <d v="2025-04-04T00:00:00"/>
    <m/>
    <s v="No"/>
    <n v="21"/>
    <s v="Male"/>
    <s v="Married"/>
    <s v="Diploma"/>
    <x v="1"/>
    <s v="BI Analyst"/>
    <n v="1"/>
    <s v="Chennai"/>
    <n v="22000"/>
    <n v="6.6"/>
    <n v="2.5"/>
    <n v="0.7"/>
    <n v="0"/>
    <n v="3"/>
    <n v="3"/>
    <n v="3"/>
    <s v="Yes"/>
    <n v="4"/>
    <n v="1"/>
    <m/>
  </r>
  <r>
    <s v="EMP0722"/>
    <d v="2025-04-03T00:00:00"/>
    <d v="2025-08-17T00:00:00"/>
    <s v="Yes"/>
    <n v="21"/>
    <s v="Non-Binary"/>
    <s v="Married"/>
    <s v="PhD"/>
    <x v="3"/>
    <s v="Accountant"/>
    <n v="1"/>
    <s v="Hyderabad"/>
    <n v="31000"/>
    <n v="6.9"/>
    <n v="7.1"/>
    <n v="0.4"/>
    <n v="0"/>
    <n v="3"/>
    <n v="3"/>
    <n v="3"/>
    <s v="No"/>
    <n v="4"/>
    <n v="1"/>
    <m/>
  </r>
  <r>
    <s v="EMP0723"/>
    <d v="2017-02-26T00:00:00"/>
    <m/>
    <s v="No"/>
    <n v="30"/>
    <s v="Male"/>
    <s v="Married"/>
    <s v="PhD"/>
    <x v="5"/>
    <s v="Senior Software Developer"/>
    <n v="2"/>
    <s v="Noida"/>
    <n v="63000"/>
    <n v="9.6"/>
    <n v="11.4"/>
    <n v="8.8000000000000007"/>
    <n v="4"/>
    <n v="3"/>
    <n v="2"/>
    <n v="3"/>
    <s v="No"/>
    <n v="3"/>
    <n v="1"/>
    <m/>
  </r>
  <r>
    <s v="EMP0724"/>
    <d v="2015-08-05T00:00:00"/>
    <d v="2025-05-18T00:00:00"/>
    <s v="Yes"/>
    <n v="38"/>
    <s v="Female"/>
    <s v="Divorced"/>
    <s v="Diploma"/>
    <x v="1"/>
    <s v="Data Engineer"/>
    <n v="4"/>
    <s v="Mumbai"/>
    <n v="131000"/>
    <n v="11"/>
    <n v="13.8"/>
    <n v="9.8000000000000007"/>
    <n v="5.3"/>
    <n v="3"/>
    <n v="4"/>
    <n v="2"/>
    <s v="No"/>
    <n v="4"/>
    <n v="1"/>
    <m/>
  </r>
  <r>
    <s v="EMP0725"/>
    <d v="2025-05-27T00:00:00"/>
    <m/>
    <s v="No"/>
    <n v="21"/>
    <s v="Male"/>
    <s v="Divorced"/>
    <s v="Master's"/>
    <x v="3"/>
    <s v="Finance Manager"/>
    <n v="1"/>
    <s v="Noida"/>
    <n v="51000"/>
    <n v="7.9"/>
    <n v="2.2999999999999998"/>
    <n v="0.6"/>
    <n v="0"/>
    <n v="1"/>
    <n v="1"/>
    <n v="3"/>
    <s v="Yes"/>
    <n v="3"/>
    <n v="1"/>
    <m/>
  </r>
  <r>
    <s v="EMP0726"/>
    <d v="2019-05-21T00:00:00"/>
    <m/>
    <s v="No"/>
    <n v="33"/>
    <s v="Male"/>
    <s v="Divorced"/>
    <s v="Master's"/>
    <x v="5"/>
    <s v="QA Engineer"/>
    <n v="2"/>
    <s v="Hyderabad"/>
    <n v="56000"/>
    <n v="6.7"/>
    <n v="12.9"/>
    <n v="6.6"/>
    <n v="2"/>
    <n v="1"/>
    <n v="3"/>
    <n v="4"/>
    <s v="No"/>
    <n v="2"/>
    <n v="1"/>
    <m/>
  </r>
  <r>
    <s v="EMP0727"/>
    <d v="2024-01-10T00:00:00"/>
    <m/>
    <s v="No"/>
    <n v="22"/>
    <s v="Male"/>
    <s v="Single"/>
    <s v="Bachelor's"/>
    <x v="4"/>
    <s v="Recruiter"/>
    <n v="1"/>
    <s v="Bengaluru"/>
    <n v="39000"/>
    <n v="7.3"/>
    <n v="4.3"/>
    <n v="2"/>
    <n v="0.3"/>
    <n v="3"/>
    <n v="3"/>
    <n v="3"/>
    <s v="No"/>
    <n v="4"/>
    <n v="1"/>
    <m/>
  </r>
  <r>
    <s v="EMP0728"/>
    <d v="2018-01-09T00:00:00"/>
    <d v="2025-11-20T00:00:00"/>
    <s v="Yes"/>
    <n v="30"/>
    <s v="Non-Binary"/>
    <s v="Married"/>
    <s v="Master's"/>
    <x v="2"/>
    <s v="IT Support Specialist"/>
    <n v="3"/>
    <s v="Noida"/>
    <n v="87000"/>
    <n v="6.9"/>
    <n v="14"/>
    <n v="7.9"/>
    <n v="1.5"/>
    <n v="3"/>
    <n v="3"/>
    <n v="2"/>
    <s v="Yes"/>
    <n v="4"/>
    <n v="1"/>
    <m/>
  </r>
  <r>
    <s v="EMP0729"/>
    <d v="2021-10-25T00:00:00"/>
    <d v="2025-10-05T00:00:00"/>
    <s v="Yes"/>
    <n v="28"/>
    <s v="Non-Binary"/>
    <s v="Married"/>
    <s v="Diploma"/>
    <x v="6"/>
    <s v="Sales Executive"/>
    <n v="1"/>
    <s v="Mumbai"/>
    <n v="40000"/>
    <n v="11.7"/>
    <n v="8.8000000000000007"/>
    <n v="3.9"/>
    <n v="0.6"/>
    <n v="4"/>
    <n v="3"/>
    <n v="4"/>
    <s v="No"/>
    <n v="3"/>
    <n v="1"/>
    <m/>
  </r>
  <r>
    <s v="EMP0730"/>
    <d v="2020-05-01T00:00:00"/>
    <m/>
    <s v="No"/>
    <n v="32"/>
    <s v="Female"/>
    <s v="Divorced"/>
    <s v="Master's"/>
    <x v="4"/>
    <s v="HR Executive"/>
    <n v="2"/>
    <s v="Mumbai"/>
    <n v="57000"/>
    <n v="9.4"/>
    <n v="8.6999999999999993"/>
    <n v="5.7"/>
    <n v="2.4"/>
    <n v="4"/>
    <n v="2"/>
    <n v="3"/>
    <s v="Yes"/>
    <n v="3"/>
    <n v="1"/>
    <m/>
  </r>
  <r>
    <s v="EMP0731"/>
    <d v="2018-05-17T00:00:00"/>
    <m/>
    <s v="No"/>
    <n v="28"/>
    <s v="Male"/>
    <s v="Divorced"/>
    <s v="Diploma"/>
    <x v="5"/>
    <s v="Tech Lead"/>
    <n v="3"/>
    <s v="Hyderabad"/>
    <n v="93000"/>
    <n v="8.1999999999999993"/>
    <n v="12.2"/>
    <n v="7.6"/>
    <n v="0.1"/>
    <n v="3"/>
    <n v="4"/>
    <n v="3"/>
    <s v="No"/>
    <n v="3"/>
    <n v="1"/>
    <m/>
  </r>
  <r>
    <s v="EMP0732"/>
    <d v="2023-09-21T00:00:00"/>
    <m/>
    <s v="No"/>
    <n v="34"/>
    <s v="Male"/>
    <s v="Single"/>
    <s v="PhD"/>
    <x v="1"/>
    <s v="Data Analyst"/>
    <n v="1"/>
    <s v="Hyderabad"/>
    <n v="41000"/>
    <n v="8.5"/>
    <n v="3.4"/>
    <n v="2.2999999999999998"/>
    <n v="1.4"/>
    <n v="3"/>
    <n v="3"/>
    <n v="3"/>
    <s v="No"/>
    <n v="4"/>
    <n v="1"/>
    <m/>
  </r>
  <r>
    <s v="EMP0733"/>
    <d v="2015-12-10T00:00:00"/>
    <m/>
    <s v="No"/>
    <n v="44"/>
    <s v="Female"/>
    <s v="Married"/>
    <s v="Master's"/>
    <x v="3"/>
    <s v="Finance Executive"/>
    <n v="3"/>
    <s v="Hyderabad"/>
    <n v="89000"/>
    <n v="12.5"/>
    <n v="17"/>
    <n v="10.1"/>
    <n v="1.6"/>
    <n v="3"/>
    <n v="2"/>
    <n v="3"/>
    <s v="Yes"/>
    <n v="3"/>
    <n v="1"/>
    <m/>
  </r>
  <r>
    <s v="EMP0734"/>
    <d v="2022-04-03T00:00:00"/>
    <d v="2025-02-23T00:00:00"/>
    <s v="Yes"/>
    <n v="27"/>
    <s v="Male"/>
    <s v="Single"/>
    <s v="Master's"/>
    <x v="3"/>
    <s v="Finance Manager"/>
    <n v="1"/>
    <s v="Mumbai"/>
    <n v="44000"/>
    <n v="12.5"/>
    <n v="6.3"/>
    <n v="2.9"/>
    <n v="0.2"/>
    <m/>
    <n v="2"/>
    <n v="1"/>
    <s v="No"/>
    <n v="3"/>
    <n v="1"/>
    <m/>
  </r>
  <r>
    <s v="EMP0735"/>
    <d v="2022-01-04T00:00:00"/>
    <m/>
    <s v="No"/>
    <n v="29"/>
    <s v="Female"/>
    <s v="Divorced"/>
    <s v="Diploma"/>
    <x v="2"/>
    <s v="IT Support Specialist"/>
    <n v="1"/>
    <s v="Chennai"/>
    <n v="31000"/>
    <n v="2.4"/>
    <n v="10"/>
    <n v="4"/>
    <n v="2.2000000000000002"/>
    <n v="4"/>
    <n v="3"/>
    <n v="3"/>
    <s v="Yes"/>
    <n v="3"/>
    <n v="1"/>
    <m/>
  </r>
  <r>
    <s v="EMP0736"/>
    <d v="2023-10-05T00:00:00"/>
    <m/>
    <s v="No"/>
    <n v="40"/>
    <s v="Female"/>
    <s v="Divorced"/>
    <s v="Master's"/>
    <x v="6"/>
    <s v="Sales Manager"/>
    <n v="3"/>
    <s v="Pune"/>
    <n v="73000"/>
    <n v="11.6"/>
    <n v="9.9"/>
    <n v="2.2000000000000002"/>
    <n v="0.8"/>
    <n v="3"/>
    <n v="3"/>
    <n v="3"/>
    <s v="No"/>
    <n v="3"/>
    <n v="1"/>
    <m/>
  </r>
  <r>
    <s v="EMP0737"/>
    <d v="2020-10-30T00:00:00"/>
    <m/>
    <s v="No"/>
    <n v="35"/>
    <s v="Male"/>
    <s v="Divorced"/>
    <s v="PhD"/>
    <x v="4"/>
    <s v="HR Manager"/>
    <n v="1"/>
    <s v="Chennai"/>
    <n v="22000"/>
    <n v="9.3000000000000007"/>
    <n v="7.7"/>
    <n v="5.2"/>
    <n v="1"/>
    <n v="1"/>
    <n v="3"/>
    <n v="3"/>
    <s v="Yes"/>
    <n v="3"/>
    <n v="1"/>
    <m/>
  </r>
  <r>
    <s v="EMP0738"/>
    <d v="2019-02-27T00:00:00"/>
    <m/>
    <s v="No"/>
    <n v="32"/>
    <s v="Non-Binary"/>
    <s v="Married"/>
    <s v="Diploma"/>
    <x v="1"/>
    <s v="Data Analyst"/>
    <n v="2"/>
    <s v="Chennai"/>
    <n v="47000"/>
    <n v="13.8"/>
    <n v="9"/>
    <n v="6.8"/>
    <n v="4.9000000000000004"/>
    <n v="3"/>
    <n v="4"/>
    <n v="3"/>
    <s v="Yes"/>
    <n v="3"/>
    <n v="1"/>
    <m/>
  </r>
  <r>
    <s v="EMP0739"/>
    <d v="2023-12-02T00:00:00"/>
    <m/>
    <s v="No"/>
    <n v="36"/>
    <s v="Non-Binary"/>
    <s v="Divorced"/>
    <s v="Diploma"/>
    <x v="4"/>
    <s v="Recruiter"/>
    <n v="1"/>
    <s v="Noida"/>
    <n v="46000"/>
    <n v="5.2"/>
    <n v="2.9"/>
    <n v="2.1"/>
    <n v="1.7"/>
    <n v="3"/>
    <n v="3"/>
    <n v="4"/>
    <s v="No"/>
    <n v="3"/>
    <n v="1"/>
    <m/>
  </r>
  <r>
    <s v="EMP0740"/>
    <d v="2025-09-02T00:00:00"/>
    <m/>
    <s v="No"/>
    <n v="40"/>
    <s v="Male"/>
    <s v="Single"/>
    <s v="PhD"/>
    <x v="2"/>
    <s v="IT Support Lead"/>
    <n v="2"/>
    <s v="Mumbai"/>
    <n v="50000"/>
    <n v="13.5"/>
    <n v="5.2"/>
    <n v="0.3"/>
    <n v="0"/>
    <n v="2"/>
    <n v="3"/>
    <n v="1"/>
    <s v="Yes"/>
    <n v="2"/>
    <n v="1"/>
    <m/>
  </r>
  <r>
    <s v="EMP0741"/>
    <d v="2023-07-05T00:00:00"/>
    <m/>
    <s v="No"/>
    <n v="27"/>
    <s v="Non-Binary"/>
    <s v="Single"/>
    <s v="Master's"/>
    <x v="0"/>
    <s v="Process Associate"/>
    <n v="1"/>
    <s v="Pune"/>
    <n v="26000"/>
    <n v="6.9"/>
    <n v="5.5"/>
    <n v="2.5"/>
    <n v="1"/>
    <n v="2"/>
    <n v="3"/>
    <n v="3"/>
    <s v="No"/>
    <n v="4"/>
    <n v="1"/>
    <m/>
  </r>
  <r>
    <s v="EMP0742"/>
    <d v="2015-11-16T00:00:00"/>
    <m/>
    <s v="No"/>
    <n v="42"/>
    <s v="Female"/>
    <s v="Married"/>
    <s v="Diploma"/>
    <x v="0"/>
    <s v="Operations Manager"/>
    <n v="3"/>
    <s v="Noida"/>
    <n v="70000"/>
    <n v="10.4"/>
    <n v="15.6"/>
    <n v="10.1"/>
    <n v="3.3"/>
    <n v="3"/>
    <n v="3"/>
    <n v="3"/>
    <s v="No"/>
    <n v="1"/>
    <n v="1"/>
    <m/>
  </r>
  <r>
    <s v="EMP0743"/>
    <d v="2025-04-08T00:00:00"/>
    <d v="2025-09-10T00:00:00"/>
    <s v="Yes"/>
    <n v="21"/>
    <s v="Male"/>
    <s v="Divorced"/>
    <s v="Diploma"/>
    <x v="3"/>
    <s v="Accountant"/>
    <n v="1"/>
    <s v="Hyderabad"/>
    <n v="37000"/>
    <n v="1.4"/>
    <n v="1.9"/>
    <n v="0.4"/>
    <n v="0"/>
    <n v="4"/>
    <n v="1"/>
    <n v="3"/>
    <s v="No"/>
    <n v="4"/>
    <n v="1"/>
    <m/>
  </r>
  <r>
    <s v="EMP0744"/>
    <d v="2023-03-25T00:00:00"/>
    <m/>
    <s v="No"/>
    <n v="23"/>
    <s v="Female"/>
    <m/>
    <s v="Bachelor's"/>
    <x v="5"/>
    <s v="QA Engineer"/>
    <n v="1"/>
    <s v="Chennai"/>
    <n v="56000"/>
    <n v="12.6"/>
    <n v="7.9"/>
    <n v="2.8"/>
    <n v="1.8"/>
    <n v="1"/>
    <n v="3"/>
    <n v="4"/>
    <s v="No"/>
    <n v="4"/>
    <n v="1"/>
    <m/>
  </r>
  <r>
    <s v="EMP0745"/>
    <d v="2014-11-06T00:00:00"/>
    <m/>
    <s v="No"/>
    <n v="42"/>
    <s v="Male"/>
    <s v="Divorced"/>
    <s v="Master's"/>
    <x v="2"/>
    <s v="IT Support Specialist"/>
    <n v="4"/>
    <s v="Noida"/>
    <n v="100000"/>
    <n v="11.2"/>
    <n v="14.9"/>
    <n v="11.2"/>
    <n v="5.2"/>
    <n v="3"/>
    <n v="4"/>
    <n v="4"/>
    <s v="No"/>
    <n v="1"/>
    <n v="1"/>
    <m/>
  </r>
  <r>
    <s v="EMP0746"/>
    <d v="2024-02-28T00:00:00"/>
    <d v="2025-11-23T00:00:00"/>
    <s v="Yes"/>
    <n v="35"/>
    <s v="Non-Binary"/>
    <s v="Divorced"/>
    <s v="Bachelor's"/>
    <x v="0"/>
    <s v="Operations Analyst"/>
    <n v="4"/>
    <s v="Hyderabad"/>
    <n v="115000"/>
    <n v="11.9"/>
    <n v="7.4"/>
    <n v="1.7"/>
    <n v="0.5"/>
    <n v="4"/>
    <n v="4"/>
    <n v="3"/>
    <s v="No"/>
    <n v="4"/>
    <n v="1"/>
    <m/>
  </r>
  <r>
    <s v="EMP0747"/>
    <d v="2025-01-26T00:00:00"/>
    <m/>
    <s v="No"/>
    <n v="21"/>
    <s v="Male"/>
    <s v="Single"/>
    <s v="Master's"/>
    <x v="2"/>
    <s v="IT Analyst"/>
    <n v="1"/>
    <s v="Chennai"/>
    <n v="24000"/>
    <n v="8.5"/>
    <n v="3.9"/>
    <n v="0.9"/>
    <n v="0"/>
    <n v="4"/>
    <n v="3"/>
    <n v="3"/>
    <s v="Yes"/>
    <n v="4"/>
    <n v="1"/>
    <m/>
  </r>
  <r>
    <s v="EMP0748"/>
    <d v="2025-04-22T00:00:00"/>
    <m/>
    <s v="No"/>
    <n v="25"/>
    <s v="Female"/>
    <s v="Divorced"/>
    <s v="Diploma"/>
    <x v="1"/>
    <s v="Senior Data Analyst"/>
    <n v="1"/>
    <s v="Bengaluru"/>
    <n v="61000"/>
    <n v="15.1"/>
    <n v="4.7"/>
    <n v="0.7"/>
    <n v="0"/>
    <n v="3"/>
    <n v="4"/>
    <n v="4"/>
    <s v="No"/>
    <n v="1"/>
    <n v="1"/>
    <m/>
  </r>
  <r>
    <s v="EMP0749"/>
    <d v="2017-07-21T00:00:00"/>
    <d v="2025-02-16T00:00:00"/>
    <s v="Yes"/>
    <n v="34"/>
    <s v="Male"/>
    <s v="Single"/>
    <s v="Master's"/>
    <x v="6"/>
    <s v="Business Development Executive"/>
    <n v="3"/>
    <s v="Noida"/>
    <n v="75000"/>
    <n v="5.2"/>
    <n v="9"/>
    <n v="7.6"/>
    <n v="0.5"/>
    <n v="3"/>
    <n v="3"/>
    <n v="3"/>
    <s v="No"/>
    <n v="1"/>
    <n v="1"/>
    <m/>
  </r>
  <r>
    <s v="EMP0750"/>
    <d v="2017-03-24T00:00:00"/>
    <m/>
    <s v="No"/>
    <n v="35"/>
    <s v="Non-Binary"/>
    <s v="Married"/>
    <s v="Master's"/>
    <x v="6"/>
    <s v="Business Development Executive"/>
    <n v="1"/>
    <s v="Hyderabad"/>
    <n v="22000"/>
    <n v="10.3"/>
    <n v="16"/>
    <n v="8.8000000000000007"/>
    <n v="1.1000000000000001"/>
    <n v="4"/>
    <n v="4"/>
    <n v="2"/>
    <s v="Yes"/>
    <n v="2"/>
    <n v="1"/>
    <m/>
  </r>
  <r>
    <s v="EMP0751"/>
    <d v="2025-05-30T00:00:00"/>
    <d v="2025-10-12T00:00:00"/>
    <s v="Yes"/>
    <n v="21"/>
    <s v="Non-Binary"/>
    <s v="Divorced"/>
    <s v="PhD"/>
    <x v="1"/>
    <s v="Senior Data Analyst"/>
    <n v="1"/>
    <s v="Noida"/>
    <n v="31000"/>
    <n v="7.3"/>
    <n v="2.4"/>
    <n v="0.4"/>
    <n v="0"/>
    <n v="3"/>
    <n v="2"/>
    <n v="3"/>
    <s v="No"/>
    <n v="3"/>
    <n v="1"/>
    <m/>
  </r>
  <r>
    <s v="EMP0752"/>
    <d v="2015-12-08T00:00:00"/>
    <m/>
    <s v="No"/>
    <n v="37"/>
    <s v="Non-Binary"/>
    <s v="Divorced"/>
    <s v="Diploma"/>
    <x v="0"/>
    <s v="Operations Analyst"/>
    <n v="1"/>
    <s v="Bengaluru"/>
    <n v="22000"/>
    <n v="10.9"/>
    <n v="15.7"/>
    <n v="10.1"/>
    <n v="2.1"/>
    <n v="3"/>
    <n v="4"/>
    <n v="4"/>
    <s v="No"/>
    <n v="3"/>
    <n v="1"/>
    <m/>
  </r>
  <r>
    <s v="EMP0753"/>
    <d v="2020-03-24T00:00:00"/>
    <m/>
    <s v="No"/>
    <n v="41"/>
    <s v="Non-Binary"/>
    <s v="Single"/>
    <s v="Diploma"/>
    <x v="4"/>
    <s v="Recruiter"/>
    <n v="2"/>
    <s v="Noida"/>
    <n v="46000"/>
    <n v="8.6"/>
    <n v="7.3"/>
    <n v="5.8"/>
    <n v="0.8"/>
    <n v="2"/>
    <n v="3"/>
    <n v="3"/>
    <s v="Yes"/>
    <n v="3"/>
    <n v="1"/>
    <m/>
  </r>
  <r>
    <s v="EMP0754"/>
    <d v="2022-06-26T00:00:00"/>
    <m/>
    <s v="No"/>
    <n v="24"/>
    <s v="Male"/>
    <s v="Single"/>
    <s v="PhD"/>
    <x v="5"/>
    <s v="QA Engineer"/>
    <n v="1"/>
    <s v="Chennai"/>
    <n v="25000"/>
    <n v="6.7"/>
    <n v="8.6999999999999993"/>
    <n v="3.5"/>
    <n v="0.4"/>
    <n v="3"/>
    <n v="4"/>
    <n v="3"/>
    <s v="Yes"/>
    <n v="3"/>
    <n v="1"/>
    <m/>
  </r>
  <r>
    <s v="EMP0755"/>
    <d v="2024-06-16T00:00:00"/>
    <m/>
    <s v="No"/>
    <n v="22"/>
    <s v="Male"/>
    <s v="Divorced"/>
    <s v="Bachelor's"/>
    <x v="3"/>
    <s v="Finance Manager"/>
    <n v="1"/>
    <s v="Mumbai"/>
    <n v="22000"/>
    <n v="7.2"/>
    <n v="6.3"/>
    <n v="1.5"/>
    <n v="0.7"/>
    <n v="2"/>
    <n v="3"/>
    <n v="1"/>
    <s v="No"/>
    <n v="5"/>
    <n v="1"/>
    <m/>
  </r>
  <r>
    <s v="EMP0756"/>
    <d v="2021-01-04T00:00:00"/>
    <m/>
    <s v="No"/>
    <n v="41"/>
    <s v="Male"/>
    <s v="Single"/>
    <s v="Diploma"/>
    <x v="3"/>
    <s v="Finance Executive"/>
    <n v="5"/>
    <s v="Bengaluru"/>
    <n v="156000"/>
    <n v="7.4"/>
    <n v="12.1"/>
    <n v="5"/>
    <n v="4.8"/>
    <n v="3"/>
    <n v="4"/>
    <n v="2"/>
    <s v="Yes"/>
    <n v="5"/>
    <n v="1"/>
    <m/>
  </r>
  <r>
    <s v="EMP0757"/>
    <d v="2025-02-22T00:00:00"/>
    <m/>
    <s v="No"/>
    <n v="21"/>
    <s v="Male"/>
    <s v="Single"/>
    <s v="Master's"/>
    <x v="5"/>
    <s v="QA Engineer"/>
    <n v="1"/>
    <s v="Mumbai"/>
    <n v="34000"/>
    <n v="9.8000000000000007"/>
    <n v="4.5"/>
    <n v="0.9"/>
    <n v="0"/>
    <n v="3"/>
    <n v="2"/>
    <n v="2"/>
    <s v="Yes"/>
    <n v="3"/>
    <n v="1"/>
    <m/>
  </r>
  <r>
    <s v="EMP0758"/>
    <d v="2020-11-13T00:00:00"/>
    <d v="2025-02-21T00:00:00"/>
    <s v="Yes"/>
    <n v="29"/>
    <s v="Female"/>
    <s v="Divorced"/>
    <s v="Master's"/>
    <x v="5"/>
    <s v="Senior Software Developer"/>
    <n v="2"/>
    <s v="Bengaluru"/>
    <n v="60000"/>
    <n v="0"/>
    <n v="8"/>
    <n v="4.3"/>
    <n v="3"/>
    <n v="1"/>
    <n v="3"/>
    <n v="4"/>
    <s v="No"/>
    <n v="4"/>
    <n v="1"/>
    <m/>
  </r>
  <r>
    <s v="EMP0759"/>
    <d v="2014-10-04T00:00:00"/>
    <m/>
    <s v="No"/>
    <n v="36"/>
    <s v="Non-Binary"/>
    <s v="Divorced"/>
    <s v="Bachelor's"/>
    <x v="3"/>
    <s v="Accountant"/>
    <n v="2"/>
    <s v="Pune"/>
    <n v="46000"/>
    <n v="9.1999999999999993"/>
    <n v="16.600000000000001"/>
    <n v="11.2"/>
    <n v="5.2"/>
    <n v="3"/>
    <n v="3"/>
    <n v="3"/>
    <s v="No"/>
    <n v="3"/>
    <n v="1"/>
    <m/>
  </r>
  <r>
    <s v="EMP0760"/>
    <d v="2021-10-01T00:00:00"/>
    <m/>
    <s v="No"/>
    <n v="31"/>
    <s v="Male"/>
    <s v="Married"/>
    <s v="PhD"/>
    <x v="4"/>
    <s v="Recruiter"/>
    <n v="3"/>
    <s v="Bengaluru"/>
    <n v="75000"/>
    <n v="5.0999999999999996"/>
    <n v="10.3"/>
    <n v="4.2"/>
    <n v="3.8"/>
    <n v="4"/>
    <n v="3"/>
    <n v="2"/>
    <s v="No"/>
    <n v="3"/>
    <n v="1"/>
    <m/>
  </r>
  <r>
    <s v="EMP0761"/>
    <d v="2020-09-20T00:00:00"/>
    <m/>
    <s v="No"/>
    <n v="37"/>
    <s v="Male"/>
    <s v="Married"/>
    <s v="Bachelor's"/>
    <x v="6"/>
    <s v="Business Development Executive"/>
    <n v="3"/>
    <s v="Hyderabad"/>
    <n v="78000"/>
    <n v="6.7"/>
    <n v="5.6"/>
    <n v="5.3"/>
    <n v="5.0999999999999996"/>
    <n v="3"/>
    <n v="3"/>
    <n v="2"/>
    <s v="No"/>
    <n v="4"/>
    <n v="1"/>
    <m/>
  </r>
  <r>
    <s v="EMP0762"/>
    <d v="2020-12-19T00:00:00"/>
    <d v="2025-09-17T00:00:00"/>
    <s v="Yes"/>
    <n v="38"/>
    <s v="Male"/>
    <s v="Married"/>
    <s v="PhD"/>
    <x v="0"/>
    <s v="Operations Executive"/>
    <n v="3"/>
    <s v="Hyderabad"/>
    <n v="54000"/>
    <n v="13.6"/>
    <n v="7.8"/>
    <n v="4.7"/>
    <n v="2.1"/>
    <n v="2"/>
    <n v="3"/>
    <n v="4"/>
    <s v="No"/>
    <n v="3"/>
    <n v="1"/>
    <m/>
  </r>
  <r>
    <s v="EMP0763"/>
    <d v="2016-04-24T00:00:00"/>
    <m/>
    <s v="No"/>
    <n v="36"/>
    <s v="Non-Binary"/>
    <s v="Married"/>
    <s v="Bachelor's"/>
    <x v="0"/>
    <s v="Operations Executive"/>
    <n v="3"/>
    <s v="Pune"/>
    <n v="83000"/>
    <n v="3.5"/>
    <n v="12.4"/>
    <n v="9.6999999999999993"/>
    <n v="3.2"/>
    <n v="3"/>
    <m/>
    <n v="4"/>
    <s v="No"/>
    <n v="5"/>
    <n v="1"/>
    <m/>
  </r>
  <r>
    <s v="EMP0764"/>
    <d v="2018-02-17T00:00:00"/>
    <m/>
    <s v="No"/>
    <n v="31"/>
    <s v="Female"/>
    <s v="Married"/>
    <s v="Bachelor's"/>
    <x v="5"/>
    <s v="QA Engineer"/>
    <n v="4"/>
    <s v="Chennai"/>
    <n v="117000"/>
    <n v="15.9"/>
    <n v="14.8"/>
    <n v="7.9"/>
    <n v="2.6"/>
    <n v="3"/>
    <n v="3"/>
    <n v="1"/>
    <s v="Yes"/>
    <n v="4"/>
    <n v="1"/>
    <m/>
  </r>
  <r>
    <s v="EMP0765"/>
    <d v="2022-10-07T00:00:00"/>
    <m/>
    <s v="No"/>
    <n v="29"/>
    <s v="Non-Binary"/>
    <s v="Single"/>
    <s v="Diploma"/>
    <x v="0"/>
    <s v="Operations Manager"/>
    <n v="2"/>
    <s v="Noida"/>
    <n v="51000"/>
    <n v="4.2"/>
    <n v="4.7"/>
    <n v="3.2"/>
    <n v="1.1000000000000001"/>
    <n v="4"/>
    <n v="1"/>
    <n v="3"/>
    <s v="No"/>
    <n v="4"/>
    <n v="1"/>
    <m/>
  </r>
  <r>
    <s v="EMP0766"/>
    <d v="2024-09-19T00:00:00"/>
    <m/>
    <s v="No"/>
    <n v="35"/>
    <s v="Non-Binary"/>
    <s v="Divorced"/>
    <s v="PhD"/>
    <x v="5"/>
    <s v="Tech Lead"/>
    <n v="2"/>
    <s v="Bengaluru"/>
    <n v="56000"/>
    <n v="8.6"/>
    <n v="4.7"/>
    <n v="1.3"/>
    <n v="0.4"/>
    <n v="3"/>
    <n v="4"/>
    <n v="3"/>
    <s v="Yes"/>
    <n v="3"/>
    <n v="1"/>
    <m/>
  </r>
  <r>
    <s v="EMP0767"/>
    <d v="2025-01-24T00:00:00"/>
    <m/>
    <s v="No"/>
    <n v="22"/>
    <s v="Non-Binary"/>
    <s v="Married"/>
    <s v="PhD"/>
    <x v="5"/>
    <s v="QA Engineer"/>
    <n v="1"/>
    <s v="Mumbai"/>
    <n v="41000"/>
    <n v="16"/>
    <n v="8"/>
    <n v="0.9"/>
    <n v="0"/>
    <n v="4"/>
    <n v="4"/>
    <n v="2"/>
    <s v="Yes"/>
    <n v="5"/>
    <n v="1"/>
    <m/>
  </r>
  <r>
    <s v="EMP0768"/>
    <d v="2022-09-11T00:00:00"/>
    <m/>
    <s v="No"/>
    <n v="35"/>
    <s v="Non-Binary"/>
    <s v="Divorced"/>
    <s v="Master's"/>
    <x v="5"/>
    <s v="Senior Software Developer"/>
    <n v="5"/>
    <s v="Noida"/>
    <n v="179000"/>
    <n v="3.9"/>
    <n v="6.8"/>
    <n v="3.3"/>
    <n v="0.4"/>
    <n v="4"/>
    <n v="2"/>
    <n v="3"/>
    <s v="No"/>
    <n v="3"/>
    <n v="1"/>
    <m/>
  </r>
  <r>
    <s v="EMP0769"/>
    <d v="2020-03-02T00:00:00"/>
    <m/>
    <s v="No"/>
    <n v="34"/>
    <s v="Non-Binary"/>
    <s v="Married"/>
    <s v="Diploma"/>
    <x v="2"/>
    <s v="IT Support Specialist"/>
    <n v="2"/>
    <s v="Bengaluru"/>
    <n v="66000"/>
    <n v="6.1"/>
    <n v="12.1"/>
    <n v="5.8"/>
    <n v="1.6"/>
    <n v="3"/>
    <n v="3"/>
    <n v="3"/>
    <s v="No"/>
    <n v="5"/>
    <n v="1"/>
    <m/>
  </r>
  <r>
    <s v="EMP0770"/>
    <d v="2020-11-07T00:00:00"/>
    <m/>
    <s v="No"/>
    <n v="38"/>
    <s v="Male"/>
    <s v="Divorced"/>
    <s v="Diploma"/>
    <x v="3"/>
    <s v="Accountant"/>
    <n v="1"/>
    <s v="Noida"/>
    <n v="40000"/>
    <n v="9.9"/>
    <n v="13"/>
    <n v="5.0999999999999996"/>
    <n v="1.6"/>
    <n v="3"/>
    <n v="2"/>
    <n v="1"/>
    <s v="Yes"/>
    <n v="3"/>
    <n v="1"/>
    <m/>
  </r>
  <r>
    <s v="EMP0771"/>
    <d v="2018-04-10T00:00:00"/>
    <m/>
    <s v="No"/>
    <n v="41"/>
    <s v="Non-Binary"/>
    <s v="Married"/>
    <s v="Master's"/>
    <x v="0"/>
    <s v="Process Associate"/>
    <n v="3"/>
    <s v="Chennai"/>
    <n v="73000"/>
    <n v="1.1000000000000001"/>
    <n v="7.8"/>
    <n v="7.7"/>
    <n v="2"/>
    <n v="3"/>
    <n v="3"/>
    <n v="3"/>
    <s v="No"/>
    <n v="3"/>
    <n v="1"/>
    <m/>
  </r>
  <r>
    <s v="EMP0772"/>
    <d v="2022-09-16T00:00:00"/>
    <m/>
    <s v="No"/>
    <n v="32"/>
    <s v="Female"/>
    <s v="Married"/>
    <s v="Diploma"/>
    <x v="0"/>
    <s v="Operations Analyst"/>
    <n v="3"/>
    <s v="Hyderabad"/>
    <n v="75000"/>
    <n v="8.8000000000000007"/>
    <n v="8.3000000000000007"/>
    <n v="3.3"/>
    <n v="1.9"/>
    <n v="4"/>
    <n v="3"/>
    <n v="2"/>
    <s v="Yes"/>
    <n v="5"/>
    <n v="1"/>
    <m/>
  </r>
  <r>
    <s v="EMP0773"/>
    <d v="2025-09-05T00:00:00"/>
    <m/>
    <s v="No"/>
    <n v="21"/>
    <s v="Female"/>
    <s v="Single"/>
    <s v="PhD"/>
    <x v="3"/>
    <s v="Finance Manager"/>
    <n v="1"/>
    <s v="Chennai"/>
    <n v="36000"/>
    <n v="1.7"/>
    <n v="3.8"/>
    <n v="0.3"/>
    <n v="0"/>
    <n v="2"/>
    <n v="1"/>
    <n v="4"/>
    <s v="No"/>
    <n v="4"/>
    <n v="1"/>
    <m/>
  </r>
  <r>
    <s v="EMP0774"/>
    <d v="2015-10-05T00:00:00"/>
    <m/>
    <s v="No"/>
    <n v="32"/>
    <s v="Female"/>
    <s v="Divorced"/>
    <s v="PhD"/>
    <x v="1"/>
    <s v="Data Engineer"/>
    <n v="3"/>
    <s v="Hyderabad"/>
    <n v="93000"/>
    <n v="5.5"/>
    <n v="14.8"/>
    <n v="10.199999999999999"/>
    <n v="1.1000000000000001"/>
    <n v="2"/>
    <n v="2"/>
    <n v="4"/>
    <s v="Yes"/>
    <n v="4"/>
    <n v="1"/>
    <m/>
  </r>
  <r>
    <s v="EMP0775"/>
    <d v="2018-09-09T00:00:00"/>
    <d v="2025-12-18T00:00:00"/>
    <s v="Yes"/>
    <n v="40"/>
    <s v="Female"/>
    <s v="Married"/>
    <s v="PhD"/>
    <x v="2"/>
    <s v="System Administrator"/>
    <n v="2"/>
    <s v="Hyderabad"/>
    <n v="57000"/>
    <n v="8.5"/>
    <n v="15"/>
    <n v="7.3"/>
    <n v="4.5999999999999996"/>
    <n v="3"/>
    <n v="3"/>
    <n v="3"/>
    <s v="No"/>
    <n v="3"/>
    <n v="1"/>
    <m/>
  </r>
  <r>
    <s v="EMP0776"/>
    <d v="2018-12-23T00:00:00"/>
    <m/>
    <s v="No"/>
    <n v="28"/>
    <s v="Female"/>
    <s v="Married"/>
    <s v="PhD"/>
    <x v="2"/>
    <s v="IT Support Lead"/>
    <n v="2"/>
    <s v="Pune"/>
    <n v="59000"/>
    <n v="15.6"/>
    <n v="13.1"/>
    <n v="7"/>
    <n v="3.9"/>
    <n v="1"/>
    <n v="3"/>
    <n v="2"/>
    <s v="No"/>
    <n v="4"/>
    <n v="1"/>
    <m/>
  </r>
  <r>
    <s v="EMP0777"/>
    <d v="2024-08-19T00:00:00"/>
    <m/>
    <s v="No"/>
    <n v="28"/>
    <s v="Female"/>
    <s v="Divorced"/>
    <s v="Bachelor's"/>
    <x v="0"/>
    <s v="Operations Executive"/>
    <n v="3"/>
    <s v="Hyderabad"/>
    <n v="75000"/>
    <n v="3.8"/>
    <n v="7.2"/>
    <n v="1.4"/>
    <n v="1.3"/>
    <n v="4"/>
    <n v="3"/>
    <n v="2"/>
    <s v="No"/>
    <n v="4"/>
    <n v="1"/>
    <m/>
  </r>
  <r>
    <s v="EMP0778"/>
    <d v="2015-08-07T00:00:00"/>
    <m/>
    <s v="No"/>
    <n v="36"/>
    <s v="Female"/>
    <s v="Single"/>
    <s v="Bachelor's"/>
    <x v="5"/>
    <s v="Tech Lead"/>
    <n v="3"/>
    <s v="Pune"/>
    <n v="70000"/>
    <n v="4.4000000000000004"/>
    <n v="17.399999999999999"/>
    <n v="10.4"/>
    <n v="1.1000000000000001"/>
    <n v="2"/>
    <n v="4"/>
    <n v="4"/>
    <s v="No"/>
    <n v="3"/>
    <n v="1"/>
    <m/>
  </r>
  <r>
    <s v="EMP0779"/>
    <d v="2018-05-21T00:00:00"/>
    <m/>
    <s v="No"/>
    <n v="31"/>
    <s v="Male"/>
    <s v="Single"/>
    <s v="PhD"/>
    <x v="4"/>
    <s v="HR Manager"/>
    <n v="3"/>
    <s v="Noida"/>
    <n v="63000"/>
    <n v="10.6"/>
    <n v="11.3"/>
    <n v="7.6"/>
    <n v="3.8"/>
    <n v="2"/>
    <n v="4"/>
    <n v="4"/>
    <s v="No"/>
    <n v="5"/>
    <n v="1"/>
    <m/>
  </r>
  <r>
    <s v="EMP0780"/>
    <d v="2017-09-20T00:00:00"/>
    <m/>
    <s v="No"/>
    <n v="32"/>
    <s v="Non-Binary"/>
    <s v="Divorced"/>
    <s v="Bachelor's"/>
    <x v="5"/>
    <s v="Software Developer"/>
    <n v="3"/>
    <s v="Mumbai"/>
    <n v="80000"/>
    <n v="13.2"/>
    <n v="11.4"/>
    <n v="8.3000000000000007"/>
    <n v="4.7"/>
    <n v="3"/>
    <n v="4"/>
    <n v="4"/>
    <s v="No"/>
    <n v="4"/>
    <n v="1"/>
    <m/>
  </r>
  <r>
    <s v="EMP0781"/>
    <d v="2021-11-01T00:00:00"/>
    <m/>
    <s v="No"/>
    <n v="30"/>
    <s v="Male"/>
    <s v="Married"/>
    <s v="Bachelor's"/>
    <x v="3"/>
    <s v="Financial Analyst"/>
    <n v="2"/>
    <s v="Noida"/>
    <n v="49000"/>
    <n v="11"/>
    <n v="9.9"/>
    <n v="4.2"/>
    <n v="2.1"/>
    <n v="4"/>
    <n v="3"/>
    <n v="3"/>
    <s v="No"/>
    <n v="2"/>
    <n v="1"/>
    <m/>
  </r>
  <r>
    <s v="EMP0782"/>
    <d v="2021-09-22T00:00:00"/>
    <m/>
    <s v="No"/>
    <n v="32"/>
    <s v="Male"/>
    <s v="Married"/>
    <s v="Diploma"/>
    <x v="1"/>
    <s v="Senior Data Analyst"/>
    <n v="2"/>
    <s v="Hyderabad"/>
    <n v="68000"/>
    <n v="1.4"/>
    <n v="5.0999999999999996"/>
    <n v="4.3"/>
    <n v="2.8"/>
    <n v="4"/>
    <n v="2"/>
    <n v="4"/>
    <s v="No"/>
    <n v="3"/>
    <n v="1"/>
    <m/>
  </r>
  <r>
    <s v="EMP0783"/>
    <d v="2020-06-06T00:00:00"/>
    <d v="2025-03-13T00:00:00"/>
    <s v="Yes"/>
    <n v="34"/>
    <s v="Female"/>
    <s v="Married"/>
    <s v="Master's"/>
    <x v="0"/>
    <s v="Process Associate"/>
    <n v="2"/>
    <s v="Chennai"/>
    <n v="46000"/>
    <n v="8.6"/>
    <n v="6"/>
    <n v="4.8"/>
    <n v="1.4"/>
    <n v="3"/>
    <n v="2"/>
    <n v="3"/>
    <s v="Yes"/>
    <n v="3"/>
    <n v="1"/>
    <m/>
  </r>
  <r>
    <s v="EMP0784"/>
    <d v="2025-05-14T00:00:00"/>
    <m/>
    <s v="No"/>
    <n v="21"/>
    <s v="Male"/>
    <s v="Single"/>
    <s v="Diploma"/>
    <x v="0"/>
    <s v="Operations Manager"/>
    <n v="1"/>
    <s v="Pune"/>
    <n v="45000"/>
    <n v="9.1999999999999993"/>
    <n v="6.2"/>
    <n v="0.6"/>
    <n v="0"/>
    <n v="3"/>
    <n v="3"/>
    <n v="3"/>
    <s v="No"/>
    <n v="4"/>
    <n v="1"/>
    <m/>
  </r>
  <r>
    <s v="EMP0785"/>
    <d v="2017-04-06T00:00:00"/>
    <m/>
    <s v="No"/>
    <n v="40"/>
    <s v="Female"/>
    <s v="Divorced"/>
    <s v="Diploma"/>
    <x v="4"/>
    <s v="HR Executive"/>
    <n v="2"/>
    <s v="Mumbai"/>
    <n v="41000"/>
    <n v="10.9"/>
    <n v="13.7"/>
    <n v="8.6999999999999993"/>
    <n v="1"/>
    <n v="4"/>
    <n v="3"/>
    <n v="2"/>
    <s v="No"/>
    <n v="4"/>
    <n v="1"/>
    <m/>
  </r>
  <r>
    <s v="EMP0786"/>
    <d v="2015-07-07T00:00:00"/>
    <m/>
    <s v="No"/>
    <n v="39"/>
    <s v="Non-Binary"/>
    <s v="Divorced"/>
    <s v="Bachelor's"/>
    <x v="2"/>
    <s v="IT Support Lead"/>
    <n v="3"/>
    <s v="Noida"/>
    <n v="56000"/>
    <n v="8.6"/>
    <n v="15.8"/>
    <n v="10.5"/>
    <n v="0.4"/>
    <n v="3"/>
    <n v="2"/>
    <n v="2"/>
    <s v="No"/>
    <n v="2"/>
    <n v="1"/>
    <m/>
  </r>
  <r>
    <s v="EMP0787"/>
    <d v="2019-01-15T00:00:00"/>
    <m/>
    <s v="No"/>
    <n v="36"/>
    <s v="Male"/>
    <s v="Married"/>
    <s v="Bachelor's"/>
    <x v="1"/>
    <s v="Senior Data Analyst"/>
    <n v="3"/>
    <s v="Hyderabad"/>
    <n v="94000"/>
    <n v="6.2"/>
    <n v="13.5"/>
    <n v="7"/>
    <n v="4.7"/>
    <n v="1"/>
    <n v="4"/>
    <n v="3"/>
    <s v="No"/>
    <n v="3"/>
    <n v="1"/>
    <m/>
  </r>
  <r>
    <s v="EMP0788"/>
    <d v="2014-06-13T00:00:00"/>
    <d v="2025-01-29T00:00:00"/>
    <s v="Yes"/>
    <n v="32"/>
    <s v="Non-Binary"/>
    <s v="Single"/>
    <s v="Master's"/>
    <x v="4"/>
    <s v="HR Executive"/>
    <n v="2"/>
    <s v="Noida"/>
    <n v="43000"/>
    <n v="12.4"/>
    <n v="14.2"/>
    <n v="10.6"/>
    <n v="3.1"/>
    <n v="3"/>
    <n v="2"/>
    <n v="4"/>
    <s v="No"/>
    <n v="3"/>
    <n v="1"/>
    <m/>
  </r>
  <r>
    <s v="EMP0789"/>
    <d v="2025-07-30T00:00:00"/>
    <m/>
    <s v="No"/>
    <n v="21"/>
    <s v="Female"/>
    <s v="Single"/>
    <s v="Master's"/>
    <x v="0"/>
    <s v="Process Associate"/>
    <n v="1"/>
    <s v="Pune"/>
    <n v="28000"/>
    <n v="4.8"/>
    <n v="6.4"/>
    <n v="0.4"/>
    <n v="0"/>
    <n v="3"/>
    <n v="4"/>
    <n v="4"/>
    <s v="No"/>
    <n v="2"/>
    <n v="1"/>
    <m/>
  </r>
  <r>
    <s v="EMP0790"/>
    <d v="2023-12-25T00:00:00"/>
    <m/>
    <s v="No"/>
    <n v="24"/>
    <s v="Non-Binary"/>
    <s v="Divorced"/>
    <s v="Master's"/>
    <x v="1"/>
    <s v="Data Engineer"/>
    <n v="1"/>
    <s v="Chennai"/>
    <n v="40000"/>
    <n v="14.3"/>
    <n v="7.1"/>
    <n v="2"/>
    <n v="0.4"/>
    <n v="4"/>
    <n v="2"/>
    <n v="2"/>
    <s v="No"/>
    <n v="3"/>
    <n v="1"/>
    <m/>
  </r>
  <r>
    <s v="EMP0791"/>
    <d v="2020-08-21T00:00:00"/>
    <m/>
    <s v="No"/>
    <n v="29"/>
    <s v="Male"/>
    <s v="Married"/>
    <s v="PhD"/>
    <x v="3"/>
    <s v="Finance Executive"/>
    <n v="3"/>
    <s v="Chennai"/>
    <n v="84000"/>
    <n v="7.2"/>
    <n v="11.6"/>
    <n v="5.4"/>
    <n v="1.1000000000000001"/>
    <n v="2"/>
    <n v="4"/>
    <n v="3"/>
    <s v="No"/>
    <n v="3"/>
    <n v="1"/>
    <m/>
  </r>
  <r>
    <s v="EMP0792"/>
    <d v="2022-09-25T00:00:00"/>
    <m/>
    <s v="No"/>
    <n v="25"/>
    <s v="Non-Binary"/>
    <s v="Married"/>
    <s v="PhD"/>
    <x v="6"/>
    <s v="Business Development Executive"/>
    <n v="1"/>
    <s v="Bengaluru"/>
    <n v="22000"/>
    <n v="7.4"/>
    <n v="8.4"/>
    <n v="3.3"/>
    <n v="0.9"/>
    <n v="3"/>
    <n v="3"/>
    <n v="3"/>
    <s v="No"/>
    <n v="4"/>
    <n v="1"/>
    <m/>
  </r>
  <r>
    <s v="EMP0793"/>
    <d v="2021-12-19T00:00:00"/>
    <m/>
    <s v="No"/>
    <n v="32"/>
    <s v="Non-Binary"/>
    <s v="Divorced"/>
    <s v="Master's"/>
    <x v="2"/>
    <s v="System Administrator"/>
    <n v="3"/>
    <s v="Pune"/>
    <n v="71000"/>
    <n v="5.2"/>
    <n v="4.5999999999999996"/>
    <n v="4"/>
    <n v="1.7"/>
    <n v="3"/>
    <n v="3"/>
    <n v="4"/>
    <s v="No"/>
    <n v="3"/>
    <n v="1"/>
    <m/>
  </r>
  <r>
    <s v="EMP0794"/>
    <d v="2022-11-17T00:00:00"/>
    <m/>
    <s v="No"/>
    <n v="24"/>
    <s v="Male"/>
    <s v="Married"/>
    <s v="Master's"/>
    <x v="2"/>
    <s v="IT Support Specialist"/>
    <n v="1"/>
    <s v="Pune"/>
    <n v="40000"/>
    <n v="5"/>
    <n v="7.4"/>
    <n v="3.1"/>
    <n v="0.3"/>
    <n v="3"/>
    <n v="3"/>
    <n v="3"/>
    <s v="Yes"/>
    <n v="4"/>
    <n v="1"/>
    <m/>
  </r>
  <r>
    <s v="EMP0795"/>
    <d v="2023-07-31T00:00:00"/>
    <d v="2025-09-22T00:00:00"/>
    <s v="Yes"/>
    <n v="23"/>
    <s v="Female"/>
    <s v="Married"/>
    <s v="Diploma"/>
    <x v="2"/>
    <s v="IT Support Lead"/>
    <n v="1"/>
    <s v="Hyderabad"/>
    <n v="28000"/>
    <n v="12.9"/>
    <n v="10"/>
    <n v="2.1"/>
    <n v="1.4"/>
    <n v="3"/>
    <n v="4"/>
    <n v="4"/>
    <s v="No"/>
    <n v="3"/>
    <n v="1"/>
    <m/>
  </r>
  <r>
    <s v="EMP0796"/>
    <d v="2021-07-23T00:00:00"/>
    <m/>
    <s v="No"/>
    <n v="40"/>
    <s v="Female"/>
    <s v="Divorced"/>
    <s v="Master's"/>
    <x v="1"/>
    <s v="Senior Data Analyst"/>
    <n v="2"/>
    <s v="Mumbai"/>
    <n v="66000"/>
    <n v="4.5999999999999996"/>
    <n v="7.6"/>
    <n v="4.4000000000000004"/>
    <n v="1.8"/>
    <n v="3"/>
    <n v="4"/>
    <n v="3"/>
    <s v="No"/>
    <n v="5"/>
    <n v="1"/>
    <m/>
  </r>
  <r>
    <s v="EMP0797"/>
    <d v="2020-04-11T00:00:00"/>
    <m/>
    <s v="No"/>
    <n v="28"/>
    <s v="Male"/>
    <s v="Single"/>
    <s v="PhD"/>
    <x v="2"/>
    <s v="IT Analyst"/>
    <n v="1"/>
    <s v="Hyderabad"/>
    <n v="45000"/>
    <n v="4.2"/>
    <n v="8.6999999999999993"/>
    <n v="5.7"/>
    <n v="1.8"/>
    <n v="3"/>
    <n v="4"/>
    <n v="3"/>
    <s v="Yes"/>
    <n v="4"/>
    <n v="1"/>
    <m/>
  </r>
  <r>
    <s v="EMP0798"/>
    <d v="2021-11-22T00:00:00"/>
    <m/>
    <s v="No"/>
    <n v="39"/>
    <s v="Female"/>
    <s v="Single"/>
    <s v="Diploma"/>
    <x v="5"/>
    <s v="Software Developer"/>
    <n v="2"/>
    <s v="Chennai"/>
    <n v="76000"/>
    <n v="7.4"/>
    <n v="11.9"/>
    <n v="4.0999999999999996"/>
    <n v="0.2"/>
    <n v="3"/>
    <n v="3"/>
    <n v="3"/>
    <s v="No"/>
    <n v="5"/>
    <n v="1"/>
    <m/>
  </r>
  <r>
    <s v="EMP0799"/>
    <d v="2025-01-16T00:00:00"/>
    <m/>
    <s v="No"/>
    <n v="49"/>
    <s v="Non-Binary"/>
    <s v="Married"/>
    <s v="Master's"/>
    <x v="4"/>
    <s v="HR Manager"/>
    <n v="1"/>
    <s v="Pune"/>
    <n v="27000"/>
    <n v="2.9"/>
    <n v="3.2"/>
    <n v="1"/>
    <n v="0.5"/>
    <n v="3"/>
    <n v="4"/>
    <n v="2"/>
    <s v="No"/>
    <n v="5"/>
    <n v="1"/>
    <m/>
  </r>
  <r>
    <s v="EMP0800"/>
    <d v="2019-02-16T00:00:00"/>
    <m/>
    <s v="No"/>
    <n v="38"/>
    <s v="Male"/>
    <s v="Divorced"/>
    <s v="Diploma"/>
    <x v="4"/>
    <s v="HR Analyst"/>
    <n v="3"/>
    <s v="Hyderabad"/>
    <n v="57000"/>
    <n v="7.5"/>
    <n v="12.2"/>
    <n v="6.9"/>
    <n v="3.3"/>
    <n v="3"/>
    <n v="4"/>
    <n v="3"/>
    <s v="No"/>
    <n v="2"/>
    <n v="1"/>
    <m/>
  </r>
  <r>
    <s v="EMP0801"/>
    <d v="2023-03-10T00:00:00"/>
    <m/>
    <s v="No"/>
    <n v="34"/>
    <s v="Male"/>
    <s v="Single"/>
    <s v="PhD"/>
    <x v="2"/>
    <s v="IT Support Lead"/>
    <n v="3"/>
    <s v="Mumbai"/>
    <n v="79000"/>
    <n v="9.9"/>
    <n v="4.4000000000000004"/>
    <n v="2.8"/>
    <n v="2.7"/>
    <n v="2"/>
    <n v="3"/>
    <n v="3"/>
    <s v="No"/>
    <n v="5"/>
    <n v="1"/>
    <m/>
  </r>
  <r>
    <s v="EMP0802"/>
    <d v="2021-02-24T00:00:00"/>
    <m/>
    <s v="No"/>
    <n v="26"/>
    <s v="Female"/>
    <s v="Divorced"/>
    <s v="PhD"/>
    <x v="3"/>
    <s v="Finance Manager"/>
    <n v="1"/>
    <s v="Hyderabad"/>
    <n v="29000"/>
    <n v="5.9"/>
    <n v="7.8"/>
    <n v="4.8"/>
    <n v="2.7"/>
    <n v="1"/>
    <n v="4"/>
    <n v="4"/>
    <s v="No"/>
    <n v="5"/>
    <n v="1"/>
    <m/>
  </r>
  <r>
    <s v="EMP0803"/>
    <d v="2017-02-08T00:00:00"/>
    <m/>
    <s v="No"/>
    <n v="39"/>
    <s v="Non-Binary"/>
    <s v="Divorced"/>
    <s v="Master's"/>
    <x v="4"/>
    <s v="HR Analyst"/>
    <n v="3"/>
    <s v="Bengaluru"/>
    <n v="78000"/>
    <n v="13.7"/>
    <n v="13.1"/>
    <n v="8.9"/>
    <n v="4.8"/>
    <n v="4"/>
    <n v="4"/>
    <n v="2"/>
    <s v="No"/>
    <n v="5"/>
    <n v="1"/>
    <m/>
  </r>
  <r>
    <s v="EMP0804"/>
    <d v="2020-04-02T00:00:00"/>
    <m/>
    <s v="No"/>
    <n v="45"/>
    <s v="Non-Binary"/>
    <s v="Married"/>
    <s v="Bachelor's"/>
    <x v="2"/>
    <s v="IT Support Lead"/>
    <n v="4"/>
    <s v="Mumbai"/>
    <n v="122000"/>
    <n v="11.9"/>
    <n v="8.4"/>
    <n v="5.7"/>
    <n v="1"/>
    <n v="4"/>
    <n v="3"/>
    <n v="3"/>
    <s v="No"/>
    <n v="4"/>
    <n v="1"/>
    <m/>
  </r>
  <r>
    <s v="EMP0805"/>
    <d v="2025-09-11T00:00:00"/>
    <d v="2025-12-07T00:00:00"/>
    <s v="Yes"/>
    <n v="21"/>
    <s v="Non-Binary"/>
    <s v="Divorced"/>
    <s v="Master's"/>
    <x v="4"/>
    <s v="HR Analyst"/>
    <n v="1"/>
    <s v="Chennai"/>
    <n v="27000"/>
    <n v="6.1"/>
    <n v="1.4"/>
    <n v="0.2"/>
    <n v="0"/>
    <n v="1"/>
    <n v="3"/>
    <n v="4"/>
    <s v="No"/>
    <n v="4"/>
    <n v="1"/>
    <m/>
  </r>
  <r>
    <s v="EMP0806"/>
    <d v="2024-08-16T00:00:00"/>
    <d v="2025-10-01T00:00:00"/>
    <s v="Yes"/>
    <n v="26"/>
    <s v="Female"/>
    <s v="Married"/>
    <s v="Master's"/>
    <x v="6"/>
    <s v="Account Manager"/>
    <n v="1"/>
    <s v="Noida"/>
    <n v="40000"/>
    <n v="14.5"/>
    <n v="5.9"/>
    <n v="1.1000000000000001"/>
    <n v="0.9"/>
    <n v="3"/>
    <n v="4"/>
    <n v="3"/>
    <s v="Yes"/>
    <n v="5"/>
    <n v="1"/>
    <m/>
  </r>
  <r>
    <s v="EMP0807"/>
    <d v="2020-09-26T00:00:00"/>
    <m/>
    <s v="No"/>
    <n v="35"/>
    <s v="Female"/>
    <s v="Single"/>
    <s v="PhD"/>
    <x v="1"/>
    <s v="BI Analyst"/>
    <n v="2"/>
    <s v="Noida"/>
    <n v="53000"/>
    <n v="5.6"/>
    <n v="8.1"/>
    <n v="5.3"/>
    <n v="0.7"/>
    <n v="4"/>
    <n v="4"/>
    <n v="3"/>
    <s v="Yes"/>
    <n v="4"/>
    <n v="1"/>
    <m/>
  </r>
  <r>
    <s v="EMP0808"/>
    <d v="2020-06-22T00:00:00"/>
    <m/>
    <s v="No"/>
    <n v="38"/>
    <s v="Male"/>
    <s v="Single"/>
    <s v="Master's"/>
    <x v="2"/>
    <s v="System Administrator"/>
    <n v="2"/>
    <s v="Bengaluru"/>
    <n v="51000"/>
    <n v="7.3"/>
    <n v="12"/>
    <n v="5.5"/>
    <n v="0.5"/>
    <n v="2"/>
    <n v="2"/>
    <n v="4"/>
    <s v="No"/>
    <n v="4"/>
    <n v="1"/>
    <m/>
  </r>
  <r>
    <s v="EMP0809"/>
    <d v="2021-06-05T00:00:00"/>
    <m/>
    <s v="No"/>
    <n v="26"/>
    <s v="Male"/>
    <s v="Married"/>
    <s v="PhD"/>
    <x v="3"/>
    <s v="Finance Executive"/>
    <n v="1"/>
    <s v="Mumbai"/>
    <n v="52000"/>
    <n v="3.9"/>
    <n v="11"/>
    <n v="4.5999999999999996"/>
    <n v="1.7"/>
    <n v="2"/>
    <n v="3"/>
    <n v="2"/>
    <s v="No"/>
    <n v="3"/>
    <n v="1"/>
    <m/>
  </r>
  <r>
    <s v="EMP0810"/>
    <d v="2014-08-20T00:00:00"/>
    <m/>
    <s v="No"/>
    <n v="40"/>
    <s v="Female"/>
    <s v="Single"/>
    <s v="Diploma"/>
    <x v="2"/>
    <s v="IT Support Specialist"/>
    <n v="2"/>
    <s v="Noida"/>
    <n v="40000"/>
    <n v="9.6999999999999993"/>
    <n v="13.8"/>
    <n v="11.4"/>
    <n v="6"/>
    <n v="3"/>
    <n v="2"/>
    <n v="3"/>
    <s v="No"/>
    <n v="3"/>
    <n v="1"/>
    <m/>
  </r>
  <r>
    <s v="EMP0811"/>
    <d v="2015-10-15T00:00:00"/>
    <m/>
    <s v="No"/>
    <n v="33"/>
    <s v="Non-Binary"/>
    <s v="Divorced"/>
    <s v="Diploma"/>
    <x v="0"/>
    <s v="Operations Manager"/>
    <n v="1"/>
    <s v="Hyderabad"/>
    <n v="57000"/>
    <n v="2.2999999999999998"/>
    <n v="11.3"/>
    <n v="10.199999999999999"/>
    <n v="2.8"/>
    <n v="1"/>
    <n v="1"/>
    <n v="3"/>
    <s v="Yes"/>
    <n v="3"/>
    <n v="1"/>
    <m/>
  </r>
  <r>
    <s v="EMP0812"/>
    <d v="2020-10-17T00:00:00"/>
    <m/>
    <s v="No"/>
    <n v="32"/>
    <s v="Male"/>
    <s v="Married"/>
    <s v="Master's"/>
    <x v="4"/>
    <s v="HR Manager"/>
    <n v="4"/>
    <s v="Hyderabad"/>
    <n v="113000"/>
    <n v="10.8"/>
    <n v="11.7"/>
    <n v="5.2"/>
    <n v="3.5"/>
    <n v="3"/>
    <n v="3"/>
    <n v="4"/>
    <s v="Yes"/>
    <n v="4"/>
    <n v="1"/>
    <m/>
  </r>
  <r>
    <s v="EMP0813"/>
    <d v="2022-08-07T00:00:00"/>
    <m/>
    <s v="No"/>
    <n v="35"/>
    <s v="Female"/>
    <s v="Divorced"/>
    <s v="Master's"/>
    <x v="3"/>
    <s v="Finance Executive"/>
    <n v="4"/>
    <s v="Pune"/>
    <n v="98000"/>
    <n v="11.4"/>
    <n v="10.5"/>
    <n v="3.4"/>
    <n v="0.1"/>
    <n v="4"/>
    <n v="4"/>
    <n v="4"/>
    <s v="No"/>
    <n v="1"/>
    <n v="1"/>
    <m/>
  </r>
  <r>
    <s v="EMP0814"/>
    <d v="2023-02-04T00:00:00"/>
    <m/>
    <s v="No"/>
    <n v="37"/>
    <s v="Non-Binary"/>
    <s v="Single"/>
    <s v="Diploma"/>
    <x v="5"/>
    <s v="Software Developer"/>
    <n v="2"/>
    <s v="Mumbai"/>
    <n v="69000"/>
    <n v="10.5"/>
    <n v="6.6"/>
    <n v="2.9"/>
    <n v="1.2"/>
    <n v="1"/>
    <n v="4"/>
    <n v="3"/>
    <s v="No"/>
    <n v="4"/>
    <n v="1"/>
    <m/>
  </r>
  <r>
    <s v="EMP0815"/>
    <d v="2024-11-03T00:00:00"/>
    <m/>
    <s v="No"/>
    <n v="27"/>
    <s v="Male"/>
    <s v="Divorced"/>
    <s v="Master's"/>
    <x v="3"/>
    <s v="Finance Executive"/>
    <n v="1"/>
    <s v="Pune"/>
    <n v="29000"/>
    <n v="13.7"/>
    <n v="6.9"/>
    <n v="1.2"/>
    <n v="0.6"/>
    <n v="3"/>
    <n v="4"/>
    <n v="4"/>
    <s v="No"/>
    <n v="3"/>
    <n v="1"/>
    <m/>
  </r>
  <r>
    <s v="EMP0816"/>
    <d v="2018-01-10T00:00:00"/>
    <m/>
    <s v="No"/>
    <n v="31"/>
    <s v="Non-Binary"/>
    <s v="Divorced"/>
    <s v="Diploma"/>
    <x v="1"/>
    <s v="Data Analyst"/>
    <n v="3"/>
    <s v="Pune"/>
    <n v="90000"/>
    <n v="5.4"/>
    <n v="10"/>
    <n v="8"/>
    <n v="4.4000000000000004"/>
    <n v="3"/>
    <n v="3"/>
    <n v="3"/>
    <s v="No"/>
    <n v="3"/>
    <n v="1"/>
    <m/>
  </r>
  <r>
    <s v="EMP0817"/>
    <d v="2024-01-01T00:00:00"/>
    <m/>
    <s v="No"/>
    <n v="38"/>
    <s v="Non-Binary"/>
    <s v="Single"/>
    <s v="Master's"/>
    <x v="6"/>
    <s v="Business Development Executive"/>
    <n v="2"/>
    <s v="Pune"/>
    <n v="70000"/>
    <n v="5.5"/>
    <n v="8.4"/>
    <n v="2"/>
    <n v="1.3"/>
    <n v="4"/>
    <n v="4"/>
    <n v="4"/>
    <s v="No"/>
    <n v="1"/>
    <n v="1"/>
    <m/>
  </r>
  <r>
    <s v="EMP0818"/>
    <d v="2020-01-28T00:00:00"/>
    <m/>
    <s v="No"/>
    <n v="35"/>
    <s v="Female"/>
    <s v="Single"/>
    <s v="Diploma"/>
    <x v="3"/>
    <s v="Finance Executive"/>
    <n v="1"/>
    <s v="Noida"/>
    <n v="41000"/>
    <n v="8.1"/>
    <n v="13.7"/>
    <n v="5.9"/>
    <n v="2.4"/>
    <n v="2"/>
    <n v="4"/>
    <n v="3"/>
    <s v="No"/>
    <n v="3"/>
    <n v="1"/>
    <m/>
  </r>
  <r>
    <s v="EMP0819"/>
    <d v="2015-04-05T00:00:00"/>
    <m/>
    <s v="No"/>
    <n v="39"/>
    <s v="Male"/>
    <s v="Married"/>
    <s v="PhD"/>
    <x v="2"/>
    <s v="IT Analyst"/>
    <n v="2"/>
    <s v="Noida"/>
    <n v="58000"/>
    <n v="5.3"/>
    <n v="15.1"/>
    <n v="10.7"/>
    <n v="4"/>
    <n v="4"/>
    <n v="3"/>
    <n v="3"/>
    <s v="Yes"/>
    <n v="3"/>
    <n v="1"/>
    <m/>
  </r>
  <r>
    <s v="EMP0820"/>
    <d v="2014-04-17T00:00:00"/>
    <m/>
    <s v="No"/>
    <n v="41"/>
    <s v="Non-Binary"/>
    <s v="Single"/>
    <s v="PhD"/>
    <x v="5"/>
    <s v="Senior Software Developer"/>
    <n v="1"/>
    <s v="Chennai"/>
    <n v="39000"/>
    <n v="9.3000000000000007"/>
    <n v="12.7"/>
    <n v="11.7"/>
    <n v="2.1"/>
    <n v="2"/>
    <n v="3"/>
    <n v="3"/>
    <s v="No"/>
    <n v="5"/>
    <n v="1"/>
    <m/>
  </r>
  <r>
    <s v="EMP0821"/>
    <d v="2020-01-27T00:00:00"/>
    <m/>
    <s v="No"/>
    <n v="27"/>
    <s v="Non-Binary"/>
    <s v="Married"/>
    <s v="Master's"/>
    <x v="1"/>
    <s v="BI Analyst"/>
    <n v="1"/>
    <s v="Noida"/>
    <n v="39000"/>
    <n v="0.4"/>
    <n v="8.8000000000000007"/>
    <n v="5.9"/>
    <n v="3.5"/>
    <n v="1"/>
    <n v="2"/>
    <n v="4"/>
    <s v="Yes"/>
    <n v="4"/>
    <n v="1"/>
    <m/>
  </r>
  <r>
    <s v="EMP0822"/>
    <d v="2025-01-23T00:00:00"/>
    <m/>
    <s v="No"/>
    <n v="22"/>
    <s v="Non-Binary"/>
    <s v="Married"/>
    <s v="Master's"/>
    <x v="4"/>
    <s v="Recruiter"/>
    <n v="1"/>
    <s v="Hyderabad"/>
    <n v="46000"/>
    <n v="7.7"/>
    <n v="5.9"/>
    <n v="0.9"/>
    <n v="0"/>
    <n v="2"/>
    <n v="4"/>
    <n v="2"/>
    <s v="Yes"/>
    <n v="5"/>
    <n v="1"/>
    <m/>
  </r>
  <r>
    <s v="EMP0823"/>
    <d v="2017-11-11T00:00:00"/>
    <m/>
    <s v="No"/>
    <n v="29"/>
    <s v="Female"/>
    <s v="Single"/>
    <s v="Bachelor's"/>
    <x v="5"/>
    <s v="Tech Lead"/>
    <n v="2"/>
    <s v="Bengaluru"/>
    <n v="57000"/>
    <n v="14.7"/>
    <n v="9.1999999999999993"/>
    <n v="8.1"/>
    <n v="5.6"/>
    <n v="4"/>
    <n v="1"/>
    <n v="2"/>
    <s v="No"/>
    <n v="4"/>
    <n v="1"/>
    <m/>
  </r>
  <r>
    <s v="EMP0824"/>
    <d v="2020-01-28T00:00:00"/>
    <m/>
    <s v="No"/>
    <n v="42"/>
    <s v="Male"/>
    <s v="Married"/>
    <s v="Bachelor's"/>
    <x v="2"/>
    <s v="IT Support Lead"/>
    <n v="2"/>
    <s v="Pune"/>
    <n v="55000"/>
    <n v="4.2"/>
    <n v="13.8"/>
    <n v="5.9"/>
    <n v="2.2999999999999998"/>
    <n v="4"/>
    <n v="2"/>
    <n v="3"/>
    <s v="Yes"/>
    <n v="4"/>
    <n v="1"/>
    <m/>
  </r>
  <r>
    <s v="EMP0825"/>
    <d v="2024-04-03T00:00:00"/>
    <d v="2025-08-16T00:00:00"/>
    <s v="Yes"/>
    <n v="45"/>
    <s v="Non-Binary"/>
    <s v="Single"/>
    <s v="PhD"/>
    <x v="6"/>
    <s v="Account Manager"/>
    <n v="4"/>
    <s v="Pune"/>
    <n v="102000"/>
    <n v="4.4000000000000004"/>
    <n v="2.5"/>
    <n v="1.4"/>
    <n v="0.4"/>
    <n v="4"/>
    <n v="3"/>
    <n v="3"/>
    <s v="No"/>
    <n v="4"/>
    <n v="1"/>
    <m/>
  </r>
  <r>
    <s v="EMP0826"/>
    <d v="2024-03-28T00:00:00"/>
    <d v="2025-06-24T00:00:00"/>
    <s v="Yes"/>
    <n v="35"/>
    <s v="Non-Binary"/>
    <s v="Married"/>
    <s v="PhD"/>
    <x v="0"/>
    <s v="Process Associate"/>
    <n v="2"/>
    <s v="Chennai"/>
    <n v="41000"/>
    <n v="9.9"/>
    <n v="8.1999999999999993"/>
    <n v="1.2"/>
    <n v="1.1000000000000001"/>
    <n v="3"/>
    <n v="1"/>
    <n v="4"/>
    <s v="No"/>
    <n v="3"/>
    <n v="1"/>
    <m/>
  </r>
  <r>
    <s v="EMP0827"/>
    <d v="2023-01-27T00:00:00"/>
    <m/>
    <s v="No"/>
    <n v="41"/>
    <s v="Female"/>
    <s v="Married"/>
    <s v="Bachelor's"/>
    <x v="1"/>
    <s v="Data Engineer"/>
    <n v="3"/>
    <s v="Noida"/>
    <n v="99000"/>
    <n v="11.1"/>
    <n v="7.7"/>
    <n v="2.9"/>
    <n v="1.1000000000000001"/>
    <n v="4"/>
    <n v="4"/>
    <n v="3"/>
    <s v="Yes"/>
    <n v="4"/>
    <n v="1"/>
    <m/>
  </r>
  <r>
    <s v="EMP0828"/>
    <d v="2017-02-17T00:00:00"/>
    <m/>
    <s v="No"/>
    <n v="45"/>
    <s v="Female"/>
    <s v="Single"/>
    <s v="PhD"/>
    <x v="5"/>
    <s v="QA Engineer"/>
    <n v="4"/>
    <s v="Pune"/>
    <n v="124000"/>
    <n v="4.3"/>
    <n v="14.2"/>
    <n v="8.9"/>
    <n v="1.5"/>
    <n v="3"/>
    <n v="3"/>
    <n v="1"/>
    <s v="No"/>
    <n v="4"/>
    <n v="1"/>
    <m/>
  </r>
  <r>
    <s v="EMP0829"/>
    <d v="2024-06-26T00:00:00"/>
    <m/>
    <s v="No"/>
    <n v="48"/>
    <s v="Non-Binary"/>
    <s v="Single"/>
    <s v="Bachelor's"/>
    <x v="4"/>
    <s v="HR Manager"/>
    <n v="3"/>
    <s v="Chennai"/>
    <n v="64000"/>
    <n v="7.6"/>
    <n v="8.1999999999999993"/>
    <n v="1.5"/>
    <n v="0.6"/>
    <n v="3"/>
    <n v="3"/>
    <n v="4"/>
    <s v="No"/>
    <n v="3"/>
    <n v="1"/>
    <m/>
  </r>
  <r>
    <s v="EMP0830"/>
    <d v="2022-11-28T00:00:00"/>
    <m/>
    <s v="No"/>
    <n v="33"/>
    <s v="Female"/>
    <s v="Divorced"/>
    <s v="Bachelor's"/>
    <x v="5"/>
    <s v="Software Developer"/>
    <n v="5"/>
    <s v="Mumbai"/>
    <n v="164000"/>
    <n v="13.5"/>
    <n v="9.6"/>
    <n v="3.1"/>
    <n v="2.2000000000000002"/>
    <n v="3"/>
    <n v="1"/>
    <n v="3"/>
    <s v="No"/>
    <n v="3"/>
    <n v="1"/>
    <m/>
  </r>
  <r>
    <s v="EMP0831"/>
    <d v="2025-05-26T00:00:00"/>
    <m/>
    <s v="No"/>
    <n v="34"/>
    <s v="Female"/>
    <s v="Married"/>
    <s v="Diploma"/>
    <x v="2"/>
    <s v="IT Support Lead"/>
    <n v="3"/>
    <s v="Hyderabad"/>
    <n v="67000"/>
    <n v="2.8"/>
    <n v="1.4"/>
    <n v="0.6"/>
    <n v="0"/>
    <n v="1"/>
    <n v="4"/>
    <n v="3"/>
    <s v="No"/>
    <n v="4"/>
    <n v="1"/>
    <m/>
  </r>
  <r>
    <s v="EMP0832"/>
    <d v="2025-02-21T00:00:00"/>
    <m/>
    <s v="No"/>
    <n v="41"/>
    <s v="Female"/>
    <s v="Married"/>
    <s v="Master's"/>
    <x v="1"/>
    <s v="Senior Data Analyst"/>
    <n v="2"/>
    <s v="Mumbai"/>
    <n v="66000"/>
    <n v="9"/>
    <n v="7.2"/>
    <n v="0.9"/>
    <n v="0"/>
    <n v="4"/>
    <n v="4"/>
    <n v="3"/>
    <s v="No"/>
    <n v="3"/>
    <n v="1"/>
    <m/>
  </r>
  <r>
    <s v="EMP0833"/>
    <d v="2024-02-18T00:00:00"/>
    <m/>
    <s v="No"/>
    <n v="25"/>
    <s v="Female"/>
    <s v="Divorced"/>
    <s v="PhD"/>
    <x v="2"/>
    <s v="IT Support Specialist"/>
    <n v="1"/>
    <s v="Noida"/>
    <n v="40000"/>
    <n v="12.7"/>
    <n v="3.7"/>
    <n v="1.9"/>
    <n v="1.6"/>
    <n v="4"/>
    <n v="2"/>
    <n v="3"/>
    <s v="No"/>
    <n v="4"/>
    <n v="1"/>
    <m/>
  </r>
  <r>
    <s v="EMP0834"/>
    <d v="2015-09-08T00:00:00"/>
    <m/>
    <s v="No"/>
    <n v="44"/>
    <s v="Female"/>
    <s v="Divorced"/>
    <s v="Diploma"/>
    <x v="1"/>
    <s v="Data Engineer"/>
    <n v="2"/>
    <s v="Chennai"/>
    <n v="67000"/>
    <n v="14.6"/>
    <n v="13.2"/>
    <n v="10.3"/>
    <n v="1"/>
    <n v="3"/>
    <n v="2"/>
    <n v="1"/>
    <s v="No"/>
    <n v="3"/>
    <n v="1"/>
    <m/>
  </r>
  <r>
    <s v="EMP0835"/>
    <d v="2024-08-16T00:00:00"/>
    <d v="2025-11-03T00:00:00"/>
    <s v="Yes"/>
    <n v="23"/>
    <s v="Female"/>
    <s v="Married"/>
    <s v="Master's"/>
    <x v="4"/>
    <s v="Recruiter"/>
    <n v="1"/>
    <s v="Mumbai"/>
    <n v="31000"/>
    <n v="11"/>
    <n v="8.5"/>
    <n v="1.2"/>
    <n v="0.8"/>
    <n v="2"/>
    <n v="4"/>
    <n v="2"/>
    <s v="No"/>
    <n v="3"/>
    <n v="1"/>
    <m/>
  </r>
  <r>
    <s v="EMP0836"/>
    <d v="2014-05-06T00:00:00"/>
    <m/>
    <s v="No"/>
    <n v="38"/>
    <s v="Non-Binary"/>
    <s v="Single"/>
    <s v="Master's"/>
    <x v="5"/>
    <s v="QA Engineer"/>
    <n v="3"/>
    <s v="Pune"/>
    <n v="84000"/>
    <n v="4.9000000000000004"/>
    <n v="13.6"/>
    <n v="11.7"/>
    <n v="0.9"/>
    <n v="2"/>
    <n v="4"/>
    <n v="1"/>
    <s v="No"/>
    <n v="3"/>
    <n v="1"/>
    <m/>
  </r>
  <r>
    <s v="EMP0837"/>
    <d v="2024-11-14T00:00:00"/>
    <m/>
    <s v="No"/>
    <n v="26"/>
    <s v="Male"/>
    <s v="Divorced"/>
    <s v="PhD"/>
    <x v="3"/>
    <s v="Accountant"/>
    <n v="1"/>
    <s v="Noida"/>
    <n v="50000"/>
    <n v="7.9"/>
    <n v="5"/>
    <n v="1.1000000000000001"/>
    <n v="0.5"/>
    <n v="4"/>
    <n v="3"/>
    <n v="4"/>
    <s v="No"/>
    <n v="3"/>
    <n v="1"/>
    <m/>
  </r>
  <r>
    <s v="EMP0838"/>
    <d v="2017-06-07T00:00:00"/>
    <m/>
    <s v="No"/>
    <n v="38"/>
    <s v="Non-Binary"/>
    <s v="Single"/>
    <s v="Diploma"/>
    <x v="4"/>
    <s v="HR Manager"/>
    <n v="3"/>
    <s v="Noida"/>
    <n v="72000"/>
    <n v="6.9"/>
    <n v="11.5"/>
    <n v="8.6"/>
    <n v="5.4"/>
    <n v="4"/>
    <n v="4"/>
    <n v="3"/>
    <s v="No"/>
    <n v="3"/>
    <n v="1"/>
    <m/>
  </r>
  <r>
    <s v="EMP0839"/>
    <d v="2014-12-19T00:00:00"/>
    <m/>
    <s v="No"/>
    <n v="36"/>
    <s v="Non-Binary"/>
    <s v="Single"/>
    <s v="PhD"/>
    <x v="1"/>
    <s v="BI Analyst"/>
    <n v="1"/>
    <s v="Hyderabad"/>
    <n v="40000"/>
    <n v="6.6"/>
    <n v="11.9"/>
    <n v="11"/>
    <n v="5"/>
    <n v="3"/>
    <n v="2"/>
    <n v="3"/>
    <s v="No"/>
    <n v="4"/>
    <n v="1"/>
    <m/>
  </r>
  <r>
    <s v="EMP0840"/>
    <d v="2020-07-30T00:00:00"/>
    <m/>
    <s v="No"/>
    <n v="34"/>
    <s v="Non-Binary"/>
    <s v="Single"/>
    <s v="Bachelor's"/>
    <x v="4"/>
    <s v="HR Executive"/>
    <n v="3"/>
    <s v="Noida"/>
    <n v="54000"/>
    <n v="10.8"/>
    <n v="5.6"/>
    <n v="5.4"/>
    <n v="2.4"/>
    <n v="1"/>
    <n v="3"/>
    <n v="4"/>
    <s v="No"/>
    <n v="3"/>
    <n v="1"/>
    <m/>
  </r>
  <r>
    <s v="EMP0841"/>
    <d v="2021-03-19T00:00:00"/>
    <m/>
    <s v="No"/>
    <n v="25"/>
    <s v="Female"/>
    <s v="Single"/>
    <s v="PhD"/>
    <x v="6"/>
    <s v="Sales Executive"/>
    <n v="1"/>
    <s v="Hyderabad"/>
    <n v="22000"/>
    <n v="1.8"/>
    <n v="5"/>
    <n v="4.8"/>
    <n v="2.9"/>
    <n v="3"/>
    <n v="3"/>
    <n v="4"/>
    <s v="Yes"/>
    <n v="2"/>
    <n v="1"/>
    <m/>
  </r>
  <r>
    <s v="EMP0842"/>
    <d v="2021-04-24T00:00:00"/>
    <m/>
    <s v="No"/>
    <n v="28"/>
    <s v="Non-Binary"/>
    <s v="Married"/>
    <s v="Bachelor's"/>
    <x v="4"/>
    <s v="HR Analyst"/>
    <n v="2"/>
    <s v="Bengaluru"/>
    <n v="68000"/>
    <n v="6.9"/>
    <n v="9"/>
    <n v="4.7"/>
    <n v="3.2"/>
    <n v="4"/>
    <n v="3"/>
    <n v="1"/>
    <s v="No"/>
    <n v="4"/>
    <n v="1"/>
    <m/>
  </r>
  <r>
    <s v="EMP0843"/>
    <d v="2017-02-26T00:00:00"/>
    <m/>
    <s v="No"/>
    <n v="36"/>
    <s v="Male"/>
    <s v="Married"/>
    <s v="Bachelor's"/>
    <x v="4"/>
    <s v="HR Executive"/>
    <n v="3"/>
    <s v="Bengaluru"/>
    <n v="75000"/>
    <n v="8.6999999999999993"/>
    <n v="14.9"/>
    <n v="8.8000000000000007"/>
    <n v="1.1000000000000001"/>
    <n v="2"/>
    <n v="2"/>
    <n v="3"/>
    <s v="No"/>
    <n v="3"/>
    <n v="1"/>
    <m/>
  </r>
  <r>
    <s v="EMP0844"/>
    <d v="2021-03-29T00:00:00"/>
    <m/>
    <s v="No"/>
    <n v="43"/>
    <s v="Female"/>
    <s v="Married"/>
    <s v="Master's"/>
    <x v="3"/>
    <s v="Finance Manager"/>
    <n v="4"/>
    <s v="Pune"/>
    <n v="131000"/>
    <n v="2.2999999999999998"/>
    <n v="7.2"/>
    <n v="4.8"/>
    <n v="0.9"/>
    <n v="4"/>
    <n v="3"/>
    <n v="2"/>
    <s v="No"/>
    <n v="2"/>
    <n v="1"/>
    <m/>
  </r>
  <r>
    <s v="EMP0845"/>
    <d v="2017-08-28T00:00:00"/>
    <m/>
    <s v="No"/>
    <n v="31"/>
    <s v="Non-Binary"/>
    <s v="Single"/>
    <s v="Bachelor's"/>
    <x v="6"/>
    <s v="Sales Executive"/>
    <n v="2"/>
    <s v="Hyderabad"/>
    <n v="44000"/>
    <n v="11"/>
    <n v="16.2"/>
    <n v="8.3000000000000007"/>
    <n v="0.4"/>
    <n v="1"/>
    <n v="3"/>
    <n v="2"/>
    <s v="No"/>
    <n v="5"/>
    <n v="1"/>
    <m/>
  </r>
  <r>
    <s v="EMP0846"/>
    <d v="2015-02-10T00:00:00"/>
    <m/>
    <s v="No"/>
    <n v="48"/>
    <s v="Non-Binary"/>
    <s v="Single"/>
    <s v="Diploma"/>
    <x v="3"/>
    <s v="Finance Executive"/>
    <n v="1"/>
    <s v="Chennai"/>
    <n v="46000"/>
    <n v="9.9"/>
    <n v="12.4"/>
    <n v="10.9"/>
    <n v="3.7"/>
    <n v="4"/>
    <n v="2"/>
    <n v="2"/>
    <s v="No"/>
    <n v="3"/>
    <n v="1"/>
    <m/>
  </r>
  <r>
    <s v="EMP0847"/>
    <d v="2015-05-30T00:00:00"/>
    <m/>
    <s v="No"/>
    <n v="41"/>
    <s v="Female"/>
    <s v="Married"/>
    <s v="Bachelor's"/>
    <x v="1"/>
    <s v="Data Engineer"/>
    <n v="3"/>
    <s v="Hyderabad"/>
    <n v="85000"/>
    <n v="5.7"/>
    <n v="10.8"/>
    <n v="10.6"/>
    <n v="0.2"/>
    <n v="2"/>
    <n v="3"/>
    <n v="4"/>
    <s v="Yes"/>
    <n v="5"/>
    <n v="1"/>
    <m/>
  </r>
  <r>
    <s v="EMP0848"/>
    <d v="2023-09-29T00:00:00"/>
    <d v="2025-11-10T00:00:00"/>
    <s v="Yes"/>
    <n v="39"/>
    <s v="Female"/>
    <s v="Single"/>
    <s v="Bachelor's"/>
    <x v="0"/>
    <s v="Operations Analyst"/>
    <n v="3"/>
    <s v="Hyderabad"/>
    <n v="73000"/>
    <n v="2.7"/>
    <n v="9.5"/>
    <n v="2.1"/>
    <n v="2"/>
    <n v="2"/>
    <n v="4"/>
    <n v="3"/>
    <s v="Yes"/>
    <n v="3"/>
    <n v="1"/>
    <m/>
  </r>
  <r>
    <s v="EMP0849"/>
    <d v="2014-06-19T00:00:00"/>
    <d v="2025-01-31T00:00:00"/>
    <s v="Yes"/>
    <n v="32"/>
    <s v="Non-Binary"/>
    <s v="Single"/>
    <s v="Bachelor's"/>
    <x v="1"/>
    <s v="Senior Data Analyst"/>
    <n v="2"/>
    <s v="Noida"/>
    <n v="61000"/>
    <n v="16.899999999999999"/>
    <n v="18"/>
    <n v="10.6"/>
    <n v="5.5"/>
    <n v="4"/>
    <n v="4"/>
    <n v="4"/>
    <s v="No"/>
    <n v="4"/>
    <n v="1"/>
    <m/>
  </r>
  <r>
    <s v="EMP0850"/>
    <d v="2019-02-11T00:00:00"/>
    <m/>
    <s v="No"/>
    <n v="37"/>
    <s v="Non-Binary"/>
    <s v="Married"/>
    <s v="PhD"/>
    <x v="0"/>
    <s v="Operations Manager"/>
    <n v="4"/>
    <s v="Mumbai"/>
    <n v="117000"/>
    <n v="18.100000000000001"/>
    <n v="12"/>
    <n v="6.9"/>
    <n v="1.7"/>
    <n v="3"/>
    <n v="2"/>
    <n v="4"/>
    <s v="No"/>
    <n v="3"/>
    <n v="1"/>
    <m/>
  </r>
  <r>
    <s v="EMP0851"/>
    <d v="2019-12-15T00:00:00"/>
    <m/>
    <s v="No"/>
    <n v="36"/>
    <s v="Male"/>
    <s v="Single"/>
    <s v="Bachelor's"/>
    <x v="3"/>
    <s v="Financial Analyst"/>
    <n v="3"/>
    <s v="Hyderabad"/>
    <n v="85000"/>
    <n v="9.8000000000000007"/>
    <n v="10"/>
    <n v="6"/>
    <n v="4.7"/>
    <n v="3"/>
    <n v="3"/>
    <n v="3"/>
    <s v="No"/>
    <n v="2"/>
    <n v="1"/>
    <m/>
  </r>
  <r>
    <s v="EMP0852"/>
    <d v="2017-01-19T00:00:00"/>
    <m/>
    <s v="No"/>
    <n v="36"/>
    <s v="Non-Binary"/>
    <s v="Divorced"/>
    <s v="Master's"/>
    <x v="4"/>
    <s v="Recruiter"/>
    <n v="3"/>
    <s v="Chennai"/>
    <n v="51000"/>
    <n v="11.7"/>
    <n v="10.5"/>
    <n v="8.9"/>
    <n v="5.8"/>
    <n v="1"/>
    <n v="1"/>
    <n v="4"/>
    <s v="No"/>
    <n v="5"/>
    <n v="1"/>
    <m/>
  </r>
  <r>
    <s v="EMP0853"/>
    <d v="2024-08-23T00:00:00"/>
    <m/>
    <s v="No"/>
    <n v="31"/>
    <s v="Female"/>
    <s v="Single"/>
    <s v="Bachelor's"/>
    <x v="6"/>
    <s v="Sales Executive"/>
    <n v="4"/>
    <s v="Hyderabad"/>
    <n v="129000"/>
    <n v="6.3"/>
    <n v="1.9"/>
    <n v="1.4"/>
    <n v="0.3"/>
    <n v="4"/>
    <n v="2"/>
    <n v="3"/>
    <s v="No"/>
    <n v="1"/>
    <n v="1"/>
    <m/>
  </r>
  <r>
    <s v="EMP0854"/>
    <d v="2014-12-29T00:00:00"/>
    <m/>
    <s v="No"/>
    <n v="47"/>
    <s v="Non-Binary"/>
    <s v="Divorced"/>
    <s v="Diploma"/>
    <x v="5"/>
    <s v="Senior Software Developer"/>
    <n v="3"/>
    <s v="Mumbai"/>
    <n v="79000"/>
    <n v="6.8"/>
    <n v="12.8"/>
    <n v="11"/>
    <n v="5.5"/>
    <n v="2"/>
    <n v="3"/>
    <n v="2"/>
    <s v="No"/>
    <n v="4"/>
    <n v="1"/>
    <m/>
  </r>
  <r>
    <s v="EMP0855"/>
    <d v="2015-06-03T00:00:00"/>
    <m/>
    <s v="No"/>
    <n v="39"/>
    <s v="Female"/>
    <s v="Married"/>
    <s v="Bachelor's"/>
    <x v="0"/>
    <s v="Operations Manager"/>
    <n v="2"/>
    <s v="Noida"/>
    <n v="51000"/>
    <n v="3.8"/>
    <n v="13.9"/>
    <n v="10.6"/>
    <n v="2.5"/>
    <n v="3"/>
    <n v="3"/>
    <n v="4"/>
    <s v="No"/>
    <n v="4"/>
    <n v="1"/>
    <m/>
  </r>
  <r>
    <s v="EMP0856"/>
    <d v="2019-01-10T00:00:00"/>
    <d v="2025-02-28T00:00:00"/>
    <s v="Yes"/>
    <n v="29"/>
    <s v="Non-Binary"/>
    <s v="Married"/>
    <s v="PhD"/>
    <x v="0"/>
    <s v="Process Associate"/>
    <n v="1"/>
    <s v="Hyderabad"/>
    <n v="31000"/>
    <n v="10.7"/>
    <n v="7.1"/>
    <n v="6.1"/>
    <n v="5.4"/>
    <n v="3"/>
    <n v="3"/>
    <n v="2"/>
    <s v="Yes"/>
    <n v="3"/>
    <n v="1"/>
    <m/>
  </r>
  <r>
    <s v="EMP0857"/>
    <d v="2025-07-02T00:00:00"/>
    <d v="2025-12-14T00:00:00"/>
    <s v="Yes"/>
    <n v="21"/>
    <s v="Non-Binary"/>
    <s v="Single"/>
    <s v="PhD"/>
    <x v="4"/>
    <s v="HR Analyst"/>
    <n v="1"/>
    <s v="Mumbai"/>
    <n v="42000"/>
    <n v="10"/>
    <n v="7.5"/>
    <n v="0.5"/>
    <n v="0"/>
    <n v="2"/>
    <n v="2"/>
    <n v="4"/>
    <s v="No"/>
    <n v="3"/>
    <n v="1"/>
    <m/>
  </r>
  <r>
    <s v="EMP0858"/>
    <d v="2015-12-15T00:00:00"/>
    <m/>
    <s v="No"/>
    <n v="36"/>
    <s v="Male"/>
    <s v="Divorced"/>
    <s v="Master's"/>
    <x v="5"/>
    <s v="Software Developer"/>
    <n v="2"/>
    <s v="Pune"/>
    <n v="69000"/>
    <n v="10.9"/>
    <n v="12"/>
    <n v="10"/>
    <n v="3.7"/>
    <n v="4"/>
    <n v="3"/>
    <n v="2"/>
    <s v="Yes"/>
    <n v="4"/>
    <n v="1"/>
    <m/>
  </r>
  <r>
    <s v="EMP0859"/>
    <d v="2025-07-14T00:00:00"/>
    <m/>
    <s v="No"/>
    <n v="37"/>
    <s v="Female"/>
    <s v="Divorced"/>
    <s v="Bachelor's"/>
    <x v="0"/>
    <s v="Operations Manager"/>
    <n v="1"/>
    <s v="Pune"/>
    <n v="31000"/>
    <n v="18.100000000000001"/>
    <n v="1.9"/>
    <n v="0.5"/>
    <n v="0"/>
    <n v="4"/>
    <n v="4"/>
    <n v="1"/>
    <s v="Yes"/>
    <n v="3"/>
    <n v="1"/>
    <m/>
  </r>
  <r>
    <s v="EMP0860"/>
    <d v="2017-04-06T00:00:00"/>
    <m/>
    <s v="No"/>
    <n v="37"/>
    <s v="Male"/>
    <s v="Divorced"/>
    <s v="Bachelor's"/>
    <x v="1"/>
    <s v="BI Analyst"/>
    <n v="2"/>
    <s v="Mumbai"/>
    <n v="50000"/>
    <n v="3.8"/>
    <n v="13.5"/>
    <n v="8.6999999999999993"/>
    <n v="1.7"/>
    <n v="3"/>
    <n v="2"/>
    <n v="3"/>
    <s v="Yes"/>
    <n v="3"/>
    <n v="1"/>
    <m/>
  </r>
  <r>
    <s v="EMP0861"/>
    <d v="2023-09-18T00:00:00"/>
    <m/>
    <s v="No"/>
    <n v="34"/>
    <s v="Non-Binary"/>
    <s v="Single"/>
    <s v="Master's"/>
    <x v="4"/>
    <s v="HR Executive"/>
    <n v="3"/>
    <s v="Noida"/>
    <n v="68000"/>
    <n v="9.6"/>
    <n v="3.1"/>
    <n v="2.2999999999999998"/>
    <n v="0.5"/>
    <n v="3"/>
    <n v="3"/>
    <n v="3"/>
    <s v="No"/>
    <n v="4"/>
    <n v="1"/>
    <m/>
  </r>
  <r>
    <s v="EMP0862"/>
    <d v="2016-01-23T00:00:00"/>
    <m/>
    <s v="No"/>
    <n v="38"/>
    <s v="Female"/>
    <s v="Married"/>
    <s v="PhD"/>
    <x v="5"/>
    <s v="Software Developer"/>
    <n v="1"/>
    <s v="Mumbai"/>
    <n v="28000"/>
    <n v="8.6"/>
    <n v="15.4"/>
    <n v="9.9"/>
    <n v="2.2999999999999998"/>
    <n v="3"/>
    <n v="4"/>
    <n v="2"/>
    <s v="No"/>
    <n v="3"/>
    <n v="1"/>
    <m/>
  </r>
  <r>
    <s v="EMP0863"/>
    <d v="2022-03-17T00:00:00"/>
    <m/>
    <s v="No"/>
    <n v="30"/>
    <s v="Female"/>
    <s v="Single"/>
    <s v="Bachelor's"/>
    <x v="1"/>
    <s v="Data Engineer"/>
    <n v="3"/>
    <s v="Mumbai"/>
    <n v="86000"/>
    <n v="7.1"/>
    <n v="11.5"/>
    <n v="3.8"/>
    <n v="3.8"/>
    <n v="3"/>
    <n v="4"/>
    <n v="3"/>
    <s v="Yes"/>
    <n v="1"/>
    <n v="1"/>
    <m/>
  </r>
  <r>
    <s v="EMP0864"/>
    <d v="2024-03-28T00:00:00"/>
    <m/>
    <s v="No"/>
    <n v="32"/>
    <s v="Female"/>
    <s v="Married"/>
    <s v="PhD"/>
    <x v="3"/>
    <s v="Accountant"/>
    <n v="5"/>
    <s v="Pune"/>
    <n v="155000"/>
    <n v="0"/>
    <n v="8.8000000000000007"/>
    <n v="1.8"/>
    <n v="0.8"/>
    <n v="2"/>
    <n v="3"/>
    <n v="4"/>
    <s v="No"/>
    <n v="3"/>
    <n v="1"/>
    <m/>
  </r>
  <r>
    <s v="EMP0865"/>
    <d v="2017-05-13T00:00:00"/>
    <m/>
    <s v="No"/>
    <n v="41"/>
    <s v="Female"/>
    <s v="Divorced"/>
    <s v="Diploma"/>
    <x v="0"/>
    <s v="Operations Analyst"/>
    <n v="2"/>
    <s v="Pune"/>
    <n v="46000"/>
    <n v="9.1"/>
    <n v="14.9"/>
    <n v="8.6"/>
    <n v="2.2000000000000002"/>
    <n v="4"/>
    <n v="3"/>
    <n v="4"/>
    <s v="No"/>
    <n v="4"/>
    <n v="1"/>
    <m/>
  </r>
  <r>
    <s v="EMP0866"/>
    <d v="2019-05-08T00:00:00"/>
    <m/>
    <s v="No"/>
    <n v="45"/>
    <s v="Non-Binary"/>
    <s v="Married"/>
    <s v="PhD"/>
    <x v="3"/>
    <s v="Accountant"/>
    <n v="3"/>
    <s v="Pune"/>
    <n v="97000"/>
    <n v="9.6"/>
    <n v="13.6"/>
    <n v="6.7"/>
    <n v="2.5"/>
    <n v="4"/>
    <n v="2"/>
    <n v="3"/>
    <s v="No"/>
    <n v="5"/>
    <n v="1"/>
    <m/>
  </r>
  <r>
    <s v="EMP0867"/>
    <d v="2021-03-09T00:00:00"/>
    <m/>
    <s v="No"/>
    <n v="34"/>
    <s v="Female"/>
    <s v="Married"/>
    <s v="PhD"/>
    <x v="3"/>
    <s v="Financial Analyst"/>
    <n v="3"/>
    <s v="Pune"/>
    <n v="68000"/>
    <n v="7.4"/>
    <n v="9.3000000000000007"/>
    <n v="4.8"/>
    <n v="0.7"/>
    <n v="3"/>
    <n v="3"/>
    <n v="4"/>
    <s v="No"/>
    <n v="3"/>
    <n v="1"/>
    <m/>
  </r>
  <r>
    <s v="EMP0868"/>
    <d v="2020-12-24T00:00:00"/>
    <m/>
    <s v="No"/>
    <n v="30"/>
    <s v="Male"/>
    <s v="Married"/>
    <s v="Bachelor's"/>
    <x v="2"/>
    <s v="System Administrator"/>
    <n v="3"/>
    <s v="Hyderabad"/>
    <n v="73000"/>
    <n v="8.6"/>
    <n v="10"/>
    <n v="5"/>
    <n v="0.2"/>
    <n v="4"/>
    <n v="2"/>
    <n v="2"/>
    <s v="No"/>
    <n v="1"/>
    <n v="1"/>
    <m/>
  </r>
  <r>
    <s v="EMP0869"/>
    <d v="2014-06-29T00:00:00"/>
    <m/>
    <s v="No"/>
    <n v="33"/>
    <s v="Female"/>
    <s v="Single"/>
    <s v="Master's"/>
    <x v="6"/>
    <s v="Account Manager"/>
    <n v="3"/>
    <s v="Pune"/>
    <n v="67000"/>
    <n v="6.1"/>
    <n v="14"/>
    <n v="11.5"/>
    <n v="5.4"/>
    <n v="1"/>
    <n v="3"/>
    <n v="3"/>
    <s v="No"/>
    <n v="3"/>
    <n v="1"/>
    <m/>
  </r>
  <r>
    <s v="EMP0870"/>
    <d v="2015-01-19T00:00:00"/>
    <m/>
    <s v="No"/>
    <n v="40"/>
    <s v="Male"/>
    <s v="Married"/>
    <s v="Bachelor's"/>
    <x v="1"/>
    <s v="Data Engineer"/>
    <n v="2"/>
    <s v="Bengaluru"/>
    <n v="43000"/>
    <n v="13.6"/>
    <n v="16.5"/>
    <n v="10.9"/>
    <n v="1.7"/>
    <n v="3"/>
    <n v="4"/>
    <n v="2"/>
    <s v="No"/>
    <n v="2"/>
    <n v="1"/>
    <m/>
  </r>
  <r>
    <s v="EMP0871"/>
    <d v="2020-08-06T00:00:00"/>
    <m/>
    <s v="No"/>
    <n v="31"/>
    <s v="Female"/>
    <s v="Divorced"/>
    <s v="Diploma"/>
    <x v="1"/>
    <s v="Data Engineer"/>
    <n v="3"/>
    <s v="Hyderabad"/>
    <n v="66000"/>
    <n v="7.6"/>
    <n v="8.3000000000000007"/>
    <n v="5.4"/>
    <n v="2.4"/>
    <n v="3"/>
    <n v="3"/>
    <n v="3"/>
    <s v="No"/>
    <n v="1"/>
    <n v="1"/>
    <m/>
  </r>
  <r>
    <s v="EMP0872"/>
    <d v="2025-04-23T00:00:00"/>
    <m/>
    <s v="No"/>
    <n v="26"/>
    <s v="Female"/>
    <s v="Married"/>
    <s v="Bachelor's"/>
    <x v="5"/>
    <s v="QA Engineer"/>
    <n v="1"/>
    <s v="Hyderabad"/>
    <n v="33000"/>
    <n v="15.1"/>
    <n v="1.9"/>
    <n v="0.7"/>
    <n v="0"/>
    <n v="3"/>
    <n v="4"/>
    <n v="3"/>
    <s v="Yes"/>
    <n v="5"/>
    <n v="1"/>
    <m/>
  </r>
  <r>
    <s v="EMP0873"/>
    <d v="2025-08-05T00:00:00"/>
    <d v="2025-11-05T00:00:00"/>
    <s v="Yes"/>
    <n v="27"/>
    <s v="Male"/>
    <s v="Single"/>
    <s v="Master's"/>
    <x v="4"/>
    <s v="HR Manager"/>
    <n v="1"/>
    <s v="Noida"/>
    <n v="22000"/>
    <n v="7.7"/>
    <n v="1.8"/>
    <n v="0.3"/>
    <n v="0"/>
    <n v="3"/>
    <n v="3"/>
    <n v="4"/>
    <s v="No"/>
    <n v="3"/>
    <n v="1"/>
    <m/>
  </r>
  <r>
    <s v="EMP0874"/>
    <d v="2020-08-20T00:00:00"/>
    <m/>
    <s v="No"/>
    <n v="36"/>
    <s v="Non-Binary"/>
    <s v="Single"/>
    <s v="Bachelor's"/>
    <x v="6"/>
    <s v="Sales Manager"/>
    <n v="2"/>
    <s v="Hyderabad"/>
    <n v="48000"/>
    <n v="11"/>
    <n v="9"/>
    <n v="5.4"/>
    <n v="0.4"/>
    <n v="4"/>
    <n v="3"/>
    <n v="2"/>
    <s v="Yes"/>
    <n v="5"/>
    <n v="1"/>
    <m/>
  </r>
  <r>
    <s v="EMP0875"/>
    <d v="2021-04-03T00:00:00"/>
    <m/>
    <s v="No"/>
    <n v="39"/>
    <s v="Female"/>
    <s v="Single"/>
    <s v="Diploma"/>
    <x v="3"/>
    <s v="Accountant"/>
    <n v="4"/>
    <s v="Noida"/>
    <n v="115000"/>
    <n v="8.3000000000000007"/>
    <n v="7.4"/>
    <n v="4.7"/>
    <n v="3.8"/>
    <n v="3"/>
    <n v="4"/>
    <n v="4"/>
    <s v="Yes"/>
    <n v="3"/>
    <n v="1"/>
    <m/>
  </r>
  <r>
    <s v="EMP0876"/>
    <d v="2022-07-31T00:00:00"/>
    <d v="2025-12-08T00:00:00"/>
    <s v="Yes"/>
    <n v="41"/>
    <s v="Male"/>
    <s v="Single"/>
    <s v="Bachelor's"/>
    <x v="6"/>
    <s v="Account Manager"/>
    <n v="3"/>
    <s v="Pune"/>
    <n v="71000"/>
    <n v="9.1999999999999993"/>
    <n v="10.7"/>
    <n v="3.4"/>
    <n v="2.9"/>
    <n v="4"/>
    <n v="4"/>
    <n v="1"/>
    <s v="No"/>
    <n v="2"/>
    <n v="1"/>
    <m/>
  </r>
  <r>
    <s v="EMP0877"/>
    <d v="2018-09-23T00:00:00"/>
    <d v="2025-01-07T00:00:00"/>
    <s v="Yes"/>
    <n v="29"/>
    <s v="Female"/>
    <s v="Divorced"/>
    <s v="Diploma"/>
    <x v="6"/>
    <s v="Sales Executive"/>
    <n v="2"/>
    <s v="Noida"/>
    <n v="40000"/>
    <n v="10.3"/>
    <n v="12.2"/>
    <n v="6.3"/>
    <n v="2"/>
    <n v="4"/>
    <n v="4"/>
    <n v="2"/>
    <s v="No"/>
    <n v="4"/>
    <n v="1"/>
    <m/>
  </r>
  <r>
    <s v="EMP0878"/>
    <d v="2024-01-29T00:00:00"/>
    <d v="2025-02-16T00:00:00"/>
    <s v="Yes"/>
    <n v="37"/>
    <s v="Female"/>
    <s v="Divorced"/>
    <s v="Master's"/>
    <x v="5"/>
    <s v="Software Developer"/>
    <n v="1"/>
    <s v="Mumbai"/>
    <n v="33000"/>
    <n v="13.9"/>
    <n v="1.1000000000000001"/>
    <n v="1.1000000000000001"/>
    <n v="0.9"/>
    <n v="4"/>
    <n v="2"/>
    <n v="1"/>
    <s v="No"/>
    <n v="2"/>
    <n v="1"/>
    <m/>
  </r>
  <r>
    <s v="EMP0879"/>
    <d v="2019-11-27T00:00:00"/>
    <m/>
    <s v="No"/>
    <n v="45"/>
    <s v="Male"/>
    <s v="Married"/>
    <s v="Master's"/>
    <x v="2"/>
    <s v="System Administrator"/>
    <n v="3"/>
    <s v="Chennai"/>
    <n v="59000"/>
    <n v="10.7"/>
    <n v="10.8"/>
    <n v="6.1"/>
    <n v="5.2"/>
    <n v="3"/>
    <n v="3"/>
    <n v="3"/>
    <s v="No"/>
    <n v="2"/>
    <n v="1"/>
    <m/>
  </r>
  <r>
    <s v="EMP0880"/>
    <d v="2021-01-04T00:00:00"/>
    <m/>
    <s v="No"/>
    <n v="27"/>
    <s v="Non-Binary"/>
    <s v="Married"/>
    <s v="Diploma"/>
    <x v="4"/>
    <s v="Recruiter"/>
    <n v="1"/>
    <s v="Pune"/>
    <n v="36000"/>
    <n v="14.1"/>
    <n v="7.6"/>
    <n v="5"/>
    <n v="5"/>
    <n v="1"/>
    <n v="2"/>
    <n v="3"/>
    <s v="No"/>
    <n v="4"/>
    <n v="1"/>
    <m/>
  </r>
  <r>
    <s v="EMP0881"/>
    <d v="2017-02-04T00:00:00"/>
    <m/>
    <s v="No"/>
    <n v="37"/>
    <s v="Non-Binary"/>
    <s v="Single"/>
    <s v="PhD"/>
    <x v="3"/>
    <s v="Finance Executive"/>
    <n v="4"/>
    <s v="Bengaluru"/>
    <n v="93000"/>
    <n v="5.0999999999999996"/>
    <n v="10.9"/>
    <n v="8.9"/>
    <n v="4.5"/>
    <n v="3"/>
    <n v="1"/>
    <n v="2"/>
    <s v="No"/>
    <n v="3"/>
    <n v="1"/>
    <m/>
  </r>
  <r>
    <s v="EMP0882"/>
    <d v="2019-03-24T00:00:00"/>
    <m/>
    <s v="No"/>
    <n v="29"/>
    <s v="Female"/>
    <s v="Married"/>
    <s v="Diploma"/>
    <x v="0"/>
    <s v="Process Associate"/>
    <n v="1"/>
    <s v="Noida"/>
    <n v="22000"/>
    <n v="8.1999999999999993"/>
    <n v="9.6999999999999993"/>
    <n v="6.8"/>
    <n v="4.0999999999999996"/>
    <n v="3"/>
    <n v="3"/>
    <n v="2"/>
    <s v="Yes"/>
    <n v="3"/>
    <n v="1"/>
    <m/>
  </r>
  <r>
    <s v="EMP0883"/>
    <d v="2025-06-10T00:00:00"/>
    <m/>
    <s v="No"/>
    <n v="21"/>
    <s v="Female"/>
    <s v="Married"/>
    <s v="PhD"/>
    <x v="2"/>
    <s v="IT Support Lead"/>
    <n v="1"/>
    <s v="Mumbai"/>
    <n v="23000"/>
    <n v="15"/>
    <n v="6.5"/>
    <n v="0.6"/>
    <n v="0"/>
    <n v="3"/>
    <n v="2"/>
    <n v="3"/>
    <s v="No"/>
    <n v="3"/>
    <n v="1"/>
    <m/>
  </r>
  <r>
    <s v="EMP0884"/>
    <d v="2024-01-15T00:00:00"/>
    <d v="2025-03-13T00:00:00"/>
    <s v="Yes"/>
    <n v="32"/>
    <s v="Female"/>
    <s v="Divorced"/>
    <s v="Master's"/>
    <x v="2"/>
    <s v="IT Support Lead"/>
    <n v="3"/>
    <s v="Pune"/>
    <n v="64000"/>
    <n v="17.399999999999999"/>
    <n v="7.5"/>
    <n v="1.2"/>
    <n v="0.5"/>
    <n v="3"/>
    <n v="4"/>
    <n v="2"/>
    <s v="No"/>
    <n v="3"/>
    <n v="1"/>
    <m/>
  </r>
  <r>
    <s v="EMP0885"/>
    <d v="2025-07-05T00:00:00"/>
    <m/>
    <s v="No"/>
    <n v="38"/>
    <s v="Male"/>
    <s v="Married"/>
    <s v="PhD"/>
    <x v="4"/>
    <s v="Recruiter"/>
    <n v="2"/>
    <s v="Mumbai"/>
    <n v="43000"/>
    <n v="8.8000000000000007"/>
    <n v="4.5"/>
    <n v="0.5"/>
    <n v="0"/>
    <n v="3"/>
    <n v="4"/>
    <n v="4"/>
    <s v="No"/>
    <n v="3"/>
    <n v="1"/>
    <m/>
  </r>
  <r>
    <s v="EMP0886"/>
    <d v="2017-11-29T00:00:00"/>
    <m/>
    <s v="No"/>
    <n v="35"/>
    <s v="Male"/>
    <s v="Married"/>
    <s v="PhD"/>
    <x v="3"/>
    <s v="Accountant"/>
    <n v="3"/>
    <s v="Bengaluru"/>
    <n v="93000"/>
    <n v="12.5"/>
    <n v="13.7"/>
    <n v="8.1"/>
    <n v="3.6"/>
    <n v="2"/>
    <n v="2"/>
    <n v="3"/>
    <s v="No"/>
    <n v="3"/>
    <n v="1"/>
    <m/>
  </r>
  <r>
    <s v="EMP0887"/>
    <d v="2022-01-25T00:00:00"/>
    <m/>
    <s v="No"/>
    <n v="43"/>
    <s v="Non-Binary"/>
    <m/>
    <s v="Bachelor's"/>
    <x v="6"/>
    <s v="Account Manager"/>
    <n v="2"/>
    <s v="Bengaluru"/>
    <n v="56000"/>
    <n v="11.7"/>
    <n v="8.1999999999999993"/>
    <n v="3.9"/>
    <n v="1.3"/>
    <n v="3"/>
    <n v="3"/>
    <n v="3"/>
    <s v="No"/>
    <n v="2"/>
    <n v="1"/>
    <m/>
  </r>
  <r>
    <s v="EMP0888"/>
    <d v="2023-09-28T00:00:00"/>
    <m/>
    <s v="No"/>
    <n v="25"/>
    <s v="Non-Binary"/>
    <s v="Married"/>
    <s v="Diploma"/>
    <x v="3"/>
    <s v="Finance Executive"/>
    <n v="1"/>
    <s v="Noida"/>
    <n v="35000"/>
    <n v="6.9"/>
    <n v="9.1999999999999993"/>
    <n v="2.2999999999999998"/>
    <n v="0.7"/>
    <n v="3"/>
    <n v="4"/>
    <n v="4"/>
    <s v="Yes"/>
    <n v="4"/>
    <n v="1"/>
    <m/>
  </r>
  <r>
    <s v="EMP0889"/>
    <d v="2016-07-22T00:00:00"/>
    <m/>
    <s v="No"/>
    <n v="35"/>
    <s v="Female"/>
    <s v="Divorced"/>
    <s v="Bachelor's"/>
    <x v="1"/>
    <s v="BI Analyst"/>
    <n v="5"/>
    <s v="Mumbai"/>
    <n v="202000"/>
    <n v="1.6"/>
    <n v="14.3"/>
    <n v="9.4"/>
    <n v="4.9000000000000004"/>
    <n v="4"/>
    <n v="2"/>
    <n v="3"/>
    <s v="No"/>
    <n v="5"/>
    <n v="1"/>
    <m/>
  </r>
  <r>
    <s v="EMP0890"/>
    <d v="2024-09-30T00:00:00"/>
    <m/>
    <s v="No"/>
    <n v="37"/>
    <s v="Female"/>
    <s v="Divorced"/>
    <s v="Master's"/>
    <x v="2"/>
    <s v="System Administrator"/>
    <n v="3"/>
    <s v="Hyderabad"/>
    <n v="76000"/>
    <n v="8.5"/>
    <n v="8.9"/>
    <n v="1.3"/>
    <n v="0.3"/>
    <n v="3"/>
    <n v="3"/>
    <n v="4"/>
    <s v="No"/>
    <n v="4"/>
    <n v="1"/>
    <m/>
  </r>
  <r>
    <s v="EMP0891"/>
    <d v="2023-02-02T00:00:00"/>
    <m/>
    <s v="No"/>
    <n v="35"/>
    <s v="Non-Binary"/>
    <s v="Single"/>
    <s v="Master's"/>
    <x v="2"/>
    <s v="IT Support Specialist"/>
    <n v="3"/>
    <m/>
    <n v="68000"/>
    <n v="0.2"/>
    <n v="7.4"/>
    <n v="2.9"/>
    <n v="2.2999999999999998"/>
    <n v="3"/>
    <n v="4"/>
    <n v="3"/>
    <s v="Yes"/>
    <n v="3"/>
    <n v="1"/>
    <m/>
  </r>
  <r>
    <s v="EMP0892"/>
    <d v="2024-12-28T00:00:00"/>
    <m/>
    <s v="No"/>
    <n v="40"/>
    <s v="Male"/>
    <s v="Single"/>
    <s v="Diploma"/>
    <x v="4"/>
    <s v="HR Executive"/>
    <n v="2"/>
    <s v="Bengaluru"/>
    <n v="51000"/>
    <n v="9.9"/>
    <n v="3"/>
    <n v="1"/>
    <n v="0.4"/>
    <n v="3"/>
    <n v="3"/>
    <n v="4"/>
    <s v="No"/>
    <n v="3"/>
    <n v="1"/>
    <m/>
  </r>
  <r>
    <s v="EMP0893"/>
    <d v="2020-04-05T00:00:00"/>
    <m/>
    <s v="No"/>
    <n v="35"/>
    <s v="Female"/>
    <s v="Single"/>
    <s v="PhD"/>
    <x v="5"/>
    <s v="Tech Lead"/>
    <n v="1"/>
    <s v="Hyderabad"/>
    <n v="46000"/>
    <n v="7.8"/>
    <n v="10.199999999999999"/>
    <n v="5.7"/>
    <n v="3.4"/>
    <n v="2"/>
    <n v="4"/>
    <n v="2"/>
    <s v="No"/>
    <n v="3"/>
    <n v="1"/>
    <m/>
  </r>
  <r>
    <s v="EMP0894"/>
    <d v="2025-07-02T00:00:00"/>
    <m/>
    <s v="No"/>
    <n v="35"/>
    <s v="Female"/>
    <s v="Married"/>
    <s v="Master's"/>
    <x v="1"/>
    <s v="BI Analyst"/>
    <n v="2"/>
    <s v="Hyderabad"/>
    <n v="63000"/>
    <n v="3.9"/>
    <n v="1.6"/>
    <n v="0.5"/>
    <n v="0"/>
    <n v="3"/>
    <n v="3"/>
    <n v="1"/>
    <s v="Yes"/>
    <n v="3"/>
    <n v="1"/>
    <m/>
  </r>
  <r>
    <s v="EMP0895"/>
    <d v="2021-05-22T00:00:00"/>
    <d v="2025-09-19T00:00:00"/>
    <s v="Yes"/>
    <n v="27"/>
    <s v="Male"/>
    <s v="Single"/>
    <s v="Master's"/>
    <x v="4"/>
    <s v="HR Executive"/>
    <n v="1"/>
    <s v="Noida"/>
    <n v="26000"/>
    <n v="5.7"/>
    <n v="4.8"/>
    <n v="4.3"/>
    <n v="3.1"/>
    <n v="4"/>
    <n v="2"/>
    <n v="2"/>
    <s v="No"/>
    <n v="2"/>
    <n v="1"/>
    <m/>
  </r>
  <r>
    <s v="EMP0896"/>
    <d v="2014-04-29T00:00:00"/>
    <m/>
    <s v="No"/>
    <n v="48"/>
    <s v="Male"/>
    <s v="Divorced"/>
    <s v="Bachelor's"/>
    <x v="1"/>
    <s v="Data Analyst"/>
    <n v="3"/>
    <s v="Pune"/>
    <n v="102000"/>
    <n v="16.7"/>
    <n v="15.6"/>
    <n v="11.7"/>
    <n v="3.3"/>
    <n v="3"/>
    <n v="3"/>
    <n v="3"/>
    <s v="No"/>
    <n v="3"/>
    <n v="1"/>
    <m/>
  </r>
  <r>
    <s v="EMP0897"/>
    <d v="2015-01-14T00:00:00"/>
    <m/>
    <s v="No"/>
    <n v="33"/>
    <s v="Male"/>
    <s v="Single"/>
    <s v="Master's"/>
    <x v="3"/>
    <s v="Accountant"/>
    <n v="2"/>
    <s v="Pune"/>
    <n v="43000"/>
    <n v="6.2"/>
    <n v="15.4"/>
    <n v="11"/>
    <n v="0.3"/>
    <n v="2"/>
    <n v="4"/>
    <n v="2"/>
    <s v="Yes"/>
    <n v="1"/>
    <n v="1"/>
    <m/>
  </r>
  <r>
    <s v="EMP0898"/>
    <d v="2016-11-08T00:00:00"/>
    <m/>
    <s v="No"/>
    <n v="42"/>
    <s v="Non-Binary"/>
    <s v="Single"/>
    <s v="Master's"/>
    <x v="4"/>
    <s v="HR Analyst"/>
    <n v="2"/>
    <s v="Pune"/>
    <n v="47000"/>
    <n v="13.3"/>
    <n v="13.1"/>
    <n v="9.1"/>
    <n v="4"/>
    <n v="1"/>
    <n v="3"/>
    <n v="3"/>
    <s v="No"/>
    <n v="1"/>
    <n v="1"/>
    <m/>
  </r>
  <r>
    <s v="EMP0899"/>
    <d v="2017-06-28T00:00:00"/>
    <m/>
    <s v="No"/>
    <n v="49"/>
    <s v="Female"/>
    <s v="Married"/>
    <s v="Diploma"/>
    <x v="4"/>
    <s v="HR Manager"/>
    <n v="1"/>
    <s v="Chennai"/>
    <n v="22000"/>
    <n v="14"/>
    <n v="9.8000000000000007"/>
    <n v="8.5"/>
    <n v="1.3"/>
    <n v="3"/>
    <n v="3"/>
    <n v="4"/>
    <s v="No"/>
    <n v="4"/>
    <n v="1"/>
    <m/>
  </r>
  <r>
    <s v="EMP0900"/>
    <d v="2020-12-10T00:00:00"/>
    <m/>
    <s v="No"/>
    <n v="26"/>
    <s v="Non-Binary"/>
    <s v="Divorced"/>
    <s v="PhD"/>
    <x v="3"/>
    <s v="Accountant"/>
    <n v="1"/>
    <s v="Pune"/>
    <n v="44000"/>
    <n v="10.3"/>
    <n v="12.2"/>
    <n v="5.0999999999999996"/>
    <n v="2"/>
    <n v="3"/>
    <n v="3"/>
    <n v="3"/>
    <s v="No"/>
    <n v="3"/>
    <n v="1"/>
    <m/>
  </r>
  <r>
    <s v="EMP0901"/>
    <d v="2025-06-03T00:00:00"/>
    <m/>
    <s v="No"/>
    <n v="27"/>
    <s v="Non-Binary"/>
    <s v="Married"/>
    <s v="Diploma"/>
    <x v="1"/>
    <s v="Data Analyst"/>
    <n v="1"/>
    <s v="Mumbai"/>
    <n v="33000"/>
    <n v="17.2"/>
    <n v="2.2000000000000002"/>
    <n v="0.6"/>
    <n v="0"/>
    <n v="4"/>
    <n v="4"/>
    <n v="4"/>
    <s v="No"/>
    <n v="4"/>
    <n v="1"/>
    <m/>
  </r>
  <r>
    <s v="EMP0902"/>
    <d v="2015-05-10T00:00:00"/>
    <m/>
    <s v="No"/>
    <n v="38"/>
    <s v="Non-Binary"/>
    <s v="Married"/>
    <s v="PhD"/>
    <x v="5"/>
    <s v="Senior Software Developer"/>
    <n v="3"/>
    <s v="Mumbai"/>
    <n v="79000"/>
    <n v="5.9"/>
    <n v="12.4"/>
    <n v="10.6"/>
    <n v="1.1000000000000001"/>
    <n v="3"/>
    <n v="3"/>
    <n v="3"/>
    <s v="Yes"/>
    <n v="4"/>
    <n v="1"/>
    <m/>
  </r>
  <r>
    <s v="EMP0903"/>
    <d v="2022-04-18T00:00:00"/>
    <m/>
    <s v="No"/>
    <n v="24"/>
    <s v="Male"/>
    <s v="Divorced"/>
    <s v="Bachelor's"/>
    <x v="4"/>
    <s v="Recruiter"/>
    <n v="1"/>
    <s v="Bengaluru"/>
    <n v="28000"/>
    <n v="9.1"/>
    <n v="9"/>
    <n v="3.7"/>
    <n v="3.5"/>
    <n v="3"/>
    <n v="2"/>
    <n v="2"/>
    <s v="No"/>
    <n v="1"/>
    <n v="1"/>
    <m/>
  </r>
  <r>
    <s v="EMP0904"/>
    <d v="2021-03-28T00:00:00"/>
    <d v="2025-04-21T00:00:00"/>
    <s v="Yes"/>
    <n v="32"/>
    <s v="Non-Binary"/>
    <s v="Single"/>
    <s v="Diploma"/>
    <x v="6"/>
    <s v="Sales Executive"/>
    <n v="2"/>
    <s v="Bengaluru"/>
    <n v="56000"/>
    <n v="11.8"/>
    <n v="9.1999999999999993"/>
    <n v="4.0999999999999996"/>
    <n v="4"/>
    <n v="2"/>
    <n v="4"/>
    <n v="3"/>
    <s v="No"/>
    <n v="3"/>
    <n v="1"/>
    <m/>
  </r>
  <r>
    <s v="EMP0905"/>
    <d v="2024-11-22T00:00:00"/>
    <m/>
    <s v="No"/>
    <n v="26"/>
    <s v="Female"/>
    <s v="Single"/>
    <s v="Bachelor's"/>
    <x v="5"/>
    <s v="QA Engineer"/>
    <n v="1"/>
    <s v="Bengaluru"/>
    <n v="35000"/>
    <n v="13.8"/>
    <n v="8.4"/>
    <n v="1.1000000000000001"/>
    <n v="0.1"/>
    <n v="4"/>
    <n v="3"/>
    <n v="4"/>
    <s v="No"/>
    <n v="4"/>
    <n v="1"/>
    <m/>
  </r>
  <r>
    <s v="EMP0906"/>
    <d v="2024-06-21T00:00:00"/>
    <m/>
    <s v="No"/>
    <n v="23"/>
    <s v="Female"/>
    <s v="Divorced"/>
    <s v="PhD"/>
    <x v="5"/>
    <s v="Senior Software Developer"/>
    <n v="1"/>
    <s v="Bengaluru"/>
    <n v="41000"/>
    <n v="1.1000000000000001"/>
    <n v="1.7"/>
    <n v="1.5"/>
    <n v="0.8"/>
    <n v="3"/>
    <n v="1"/>
    <n v="3"/>
    <s v="No"/>
    <n v="3"/>
    <n v="1"/>
    <m/>
  </r>
  <r>
    <s v="EMP0907"/>
    <d v="2020-04-02T00:00:00"/>
    <m/>
    <s v="No"/>
    <n v="46"/>
    <s v="Male"/>
    <s v="Married"/>
    <s v="Bachelor's"/>
    <x v="5"/>
    <s v="Tech Lead"/>
    <n v="2"/>
    <s v="Noida"/>
    <n v="51000"/>
    <n v="5.7"/>
    <n v="11"/>
    <n v="5.7"/>
    <n v="5.5"/>
    <n v="1"/>
    <n v="4"/>
    <n v="3"/>
    <s v="Yes"/>
    <n v="4"/>
    <n v="1"/>
    <m/>
  </r>
  <r>
    <s v="EMP0908"/>
    <d v="2025-04-20T00:00:00"/>
    <m/>
    <s v="No"/>
    <n v="22"/>
    <s v="Male"/>
    <s v="Divorced"/>
    <s v="Bachelor's"/>
    <x v="6"/>
    <s v="Account Manager"/>
    <n v="1"/>
    <s v="Hyderabad"/>
    <n v="28000"/>
    <n v="11.4"/>
    <n v="7.7"/>
    <n v="0.7"/>
    <n v="0"/>
    <n v="1"/>
    <n v="3"/>
    <n v="4"/>
    <s v="No"/>
    <n v="3"/>
    <n v="1"/>
    <m/>
  </r>
  <r>
    <s v="EMP0909"/>
    <d v="2020-10-26T00:00:00"/>
    <m/>
    <s v="No"/>
    <n v="31"/>
    <s v="Male"/>
    <s v="Divorced"/>
    <s v="PhD"/>
    <x v="6"/>
    <s v="Sales Executive"/>
    <n v="3"/>
    <s v="Hyderabad"/>
    <n v="83000"/>
    <n v="10.7"/>
    <n v="8.1999999999999993"/>
    <n v="5.2"/>
    <n v="2.9"/>
    <n v="2"/>
    <n v="2"/>
    <n v="3"/>
    <s v="No"/>
    <n v="3"/>
    <n v="1"/>
    <m/>
  </r>
  <r>
    <s v="EMP0910"/>
    <d v="2024-02-14T00:00:00"/>
    <m/>
    <s v="No"/>
    <n v="31"/>
    <s v="Female"/>
    <s v="Divorced"/>
    <s v="PhD"/>
    <x v="3"/>
    <s v="Finance Executive"/>
    <n v="3"/>
    <s v="Mumbai"/>
    <n v="83000"/>
    <n v="8.5"/>
    <n v="5.0999999999999996"/>
    <n v="1.9"/>
    <n v="1.8"/>
    <n v="4"/>
    <n v="2"/>
    <n v="2"/>
    <s v="No"/>
    <n v="2"/>
    <n v="1"/>
    <m/>
  </r>
  <r>
    <s v="EMP0911"/>
    <d v="2022-05-15T00:00:00"/>
    <m/>
    <s v="No"/>
    <n v="30"/>
    <s v="Male"/>
    <s v="Divorced"/>
    <s v="PhD"/>
    <x v="2"/>
    <s v="System Administrator"/>
    <n v="4"/>
    <s v="Bengaluru"/>
    <n v="106000"/>
    <n v="5"/>
    <n v="6.4"/>
    <n v="3.6"/>
    <n v="2.2999999999999998"/>
    <n v="4"/>
    <n v="4"/>
    <n v="4"/>
    <s v="No"/>
    <n v="4"/>
    <n v="1"/>
    <m/>
  </r>
  <r>
    <s v="EMP0912"/>
    <d v="2019-10-20T00:00:00"/>
    <m/>
    <s v="No"/>
    <n v="27"/>
    <s v="Non-Binary"/>
    <s v="Divorced"/>
    <s v="Diploma"/>
    <x v="2"/>
    <s v="IT Support Lead"/>
    <n v="1"/>
    <s v="Mumbai"/>
    <n v="23000"/>
    <n v="10"/>
    <n v="10.8"/>
    <n v="6.2"/>
    <n v="1.5"/>
    <n v="3"/>
    <n v="3"/>
    <n v="4"/>
    <s v="No"/>
    <n v="4"/>
    <n v="1"/>
    <m/>
  </r>
  <r>
    <s v="EMP0913"/>
    <d v="2016-05-17T00:00:00"/>
    <m/>
    <s v="No"/>
    <n v="38"/>
    <s v="Male"/>
    <s v="Divorced"/>
    <s v="PhD"/>
    <x v="5"/>
    <s v="QA Engineer"/>
    <n v="3"/>
    <s v="Pune"/>
    <n v="83000"/>
    <n v="10.6"/>
    <n v="12.8"/>
    <n v="9.6"/>
    <n v="3.5"/>
    <n v="3"/>
    <n v="4"/>
    <n v="3"/>
    <s v="No"/>
    <n v="5"/>
    <n v="1"/>
    <m/>
  </r>
  <r>
    <s v="EMP0914"/>
    <d v="2015-04-02T00:00:00"/>
    <m/>
    <s v="No"/>
    <n v="36"/>
    <s v="Male"/>
    <s v="Divorced"/>
    <s v="Bachelor's"/>
    <x v="2"/>
    <s v="System Administrator"/>
    <n v="3"/>
    <s v="Pune"/>
    <n v="68000"/>
    <n v="9.6"/>
    <n v="18.100000000000001"/>
    <n v="10.7"/>
    <n v="4.2"/>
    <n v="4"/>
    <n v="3"/>
    <n v="3"/>
    <s v="No"/>
    <n v="3"/>
    <n v="1"/>
    <m/>
  </r>
  <r>
    <s v="EMP0915"/>
    <d v="2024-04-14T00:00:00"/>
    <d v="2025-05-10T00:00:00"/>
    <s v="Yes"/>
    <n v="33"/>
    <s v="Non-Binary"/>
    <s v="Married"/>
    <s v="Diploma"/>
    <x v="5"/>
    <s v="Software Developer"/>
    <n v="1"/>
    <s v="Mumbai"/>
    <n v="22000"/>
    <n v="9.6"/>
    <n v="4.7"/>
    <n v="1.1000000000000001"/>
    <n v="0.1"/>
    <n v="4"/>
    <n v="4"/>
    <n v="3"/>
    <s v="Yes"/>
    <n v="1"/>
    <n v="1"/>
    <m/>
  </r>
  <r>
    <s v="EMP0916"/>
    <d v="2019-09-11T00:00:00"/>
    <m/>
    <s v="No"/>
    <n v="30"/>
    <s v="Female"/>
    <s v="Married"/>
    <s v="Bachelor's"/>
    <x v="6"/>
    <s v="Account Manager"/>
    <n v="2"/>
    <s v="Mumbai"/>
    <n v="46000"/>
    <n v="10.5"/>
    <n v="11.7"/>
    <n v="6.3"/>
    <n v="5.9"/>
    <n v="3"/>
    <n v="3"/>
    <n v="3"/>
    <s v="No"/>
    <n v="3"/>
    <n v="1"/>
    <m/>
  </r>
  <r>
    <s v="EMP0917"/>
    <d v="2017-09-08T00:00:00"/>
    <m/>
    <s v="No"/>
    <n v="41"/>
    <s v="Non-Binary"/>
    <s v="Divorced"/>
    <s v="Bachelor's"/>
    <x v="0"/>
    <s v="Operations Manager"/>
    <n v="4"/>
    <s v="Mumbai"/>
    <n v="92000"/>
    <n v="11.9"/>
    <n v="14.4"/>
    <n v="8.3000000000000007"/>
    <n v="0.5"/>
    <n v="3"/>
    <n v="3"/>
    <n v="2"/>
    <s v="No"/>
    <n v="3"/>
    <n v="1"/>
    <m/>
  </r>
  <r>
    <s v="EMP0918"/>
    <d v="2014-03-10T00:00:00"/>
    <m/>
    <s v="No"/>
    <n v="32"/>
    <s v="Non-Binary"/>
    <s v="Single"/>
    <s v="PhD"/>
    <x v="3"/>
    <s v="Finance Executive"/>
    <n v="2"/>
    <s v="Bengaluru"/>
    <n v="58000"/>
    <n v="13.1"/>
    <n v="18.600000000000001"/>
    <n v="11.8"/>
    <n v="1.3"/>
    <n v="3"/>
    <n v="3"/>
    <n v="1"/>
    <s v="Yes"/>
    <n v="2"/>
    <n v="1"/>
    <m/>
  </r>
  <r>
    <s v="EMP0919"/>
    <d v="2023-07-11T00:00:00"/>
    <m/>
    <s v="No"/>
    <n v="25"/>
    <s v="Female"/>
    <s v="Married"/>
    <s v="Master's"/>
    <x v="4"/>
    <s v="Recruiter"/>
    <n v="1"/>
    <s v="Bengaluru"/>
    <n v="40000"/>
    <n v="8.6999999999999993"/>
    <n v="7.7"/>
    <n v="2.5"/>
    <n v="0.1"/>
    <n v="3"/>
    <n v="3"/>
    <n v="3"/>
    <s v="No"/>
    <n v="3"/>
    <n v="1"/>
    <m/>
  </r>
  <r>
    <s v="EMP0920"/>
    <d v="2017-08-31T00:00:00"/>
    <m/>
    <s v="No"/>
    <n v="34"/>
    <s v="Female"/>
    <s v="Single"/>
    <s v="Diploma"/>
    <x v="6"/>
    <s v="Sales Manager"/>
    <n v="2"/>
    <s v="Pune"/>
    <n v="51000"/>
    <n v="13.8"/>
    <n v="10.3"/>
    <n v="8.3000000000000007"/>
    <n v="2.2999999999999998"/>
    <n v="1"/>
    <n v="4"/>
    <n v="3"/>
    <s v="No"/>
    <n v="3"/>
    <n v="1"/>
    <m/>
  </r>
  <r>
    <s v="EMP0921"/>
    <d v="2021-08-19T00:00:00"/>
    <m/>
    <s v="No"/>
    <n v="25"/>
    <s v="Non-Binary"/>
    <s v="Divorced"/>
    <s v="Bachelor's"/>
    <x v="1"/>
    <s v="Senior Data Analyst"/>
    <n v="1"/>
    <s v="Mumbai"/>
    <n v="36000"/>
    <n v="9.6999999999999993"/>
    <n v="10.8"/>
    <n v="4.4000000000000004"/>
    <n v="4.2"/>
    <n v="3"/>
    <n v="2"/>
    <n v="2"/>
    <s v="No"/>
    <n v="2"/>
    <n v="1"/>
    <m/>
  </r>
  <r>
    <s v="EMP0922"/>
    <d v="2020-09-01T00:00:00"/>
    <m/>
    <s v="No"/>
    <n v="37"/>
    <s v="Male"/>
    <s v="Single"/>
    <s v="Bachelor's"/>
    <x v="3"/>
    <s v="Finance Executive"/>
    <n v="3"/>
    <s v="Hyderabad"/>
    <n v="72000"/>
    <n v="18.899999999999999"/>
    <n v="9.6999999999999993"/>
    <n v="5.3"/>
    <n v="2.2000000000000002"/>
    <n v="4"/>
    <n v="1"/>
    <n v="3"/>
    <s v="No"/>
    <n v="4"/>
    <n v="1"/>
    <m/>
  </r>
  <r>
    <s v="EMP0923"/>
    <d v="2019-10-08T00:00:00"/>
    <d v="2025-01-13T00:00:00"/>
    <s v="Yes"/>
    <n v="42"/>
    <s v="Female"/>
    <s v="Divorced"/>
    <s v="Diploma"/>
    <x v="0"/>
    <s v="Operations Manager"/>
    <n v="3"/>
    <s v="Mumbai"/>
    <n v="71000"/>
    <n v="11.1"/>
    <n v="6.6"/>
    <n v="5.3"/>
    <n v="3"/>
    <n v="4"/>
    <n v="3"/>
    <n v="3"/>
    <s v="Yes"/>
    <n v="5"/>
    <n v="1"/>
    <m/>
  </r>
  <r>
    <s v="EMP0924"/>
    <d v="2024-05-06T00:00:00"/>
    <m/>
    <s v="No"/>
    <n v="42"/>
    <s v="Non-Binary"/>
    <s v="Divorced"/>
    <s v="Diploma"/>
    <x v="5"/>
    <s v="Senior Software Developer"/>
    <n v="3"/>
    <s v="Chennai"/>
    <n v="96000"/>
    <n v="12.5"/>
    <n v="7.6"/>
    <n v="1.7"/>
    <n v="0.7"/>
    <n v="2"/>
    <n v="3"/>
    <n v="3"/>
    <s v="Yes"/>
    <n v="1"/>
    <n v="1"/>
    <m/>
  </r>
  <r>
    <s v="EMP0925"/>
    <d v="2018-08-22T00:00:00"/>
    <m/>
    <s v="No"/>
    <n v="29"/>
    <s v="Non-Binary"/>
    <s v="Divorced"/>
    <s v="Bachelor's"/>
    <x v="4"/>
    <s v="HR Executive"/>
    <n v="2"/>
    <s v="Pune"/>
    <n v="54000"/>
    <n v="12.7"/>
    <n v="9.1"/>
    <n v="7.4"/>
    <n v="4"/>
    <n v="2"/>
    <n v="3"/>
    <n v="2"/>
    <s v="No"/>
    <n v="3"/>
    <n v="1"/>
    <m/>
  </r>
  <r>
    <s v="EMP0926"/>
    <d v="2024-01-01T00:00:00"/>
    <m/>
    <s v="No"/>
    <n v="40"/>
    <s v="Male"/>
    <s v="Married"/>
    <s v="PhD"/>
    <x v="0"/>
    <s v="Operations Analyst"/>
    <n v="4"/>
    <s v="Bengaluru"/>
    <n v="117000"/>
    <n v="5.3"/>
    <n v="2.6"/>
    <n v="2"/>
    <n v="0.3"/>
    <n v="3"/>
    <n v="3"/>
    <n v="3"/>
    <s v="No"/>
    <n v="4"/>
    <n v="1"/>
    <m/>
  </r>
  <r>
    <s v="EMP0927"/>
    <d v="2021-12-13T00:00:00"/>
    <m/>
    <s v="No"/>
    <n v="32"/>
    <s v="Female"/>
    <s v="Divorced"/>
    <s v="PhD"/>
    <x v="2"/>
    <s v="IT Support Lead"/>
    <n v="1"/>
    <s v="Noida"/>
    <n v="36000"/>
    <n v="6.9"/>
    <n v="7"/>
    <n v="4"/>
    <n v="1.8"/>
    <n v="2"/>
    <n v="4"/>
    <n v="2"/>
    <s v="No"/>
    <n v="5"/>
    <n v="1"/>
    <m/>
  </r>
  <r>
    <s v="EMP0928"/>
    <d v="2019-08-08T00:00:00"/>
    <m/>
    <s v="No"/>
    <n v="36"/>
    <s v="Male"/>
    <s v="Married"/>
    <s v="Diploma"/>
    <x v="2"/>
    <s v="System Administrator"/>
    <n v="2"/>
    <s v="Mumbai"/>
    <n v="52000"/>
    <n v="3.3"/>
    <n v="9.6999999999999993"/>
    <n v="6.4"/>
    <n v="3.4"/>
    <n v="1"/>
    <n v="3"/>
    <n v="4"/>
    <s v="No"/>
    <n v="4"/>
    <n v="1"/>
    <m/>
  </r>
  <r>
    <s v="EMP0929"/>
    <d v="2014-02-26T00:00:00"/>
    <m/>
    <s v="No"/>
    <n v="35"/>
    <s v="Non-Binary"/>
    <s v="Divorced"/>
    <s v="Master's"/>
    <x v="6"/>
    <s v="Business Development Executive"/>
    <n v="3"/>
    <s v="Mumbai"/>
    <n v="58000"/>
    <n v="13.1"/>
    <n v="19.2"/>
    <n v="11.8"/>
    <n v="5.0999999999999996"/>
    <n v="4"/>
    <n v="3"/>
    <n v="3"/>
    <s v="No"/>
    <n v="4"/>
    <n v="1"/>
    <m/>
  </r>
  <r>
    <s v="EMP0930"/>
    <d v="2014-04-16T00:00:00"/>
    <d v="2025-11-19T00:00:00"/>
    <s v="Yes"/>
    <n v="56"/>
    <s v="Female"/>
    <s v="Single"/>
    <s v="Master's"/>
    <x v="6"/>
    <s v="Sales Executive"/>
    <n v="3"/>
    <s v="Hyderabad"/>
    <n v="98000"/>
    <n v="8.3000000000000007"/>
    <n v="13.7"/>
    <n v="11.6"/>
    <n v="1.6"/>
    <n v="3"/>
    <n v="3"/>
    <n v="3"/>
    <s v="No"/>
    <n v="3"/>
    <n v="1"/>
    <m/>
  </r>
  <r>
    <s v="EMP0931"/>
    <d v="2019-08-24T00:00:00"/>
    <m/>
    <s v="No"/>
    <n v="40"/>
    <s v="Female"/>
    <s v="Single"/>
    <s v="Diploma"/>
    <x v="6"/>
    <s v="Account Manager"/>
    <n v="4"/>
    <s v="Noida"/>
    <n v="126000"/>
    <n v="2.4"/>
    <n v="11.6"/>
    <n v="6.4"/>
    <n v="4.5999999999999996"/>
    <n v="3"/>
    <n v="4"/>
    <n v="2"/>
    <s v="No"/>
    <n v="4"/>
    <n v="1"/>
    <m/>
  </r>
  <r>
    <s v="EMP0932"/>
    <d v="2021-09-04T00:00:00"/>
    <m/>
    <s v="No"/>
    <n v="29"/>
    <s v="Non-Binary"/>
    <s v="Married"/>
    <s v="Diploma"/>
    <x v="4"/>
    <s v="HR Analyst"/>
    <n v="2"/>
    <s v="Pune"/>
    <n v="56000"/>
    <n v="11"/>
    <n v="6.7"/>
    <n v="4.3"/>
    <n v="1.1000000000000001"/>
    <n v="2"/>
    <n v="3"/>
    <n v="3"/>
    <s v="No"/>
    <n v="3"/>
    <n v="1"/>
    <m/>
  </r>
  <r>
    <s v="EMP0933"/>
    <d v="2022-05-01T00:00:00"/>
    <m/>
    <s v="No"/>
    <n v="25"/>
    <s v="Female"/>
    <s v="Single"/>
    <s v="Bachelor's"/>
    <x v="3"/>
    <s v="Finance Manager"/>
    <n v="1"/>
    <s v="Pune"/>
    <n v="22000"/>
    <n v="12.4"/>
    <n v="5.7"/>
    <n v="3.7"/>
    <n v="0.3"/>
    <n v="3"/>
    <n v="2"/>
    <n v="3"/>
    <s v="No"/>
    <n v="4"/>
    <n v="1"/>
    <m/>
  </r>
  <r>
    <s v="EMP0934"/>
    <d v="2025-01-19T00:00:00"/>
    <m/>
    <s v="No"/>
    <n v="21"/>
    <s v="Female"/>
    <s v="Divorced"/>
    <s v="Bachelor's"/>
    <x v="2"/>
    <s v="IT Analyst"/>
    <n v="1"/>
    <s v="Mumbai"/>
    <n v="34000"/>
    <n v="12.2"/>
    <n v="3.2"/>
    <n v="0.9"/>
    <n v="0"/>
    <n v="4"/>
    <n v="2"/>
    <n v="1"/>
    <s v="No"/>
    <n v="3"/>
    <n v="1"/>
    <m/>
  </r>
  <r>
    <s v="EMP0935"/>
    <d v="2024-05-06T00:00:00"/>
    <m/>
    <s v="No"/>
    <n v="30"/>
    <s v="Male"/>
    <s v="Divorced"/>
    <s v="PhD"/>
    <x v="3"/>
    <s v="Finance Manager"/>
    <n v="2"/>
    <s v="Pune"/>
    <n v="54000"/>
    <n v="7.5"/>
    <n v="2"/>
    <n v="1.7"/>
    <n v="0.1"/>
    <n v="4"/>
    <n v="2"/>
    <n v="3"/>
    <s v="Yes"/>
    <n v="2"/>
    <n v="1"/>
    <m/>
  </r>
  <r>
    <s v="EMP0936"/>
    <d v="2023-02-06T00:00:00"/>
    <m/>
    <s v="No"/>
    <n v="28"/>
    <s v="Male"/>
    <s v="Single"/>
    <s v="Bachelor's"/>
    <x v="5"/>
    <s v="Software Developer"/>
    <n v="1"/>
    <s v="Chennai"/>
    <n v="42000"/>
    <n v="10.3"/>
    <n v="4.7"/>
    <n v="2.9"/>
    <n v="1.8"/>
    <n v="3"/>
    <n v="3"/>
    <n v="3"/>
    <s v="No"/>
    <n v="4"/>
    <n v="1"/>
    <m/>
  </r>
  <r>
    <s v="EMP0937"/>
    <d v="2021-05-10T00:00:00"/>
    <m/>
    <s v="No"/>
    <n v="26"/>
    <s v="Female"/>
    <s v="Married"/>
    <s v="Bachelor's"/>
    <x v="4"/>
    <s v="HR Analyst"/>
    <n v="1"/>
    <s v="Bengaluru"/>
    <n v="31000"/>
    <n v="0.3"/>
    <n v="9"/>
    <n v="4.5999999999999996"/>
    <n v="0.1"/>
    <n v="4"/>
    <n v="2"/>
    <n v="3"/>
    <s v="Yes"/>
    <n v="4"/>
    <n v="1"/>
    <m/>
  </r>
  <r>
    <s v="EMP0938"/>
    <d v="2020-04-28T00:00:00"/>
    <m/>
    <s v="No"/>
    <n v="43"/>
    <s v="Female"/>
    <s v="Married"/>
    <s v="Master's"/>
    <x v="1"/>
    <s v="Data Engineer"/>
    <n v="2"/>
    <s v="Pune"/>
    <n v="48000"/>
    <n v="6.7"/>
    <n v="6.5"/>
    <n v="5.7"/>
    <n v="1.4"/>
    <n v="2"/>
    <n v="3"/>
    <n v="3"/>
    <s v="Yes"/>
    <n v="4"/>
    <n v="1"/>
    <m/>
  </r>
  <r>
    <s v="EMP0939"/>
    <d v="2020-07-03T00:00:00"/>
    <m/>
    <s v="No"/>
    <n v="42"/>
    <s v="Female"/>
    <s v="Divorced"/>
    <s v="Diploma"/>
    <x v="5"/>
    <s v="Software Developer"/>
    <n v="2"/>
    <s v="Hyderabad"/>
    <n v="55000"/>
    <n v="6.2"/>
    <n v="11.5"/>
    <n v="5.5"/>
    <n v="0.1"/>
    <n v="4"/>
    <n v="4"/>
    <n v="2"/>
    <s v="Yes"/>
    <n v="4"/>
    <n v="1"/>
    <m/>
  </r>
  <r>
    <s v="EMP0940"/>
    <d v="2021-02-28T00:00:00"/>
    <d v="2025-02-09T00:00:00"/>
    <s v="Yes"/>
    <n v="34"/>
    <s v="Female"/>
    <s v="Married"/>
    <s v="PhD"/>
    <x v="5"/>
    <s v="Tech Lead"/>
    <n v="3"/>
    <s v="Hyderabad"/>
    <n v="105000"/>
    <n v="10.1"/>
    <n v="8.8000000000000007"/>
    <n v="3.9"/>
    <n v="2.7"/>
    <n v="2"/>
    <n v="3"/>
    <n v="4"/>
    <s v="No"/>
    <n v="3"/>
    <n v="1"/>
    <m/>
  </r>
  <r>
    <s v="EMP0941"/>
    <d v="2021-04-05T00:00:00"/>
    <m/>
    <s v="No"/>
    <n v="35"/>
    <s v="Non-Binary"/>
    <s v="Married"/>
    <s v="Diploma"/>
    <x v="1"/>
    <s v="Senior Data Analyst"/>
    <n v="4"/>
    <s v="Mumbai"/>
    <n v="129000"/>
    <n v="5.7"/>
    <n v="9.1999999999999993"/>
    <n v="4.7"/>
    <n v="3"/>
    <n v="4"/>
    <n v="1"/>
    <n v="3"/>
    <s v="No"/>
    <n v="1"/>
    <n v="1"/>
    <m/>
  </r>
  <r>
    <s v="EMP0942"/>
    <d v="2020-06-28T00:00:00"/>
    <m/>
    <s v="No"/>
    <n v="35"/>
    <s v="Non-Binary"/>
    <s v="Divorced"/>
    <s v="Master's"/>
    <x v="5"/>
    <s v="Tech Lead"/>
    <n v="2"/>
    <s v="Bengaluru"/>
    <n v="60000"/>
    <n v="5.0999999999999996"/>
    <n v="7.7"/>
    <n v="5.5"/>
    <n v="5"/>
    <n v="3"/>
    <n v="3"/>
    <n v="2"/>
    <s v="No"/>
    <n v="3"/>
    <n v="1"/>
    <m/>
  </r>
  <r>
    <s v="EMP0943"/>
    <d v="2023-01-10T00:00:00"/>
    <m/>
    <s v="No"/>
    <n v="38"/>
    <s v="Male"/>
    <s v="Married"/>
    <s v="Diploma"/>
    <x v="3"/>
    <s v="Finance Executive"/>
    <n v="1"/>
    <s v="Pune"/>
    <n v="30000"/>
    <n v="13"/>
    <n v="7.4"/>
    <n v="3"/>
    <n v="0.8"/>
    <n v="2"/>
    <n v="3"/>
    <n v="2"/>
    <s v="No"/>
    <n v="2"/>
    <n v="1"/>
    <m/>
  </r>
  <r>
    <s v="EMP0944"/>
    <d v="2021-09-10T00:00:00"/>
    <d v="2025-12-02T00:00:00"/>
    <s v="Yes"/>
    <n v="28"/>
    <s v="Female"/>
    <s v="Married"/>
    <s v="Master's"/>
    <x v="1"/>
    <s v="Data Engineer"/>
    <n v="2"/>
    <s v="Pune"/>
    <n v="55000"/>
    <n v="1.9"/>
    <n v="10.5"/>
    <n v="4.2"/>
    <n v="3.7"/>
    <n v="2"/>
    <n v="4"/>
    <n v="3"/>
    <s v="Yes"/>
    <n v="3"/>
    <n v="1"/>
    <m/>
  </r>
  <r>
    <s v="EMP0945"/>
    <d v="2025-04-12T00:00:00"/>
    <d v="2025-12-28T00:00:00"/>
    <s v="Yes"/>
    <n v="21"/>
    <s v="Male"/>
    <s v="Divorced"/>
    <s v="Master's"/>
    <x v="5"/>
    <s v="Senior Software Developer"/>
    <n v="1"/>
    <s v="Pune"/>
    <n v="27000"/>
    <n v="0.7"/>
    <n v="2.1"/>
    <n v="0.7"/>
    <n v="0"/>
    <n v="4"/>
    <n v="3"/>
    <n v="4"/>
    <s v="Yes"/>
    <n v="4"/>
    <n v="1"/>
    <m/>
  </r>
  <r>
    <s v="EMP0946"/>
    <d v="2023-09-10T00:00:00"/>
    <m/>
    <s v="No"/>
    <n v="32"/>
    <s v="Male"/>
    <s v="Divorced"/>
    <s v="Diploma"/>
    <x v="2"/>
    <s v="IT Support Specialist"/>
    <n v="2"/>
    <s v="Chennai"/>
    <n v="49000"/>
    <n v="4.8"/>
    <n v="9.5"/>
    <n v="2.2999999999999998"/>
    <n v="0.9"/>
    <n v="4"/>
    <n v="2"/>
    <n v="3"/>
    <s v="Yes"/>
    <n v="4"/>
    <n v="1"/>
    <m/>
  </r>
  <r>
    <s v="EMP0947"/>
    <d v="2020-05-18T00:00:00"/>
    <m/>
    <s v="No"/>
    <n v="36"/>
    <s v="Non-Binary"/>
    <s v="Married"/>
    <s v="PhD"/>
    <x v="2"/>
    <s v="IT Analyst"/>
    <n v="3"/>
    <s v="Chennai"/>
    <n v="70000"/>
    <n v="10.3"/>
    <n v="10.5"/>
    <n v="5.6"/>
    <n v="0.2"/>
    <n v="3"/>
    <n v="4"/>
    <n v="2"/>
    <s v="No"/>
    <n v="3"/>
    <n v="1"/>
    <m/>
  </r>
  <r>
    <s v="EMP0948"/>
    <d v="2020-03-29T00:00:00"/>
    <m/>
    <s v="No"/>
    <n v="34"/>
    <s v="Male"/>
    <s v="Divorced"/>
    <s v="PhD"/>
    <x v="4"/>
    <s v="HR Manager"/>
    <n v="4"/>
    <s v="Pune"/>
    <n v="118000"/>
    <n v="11.3"/>
    <n v="10.4"/>
    <n v="5.8"/>
    <n v="4.9000000000000004"/>
    <n v="3"/>
    <n v="3"/>
    <n v="2"/>
    <s v="No"/>
    <n v="5"/>
    <n v="1"/>
    <m/>
  </r>
  <r>
    <s v="EMP0949"/>
    <d v="2018-09-07T00:00:00"/>
    <m/>
    <s v="No"/>
    <n v="35"/>
    <s v="Male"/>
    <s v="Single"/>
    <s v="PhD"/>
    <x v="2"/>
    <s v="IT Support Specialist"/>
    <n v="2"/>
    <s v="Noida"/>
    <n v="50000"/>
    <n v="9"/>
    <n v="10.6"/>
    <n v="7.3"/>
    <n v="2.2999999999999998"/>
    <n v="3"/>
    <n v="3"/>
    <n v="3"/>
    <s v="No"/>
    <n v="3"/>
    <n v="1"/>
    <m/>
  </r>
  <r>
    <s v="EMP0950"/>
    <d v="2018-10-17T00:00:00"/>
    <m/>
    <s v="No"/>
    <n v="32"/>
    <s v="Female"/>
    <s v="Married"/>
    <s v="PhD"/>
    <x v="2"/>
    <s v="System Administrator"/>
    <n v="2"/>
    <s v="Hyderabad"/>
    <n v="54000"/>
    <n v="5"/>
    <n v="10.4"/>
    <n v="7.2"/>
    <n v="0.9"/>
    <n v="2"/>
    <n v="4"/>
    <n v="4"/>
    <s v="No"/>
    <n v="3"/>
    <n v="1"/>
    <m/>
  </r>
  <r>
    <s v="EMP0951"/>
    <d v="2025-05-07T00:00:00"/>
    <d v="2025-12-16T00:00:00"/>
    <s v="Yes"/>
    <n v="23"/>
    <s v="Non-Binary"/>
    <s v="Married"/>
    <s v="Bachelor's"/>
    <x v="1"/>
    <s v="Data Engineer"/>
    <n v="1"/>
    <s v="Chennai"/>
    <n v="25000"/>
    <n v="4.0999999999999996"/>
    <n v="8"/>
    <n v="0.6"/>
    <n v="0"/>
    <n v="2"/>
    <n v="1"/>
    <n v="3"/>
    <s v="No"/>
    <n v="3"/>
    <n v="1"/>
    <m/>
  </r>
  <r>
    <s v="EMP0952"/>
    <d v="2020-03-14T00:00:00"/>
    <m/>
    <s v="No"/>
    <n v="27"/>
    <s v="Male"/>
    <s v="Single"/>
    <s v="Master's"/>
    <x v="6"/>
    <s v="Sales Manager"/>
    <n v="1"/>
    <s v="Noida"/>
    <n v="38000"/>
    <n v="9.1"/>
    <n v="12.6"/>
    <n v="5.8"/>
    <n v="0.4"/>
    <n v="1"/>
    <n v="3"/>
    <n v="3"/>
    <s v="No"/>
    <n v="3"/>
    <n v="1"/>
    <m/>
  </r>
  <r>
    <s v="EMP0953"/>
    <d v="2019-09-28T00:00:00"/>
    <m/>
    <s v="No"/>
    <n v="38"/>
    <s v="Non-Binary"/>
    <s v="Divorced"/>
    <s v="Bachelor's"/>
    <x v="0"/>
    <s v="Operations Manager"/>
    <n v="1"/>
    <s v="Mumbai"/>
    <n v="39000"/>
    <n v="5"/>
    <n v="8.9"/>
    <n v="6.3"/>
    <n v="3.7"/>
    <n v="3"/>
    <n v="3"/>
    <n v="3"/>
    <s v="No"/>
    <n v="3"/>
    <n v="1"/>
    <m/>
  </r>
  <r>
    <s v="EMP0954"/>
    <d v="2022-10-18T00:00:00"/>
    <m/>
    <s v="No"/>
    <n v="27"/>
    <s v="Female"/>
    <s v="Divorced"/>
    <s v="PhD"/>
    <x v="2"/>
    <s v="IT Support Lead"/>
    <n v="1"/>
    <s v="Noida"/>
    <n v="34000"/>
    <n v="3.9"/>
    <n v="9.1999999999999993"/>
    <n v="3.2"/>
    <n v="1.6"/>
    <n v="3"/>
    <n v="4"/>
    <n v="2"/>
    <s v="No"/>
    <n v="4"/>
    <n v="1"/>
    <m/>
  </r>
  <r>
    <s v="EMP0955"/>
    <d v="2018-04-23T00:00:00"/>
    <m/>
    <s v="No"/>
    <n v="30"/>
    <s v="Male"/>
    <s v="Married"/>
    <s v="Master's"/>
    <x v="0"/>
    <s v="Operations Manager"/>
    <n v="2"/>
    <s v="Mumbai"/>
    <n v="48000"/>
    <n v="7.4"/>
    <n v="9.5"/>
    <n v="7.7"/>
    <n v="0.3"/>
    <n v="3"/>
    <n v="1"/>
    <n v="2"/>
    <s v="Yes"/>
    <n v="3"/>
    <n v="1"/>
    <m/>
  </r>
  <r>
    <s v="EMP0956"/>
    <d v="2023-08-29T00:00:00"/>
    <d v="2025-09-05T00:00:00"/>
    <s v="Yes"/>
    <n v="30"/>
    <s v="Male"/>
    <s v="Single"/>
    <s v="PhD"/>
    <x v="4"/>
    <s v="HR Analyst"/>
    <n v="5"/>
    <s v="Hyderabad"/>
    <n v="150000"/>
    <n v="8.8000000000000007"/>
    <n v="8.3000000000000007"/>
    <n v="2"/>
    <n v="0.4"/>
    <n v="2"/>
    <n v="4"/>
    <n v="2"/>
    <s v="No"/>
    <n v="4"/>
    <n v="1"/>
    <m/>
  </r>
  <r>
    <s v="EMP0957"/>
    <d v="2018-05-05T00:00:00"/>
    <m/>
    <s v="No"/>
    <n v="28"/>
    <s v="Non-Binary"/>
    <s v="Divorced"/>
    <s v="Diploma"/>
    <x v="4"/>
    <s v="HR Analyst"/>
    <n v="4"/>
    <s v="Chennai"/>
    <n v="116000"/>
    <n v="4.3"/>
    <n v="14.2"/>
    <n v="7.7"/>
    <n v="2"/>
    <n v="3"/>
    <n v="3"/>
    <n v="3"/>
    <s v="Yes"/>
    <n v="4"/>
    <n v="1"/>
    <m/>
  </r>
  <r>
    <s v="EMP0958"/>
    <d v="2025-06-10T00:00:00"/>
    <m/>
    <s v="No"/>
    <n v="41"/>
    <s v="Female"/>
    <s v="Single"/>
    <s v="Master's"/>
    <x v="2"/>
    <s v="System Administrator"/>
    <n v="2"/>
    <s v="Chennai"/>
    <n v="56000"/>
    <n v="8.1999999999999993"/>
    <n v="4.5"/>
    <n v="0.6"/>
    <n v="0"/>
    <n v="3"/>
    <n v="3"/>
    <n v="4"/>
    <s v="No"/>
    <n v="3"/>
    <n v="1"/>
    <m/>
  </r>
  <r>
    <s v="EMP0959"/>
    <d v="2022-10-16T00:00:00"/>
    <m/>
    <s v="No"/>
    <n v="40"/>
    <s v="Male"/>
    <s v="Single"/>
    <s v="PhD"/>
    <x v="1"/>
    <s v="BI Analyst"/>
    <n v="4"/>
    <s v="Noida"/>
    <n v="116000"/>
    <n v="5.0999999999999996"/>
    <n v="7.3"/>
    <n v="3.2"/>
    <n v="1.3"/>
    <n v="4"/>
    <n v="3"/>
    <n v="3"/>
    <s v="No"/>
    <n v="3"/>
    <n v="1"/>
    <m/>
  </r>
  <r>
    <s v="EMP0960"/>
    <d v="2025-01-13T00:00:00"/>
    <m/>
    <s v="No"/>
    <n v="42"/>
    <s v="Female"/>
    <s v="Married"/>
    <s v="Master's"/>
    <x v="5"/>
    <s v="QA Engineer"/>
    <n v="4"/>
    <s v="Mumbai"/>
    <n v="128000"/>
    <n v="5.0999999999999996"/>
    <n v="8.8000000000000007"/>
    <n v="1"/>
    <n v="0.3"/>
    <n v="3"/>
    <n v="3"/>
    <n v="3"/>
    <s v="No"/>
    <n v="3"/>
    <n v="1"/>
    <m/>
  </r>
  <r>
    <s v="EMP0961"/>
    <d v="2020-05-22T00:00:00"/>
    <m/>
    <s v="No"/>
    <n v="29"/>
    <s v="Non-Binary"/>
    <s v="Married"/>
    <s v="PhD"/>
    <x v="3"/>
    <s v="Accountant"/>
    <n v="2"/>
    <s v="Bengaluru"/>
    <n v="49000"/>
    <n v="12.9"/>
    <n v="8.6"/>
    <n v="5.6"/>
    <n v="0.5"/>
    <n v="2"/>
    <n v="2"/>
    <n v="4"/>
    <s v="Yes"/>
    <n v="1"/>
    <n v="1"/>
    <m/>
  </r>
  <r>
    <s v="EMP0962"/>
    <d v="2025-09-04T00:00:00"/>
    <m/>
    <s v="No"/>
    <n v="44"/>
    <s v="Male"/>
    <s v="Single"/>
    <s v="Diploma"/>
    <x v="2"/>
    <s v="System Administrator"/>
    <n v="5"/>
    <s v="Hyderabad"/>
    <n v="158000"/>
    <n v="13.4"/>
    <n v="3.3"/>
    <n v="0.3"/>
    <n v="0"/>
    <n v="2"/>
    <n v="4"/>
    <n v="3"/>
    <s v="Yes"/>
    <n v="4"/>
    <n v="1"/>
    <m/>
  </r>
  <r>
    <s v="EMP0963"/>
    <d v="2024-09-26T00:00:00"/>
    <m/>
    <s v="No"/>
    <n v="32"/>
    <s v="Female"/>
    <s v="Divorced"/>
    <s v="Bachelor's"/>
    <x v="5"/>
    <s v="Software Developer"/>
    <n v="5"/>
    <s v="Chennai"/>
    <n v="160000"/>
    <n v="6.9"/>
    <n v="7.6"/>
    <n v="1.3"/>
    <n v="1.2"/>
    <n v="1"/>
    <n v="4"/>
    <n v="3"/>
    <s v="Yes"/>
    <n v="3"/>
    <n v="1"/>
    <m/>
  </r>
  <r>
    <s v="EMP0964"/>
    <d v="2018-08-11T00:00:00"/>
    <m/>
    <s v="No"/>
    <n v="42"/>
    <s v="Non-Binary"/>
    <s v="Single"/>
    <s v="PhD"/>
    <x v="6"/>
    <s v="Account Manager"/>
    <n v="1"/>
    <s v="Mumbai"/>
    <n v="24000"/>
    <n v="7.5"/>
    <n v="8.1999999999999993"/>
    <n v="7.4"/>
    <n v="3.6"/>
    <n v="3"/>
    <n v="3"/>
    <n v="1"/>
    <s v="Yes"/>
    <n v="4"/>
    <n v="1"/>
    <m/>
  </r>
  <r>
    <s v="EMP0965"/>
    <d v="2024-11-27T00:00:00"/>
    <m/>
    <s v="No"/>
    <n v="23"/>
    <s v="Male"/>
    <s v="Divorced"/>
    <s v="Master's"/>
    <x v="6"/>
    <s v="Sales Manager"/>
    <n v="1"/>
    <s v="Bengaluru"/>
    <n v="39000"/>
    <n v="6.1"/>
    <n v="3"/>
    <n v="1.1000000000000001"/>
    <n v="1.1000000000000001"/>
    <n v="3"/>
    <n v="3"/>
    <n v="3"/>
    <s v="No"/>
    <n v="3"/>
    <n v="1"/>
    <m/>
  </r>
  <r>
    <s v="EMP0966"/>
    <d v="2024-07-23T00:00:00"/>
    <d v="2025-02-07T00:00:00"/>
    <s v="Yes"/>
    <n v="30"/>
    <s v="Female"/>
    <s v="Single"/>
    <s v="Diploma"/>
    <x v="5"/>
    <s v="Software Developer"/>
    <n v="3"/>
    <s v="Noida"/>
    <n v="79000"/>
    <n v="9"/>
    <n v="2.8"/>
    <n v="0.5"/>
    <n v="0"/>
    <n v="3"/>
    <n v="3"/>
    <n v="2"/>
    <s v="Yes"/>
    <n v="3"/>
    <n v="1"/>
    <m/>
  </r>
  <r>
    <s v="EMP0967"/>
    <d v="2022-03-03T00:00:00"/>
    <d v="2025-05-10T00:00:00"/>
    <s v="Yes"/>
    <n v="30"/>
    <s v="Female"/>
    <s v="Married"/>
    <s v="Master's"/>
    <x v="1"/>
    <s v="Data Engineer"/>
    <n v="3"/>
    <s v="Hyderabad"/>
    <n v="83000"/>
    <n v="10.3"/>
    <n v="6.3"/>
    <n v="3.2"/>
    <n v="2.6"/>
    <n v="3"/>
    <n v="3"/>
    <n v="4"/>
    <s v="No"/>
    <n v="4"/>
    <n v="1"/>
    <m/>
  </r>
  <r>
    <s v="EMP0968"/>
    <d v="2014-06-29T00:00:00"/>
    <m/>
    <s v="No"/>
    <n v="34"/>
    <s v="Female"/>
    <s v="Single"/>
    <s v="Bachelor's"/>
    <x v="0"/>
    <s v="Process Associate"/>
    <n v="3"/>
    <s v="Pune"/>
    <n v="81000"/>
    <n v="3.4"/>
    <n v="18.5"/>
    <n v="11.5"/>
    <n v="1"/>
    <n v="4"/>
    <n v="3"/>
    <n v="2"/>
    <s v="No"/>
    <n v="5"/>
    <n v="1"/>
    <m/>
  </r>
  <r>
    <s v="EMP0969"/>
    <d v="2021-03-15T00:00:00"/>
    <m/>
    <s v="No"/>
    <n v="25"/>
    <s v="Male"/>
    <s v="Single"/>
    <s v="PhD"/>
    <x v="1"/>
    <s v="Data Engineer"/>
    <n v="1"/>
    <s v="Chennai"/>
    <n v="26000"/>
    <n v="6"/>
    <n v="11"/>
    <n v="4.8"/>
    <n v="3"/>
    <n v="3"/>
    <n v="3"/>
    <n v="4"/>
    <s v="No"/>
    <n v="3"/>
    <n v="1"/>
    <m/>
  </r>
  <r>
    <s v="EMP0970"/>
    <d v="2017-09-27T00:00:00"/>
    <m/>
    <s v="No"/>
    <n v="40"/>
    <s v="Non-Binary"/>
    <s v="Single"/>
    <s v="PhD"/>
    <x v="1"/>
    <s v="BI Analyst"/>
    <n v="2"/>
    <s v="Noida"/>
    <n v="64000"/>
    <n v="2.9"/>
    <n v="11.4"/>
    <n v="8.3000000000000007"/>
    <n v="3.2"/>
    <n v="4"/>
    <n v="3"/>
    <n v="4"/>
    <s v="No"/>
    <n v="3"/>
    <n v="1"/>
    <m/>
  </r>
  <r>
    <s v="EMP0971"/>
    <d v="2016-11-09T00:00:00"/>
    <m/>
    <s v="No"/>
    <n v="35"/>
    <s v="Non-Binary"/>
    <s v="Divorced"/>
    <s v="Master's"/>
    <x v="4"/>
    <s v="HR Analyst"/>
    <n v="3"/>
    <s v="Hyderabad"/>
    <n v="75000"/>
    <n v="1.6"/>
    <n v="14.2"/>
    <n v="9.1"/>
    <n v="4.8"/>
    <n v="3"/>
    <n v="3"/>
    <n v="4"/>
    <s v="Yes"/>
    <n v="5"/>
    <n v="1"/>
    <m/>
  </r>
  <r>
    <s v="EMP0972"/>
    <d v="2022-03-10T00:00:00"/>
    <m/>
    <s v="No"/>
    <n v="33"/>
    <s v="Female"/>
    <s v="Single"/>
    <s v="PhD"/>
    <x v="2"/>
    <s v="System Administrator"/>
    <n v="2"/>
    <s v="Bengaluru"/>
    <n v="57000"/>
    <n v="0.2"/>
    <n v="11"/>
    <n v="3.8"/>
    <n v="1"/>
    <n v="1"/>
    <n v="3"/>
    <n v="3"/>
    <s v="No"/>
    <n v="1"/>
    <n v="1"/>
    <m/>
  </r>
  <r>
    <s v="EMP0973"/>
    <d v="2016-04-24T00:00:00"/>
    <m/>
    <s v="No"/>
    <n v="34"/>
    <s v="Female"/>
    <s v="Divorced"/>
    <s v="Bachelor's"/>
    <x v="3"/>
    <s v="Financial Analyst"/>
    <n v="5"/>
    <s v="Mumbai"/>
    <n v="168000"/>
    <n v="11.8"/>
    <n v="13"/>
    <n v="9.6999999999999993"/>
    <n v="3"/>
    <n v="4"/>
    <n v="4"/>
    <n v="4"/>
    <s v="Yes"/>
    <n v="4"/>
    <n v="1"/>
    <m/>
  </r>
  <r>
    <s v="EMP0974"/>
    <d v="2022-02-14T00:00:00"/>
    <m/>
    <s v="No"/>
    <n v="27"/>
    <s v="Male"/>
    <s v="Divorced"/>
    <s v="PhD"/>
    <x v="4"/>
    <s v="Recruiter"/>
    <n v="1"/>
    <s v="Bengaluru"/>
    <n v="22000"/>
    <n v="7.4"/>
    <n v="11.3"/>
    <n v="3.9"/>
    <n v="1.5"/>
    <n v="4"/>
    <n v="3"/>
    <n v="2"/>
    <s v="No"/>
    <n v="4"/>
    <n v="1"/>
    <m/>
  </r>
  <r>
    <s v="EMP0975"/>
    <d v="2025-06-17T00:00:00"/>
    <m/>
    <s v="No"/>
    <n v="43"/>
    <s v="Male"/>
    <s v="Married"/>
    <s v="Bachelor's"/>
    <x v="6"/>
    <s v="Account Manager"/>
    <n v="4"/>
    <s v="Hyderabad"/>
    <n v="117000"/>
    <n v="10.7"/>
    <n v="5.8"/>
    <n v="0.5"/>
    <n v="0"/>
    <n v="4"/>
    <n v="3"/>
    <n v="4"/>
    <s v="Yes"/>
    <n v="3"/>
    <n v="1"/>
    <m/>
  </r>
  <r>
    <s v="EMP0976"/>
    <d v="2024-05-07T00:00:00"/>
    <m/>
    <s v="No"/>
    <n v="29"/>
    <s v="Female"/>
    <s v="Married"/>
    <s v="Bachelor's"/>
    <x v="6"/>
    <s v="Sales Executive"/>
    <n v="1"/>
    <s v="Chennai"/>
    <n v="32000"/>
    <n v="15.7"/>
    <n v="2.2000000000000002"/>
    <n v="1.7"/>
    <n v="1.3"/>
    <n v="4"/>
    <n v="4"/>
    <n v="3"/>
    <s v="Yes"/>
    <n v="3"/>
    <n v="1"/>
    <m/>
  </r>
  <r>
    <s v="EMP0977"/>
    <d v="2020-01-26T00:00:00"/>
    <m/>
    <s v="No"/>
    <n v="44"/>
    <s v="Male"/>
    <s v="Divorced"/>
    <s v="Bachelor's"/>
    <x v="2"/>
    <s v="IT Support Lead"/>
    <n v="3"/>
    <s v="Bengaluru"/>
    <n v="72000"/>
    <n v="14.3"/>
    <n v="6.7"/>
    <n v="5.9"/>
    <n v="1"/>
    <n v="4"/>
    <n v="4"/>
    <n v="3"/>
    <s v="No"/>
    <n v="3"/>
    <n v="1"/>
    <m/>
  </r>
  <r>
    <s v="EMP0978"/>
    <d v="2019-08-05T00:00:00"/>
    <m/>
    <s v="No"/>
    <n v="37"/>
    <s v="Male"/>
    <s v="Divorced"/>
    <s v="PhD"/>
    <x v="1"/>
    <s v="BI Analyst"/>
    <n v="2"/>
    <s v="Pune"/>
    <n v="55000"/>
    <n v="3.3"/>
    <n v="12.5"/>
    <n v="6.4"/>
    <n v="2.1"/>
    <n v="2"/>
    <n v="3"/>
    <n v="3"/>
    <s v="No"/>
    <n v="4"/>
    <n v="1"/>
    <m/>
  </r>
  <r>
    <s v="EMP0979"/>
    <d v="2020-01-17T00:00:00"/>
    <m/>
    <s v="No"/>
    <n v="40"/>
    <s v="Female"/>
    <s v="Married"/>
    <s v="Diploma"/>
    <x v="1"/>
    <s v="BI Analyst"/>
    <n v="3"/>
    <s v="Noida"/>
    <n v="82000"/>
    <n v="3"/>
    <n v="11.9"/>
    <n v="6"/>
    <n v="5"/>
    <n v="3"/>
    <n v="4"/>
    <n v="4"/>
    <s v="No"/>
    <n v="4"/>
    <n v="1"/>
    <m/>
  </r>
  <r>
    <s v="EMP0980"/>
    <d v="2025-04-10T00:00:00"/>
    <d v="2025-11-26T00:00:00"/>
    <s v="Yes"/>
    <n v="32"/>
    <s v="Female"/>
    <s v="Single"/>
    <s v="Master's"/>
    <x v="6"/>
    <s v="Account Manager"/>
    <n v="4"/>
    <s v="Bengaluru"/>
    <n v="115000"/>
    <n v="12.8"/>
    <n v="8.1"/>
    <n v="0.6"/>
    <n v="0"/>
    <n v="3"/>
    <n v="3"/>
    <n v="4"/>
    <s v="Yes"/>
    <n v="5"/>
    <n v="1"/>
    <m/>
  </r>
  <r>
    <s v="EMP0981"/>
    <d v="2020-02-29T00:00:00"/>
    <m/>
    <s v="No"/>
    <n v="46"/>
    <s v="Non-Binary"/>
    <s v="Married"/>
    <s v="Diploma"/>
    <x v="4"/>
    <s v="HR Executive"/>
    <n v="3"/>
    <s v="Bengaluru"/>
    <n v="76000"/>
    <n v="7.6"/>
    <n v="6.8"/>
    <n v="5.8"/>
    <n v="4.7"/>
    <n v="3"/>
    <n v="4"/>
    <n v="3"/>
    <s v="No"/>
    <n v="3"/>
    <n v="1"/>
    <m/>
  </r>
  <r>
    <s v="EMP0982"/>
    <d v="2022-06-28T00:00:00"/>
    <m/>
    <s v="No"/>
    <n v="31"/>
    <s v="Non-Binary"/>
    <s v="Married"/>
    <s v="Bachelor's"/>
    <x v="2"/>
    <s v="IT Support Specialist"/>
    <n v="1"/>
    <s v="Mumbai"/>
    <n v="30000"/>
    <n v="12.8"/>
    <n v="6.5"/>
    <n v="3.5"/>
    <n v="0.5"/>
    <n v="2"/>
    <n v="3"/>
    <n v="3"/>
    <s v="No"/>
    <n v="2"/>
    <n v="1"/>
    <m/>
  </r>
  <r>
    <s v="EMP0983"/>
    <d v="2023-10-15T00:00:00"/>
    <d v="2025-02-17T00:00:00"/>
    <s v="Yes"/>
    <n v="25"/>
    <s v="Male"/>
    <s v="Married"/>
    <s v="Diploma"/>
    <x v="6"/>
    <s v="Sales Manager"/>
    <n v="1"/>
    <s v="Hyderabad"/>
    <n v="35000"/>
    <n v="11.7"/>
    <n v="8.3000000000000007"/>
    <n v="1.3"/>
    <n v="1.2"/>
    <n v="3"/>
    <n v="3"/>
    <n v="4"/>
    <s v="Yes"/>
    <n v="3"/>
    <n v="1"/>
    <m/>
  </r>
  <r>
    <s v="EMP0984"/>
    <d v="2018-11-21T00:00:00"/>
    <m/>
    <s v="No"/>
    <n v="39"/>
    <s v="Non-Binary"/>
    <s v="Divorced"/>
    <s v="Diploma"/>
    <x v="5"/>
    <s v="Senior Software Developer"/>
    <n v="3"/>
    <s v="Chennai"/>
    <n v="93000"/>
    <n v="9.1999999999999993"/>
    <n v="13.2"/>
    <n v="7.1"/>
    <n v="4.5"/>
    <n v="1"/>
    <n v="4"/>
    <n v="2"/>
    <s v="Yes"/>
    <n v="4"/>
    <n v="1"/>
    <m/>
  </r>
  <r>
    <s v="EMP0985"/>
    <d v="2020-12-23T00:00:00"/>
    <m/>
    <s v="No"/>
    <n v="42"/>
    <s v="Non-Binary"/>
    <s v="Single"/>
    <s v="Bachelor's"/>
    <x v="0"/>
    <s v="Operations Manager"/>
    <n v="2"/>
    <s v="Mumbai"/>
    <n v="38000"/>
    <n v="7.6"/>
    <n v="5.8"/>
    <n v="5"/>
    <n v="1.7"/>
    <n v="3"/>
    <n v="4"/>
    <n v="2"/>
    <s v="No"/>
    <n v="2"/>
    <n v="1"/>
    <m/>
  </r>
  <r>
    <s v="EMP0985"/>
    <d v="2020-12-23T00:00:00"/>
    <m/>
    <s v="No"/>
    <n v="42"/>
    <s v="Non-Binary"/>
    <s v="Single"/>
    <s v="Bachelor's"/>
    <x v="0"/>
    <s v="Operations Manager"/>
    <n v="2"/>
    <s v="Mumbai"/>
    <n v="38000"/>
    <n v="7.6"/>
    <n v="5.8"/>
    <n v="5"/>
    <n v="1.7"/>
    <n v="3"/>
    <n v="4"/>
    <n v="2"/>
    <s v="No"/>
    <n v="2"/>
    <n v="2"/>
    <m/>
  </r>
  <r>
    <s v="EMP0986"/>
    <d v="2020-12-13T00:00:00"/>
    <m/>
    <s v="No"/>
    <n v="36"/>
    <s v="Non-Binary"/>
    <s v="Single"/>
    <s v="Bachelor's"/>
    <x v="5"/>
    <s v="Tech Lead"/>
    <n v="4"/>
    <s v="Mumbai"/>
    <n v="135000"/>
    <n v="6.6"/>
    <n v="12.2"/>
    <n v="5"/>
    <n v="1.2"/>
    <n v="2"/>
    <n v="3"/>
    <n v="2"/>
    <s v="Yes"/>
    <n v="5"/>
    <n v="1"/>
    <m/>
  </r>
  <r>
    <s v="EMP0987"/>
    <d v="2016-05-31T00:00:00"/>
    <m/>
    <s v="No"/>
    <n v="30"/>
    <s v="Male"/>
    <s v="Married"/>
    <s v="Master's"/>
    <x v="1"/>
    <s v="BI Analyst"/>
    <n v="2"/>
    <s v="Bengaluru"/>
    <n v="70000"/>
    <n v="11.2"/>
    <n v="9.6"/>
    <n v="9.6"/>
    <n v="3.1"/>
    <n v="3"/>
    <n v="3"/>
    <n v="4"/>
    <s v="No"/>
    <n v="4"/>
    <n v="1"/>
    <m/>
  </r>
  <r>
    <s v="EMP0988"/>
    <d v="2021-07-18T00:00:00"/>
    <m/>
    <s v="No"/>
    <n v="31"/>
    <s v="Male"/>
    <s v="Divorced"/>
    <s v="PhD"/>
    <x v="3"/>
    <s v="Accountant"/>
    <n v="3"/>
    <s v="Hyderabad"/>
    <n v="68000"/>
    <n v="11.1"/>
    <n v="12.2"/>
    <n v="4.5"/>
    <n v="1.9"/>
    <n v="3"/>
    <n v="3"/>
    <n v="3"/>
    <s v="No"/>
    <n v="4"/>
    <n v="1"/>
    <m/>
  </r>
  <r>
    <s v="EMP0989"/>
    <d v="2024-05-11T00:00:00"/>
    <m/>
    <s v="No"/>
    <n v="48"/>
    <s v="Non-Binary"/>
    <s v="Single"/>
    <s v="Master's"/>
    <x v="0"/>
    <s v="Process Associate"/>
    <n v="1"/>
    <s v="Pune"/>
    <n v="37000"/>
    <n v="6.7"/>
    <n v="6.3"/>
    <n v="1.6"/>
    <n v="1.3"/>
    <n v="4"/>
    <n v="3"/>
    <n v="4"/>
    <s v="No"/>
    <n v="3"/>
    <n v="1"/>
    <m/>
  </r>
  <r>
    <s v="EMP0990"/>
    <d v="2017-09-12T00:00:00"/>
    <m/>
    <s v="No"/>
    <n v="32"/>
    <s v="Male"/>
    <s v="Married"/>
    <s v="Master's"/>
    <x v="0"/>
    <s v="Operations Executive"/>
    <n v="3"/>
    <s v="Mumbai"/>
    <n v="70000"/>
    <n v="13.5"/>
    <n v="12.9"/>
    <n v="8.3000000000000007"/>
    <n v="3.9"/>
    <n v="2"/>
    <n v="3"/>
    <n v="4"/>
    <s v="Yes"/>
    <n v="1"/>
    <n v="1"/>
    <m/>
  </r>
  <r>
    <s v="EMP0991"/>
    <d v="2019-08-26T00:00:00"/>
    <m/>
    <s v="No"/>
    <n v="28"/>
    <s v="Male"/>
    <s v="Married"/>
    <s v="Diploma"/>
    <x v="1"/>
    <s v="BI Analyst"/>
    <n v="3"/>
    <s v="Pune"/>
    <n v="107000"/>
    <n v="9.1999999999999993"/>
    <n v="11.6"/>
    <n v="6.3"/>
    <n v="4.0999999999999996"/>
    <n v="3"/>
    <n v="3"/>
    <n v="2"/>
    <s v="No"/>
    <n v="4"/>
    <n v="1"/>
    <m/>
  </r>
  <r>
    <s v="EMP0992"/>
    <d v="2017-06-11T00:00:00"/>
    <m/>
    <s v="No"/>
    <n v="29"/>
    <s v="Male"/>
    <s v="Married"/>
    <s v="Bachelor's"/>
    <x v="2"/>
    <s v="System Administrator"/>
    <n v="3"/>
    <s v="Hyderabad"/>
    <n v="78000"/>
    <n v="10.199999999999999"/>
    <n v="9.8000000000000007"/>
    <n v="8.6"/>
    <n v="4.7"/>
    <n v="3"/>
    <n v="4"/>
    <n v="3"/>
    <s v="No"/>
    <n v="4"/>
    <n v="1"/>
    <m/>
  </r>
  <r>
    <s v="EMP0993"/>
    <d v="2020-09-18T00:00:00"/>
    <m/>
    <s v="No"/>
    <n v="47"/>
    <s v="Female"/>
    <s v="Married"/>
    <s v="PhD"/>
    <x v="1"/>
    <s v="Senior Data Analyst"/>
    <n v="2"/>
    <s v="Hyderabad"/>
    <n v="73000"/>
    <n v="7.4"/>
    <n v="10"/>
    <n v="5.3"/>
    <n v="1.8"/>
    <n v="4"/>
    <n v="3"/>
    <n v="3"/>
    <s v="Yes"/>
    <n v="4"/>
    <n v="1"/>
    <m/>
  </r>
  <r>
    <s v="EMP0994"/>
    <d v="2015-02-11T00:00:00"/>
    <m/>
    <s v="No"/>
    <n v="35"/>
    <s v="Non-Binary"/>
    <s v="Married"/>
    <s v="Diploma"/>
    <x v="1"/>
    <s v="Data Engineer"/>
    <n v="2"/>
    <s v="Noida"/>
    <n v="62000"/>
    <n v="10.4"/>
    <n v="12.6"/>
    <n v="10.9"/>
    <n v="5.7"/>
    <n v="2"/>
    <n v="3"/>
    <n v="4"/>
    <s v="Yes"/>
    <n v="2"/>
    <n v="1"/>
    <m/>
  </r>
  <r>
    <s v="EMP0995"/>
    <d v="2019-08-29T00:00:00"/>
    <d v="2025-02-24T00:00:00"/>
    <s v="Yes"/>
    <n v="37"/>
    <s v="Non-Binary"/>
    <s v="Divorced"/>
    <s v="Master's"/>
    <x v="5"/>
    <s v="QA Engineer"/>
    <n v="4"/>
    <s v="Noida"/>
    <n v="137000"/>
    <n v="11.3"/>
    <n v="7.4"/>
    <n v="5.5"/>
    <n v="1.6"/>
    <n v="3"/>
    <n v="4"/>
    <n v="3"/>
    <s v="No"/>
    <n v="4"/>
    <n v="1"/>
    <m/>
  </r>
  <r>
    <s v="EMP0996"/>
    <d v="2025-06-21T00:00:00"/>
    <m/>
    <s v="No"/>
    <n v="43"/>
    <s v="Female"/>
    <s v="Married"/>
    <s v="Diploma"/>
    <x v="3"/>
    <s v="Financial Analyst"/>
    <n v="2"/>
    <s v="Chennai"/>
    <n v="70000"/>
    <n v="21.6"/>
    <n v="3.3"/>
    <n v="0.5"/>
    <n v="0"/>
    <n v="4"/>
    <n v="2"/>
    <n v="3"/>
    <s v="No"/>
    <n v="4"/>
    <n v="1"/>
    <m/>
  </r>
  <r>
    <s v="EMP0997"/>
    <d v="2014-06-18T00:00:00"/>
    <m/>
    <s v="No"/>
    <n v="35"/>
    <s v="Male"/>
    <s v="Divorced"/>
    <s v="Diploma"/>
    <x v="1"/>
    <s v="Data Engineer"/>
    <n v="3"/>
    <s v="Mumbai"/>
    <n v="71000"/>
    <n v="11.2"/>
    <n v="16.5"/>
    <n v="11.5"/>
    <n v="5.3"/>
    <n v="3"/>
    <n v="3"/>
    <n v="4"/>
    <s v="No"/>
    <n v="3"/>
    <n v="1"/>
    <m/>
  </r>
  <r>
    <s v="EMP0998"/>
    <d v="2025-07-05T00:00:00"/>
    <d v="2025-10-25T00:00:00"/>
    <s v="Yes"/>
    <n v="46"/>
    <s v="Non-Binary"/>
    <s v="Divorced"/>
    <s v="PhD"/>
    <x v="1"/>
    <s v="Data Engineer"/>
    <n v="5"/>
    <s v="Noida"/>
    <n v="172000"/>
    <n v="2.2000000000000002"/>
    <n v="7.2"/>
    <n v="0.3"/>
    <n v="0"/>
    <n v="3"/>
    <n v="3"/>
    <n v="4"/>
    <s v="Yes"/>
    <n v="2"/>
    <n v="1"/>
    <m/>
  </r>
  <r>
    <s v="EMP0999"/>
    <d v="2025-03-08T00:00:00"/>
    <d v="2025-12-28T00:00:00"/>
    <s v="Yes"/>
    <n v="21"/>
    <s v="Male"/>
    <s v="Single"/>
    <s v="Diploma"/>
    <x v="1"/>
    <s v="BI Analyst"/>
    <n v="1"/>
    <s v="Pune"/>
    <n v="46000"/>
    <n v="0.7"/>
    <n v="5.5"/>
    <n v="0.8"/>
    <n v="0"/>
    <n v="2"/>
    <n v="3"/>
    <n v="3"/>
    <s v="Yes"/>
    <n v="3"/>
    <n v="1"/>
    <m/>
  </r>
  <r>
    <s v="EMP1000"/>
    <d v="2025-08-20T00:00:00"/>
    <m/>
    <s v="No"/>
    <n v="21"/>
    <s v="Non-Binary"/>
    <m/>
    <s v="Bachelor's"/>
    <x v="4"/>
    <s v="HR Executive"/>
    <n v="1"/>
    <s v="Mumbai"/>
    <n v="29000"/>
    <n v="15.6"/>
    <n v="7.9"/>
    <n v="0.4"/>
    <n v="0"/>
    <n v="3"/>
    <n v="3"/>
    <n v="3"/>
    <s v="Yes"/>
    <n v="2"/>
    <n v="1"/>
    <m/>
  </r>
  <r>
    <s v="EMP1001"/>
    <d v="2020-05-15T00:00:00"/>
    <m/>
    <s v="No"/>
    <n v="27"/>
    <s v="Female"/>
    <s v="Divorced"/>
    <s v="Master's"/>
    <x v="2"/>
    <s v="System Administrator"/>
    <n v="1"/>
    <s v="Bengaluru"/>
    <n v="33000"/>
    <n v="9.1"/>
    <n v="7.5"/>
    <n v="5.6"/>
    <n v="3.2"/>
    <n v="2"/>
    <n v="1"/>
    <n v="3"/>
    <s v="No"/>
    <n v="5"/>
    <n v="1"/>
    <m/>
  </r>
  <r>
    <s v="EMP1002"/>
    <d v="2023-01-20T00:00:00"/>
    <d v="2025-03-22T00:00:00"/>
    <s v="Yes"/>
    <n v="23"/>
    <s v="Female"/>
    <s v="Married"/>
    <s v="Bachelor's"/>
    <x v="0"/>
    <s v="Operations Executive"/>
    <n v="1"/>
    <s v="Noida"/>
    <n v="37000"/>
    <n v="0"/>
    <n v="4"/>
    <n v="2.2000000000000002"/>
    <n v="0.1"/>
    <n v="3"/>
    <n v="2"/>
    <n v="4"/>
    <s v="No"/>
    <n v="3"/>
    <n v="1"/>
    <m/>
  </r>
  <r>
    <s v="EMP1003"/>
    <d v="2025-05-24T00:00:00"/>
    <m/>
    <s v="No"/>
    <n v="30"/>
    <s v="Male"/>
    <s v="Married"/>
    <s v="PhD"/>
    <x v="3"/>
    <s v="Accountant"/>
    <n v="3"/>
    <s v="Bengaluru"/>
    <n v="86000"/>
    <n v="9.1"/>
    <n v="6.7"/>
    <n v="0.6"/>
    <n v="0"/>
    <n v="3"/>
    <n v="4"/>
    <n v="3"/>
    <s v="No"/>
    <n v="4"/>
    <n v="1"/>
    <m/>
  </r>
  <r>
    <s v="EMP1004"/>
    <d v="2025-07-02T00:00:00"/>
    <m/>
    <s v="No"/>
    <n v="26"/>
    <s v="Non-Binary"/>
    <s v="Single"/>
    <s v="Diploma"/>
    <x v="1"/>
    <s v="Senior Data Analyst"/>
    <n v="1"/>
    <s v="Noida"/>
    <n v="41000"/>
    <n v="8.6999999999999993"/>
    <n v="1.2"/>
    <n v="0.5"/>
    <n v="0"/>
    <n v="4"/>
    <n v="2"/>
    <n v="3"/>
    <s v="Yes"/>
    <n v="3"/>
    <n v="1"/>
    <m/>
  </r>
  <r>
    <s v="EMP1005"/>
    <d v="2024-03-04T00:00:00"/>
    <m/>
    <s v="No"/>
    <n v="30"/>
    <s v="Female"/>
    <s v="Divorced"/>
    <s v="Master's"/>
    <x v="4"/>
    <s v="HR Analyst"/>
    <n v="4"/>
    <s v="Noida"/>
    <n v="112000"/>
    <n v="6.9"/>
    <n v="9.5"/>
    <n v="1.8"/>
    <n v="0.8"/>
    <n v="3"/>
    <n v="3"/>
    <n v="4"/>
    <s v="No"/>
    <n v="3"/>
    <n v="1"/>
    <m/>
  </r>
  <r>
    <s v="EMP1006"/>
    <d v="2022-03-30T00:00:00"/>
    <m/>
    <s v="No"/>
    <n v="48"/>
    <s v="Non-Binary"/>
    <s v="Single"/>
    <s v="PhD"/>
    <x v="2"/>
    <s v="IT Support Specialist"/>
    <n v="2"/>
    <s v="Mumbai"/>
    <n v="39000"/>
    <n v="1.6"/>
    <n v="8.4"/>
    <n v="3.8"/>
    <n v="3"/>
    <n v="3"/>
    <n v="2"/>
    <n v="1"/>
    <s v="No"/>
    <n v="4"/>
    <n v="1"/>
    <m/>
  </r>
  <r>
    <s v="EMP1007"/>
    <d v="2024-04-25T00:00:00"/>
    <m/>
    <s v="No"/>
    <n v="28"/>
    <s v="Male"/>
    <s v="Married"/>
    <s v="Bachelor's"/>
    <x v="0"/>
    <s v="Operations Analyst"/>
    <n v="1"/>
    <s v="Hyderabad"/>
    <n v="29000"/>
    <n v="5.9"/>
    <n v="2.1"/>
    <n v="1.7"/>
    <n v="1.5"/>
    <n v="4"/>
    <n v="3"/>
    <n v="2"/>
    <s v="No"/>
    <n v="4"/>
    <n v="1"/>
    <m/>
  </r>
  <r>
    <s v="EMP1008"/>
    <d v="2016-01-05T00:00:00"/>
    <m/>
    <s v="No"/>
    <n v="44"/>
    <s v="Female"/>
    <s v="Single"/>
    <s v="PhD"/>
    <x v="6"/>
    <s v="Sales Manager"/>
    <n v="3"/>
    <s v="Noida"/>
    <n v="84000"/>
    <n v="12.4"/>
    <n v="11.1"/>
    <n v="10"/>
    <n v="4.7"/>
    <n v="3"/>
    <n v="3"/>
    <n v="2"/>
    <s v="Yes"/>
    <n v="2"/>
    <n v="1"/>
    <m/>
  </r>
  <r>
    <s v="EMP1009"/>
    <d v="2022-03-26T00:00:00"/>
    <m/>
    <s v="No"/>
    <n v="25"/>
    <s v="Non-Binary"/>
    <s v="Single"/>
    <s v="Bachelor's"/>
    <x v="0"/>
    <s v="Operations Executive"/>
    <n v="1"/>
    <s v="Bengaluru"/>
    <n v="22000"/>
    <n v="5.8"/>
    <n v="10.5"/>
    <n v="3.8"/>
    <n v="0.1"/>
    <n v="2"/>
    <n v="4"/>
    <n v="4"/>
    <s v="No"/>
    <n v="4"/>
    <n v="1"/>
    <m/>
  </r>
  <r>
    <s v="EMP1010"/>
    <d v="2016-03-31T00:00:00"/>
    <m/>
    <s v="No"/>
    <n v="37"/>
    <s v="Non-Binary"/>
    <s v="Divorced"/>
    <s v="Bachelor's"/>
    <x v="6"/>
    <s v="Account Manager"/>
    <n v="3"/>
    <s v="Noida"/>
    <n v="75000"/>
    <n v="8.9"/>
    <n v="17.399999999999999"/>
    <n v="9.8000000000000007"/>
    <n v="0.6"/>
    <n v="2"/>
    <n v="4"/>
    <n v="3"/>
    <s v="No"/>
    <n v="3"/>
    <n v="1"/>
    <m/>
  </r>
  <r>
    <s v="EMP1011"/>
    <d v="2017-11-01T00:00:00"/>
    <m/>
    <s v="No"/>
    <n v="34"/>
    <s v="Non-Binary"/>
    <s v="Married"/>
    <s v="Diploma"/>
    <x v="1"/>
    <s v="Senior Data Analyst"/>
    <n v="2"/>
    <s v="Mumbai"/>
    <n v="68000"/>
    <n v="2.5"/>
    <n v="10.5"/>
    <n v="8.1999999999999993"/>
    <n v="1"/>
    <n v="3"/>
    <n v="3"/>
    <n v="2"/>
    <s v="No"/>
    <n v="4"/>
    <n v="1"/>
    <m/>
  </r>
  <r>
    <s v="EMP1012"/>
    <d v="2016-01-21T00:00:00"/>
    <d v="2025-07-14T00:00:00"/>
    <s v="Yes"/>
    <n v="40"/>
    <s v="Non-Binary"/>
    <s v="Married"/>
    <s v="Master's"/>
    <x v="4"/>
    <s v="HR Executive"/>
    <n v="2"/>
    <s v="Mumbai"/>
    <n v="47000"/>
    <n v="11.8"/>
    <n v="13.2"/>
    <n v="9.5"/>
    <n v="3"/>
    <n v="3"/>
    <n v="3"/>
    <n v="1"/>
    <s v="No"/>
    <n v="1"/>
    <n v="1"/>
    <m/>
  </r>
  <r>
    <s v="EMP1013"/>
    <d v="2017-03-25T00:00:00"/>
    <m/>
    <s v="No"/>
    <n v="32"/>
    <s v="Female"/>
    <s v="Divorced"/>
    <s v="Bachelor's"/>
    <x v="6"/>
    <s v="Sales Manager"/>
    <n v="1"/>
    <s v="Hyderabad"/>
    <n v="37000"/>
    <n v="6"/>
    <n v="9.8000000000000007"/>
    <n v="8.8000000000000007"/>
    <n v="2.5"/>
    <n v="2"/>
    <n v="4"/>
    <n v="3"/>
    <s v="Yes"/>
    <n v="5"/>
    <n v="1"/>
    <m/>
  </r>
  <r>
    <s v="EMP1014"/>
    <d v="2021-04-23T00:00:00"/>
    <m/>
    <s v="No"/>
    <n v="36"/>
    <s v="Non-Binary"/>
    <s v="Married"/>
    <s v="Bachelor's"/>
    <x v="6"/>
    <s v="Account Manager"/>
    <n v="3"/>
    <s v="Chennai"/>
    <n v="79000"/>
    <n v="4.9000000000000004"/>
    <n v="5.0999999999999996"/>
    <n v="4.7"/>
    <n v="1"/>
    <n v="3"/>
    <n v="3"/>
    <n v="4"/>
    <s v="Yes"/>
    <n v="4"/>
    <n v="1"/>
    <m/>
  </r>
  <r>
    <s v="EMP1015"/>
    <d v="2024-12-27T00:00:00"/>
    <m/>
    <s v="No"/>
    <n v="43"/>
    <s v="Female"/>
    <s v="Divorced"/>
    <s v="Diploma"/>
    <x v="2"/>
    <s v="System Administrator"/>
    <n v="2"/>
    <s v="Noida"/>
    <n v="56000"/>
    <n v="12.8"/>
    <n v="3"/>
    <n v="1"/>
    <n v="0.5"/>
    <n v="4"/>
    <n v="4"/>
    <n v="4"/>
    <s v="No"/>
    <n v="4"/>
    <n v="1"/>
    <m/>
  </r>
  <r>
    <s v="EMP1016"/>
    <d v="2014-10-23T00:00:00"/>
    <m/>
    <s v="No"/>
    <n v="38"/>
    <s v="Non-Binary"/>
    <s v="Married"/>
    <s v="Diploma"/>
    <x v="1"/>
    <s v="Data Engineer"/>
    <n v="3"/>
    <s v="Noida"/>
    <n v="92000"/>
    <n v="5.2"/>
    <n v="15.4"/>
    <n v="11.2"/>
    <n v="0.4"/>
    <n v="3"/>
    <n v="3"/>
    <n v="2"/>
    <s v="No"/>
    <n v="2"/>
    <n v="1"/>
    <m/>
  </r>
  <r>
    <s v="EMP1017"/>
    <d v="2023-05-18T00:00:00"/>
    <m/>
    <s v="No"/>
    <n v="26"/>
    <s v="Female"/>
    <s v="Married"/>
    <s v="Bachelor's"/>
    <x v="1"/>
    <s v="Senior Data Analyst"/>
    <n v="1"/>
    <s v="Mumbai"/>
    <n v="34000"/>
    <n v="9.8000000000000007"/>
    <n v="8.4"/>
    <n v="2.6"/>
    <n v="1"/>
    <n v="2"/>
    <n v="3"/>
    <n v="3"/>
    <s v="Yes"/>
    <n v="3"/>
    <n v="1"/>
    <m/>
  </r>
  <r>
    <s v="EMP1018"/>
    <d v="2021-11-02T00:00:00"/>
    <m/>
    <s v="No"/>
    <n v="25"/>
    <s v="Female"/>
    <s v="Single"/>
    <s v="Diploma"/>
    <x v="2"/>
    <s v="IT Support Specialist"/>
    <n v="1"/>
    <s v="Hyderabad"/>
    <n v="42000"/>
    <n v="11.3"/>
    <n v="7"/>
    <n v="4.2"/>
    <n v="3.2"/>
    <n v="4"/>
    <n v="4"/>
    <n v="4"/>
    <s v="No"/>
    <n v="1"/>
    <n v="1"/>
    <m/>
  </r>
  <r>
    <s v="EMP1019"/>
    <d v="2025-03-14T00:00:00"/>
    <d v="2025-06-03T00:00:00"/>
    <s v="Yes"/>
    <n v="22"/>
    <s v="Non-Binary"/>
    <s v="Divorced"/>
    <s v="Bachelor's"/>
    <x v="4"/>
    <s v="Recruiter"/>
    <n v="1"/>
    <s v="Pune"/>
    <n v="31000"/>
    <n v="7.2"/>
    <n v="4"/>
    <n v="0.2"/>
    <n v="0"/>
    <n v="4"/>
    <n v="4"/>
    <n v="4"/>
    <s v="No"/>
    <n v="3"/>
    <n v="1"/>
    <m/>
  </r>
  <r>
    <s v="EMP1020"/>
    <d v="2020-04-22T00:00:00"/>
    <m/>
    <s v="No"/>
    <n v="30"/>
    <s v="Non-Binary"/>
    <s v="Married"/>
    <s v="Bachelor's"/>
    <x v="0"/>
    <s v="Operations Executive"/>
    <n v="2"/>
    <s v="Hyderabad"/>
    <s v="₹31,000"/>
    <n v="7.4"/>
    <n v="8.3000000000000007"/>
    <n v="5.7"/>
    <n v="5.5"/>
    <n v="2"/>
    <n v="3"/>
    <n v="4"/>
    <s v="No"/>
    <n v="2"/>
    <n v="1"/>
    <m/>
  </r>
  <r>
    <s v="EMP1021"/>
    <d v="2022-04-17T00:00:00"/>
    <m/>
    <s v="No"/>
    <n v="37"/>
    <s v="Male"/>
    <s v="Married"/>
    <s v="Master's"/>
    <x v="0"/>
    <s v="Operations Executive"/>
    <n v="5"/>
    <s v="Pune"/>
    <n v="138000"/>
    <n v="15.7"/>
    <n v="10.3"/>
    <n v="3.7"/>
    <n v="0.7"/>
    <n v="2"/>
    <n v="3"/>
    <n v="3"/>
    <s v="Yes"/>
    <n v="5"/>
    <n v="1"/>
    <m/>
  </r>
  <r>
    <s v="EMP1022"/>
    <d v="2017-05-18T00:00:00"/>
    <m/>
    <s v="No"/>
    <n v="42"/>
    <s v="Non-Binary"/>
    <s v="Single"/>
    <s v="PhD"/>
    <x v="2"/>
    <s v="IT Support Specialist"/>
    <n v="1"/>
    <s v="Pune"/>
    <n v="31000"/>
    <n v="12.4"/>
    <n v="9.6"/>
    <n v="8.6"/>
    <n v="0.3"/>
    <n v="3"/>
    <n v="4"/>
    <n v="2"/>
    <s v="No"/>
    <n v="2"/>
    <n v="1"/>
    <m/>
  </r>
  <r>
    <s v="EMP1023"/>
    <d v="2014-01-03T00:00:00"/>
    <d v="2025-02-09T00:00:00"/>
    <s v="Yes"/>
    <n v="41"/>
    <s v="Female"/>
    <s v="Married"/>
    <s v="Bachelor's"/>
    <x v="1"/>
    <s v="Data Engineer"/>
    <n v="3"/>
    <s v="Mumbai"/>
    <n v="86000"/>
    <n v="4.5999999999999996"/>
    <n v="18.8"/>
    <n v="11.1"/>
    <n v="5.5"/>
    <n v="3"/>
    <n v="3"/>
    <n v="3"/>
    <s v="Yes"/>
    <n v="4"/>
    <n v="1"/>
    <m/>
  </r>
  <r>
    <s v="EMP1024"/>
    <d v="2017-04-10T00:00:00"/>
    <m/>
    <s v="No"/>
    <n v="32"/>
    <s v="Female"/>
    <s v="Single"/>
    <s v="Master's"/>
    <x v="4"/>
    <s v="HR Manager"/>
    <n v="3"/>
    <s v="Chennai"/>
    <n v="76000"/>
    <n v="13.9"/>
    <n v="10.4"/>
    <n v="8.6999999999999993"/>
    <n v="0.2"/>
    <n v="1"/>
    <n v="4"/>
    <n v="3"/>
    <s v="No"/>
    <n v="3"/>
    <n v="1"/>
    <m/>
  </r>
  <r>
    <s v="EMP1025"/>
    <d v="2021-04-15T00:00:00"/>
    <m/>
    <s v="No"/>
    <n v="37"/>
    <s v="Male"/>
    <s v="Divorced"/>
    <s v="Master's"/>
    <x v="4"/>
    <s v="HR Executive"/>
    <n v="2"/>
    <s v="Mumbai"/>
    <n v="45000"/>
    <n v="8.5"/>
    <n v="7"/>
    <n v="4.7"/>
    <n v="4.5999999999999996"/>
    <n v="3"/>
    <n v="2"/>
    <n v="3"/>
    <s v="No"/>
    <n v="3"/>
    <n v="1"/>
    <m/>
  </r>
  <r>
    <s v="EMP1026"/>
    <d v="2025-06-22T00:00:00"/>
    <d v="2025-09-21T00:00:00"/>
    <s v="Yes"/>
    <n v="22"/>
    <s v="Male"/>
    <s v="Married"/>
    <s v="PhD"/>
    <x v="6"/>
    <s v="Sales Manager"/>
    <n v="1"/>
    <s v="Hyderabad"/>
    <n v="27000"/>
    <n v="14.4"/>
    <n v="7.2"/>
    <n v="0.2"/>
    <n v="0"/>
    <n v="3"/>
    <n v="3"/>
    <n v="2"/>
    <s v="Yes"/>
    <n v="3"/>
    <n v="1"/>
    <m/>
  </r>
  <r>
    <s v="EMP1027"/>
    <d v="2016-11-06T00:00:00"/>
    <m/>
    <s v="No"/>
    <n v="33"/>
    <s v="Female"/>
    <s v="Married"/>
    <s v="PhD"/>
    <x v="2"/>
    <s v="IT Support Specialist"/>
    <n v="3"/>
    <s v="Bengaluru"/>
    <n v="77000"/>
    <n v="7.8"/>
    <n v="16.7"/>
    <n v="9.1"/>
    <n v="3.6"/>
    <n v="2"/>
    <n v="3"/>
    <n v="2"/>
    <s v="No"/>
    <n v="3"/>
    <n v="1"/>
    <m/>
  </r>
  <r>
    <s v="EMP1028"/>
    <d v="2017-07-25T00:00:00"/>
    <m/>
    <s v="No"/>
    <n v="32"/>
    <s v="Female"/>
    <s v="Single"/>
    <s v="PhD"/>
    <x v="5"/>
    <s v="QA Engineer"/>
    <n v="4"/>
    <s v="Mumbai"/>
    <n v="126000"/>
    <n v="13.6"/>
    <n v="11.7"/>
    <n v="8.4"/>
    <n v="4.5"/>
    <n v="3"/>
    <n v="4"/>
    <n v="3"/>
    <s v="No"/>
    <n v="4"/>
    <n v="1"/>
    <m/>
  </r>
  <r>
    <s v="EMP1029"/>
    <d v="2016-12-31T00:00:00"/>
    <m/>
    <s v="No"/>
    <n v="44"/>
    <s v="Male"/>
    <s v="Divorced"/>
    <s v="Master's"/>
    <x v="3"/>
    <s v="Finance Manager"/>
    <n v="5"/>
    <s v="Hyderabad"/>
    <n v="146000"/>
    <n v="15.5"/>
    <n v="12.4"/>
    <n v="9"/>
    <n v="5.0999999999999996"/>
    <n v="2"/>
    <n v="4"/>
    <n v="4"/>
    <s v="No"/>
    <n v="5"/>
    <n v="1"/>
    <m/>
  </r>
  <r>
    <s v="EMP1030"/>
    <d v="2024-10-03T00:00:00"/>
    <d v="2025-08-22T00:00:00"/>
    <s v="Yes"/>
    <n v="31"/>
    <s v="Female"/>
    <s v="Married"/>
    <s v="Diploma"/>
    <x v="3"/>
    <s v="Finance Manager"/>
    <n v="4"/>
    <s v="Bengaluru"/>
    <n v="98000"/>
    <n v="7.2"/>
    <n v="1.5"/>
    <n v="0.9"/>
    <n v="0"/>
    <n v="1"/>
    <n v="2"/>
    <n v="4"/>
    <s v="No"/>
    <n v="4"/>
    <n v="1"/>
    <m/>
  </r>
  <r>
    <s v="EMP1031"/>
    <d v="2024-02-08T00:00:00"/>
    <m/>
    <s v="No"/>
    <n v="29"/>
    <s v="Female"/>
    <s v="Married"/>
    <s v="Bachelor's"/>
    <x v="2"/>
    <s v="IT Support Lead"/>
    <n v="3"/>
    <s v="Bengaluru"/>
    <n v="74000"/>
    <n v="12.8"/>
    <n v="5.3"/>
    <n v="1.9"/>
    <n v="1.1000000000000001"/>
    <n v="3"/>
    <n v="4"/>
    <n v="3"/>
    <s v="No"/>
    <n v="5"/>
    <n v="1"/>
    <m/>
  </r>
  <r>
    <s v="EMP1032"/>
    <d v="2025-08-23T00:00:00"/>
    <m/>
    <s v="No"/>
    <n v="35"/>
    <s v="Male"/>
    <s v="Married"/>
    <s v="Bachelor's"/>
    <x v="1"/>
    <s v="Senior Data Analyst"/>
    <n v="4"/>
    <s v="Pune"/>
    <n v="119000"/>
    <n v="5.5"/>
    <n v="2.7"/>
    <n v="0.4"/>
    <n v="0"/>
    <n v="3"/>
    <n v="3"/>
    <n v="3"/>
    <s v="No"/>
    <n v="5"/>
    <n v="1"/>
    <m/>
  </r>
  <r>
    <s v="EMP1033"/>
    <d v="2024-09-29T00:00:00"/>
    <m/>
    <s v="No"/>
    <n v="28"/>
    <s v="Male"/>
    <s v="Married"/>
    <s v="Diploma"/>
    <x v="1"/>
    <s v="Senior Data Analyst"/>
    <n v="3"/>
    <s v="Chennai"/>
    <n v="105000"/>
    <n v="8"/>
    <n v="1.4"/>
    <n v="1.3"/>
    <n v="1.1000000000000001"/>
    <n v="3"/>
    <n v="3"/>
    <n v="4"/>
    <s v="Yes"/>
    <n v="4"/>
    <n v="1"/>
    <m/>
  </r>
  <r>
    <s v="EMP1034"/>
    <d v="2020-05-26T00:00:00"/>
    <m/>
    <s v="No"/>
    <n v="40"/>
    <s v="Female"/>
    <s v="Divorced"/>
    <s v="Diploma"/>
    <x v="1"/>
    <s v="Data Analyst"/>
    <n v="3"/>
    <s v="Chennai"/>
    <n v="101000"/>
    <n v="8.6"/>
    <n v="10.4"/>
    <n v="5.6"/>
    <n v="3.2"/>
    <n v="4"/>
    <n v="4"/>
    <n v="3"/>
    <s v="Yes"/>
    <n v="4"/>
    <n v="1"/>
    <m/>
  </r>
  <r>
    <s v="EMP1035"/>
    <d v="2019-08-04T00:00:00"/>
    <m/>
    <s v="No"/>
    <n v="33"/>
    <s v="Non-Binary"/>
    <s v="Married"/>
    <s v="Master's"/>
    <x v="0"/>
    <s v="Process Associate"/>
    <n v="1"/>
    <s v="Pune"/>
    <n v="35000"/>
    <n v="12.6"/>
    <n v="11.5"/>
    <n v="6.4"/>
    <n v="3.4"/>
    <n v="4"/>
    <n v="2"/>
    <n v="3"/>
    <s v="Yes"/>
    <n v="3"/>
    <n v="1"/>
    <m/>
  </r>
  <r>
    <s v="EMP1036"/>
    <d v="2016-07-27T00:00:00"/>
    <m/>
    <s v="No"/>
    <n v="37"/>
    <s v="Non-Binary"/>
    <s v="Single"/>
    <s v="PhD"/>
    <x v="1"/>
    <s v="Data Analyst"/>
    <n v="2"/>
    <s v="Pune"/>
    <n v="76000"/>
    <n v="10.5"/>
    <n v="17.2"/>
    <n v="9.4"/>
    <n v="2.4"/>
    <n v="3"/>
    <n v="3"/>
    <n v="4"/>
    <s v="No"/>
    <n v="3"/>
    <n v="1"/>
    <m/>
  </r>
  <r>
    <s v="EMP1037"/>
    <d v="2024-12-03T00:00:00"/>
    <m/>
    <s v="No"/>
    <n v="22"/>
    <s v="Non-Binary"/>
    <s v="Single"/>
    <s v="Diploma"/>
    <x v="3"/>
    <s v="Financial Analyst"/>
    <n v="1"/>
    <s v="Noida"/>
    <n v="22000"/>
    <n v="10.6"/>
    <n v="2.5"/>
    <n v="1.1000000000000001"/>
    <n v="0.2"/>
    <n v="4"/>
    <n v="3"/>
    <n v="4"/>
    <s v="No"/>
    <n v="3"/>
    <n v="1"/>
    <m/>
  </r>
  <r>
    <s v="EMP1038"/>
    <d v="2017-11-19T00:00:00"/>
    <m/>
    <s v="No"/>
    <n v="29"/>
    <s v="Female"/>
    <s v="Divorced"/>
    <s v="Bachelor's"/>
    <x v="0"/>
    <s v="Operations Manager"/>
    <n v="3"/>
    <s v="Pune"/>
    <n v="74000"/>
    <n v="8.8000000000000007"/>
    <n v="8.3000000000000007"/>
    <n v="8.1"/>
    <n v="4.9000000000000004"/>
    <n v="3"/>
    <n v="3"/>
    <n v="1"/>
    <s v="No"/>
    <n v="3"/>
    <n v="1"/>
    <m/>
  </r>
  <r>
    <s v="EMP1039"/>
    <d v="2019-04-11T00:00:00"/>
    <m/>
    <s v="No"/>
    <n v="34"/>
    <s v="Female"/>
    <s v="Divorced"/>
    <s v="PhD"/>
    <x v="0"/>
    <s v="Process Associate"/>
    <n v="2"/>
    <s v="Hyderabad"/>
    <n v="43000"/>
    <n v="13"/>
    <n v="9.6"/>
    <n v="6.7"/>
    <n v="4.0999999999999996"/>
    <n v="2"/>
    <n v="3"/>
    <n v="3"/>
    <s v="No"/>
    <n v="4"/>
    <n v="1"/>
    <m/>
  </r>
  <r>
    <s v="EMP1040"/>
    <d v="2023-03-02T00:00:00"/>
    <d v="2023-01-31T00:00:00"/>
    <s v="Yes"/>
    <n v="37"/>
    <s v="Male"/>
    <s v="Married"/>
    <s v="Master's"/>
    <x v="3"/>
    <s v="Financial Analyst"/>
    <n v="4"/>
    <s v="Hyderabad"/>
    <n v="111000"/>
    <n v="6.4"/>
    <n v="9.9"/>
    <n v="2.8"/>
    <n v="2.1"/>
    <n v="4"/>
    <n v="4"/>
    <n v="3"/>
    <s v="No"/>
    <n v="3"/>
    <n v="1"/>
    <m/>
  </r>
  <r>
    <s v="EMP1041"/>
    <d v="2016-05-20T00:00:00"/>
    <m/>
    <s v="No"/>
    <n v="33"/>
    <s v="Male"/>
    <s v="Divorced"/>
    <s v="PhD"/>
    <x v="3"/>
    <s v="Accountant"/>
    <n v="2"/>
    <s v="Chennai"/>
    <n v="59000"/>
    <n v="7.9"/>
    <n v="9.9"/>
    <n v="9.6"/>
    <n v="0.2"/>
    <n v="3"/>
    <n v="4"/>
    <n v="3"/>
    <s v="No"/>
    <n v="3"/>
    <n v="1"/>
    <m/>
  </r>
  <r>
    <s v="EMP1042"/>
    <d v="2025-03-02T00:00:00"/>
    <m/>
    <s v="No"/>
    <n v="30"/>
    <s v="Male"/>
    <s v="Single"/>
    <s v="Bachelor's"/>
    <x v="3"/>
    <s v="Finance Manager"/>
    <n v="1"/>
    <s v="Mumbai"/>
    <n v="42000"/>
    <n v="7.8"/>
    <n v="1.4"/>
    <n v="0.8"/>
    <n v="0"/>
    <n v="4"/>
    <n v="4"/>
    <n v="3"/>
    <s v="No"/>
    <n v="5"/>
    <n v="1"/>
    <m/>
  </r>
  <r>
    <s v="EMP1043"/>
    <d v="2022-06-08T00:00:00"/>
    <m/>
    <s v="No"/>
    <n v="40"/>
    <s v="Non-Binary"/>
    <s v="Married"/>
    <s v="PhD"/>
    <x v="4"/>
    <s v="HR Executive"/>
    <n v="3"/>
    <s v="Noida"/>
    <n v="67000"/>
    <n v="2.8"/>
    <n v="6.1"/>
    <n v="3.6"/>
    <n v="1.6"/>
    <n v="3"/>
    <n v="4"/>
    <n v="4"/>
    <s v="No"/>
    <n v="4"/>
    <n v="1"/>
    <m/>
  </r>
  <r>
    <s v="EMP1044"/>
    <d v="2023-07-25T00:00:00"/>
    <m/>
    <s v="No"/>
    <n v="30"/>
    <s v="Male"/>
    <s v="Divorced"/>
    <s v="PhD"/>
    <x v="1"/>
    <s v="Data Analyst"/>
    <n v="3"/>
    <s v="Mumbai"/>
    <n v="81000"/>
    <n v="8.3000000000000007"/>
    <n v="6"/>
    <n v="2.4"/>
    <n v="0.7"/>
    <n v="1"/>
    <n v="2"/>
    <n v="3"/>
    <s v="Yes"/>
    <n v="3"/>
    <n v="1"/>
    <m/>
  </r>
  <r>
    <s v="EMP1045"/>
    <d v="2021-09-02T00:00:00"/>
    <m/>
    <s v="No"/>
    <n v="33"/>
    <s v="Non-Binary"/>
    <s v="Divorced"/>
    <s v="Bachelor's"/>
    <x v="0"/>
    <s v="Operations Analyst"/>
    <n v="3"/>
    <s v="Hyderabad"/>
    <n v="75000"/>
    <n v="16.3"/>
    <n v="10.1"/>
    <n v="4.3"/>
    <n v="3.6"/>
    <n v="2"/>
    <n v="4"/>
    <n v="4"/>
    <s v="No"/>
    <n v="5"/>
    <n v="1"/>
    <m/>
  </r>
  <r>
    <s v="EMP1046"/>
    <d v="2017-10-22T00:00:00"/>
    <m/>
    <s v="No"/>
    <n v="35"/>
    <s v="Male"/>
    <s v="Single"/>
    <s v="Diploma"/>
    <x v="5"/>
    <s v="Tech Lead"/>
    <n v="4"/>
    <s v="Mumbai"/>
    <n v="120000"/>
    <n v="5.6"/>
    <n v="11.8"/>
    <n v="8.1999999999999993"/>
    <n v="0.5"/>
    <n v="4"/>
    <n v="2"/>
    <n v="4"/>
    <s v="Yes"/>
    <n v="3"/>
    <n v="1"/>
    <m/>
  </r>
  <r>
    <s v="EMP1047"/>
    <d v="2024-12-06T00:00:00"/>
    <m/>
    <s v="No"/>
    <n v="30"/>
    <s v="Female"/>
    <s v="Single"/>
    <s v="Diploma"/>
    <x v="5"/>
    <s v="Tech Lead"/>
    <n v="3"/>
    <s v="Pune"/>
    <n v="90000"/>
    <n v="18.399999999999999"/>
    <n v="2.4"/>
    <n v="1.1000000000000001"/>
    <n v="0.1"/>
    <n v="4"/>
    <n v="3"/>
    <n v="1"/>
    <s v="Yes"/>
    <n v="2"/>
    <n v="1"/>
    <m/>
  </r>
  <r>
    <s v="EMP1048"/>
    <d v="2016-03-24T00:00:00"/>
    <m/>
    <s v="No"/>
    <n v="30"/>
    <s v="Male"/>
    <s v="Divorced"/>
    <s v="Diploma"/>
    <x v="3"/>
    <s v="Finance Manager"/>
    <n v="3"/>
    <s v="Bengaluru"/>
    <n v="79000"/>
    <n v="10.6"/>
    <n v="16.899999999999999"/>
    <n v="9.8000000000000007"/>
    <n v="3.3"/>
    <n v="2"/>
    <n v="3"/>
    <n v="3"/>
    <s v="No"/>
    <n v="4"/>
    <n v="1"/>
    <m/>
  </r>
  <r>
    <s v="EMP1049"/>
    <d v="2025-03-13T00:00:00"/>
    <m/>
    <s v="No"/>
    <n v="42"/>
    <s v="Non-Binary"/>
    <s v="Single"/>
    <s v="Master's"/>
    <x v="1"/>
    <s v="Data Engineer"/>
    <n v="2"/>
    <s v="Mumbai"/>
    <n v="40000"/>
    <n v="0"/>
    <n v="1.2"/>
    <n v="0.8"/>
    <n v="0"/>
    <n v="3"/>
    <n v="3"/>
    <n v="4"/>
    <s v="No"/>
    <n v="3"/>
    <n v="1"/>
    <m/>
  </r>
  <r>
    <s v="EMP1050"/>
    <d v="2023-09-16T00:00:00"/>
    <d v="2025-02-17T00:00:00"/>
    <s v="Yes"/>
    <n v="41"/>
    <s v="Male"/>
    <s v="Married"/>
    <s v="PhD"/>
    <x v="0"/>
    <s v="Process Associate"/>
    <n v="3"/>
    <s v="Pune"/>
    <n v="58000"/>
    <n v="0"/>
    <n v="8.4"/>
    <n v="1.4"/>
    <n v="1.3"/>
    <n v="1"/>
    <n v="3"/>
    <n v="4"/>
    <s v="Yes"/>
    <n v="2"/>
    <n v="1"/>
    <m/>
  </r>
  <r>
    <s v="EMP1051"/>
    <d v="2019-12-14T00:00:00"/>
    <m/>
    <s v="No"/>
    <n v="35"/>
    <s v="Non-Binary"/>
    <s v="Single"/>
    <s v="Diploma"/>
    <x v="4"/>
    <s v="HR Analyst"/>
    <n v="3"/>
    <s v="Mumbai"/>
    <n v="64000"/>
    <n v="5.0999999999999996"/>
    <n v="9.5"/>
    <n v="6"/>
    <n v="5"/>
    <n v="3"/>
    <n v="4"/>
    <n v="3"/>
    <s v="No"/>
    <n v="5"/>
    <n v="1"/>
    <m/>
  </r>
  <r>
    <s v="EMP1052"/>
    <d v="2016-12-03T00:00:00"/>
    <m/>
    <s v="No"/>
    <n v="34"/>
    <s v="Female"/>
    <s v="Married"/>
    <s v="Bachelor's"/>
    <x v="5"/>
    <s v="QA Engineer"/>
    <n v="2"/>
    <s v="Mumbai"/>
    <n v="54000"/>
    <n v="11"/>
    <n v="13.8"/>
    <n v="9.1"/>
    <n v="4.3"/>
    <n v="1"/>
    <n v="3"/>
    <n v="3"/>
    <s v="No"/>
    <n v="5"/>
    <n v="1"/>
    <m/>
  </r>
  <r>
    <s v="EMP1053"/>
    <d v="2024-02-14T00:00:00"/>
    <d v="2025-01-08T00:00:00"/>
    <s v="Yes"/>
    <n v="27"/>
    <s v="Male"/>
    <s v="Single"/>
    <s v="Diploma"/>
    <x v="2"/>
    <s v="IT Support Lead"/>
    <n v="1"/>
    <s v="Hyderabad"/>
    <n v="23000"/>
    <n v="8"/>
    <n v="3.8"/>
    <n v="0.9"/>
    <n v="0"/>
    <n v="4"/>
    <n v="3"/>
    <n v="2"/>
    <s v="No"/>
    <n v="4"/>
    <n v="1"/>
    <m/>
  </r>
  <r>
    <s v="EMP1054"/>
    <d v="2021-02-05T00:00:00"/>
    <m/>
    <s v="No"/>
    <n v="39"/>
    <s v="Non-Binary"/>
    <s v="Single"/>
    <s v="Master's"/>
    <x v="0"/>
    <s v="Operations Analyst"/>
    <n v="1"/>
    <s v="Bengaluru"/>
    <n v="22000"/>
    <n v="9.1999999999999993"/>
    <n v="9.1999999999999993"/>
    <n v="4.9000000000000004"/>
    <n v="2.2000000000000002"/>
    <n v="3"/>
    <n v="2"/>
    <n v="3"/>
    <s v="No"/>
    <n v="4"/>
    <n v="1"/>
    <m/>
  </r>
  <r>
    <s v="EMP1055"/>
    <d v="2021-01-16T00:00:00"/>
    <d v="2025-10-30T00:00:00"/>
    <s v="Yes"/>
    <n v="46"/>
    <s v="Non-Binary"/>
    <s v="Single"/>
    <s v="Master's"/>
    <x v="4"/>
    <s v="Recruiter"/>
    <n v="2"/>
    <s v="Pune"/>
    <n v="46000"/>
    <n v="10.3"/>
    <n v="9.1"/>
    <n v="4.8"/>
    <n v="3.3"/>
    <n v="3"/>
    <n v="2"/>
    <n v="3"/>
    <s v="No"/>
    <n v="4"/>
    <n v="1"/>
    <m/>
  </r>
  <r>
    <s v="EMP1056"/>
    <d v="2025-02-21T00:00:00"/>
    <d v="2025-11-23T00:00:00"/>
    <s v="Yes"/>
    <n v="21"/>
    <s v="Female"/>
    <s v="Divorced"/>
    <s v="Master's"/>
    <x v="5"/>
    <s v="QA Engineer"/>
    <n v="1"/>
    <s v="Hyderabad"/>
    <n v="45000"/>
    <n v="9"/>
    <n v="5.0999999999999996"/>
    <n v="0.8"/>
    <n v="0"/>
    <n v="3"/>
    <n v="3"/>
    <n v="3"/>
    <s v="No"/>
    <n v="3"/>
    <n v="1"/>
    <m/>
  </r>
  <r>
    <s v="EMP1057"/>
    <d v="2023-06-01T00:00:00"/>
    <d v="2025-02-13T00:00:00"/>
    <s v="Yes"/>
    <n v="23"/>
    <s v="Male"/>
    <s v="Divorced"/>
    <s v="PhD"/>
    <x v="4"/>
    <s v="HR Analyst"/>
    <n v="1"/>
    <s v="Bengaluru"/>
    <n v="37000"/>
    <n v="16.5"/>
    <n v="4"/>
    <n v="1.7"/>
    <n v="0.8"/>
    <n v="3"/>
    <n v="3"/>
    <n v="3"/>
    <s v="No"/>
    <n v="4"/>
    <n v="1"/>
    <m/>
  </r>
  <r>
    <s v="EMP1058"/>
    <d v="2019-05-03T00:00:00"/>
    <m/>
    <s v="No"/>
    <n v="35"/>
    <s v="Male"/>
    <s v="Divorced"/>
    <s v="Bachelor's"/>
    <x v="6"/>
    <s v="Account Manager"/>
    <n v="2"/>
    <s v="Noida"/>
    <n v="53000"/>
    <n v="2.7"/>
    <n v="14.4"/>
    <n v="6.7"/>
    <n v="1.1000000000000001"/>
    <n v="3"/>
    <n v="4"/>
    <n v="3"/>
    <s v="No"/>
    <n v="3"/>
    <n v="1"/>
    <m/>
  </r>
  <r>
    <s v="EMP1059"/>
    <d v="2021-01-26T00:00:00"/>
    <m/>
    <s v="No"/>
    <n v="29"/>
    <s v="Female"/>
    <s v="Divorced"/>
    <s v="Master's"/>
    <x v="0"/>
    <s v="Process Associate"/>
    <n v="3"/>
    <s v="Mumbai"/>
    <n v="77000"/>
    <n v="2.7"/>
    <n v="12.3"/>
    <n v="4.9000000000000004"/>
    <n v="2.5"/>
    <n v="2"/>
    <n v="3"/>
    <n v="2"/>
    <s v="No"/>
    <n v="4"/>
    <n v="1"/>
    <m/>
  </r>
  <r>
    <s v="EMP1060"/>
    <d v="2019-06-23T00:00:00"/>
    <m/>
    <s v="No"/>
    <n v="43"/>
    <s v="Non-Binary"/>
    <s v="Married"/>
    <s v="PhD"/>
    <x v="0"/>
    <s v="Operations Executive"/>
    <n v="3"/>
    <s v="Mumbai"/>
    <n v="69000"/>
    <n v="14.8"/>
    <n v="12"/>
    <n v="6.5"/>
    <n v="4.8"/>
    <n v="1"/>
    <n v="3"/>
    <n v="3"/>
    <s v="No"/>
    <n v="5"/>
    <n v="1"/>
    <m/>
  </r>
  <r>
    <s v="EMP1061"/>
    <d v="2025-03-22T00:00:00"/>
    <d v="2025-07-31T00:00:00"/>
    <s v="Yes"/>
    <n v="21"/>
    <s v="Male"/>
    <s v="Divorced"/>
    <s v="PhD"/>
    <x v="0"/>
    <s v="Operations Manager"/>
    <n v="1"/>
    <s v="Mumbai"/>
    <n v="40000"/>
    <n v="6.6"/>
    <n v="7.6"/>
    <n v="0.4"/>
    <n v="0"/>
    <n v="1"/>
    <n v="4"/>
    <n v="4"/>
    <s v="No"/>
    <n v="3"/>
    <n v="1"/>
    <m/>
  </r>
  <r>
    <s v="EMP1062"/>
    <d v="2021-07-27T00:00:00"/>
    <m/>
    <s v="No"/>
    <n v="33"/>
    <s v="Female"/>
    <s v="Single"/>
    <s v="Master's"/>
    <x v="4"/>
    <s v="HR Manager"/>
    <n v="2"/>
    <s v="Chennai"/>
    <n v="37000"/>
    <n v="9.6999999999999993"/>
    <n v="9.5"/>
    <n v="4.4000000000000004"/>
    <n v="0.6"/>
    <n v="3"/>
    <n v="3"/>
    <n v="3"/>
    <s v="No"/>
    <n v="3"/>
    <n v="1"/>
    <m/>
  </r>
  <r>
    <s v="EMP1063"/>
    <d v="2023-10-11T00:00:00"/>
    <m/>
    <s v="No"/>
    <n v="36"/>
    <s v="Female"/>
    <s v="Married"/>
    <s v="Master's"/>
    <x v="4"/>
    <s v="HR Executive"/>
    <n v="2"/>
    <s v="Chennai"/>
    <n v="50000"/>
    <n v="13.3"/>
    <n v="6.5"/>
    <n v="2.2000000000000002"/>
    <n v="0.7"/>
    <n v="3"/>
    <n v="4"/>
    <n v="3"/>
    <s v="Yes"/>
    <n v="5"/>
    <n v="1"/>
    <m/>
  </r>
  <r>
    <s v="EMP1064"/>
    <d v="2023-02-09T00:00:00"/>
    <m/>
    <s v="No"/>
    <n v="34"/>
    <s v="Non-Binary"/>
    <s v="Married"/>
    <s v="Diploma"/>
    <x v="1"/>
    <s v="Data Engineer"/>
    <n v="4"/>
    <s v="Hyderabad"/>
    <n v="119000"/>
    <n v="9.9"/>
    <n v="8.4"/>
    <n v="2.9"/>
    <n v="0.3"/>
    <n v="3"/>
    <n v="4"/>
    <n v="4"/>
    <s v="No"/>
    <n v="2"/>
    <n v="1"/>
    <m/>
  </r>
  <r>
    <s v="EMP1065"/>
    <d v="2022-03-23T00:00:00"/>
    <m/>
    <s v="No"/>
    <n v="27"/>
    <s v="Male"/>
    <s v="Single"/>
    <s v="Master's"/>
    <x v="5"/>
    <s v="Tech Lead"/>
    <n v="1"/>
    <s v="Hyderabad"/>
    <n v="51000"/>
    <n v="8.6"/>
    <n v="3.9"/>
    <n v="3.8"/>
    <n v="1.2"/>
    <n v="4"/>
    <n v="3"/>
    <n v="3"/>
    <s v="No"/>
    <n v="4"/>
    <n v="1"/>
    <m/>
  </r>
  <r>
    <s v="EMP1066"/>
    <d v="2015-03-30T00:00:00"/>
    <m/>
    <s v="No"/>
    <n v="40"/>
    <s v="Female"/>
    <s v="Divorced"/>
    <s v="Master's"/>
    <x v="0"/>
    <s v="Operations Executive"/>
    <n v="4"/>
    <s v="Hyderabad"/>
    <n v="101000"/>
    <n v="12"/>
    <n v="18.100000000000001"/>
    <n v="10.8"/>
    <n v="3.6"/>
    <n v="1"/>
    <n v="2"/>
    <n v="2"/>
    <s v="No"/>
    <n v="4"/>
    <n v="1"/>
    <m/>
  </r>
  <r>
    <s v="EMP1067"/>
    <d v="2021-06-09T00:00:00"/>
    <m/>
    <s v="No"/>
    <n v="33"/>
    <s v="Non-Binary"/>
    <s v="Single"/>
    <s v="PhD"/>
    <x v="2"/>
    <s v="IT Support Specialist"/>
    <n v="1"/>
    <s v="Mumbai"/>
    <n v="37000"/>
    <n v="10.199999999999999"/>
    <n v="5.4"/>
    <n v="4.5999999999999996"/>
    <n v="3.8"/>
    <n v="2"/>
    <n v="2"/>
    <n v="2"/>
    <s v="No"/>
    <n v="3"/>
    <n v="1"/>
    <m/>
  </r>
  <r>
    <s v="EMP1068"/>
    <d v="2024-07-31T00:00:00"/>
    <d v="2025-11-14T00:00:00"/>
    <s v="Yes"/>
    <n v="25"/>
    <s v="Male"/>
    <s v="Single"/>
    <s v="Diploma"/>
    <x v="0"/>
    <s v="Operations Executive"/>
    <n v="1"/>
    <s v="Pune"/>
    <n v="40000"/>
    <n v="8.5"/>
    <n v="3.4"/>
    <n v="1.3"/>
    <n v="1.1000000000000001"/>
    <n v="4"/>
    <n v="3"/>
    <n v="3"/>
    <s v="No"/>
    <n v="2"/>
    <n v="1"/>
    <m/>
  </r>
  <r>
    <s v="EMP1069"/>
    <d v="2024-01-15T00:00:00"/>
    <m/>
    <s v="No"/>
    <n v="23"/>
    <s v="Female"/>
    <s v="Married"/>
    <s v="Master's"/>
    <x v="3"/>
    <s v="Finance Manager"/>
    <n v="1"/>
    <s v="Pune"/>
    <n v="25000"/>
    <n v="0.9"/>
    <n v="5.7"/>
    <n v="2"/>
    <n v="0.1"/>
    <n v="2"/>
    <n v="3"/>
    <n v="2"/>
    <s v="No"/>
    <n v="3"/>
    <n v="1"/>
    <m/>
  </r>
  <r>
    <s v="EMP1070"/>
    <d v="2017-12-15T00:00:00"/>
    <m/>
    <s v="No"/>
    <n v="29"/>
    <s v="Female"/>
    <s v="Married"/>
    <s v="PhD"/>
    <x v="2"/>
    <s v="IT Analyst"/>
    <n v="2"/>
    <s v="Hyderabad"/>
    <n v="43000"/>
    <n v="8.6999999999999993"/>
    <n v="14.3"/>
    <n v="8"/>
    <n v="2.5"/>
    <n v="3"/>
    <n v="4"/>
    <n v="4"/>
    <s v="No"/>
    <n v="4"/>
    <n v="1"/>
    <m/>
  </r>
  <r>
    <s v="EMP1071"/>
    <d v="2017-06-09T00:00:00"/>
    <m/>
    <s v="No"/>
    <n v="48"/>
    <s v="Female"/>
    <s v="Divorced"/>
    <s v="Diploma"/>
    <x v="6"/>
    <s v="Account Manager"/>
    <n v="2"/>
    <s v="Pune"/>
    <n v="39000"/>
    <n v="13.6"/>
    <n v="10.8"/>
    <n v="8.6"/>
    <n v="3.8"/>
    <n v="4"/>
    <n v="3"/>
    <n v="3"/>
    <s v="No"/>
    <n v="3"/>
    <n v="1"/>
    <m/>
  </r>
  <r>
    <s v="EMP1072"/>
    <d v="2020-12-20T00:00:00"/>
    <m/>
    <s v="No"/>
    <n v="28"/>
    <s v="Male"/>
    <s v="Married"/>
    <s v="Diploma"/>
    <x v="4"/>
    <s v="Recruiter"/>
    <n v="2"/>
    <s v="Noida"/>
    <n v="52000"/>
    <n v="7.2"/>
    <n v="12.9"/>
    <n v="5"/>
    <n v="0.1"/>
    <n v="2"/>
    <n v="4"/>
    <n v="1"/>
    <s v="Yes"/>
    <n v="1"/>
    <n v="1"/>
    <m/>
  </r>
  <r>
    <s v="EMP1073"/>
    <d v="2022-12-08T00:00:00"/>
    <m/>
    <s v="No"/>
    <n v="44"/>
    <s v="Female"/>
    <s v="Single"/>
    <s v="Master's"/>
    <x v="1"/>
    <s v="BI Analyst"/>
    <n v="1"/>
    <s v="Noida"/>
    <n v="45000"/>
    <n v="11"/>
    <n v="4"/>
    <n v="3.1"/>
    <n v="1"/>
    <n v="4"/>
    <n v="3"/>
    <n v="2"/>
    <s v="No"/>
    <n v="3"/>
    <n v="1"/>
    <m/>
  </r>
  <r>
    <s v="EMP1074"/>
    <d v="2024-03-14T00:00:00"/>
    <m/>
    <s v="No"/>
    <n v="23"/>
    <s v="Female"/>
    <s v="Single"/>
    <s v="PhD"/>
    <x v="0"/>
    <s v="Process Associate"/>
    <n v="1"/>
    <s v="Noida"/>
    <n v="30000"/>
    <n v="13.8"/>
    <n v="8.6"/>
    <n v="1.8"/>
    <n v="0.9"/>
    <n v="2"/>
    <n v="3"/>
    <n v="3"/>
    <s v="Yes"/>
    <n v="5"/>
    <n v="1"/>
    <m/>
  </r>
  <r>
    <s v="EMP1075"/>
    <d v="2023-02-21T00:00:00"/>
    <m/>
    <s v="No"/>
    <n v="26"/>
    <s v="Non-Binary"/>
    <s v="Divorced"/>
    <s v="Master's"/>
    <x v="1"/>
    <s v="Data Engineer"/>
    <n v="1"/>
    <s v="Hyderabad"/>
    <n v="40000"/>
    <n v="5.0999999999999996"/>
    <n v="8"/>
    <n v="2.9"/>
    <n v="0.4"/>
    <n v="3"/>
    <n v="1"/>
    <n v="3"/>
    <s v="No"/>
    <n v="3"/>
    <n v="1"/>
    <m/>
  </r>
  <r>
    <s v="EMP1076"/>
    <d v="2025-01-09T00:00:00"/>
    <m/>
    <s v="No"/>
    <n v="30"/>
    <s v="Non-Binary"/>
    <s v="Single"/>
    <s v="Bachelor's"/>
    <x v="6"/>
    <s v="Account Manager"/>
    <n v="4"/>
    <s v="Noida"/>
    <n v="98000"/>
    <n v="5.0999999999999996"/>
    <n v="7.4"/>
    <n v="1"/>
    <n v="0.1"/>
    <n v="4"/>
    <n v="2"/>
    <n v="4"/>
    <s v="Yes"/>
    <n v="2"/>
    <n v="1"/>
    <m/>
  </r>
  <r>
    <s v="EMP1077"/>
    <d v="2025-06-25T00:00:00"/>
    <m/>
    <s v="No"/>
    <n v="24"/>
    <s v="Non-Binary"/>
    <s v="Single"/>
    <s v="PhD"/>
    <x v="6"/>
    <s v="Sales Executive"/>
    <n v="1"/>
    <s v="Mumbai"/>
    <n v="22000"/>
    <n v="6.5"/>
    <n v="3.8"/>
    <n v="0.5"/>
    <n v="0"/>
    <n v="4"/>
    <n v="2"/>
    <n v="3"/>
    <s v="No"/>
    <n v="3"/>
    <n v="1"/>
    <m/>
  </r>
  <r>
    <s v="EMP1078"/>
    <d v="2023-08-19T00:00:00"/>
    <m/>
    <s v="No"/>
    <n v="32"/>
    <s v="Male"/>
    <s v="Divorced"/>
    <s v="Bachelor's"/>
    <x v="4"/>
    <s v="HR Executive"/>
    <n v="3"/>
    <s v="Hyderabad"/>
    <n v="69000"/>
    <n v="9.1999999999999993"/>
    <n v="4.5"/>
    <n v="2.4"/>
    <n v="2.2999999999999998"/>
    <n v="3"/>
    <n v="3"/>
    <n v="3"/>
    <s v="Yes"/>
    <n v="2"/>
    <n v="1"/>
    <m/>
  </r>
  <r>
    <s v="EMP1079"/>
    <d v="2016-08-17T00:00:00"/>
    <m/>
    <s v="No"/>
    <n v="36"/>
    <s v="Female"/>
    <s v="Single"/>
    <s v="PhD"/>
    <x v="1"/>
    <s v="Data Analyst"/>
    <n v="3"/>
    <s v="Pune"/>
    <n v="93000"/>
    <n v="7.4"/>
    <n v="13.8"/>
    <n v="9.4"/>
    <n v="4.4000000000000004"/>
    <n v="3"/>
    <n v="3"/>
    <n v="3"/>
    <s v="No"/>
    <n v="3"/>
    <n v="1"/>
    <m/>
  </r>
  <r>
    <s v="EMP1080"/>
    <d v="2022-06-21T00:00:00"/>
    <m/>
    <s v="No"/>
    <n v="25"/>
    <s v="Female"/>
    <s v="Single"/>
    <s v="Master's"/>
    <x v="5"/>
    <s v="Tech Lead"/>
    <n v="1"/>
    <s v="Pune"/>
    <n v="48000"/>
    <n v="9.6"/>
    <n v="10.9"/>
    <n v="3.5"/>
    <n v="2.2999999999999998"/>
    <n v="4"/>
    <n v="4"/>
    <n v="4"/>
    <s v="Yes"/>
    <n v="5"/>
    <n v="1"/>
    <m/>
  </r>
  <r>
    <s v="EMP1081"/>
    <d v="2015-05-22T00:00:00"/>
    <m/>
    <s v="No"/>
    <n v="33"/>
    <s v="Male"/>
    <s v="Single"/>
    <s v="Diploma"/>
    <x v="4"/>
    <s v="Recruiter"/>
    <n v="3"/>
    <s v="Noida"/>
    <n v="73000"/>
    <n v="13.9"/>
    <n v="15.9"/>
    <n v="10.6"/>
    <n v="3.5"/>
    <n v="4"/>
    <n v="3"/>
    <n v="2"/>
    <s v="No"/>
    <n v="4"/>
    <n v="1"/>
    <m/>
  </r>
  <r>
    <s v="EMP1082"/>
    <d v="2019-02-10T00:00:00"/>
    <m/>
    <s v="No"/>
    <n v="28"/>
    <s v="Female"/>
    <s v="Single"/>
    <s v="Master's"/>
    <x v="6"/>
    <s v="Account Manager"/>
    <n v="3"/>
    <s v="Mumbai"/>
    <n v="86000"/>
    <n v="6.6"/>
    <n v="9"/>
    <n v="6.9"/>
    <n v="0.7"/>
    <n v="3"/>
    <n v="3"/>
    <n v="3"/>
    <s v="No"/>
    <n v="4"/>
    <n v="1"/>
    <m/>
  </r>
  <r>
    <s v="EMP1083"/>
    <d v="2019-01-08T00:00:00"/>
    <m/>
    <s v="No"/>
    <n v="45"/>
    <s v="Non-Binary"/>
    <s v="Married"/>
    <s v="Bachelor's"/>
    <x v="6"/>
    <s v="Account Manager"/>
    <n v="4"/>
    <s v="Pune"/>
    <n v="107000"/>
    <n v="11.7"/>
    <n v="13.2"/>
    <n v="7"/>
    <n v="3.7"/>
    <n v="3"/>
    <n v="3"/>
    <n v="2"/>
    <s v="Yes"/>
    <n v="3"/>
    <n v="1"/>
    <m/>
  </r>
  <r>
    <s v="EMP1084"/>
    <d v="2023-10-21T00:00:00"/>
    <m/>
    <s v="No"/>
    <n v="38"/>
    <s v="Female"/>
    <s v="Single"/>
    <s v="Master's"/>
    <x v="4"/>
    <s v="Recruiter"/>
    <n v="2"/>
    <s v="Pune"/>
    <n v="52000"/>
    <n v="10.9"/>
    <n v="8.3000000000000007"/>
    <n v="2.2000000000000002"/>
    <n v="2"/>
    <n v="3"/>
    <n v="3"/>
    <n v="2"/>
    <s v="No"/>
    <n v="4"/>
    <n v="1"/>
    <m/>
  </r>
  <r>
    <s v="EMP1085"/>
    <d v="2025-02-17T00:00:00"/>
    <m/>
    <s v="No"/>
    <n v="21"/>
    <s v="Male"/>
    <s v="Married"/>
    <s v="PhD"/>
    <x v="1"/>
    <s v="Data Analyst"/>
    <n v="1"/>
    <s v="Chennai"/>
    <n v="44000"/>
    <n v="0.7"/>
    <n v="4"/>
    <n v="0.9"/>
    <n v="0"/>
    <n v="2"/>
    <n v="4"/>
    <n v="3"/>
    <s v="No"/>
    <n v="3"/>
    <n v="1"/>
    <m/>
  </r>
  <r>
    <s v="EMP1086"/>
    <d v="2019-10-13T00:00:00"/>
    <m/>
    <s v="No"/>
    <n v="40"/>
    <s v="Non-Binary"/>
    <s v="Divorced"/>
    <s v="PhD"/>
    <x v="2"/>
    <s v="IT Support Lead"/>
    <n v="3"/>
    <s v="Bengaluru"/>
    <n v="77000"/>
    <n v="16.8"/>
    <n v="12.1"/>
    <n v="6.2"/>
    <n v="4.2"/>
    <n v="3"/>
    <n v="3"/>
    <n v="3"/>
    <s v="No"/>
    <n v="3"/>
    <n v="1"/>
    <m/>
  </r>
  <r>
    <s v="EMP1087"/>
    <d v="2023-07-24T00:00:00"/>
    <m/>
    <s v="No"/>
    <n v="28"/>
    <s v="Male"/>
    <s v="Single"/>
    <s v="Bachelor's"/>
    <x v="2"/>
    <s v="IT Support Specialist"/>
    <n v="2"/>
    <s v="Bengaluru"/>
    <n v="52000"/>
    <n v="8.8000000000000007"/>
    <n v="9"/>
    <n v="2.4"/>
    <n v="2.1"/>
    <n v="4"/>
    <n v="3"/>
    <n v="2"/>
    <s v="No"/>
    <n v="2"/>
    <n v="1"/>
    <m/>
  </r>
  <r>
    <s v="EMP1088"/>
    <d v="2022-01-13T00:00:00"/>
    <m/>
    <s v="No"/>
    <n v="26"/>
    <s v="Non-Binary"/>
    <s v="Divorced"/>
    <s v="Master's"/>
    <x v="2"/>
    <s v="System Administrator"/>
    <n v="1"/>
    <s v="Bengaluru"/>
    <n v="28000"/>
    <n v="0.9"/>
    <n v="10"/>
    <n v="4"/>
    <n v="2.7"/>
    <n v="4"/>
    <n v="2"/>
    <n v="2"/>
    <s v="Yes"/>
    <n v="3"/>
    <n v="1"/>
    <m/>
  </r>
  <r>
    <s v="EMP1089"/>
    <d v="2019-07-14T00:00:00"/>
    <m/>
    <s v="No"/>
    <n v="31"/>
    <s v="Non-Binary"/>
    <s v="Single"/>
    <s v="Bachelor's"/>
    <x v="4"/>
    <s v="Recruiter"/>
    <n v="4"/>
    <s v="Pune"/>
    <n v="91000"/>
    <n v="10.6"/>
    <n v="10.5"/>
    <n v="6.5"/>
    <n v="3.7"/>
    <n v="2"/>
    <n v="2"/>
    <n v="3"/>
    <s v="No"/>
    <n v="4"/>
    <n v="1"/>
    <m/>
  </r>
  <r>
    <s v="EMP1090"/>
    <d v="2014-11-21T00:00:00"/>
    <m/>
    <s v="No"/>
    <n v="35"/>
    <s v="Female"/>
    <s v="Married"/>
    <s v="Bachelor's"/>
    <x v="1"/>
    <s v="Data Analyst"/>
    <n v="4"/>
    <s v="Pune"/>
    <n v="126000"/>
    <n v="11.4"/>
    <n v="12.2"/>
    <n v="11.1"/>
    <n v="0.7"/>
    <n v="3"/>
    <n v="4"/>
    <n v="3"/>
    <s v="No"/>
    <n v="2"/>
    <n v="1"/>
    <m/>
  </r>
  <r>
    <s v="EMP1091"/>
    <d v="2017-04-04T00:00:00"/>
    <m/>
    <s v="No"/>
    <n v="35"/>
    <s v="Non-Binary"/>
    <s v="Single"/>
    <s v="Bachelor's"/>
    <x v="1"/>
    <s v="Data Analyst"/>
    <n v="2"/>
    <s v="Hyderabad"/>
    <n v="54000"/>
    <n v="10.1"/>
    <n v="16.100000000000001"/>
    <n v="8.6999999999999993"/>
    <n v="4.5999999999999996"/>
    <n v="3"/>
    <n v="4"/>
    <n v="2"/>
    <s v="No"/>
    <n v="4"/>
    <n v="1"/>
    <m/>
  </r>
  <r>
    <s v="EMP1092"/>
    <d v="2022-10-07T00:00:00"/>
    <m/>
    <s v="No"/>
    <n v="29"/>
    <s v="Female"/>
    <s v="Single"/>
    <s v="Bachelor's"/>
    <x v="4"/>
    <s v="Recruiter"/>
    <n v="2"/>
    <s v="Bengaluru"/>
    <n v="69000"/>
    <n v="6.9"/>
    <n v="10.199999999999999"/>
    <n v="3.2"/>
    <n v="2.6"/>
    <n v="3"/>
    <n v="4"/>
    <n v="2"/>
    <s v="No"/>
    <n v="4"/>
    <n v="1"/>
    <m/>
  </r>
  <r>
    <s v="EMP1093"/>
    <d v="2020-06-10T00:00:00"/>
    <m/>
    <s v="No"/>
    <n v="28"/>
    <s v="Male"/>
    <s v="Single"/>
    <s v="Master's"/>
    <x v="6"/>
    <s v="Sales Executive"/>
    <n v="3"/>
    <s v="Noida"/>
    <n v="79000"/>
    <n v="2"/>
    <n v="5.6"/>
    <n v="5.6"/>
    <n v="3.7"/>
    <n v="2"/>
    <n v="4"/>
    <n v="2"/>
    <s v="No"/>
    <n v="3"/>
    <n v="1"/>
    <m/>
  </r>
  <r>
    <s v="EMP1094"/>
    <d v="2021-01-10T00:00:00"/>
    <m/>
    <s v="No"/>
    <n v="25"/>
    <s v="Non-Binary"/>
    <s v="Divorced"/>
    <s v="Diploma"/>
    <x v="2"/>
    <s v="IT Analyst"/>
    <n v="1"/>
    <s v="Pune"/>
    <n v="34000"/>
    <n v="13"/>
    <n v="11.5"/>
    <n v="5"/>
    <n v="3.7"/>
    <n v="3"/>
    <n v="1"/>
    <n v="4"/>
    <s v="No"/>
    <n v="4"/>
    <n v="1"/>
    <m/>
  </r>
  <r>
    <s v="EMP1095"/>
    <d v="2025-02-14T00:00:00"/>
    <m/>
    <s v="No"/>
    <n v="21"/>
    <s v="Female"/>
    <s v="Married"/>
    <s v="Master's"/>
    <x v="2"/>
    <s v="IT Support Lead"/>
    <n v="1"/>
    <s v="Pune"/>
    <n v="51000"/>
    <n v="10.199999999999999"/>
    <n v="2"/>
    <n v="0.9"/>
    <n v="0"/>
    <n v="2"/>
    <n v="4"/>
    <n v="3"/>
    <s v="No"/>
    <n v="4"/>
    <n v="1"/>
    <m/>
  </r>
  <r>
    <s v="EMP1096"/>
    <d v="2024-10-28T00:00:00"/>
    <d v="2025-09-04T00:00:00"/>
    <s v="Yes"/>
    <n v="34"/>
    <s v="Female"/>
    <s v="Married"/>
    <s v="Bachelor's"/>
    <x v="2"/>
    <s v="IT Support Specialist"/>
    <n v="2"/>
    <s v="Pune"/>
    <n v="53000"/>
    <n v="6.3"/>
    <n v="8.3000000000000007"/>
    <n v="0.9"/>
    <n v="0"/>
    <n v="2"/>
    <n v="3"/>
    <n v="2"/>
    <s v="No"/>
    <n v="3"/>
    <n v="1"/>
    <m/>
  </r>
  <r>
    <s v="EMP1097"/>
    <d v="2019-06-04T00:00:00"/>
    <m/>
    <s v="No"/>
    <n v="29"/>
    <s v="Male"/>
    <s v="Married"/>
    <s v="Diploma"/>
    <x v="4"/>
    <s v="HR Executive"/>
    <n v="2"/>
    <s v="Hyderabad"/>
    <n v="47000"/>
    <n v="6.3"/>
    <n v="9.9"/>
    <n v="6.6"/>
    <n v="0.8"/>
    <n v="3"/>
    <n v="4"/>
    <n v="3"/>
    <s v="Yes"/>
    <n v="5"/>
    <n v="1"/>
    <m/>
  </r>
  <r>
    <s v="EMP1098"/>
    <d v="2017-09-10T00:00:00"/>
    <m/>
    <s v="No"/>
    <n v="34"/>
    <s v="Female"/>
    <s v="Married"/>
    <s v="PhD"/>
    <x v="2"/>
    <s v="System Administrator"/>
    <n v="4"/>
    <s v="Hyderabad"/>
    <n v="113000"/>
    <n v="11.1"/>
    <n v="10.6"/>
    <n v="8.3000000000000007"/>
    <n v="1.5"/>
    <n v="2"/>
    <n v="2"/>
    <n v="3"/>
    <s v="No"/>
    <n v="5"/>
    <n v="1"/>
    <m/>
  </r>
  <r>
    <s v="EMP1099"/>
    <d v="2021-05-12T00:00:00"/>
    <m/>
    <s v="No"/>
    <n v="35"/>
    <s v="Male"/>
    <s v="Married"/>
    <s v="PhD"/>
    <x v="3"/>
    <s v="Finance Executive"/>
    <n v="3"/>
    <s v="Mumbai"/>
    <n v="75000"/>
    <n v="12.4"/>
    <n v="6.9"/>
    <n v="4.5999999999999996"/>
    <n v="3.9"/>
    <n v="4"/>
    <n v="4"/>
    <n v="2"/>
    <s v="No"/>
    <n v="4"/>
    <n v="1"/>
    <m/>
  </r>
  <r>
    <s v="EMP1100"/>
    <d v="2025-05-28T00:00:00"/>
    <m/>
    <s v="No"/>
    <n v="27"/>
    <s v="Male"/>
    <s v="Single"/>
    <s v="PhD"/>
    <x v="5"/>
    <s v="Software Developer"/>
    <n v="1"/>
    <s v="Mumbai"/>
    <n v="29000"/>
    <n v="13.3"/>
    <n v="1.6"/>
    <n v="0.6"/>
    <n v="0"/>
    <n v="2"/>
    <n v="4"/>
    <n v="3"/>
    <s v="Yes"/>
    <n v="3"/>
    <n v="1"/>
    <m/>
  </r>
  <r>
    <s v="EMP1101"/>
    <d v="2020-09-28T00:00:00"/>
    <d v="2025-12-10T00:00:00"/>
    <s v="Yes"/>
    <n v="36"/>
    <s v="Female"/>
    <s v="Divorced"/>
    <s v="Bachelor's"/>
    <x v="6"/>
    <s v="Sales Executive"/>
    <n v="3"/>
    <s v="Mumbai"/>
    <n v="86000"/>
    <n v="5.5"/>
    <n v="8.1"/>
    <n v="5.2"/>
    <n v="0.6"/>
    <n v="1"/>
    <n v="3"/>
    <n v="4"/>
    <s v="Yes"/>
    <n v="2"/>
    <n v="1"/>
    <m/>
  </r>
  <r>
    <s v="EMP1102"/>
    <d v="2020-12-02T00:00:00"/>
    <m/>
    <s v="No"/>
    <n v="32"/>
    <s v="Female"/>
    <s v="Married"/>
    <s v="Diploma"/>
    <x v="5"/>
    <s v="Senior Software Developer"/>
    <n v="3"/>
    <s v="Pune"/>
    <n v="94000"/>
    <n v="8.5"/>
    <n v="7.7"/>
    <n v="5.0999999999999996"/>
    <n v="4.9000000000000004"/>
    <n v="1"/>
    <n v="4"/>
    <n v="3"/>
    <s v="Yes"/>
    <n v="5"/>
    <n v="1"/>
    <m/>
  </r>
  <r>
    <s v="EMP1103"/>
    <d v="2017-06-18T00:00:00"/>
    <m/>
    <s v="No"/>
    <n v="37"/>
    <s v="Female"/>
    <s v="Married"/>
    <s v="Bachelor's"/>
    <x v="2"/>
    <s v="IT Support Lead"/>
    <n v="2"/>
    <s v="Pune"/>
    <n v="60000"/>
    <n v="6.3"/>
    <n v="12.8"/>
    <n v="8.5"/>
    <n v="3.2"/>
    <n v="3"/>
    <n v="3"/>
    <n v="3"/>
    <s v="Yes"/>
    <n v="3"/>
    <n v="1"/>
    <m/>
  </r>
  <r>
    <s v="EMP1104"/>
    <d v="2023-10-19T00:00:00"/>
    <m/>
    <s v="No"/>
    <n v="26"/>
    <s v="Female"/>
    <s v="Married"/>
    <s v="PhD"/>
    <x v="5"/>
    <s v="Software Developer"/>
    <n v="1"/>
    <s v="Pune"/>
    <n v="22000"/>
    <n v="9.8000000000000007"/>
    <n v="7.1"/>
    <n v="2.2000000000000002"/>
    <n v="0.3"/>
    <n v="4"/>
    <n v="4"/>
    <n v="4"/>
    <s v="No"/>
    <n v="5"/>
    <n v="1"/>
    <m/>
  </r>
  <r>
    <s v="EMP1105"/>
    <d v="2019-07-25T00:00:00"/>
    <m/>
    <s v="No"/>
    <n v="35"/>
    <s v="Female"/>
    <s v="Divorced"/>
    <s v="Bachelor's"/>
    <x v="5"/>
    <s v="QA Engineer"/>
    <n v="3"/>
    <s v="Bengaluru"/>
    <n v="69000"/>
    <n v="7.6"/>
    <n v="6.7"/>
    <n v="6.4"/>
    <n v="5.9"/>
    <n v="3"/>
    <n v="3"/>
    <n v="3"/>
    <s v="No"/>
    <n v="3"/>
    <n v="1"/>
    <m/>
  </r>
  <r>
    <s v="EMP1106"/>
    <d v="2018-10-25T00:00:00"/>
    <m/>
    <s v="No"/>
    <n v="43"/>
    <s v="Male"/>
    <s v="Divorced"/>
    <s v="Diploma"/>
    <x v="2"/>
    <s v="IT Support Specialist"/>
    <n v="1"/>
    <s v="Chennai"/>
    <n v="23000"/>
    <n v="14"/>
    <n v="7.3"/>
    <n v="7.2"/>
    <n v="3.9"/>
    <n v="2"/>
    <n v="3"/>
    <n v="3"/>
    <s v="No"/>
    <n v="5"/>
    <n v="1"/>
    <m/>
  </r>
  <r>
    <s v="EMP1107"/>
    <d v="2024-01-12T00:00:00"/>
    <m/>
    <s v="No"/>
    <n v="27"/>
    <s v="Non-Binary"/>
    <s v="Married"/>
    <s v="PhD"/>
    <x v="5"/>
    <s v="QA Engineer"/>
    <n v="1"/>
    <s v="Chennai"/>
    <n v="28000"/>
    <n v="10.4"/>
    <n v="2.2999999999999998"/>
    <n v="2"/>
    <n v="1.2"/>
    <n v="1"/>
    <n v="3"/>
    <n v="4"/>
    <s v="No"/>
    <n v="3"/>
    <n v="1"/>
    <m/>
  </r>
  <r>
    <s v="EMP1108"/>
    <d v="2018-02-13T00:00:00"/>
    <m/>
    <s v="No"/>
    <n v="34"/>
    <s v="Female"/>
    <s v="Single"/>
    <s v="Master's"/>
    <x v="4"/>
    <s v="HR Manager"/>
    <n v="3"/>
    <s v="Pune"/>
    <n v="69000"/>
    <n v="1.9"/>
    <n v="14.4"/>
    <n v="7.9"/>
    <n v="2.2999999999999998"/>
    <n v="3"/>
    <n v="3"/>
    <n v="3"/>
    <s v="Yes"/>
    <n v="3"/>
    <n v="1"/>
    <m/>
  </r>
  <r>
    <s v="EMP1109"/>
    <d v="2020-01-10T00:00:00"/>
    <m/>
    <s v="No"/>
    <n v="35"/>
    <s v="Non-Binary"/>
    <s v="Divorced"/>
    <s v="Diploma"/>
    <x v="3"/>
    <s v="Finance Executive"/>
    <n v="5"/>
    <s v="Chennai"/>
    <n v="155000"/>
    <n v="6.8"/>
    <n v="12.1"/>
    <n v="6"/>
    <n v="2.6"/>
    <n v="2"/>
    <n v="2"/>
    <n v="3"/>
    <s v="No"/>
    <n v="3"/>
    <n v="1"/>
    <m/>
  </r>
  <r>
    <s v="EMP1110"/>
    <d v="2020-06-25T00:00:00"/>
    <m/>
    <s v="No"/>
    <n v="41"/>
    <s v="Female"/>
    <s v="Single"/>
    <s v="PhD"/>
    <x v="4"/>
    <s v="HR Executive"/>
    <n v="5"/>
    <s v="Chennai"/>
    <n v="145000"/>
    <n v="7.6"/>
    <n v="6.8"/>
    <n v="5.5"/>
    <n v="2.4"/>
    <n v="3"/>
    <n v="4"/>
    <n v="3"/>
    <s v="Yes"/>
    <n v="1"/>
    <n v="1"/>
    <m/>
  </r>
  <r>
    <s v="EMP1111"/>
    <d v="2025-04-23T00:00:00"/>
    <m/>
    <s v="No"/>
    <n v="24"/>
    <s v="Non-Binary"/>
    <s v="Single"/>
    <s v="Master's"/>
    <x v="2"/>
    <s v="System Administrator"/>
    <n v="1"/>
    <s v="Hyderabad"/>
    <n v="35000"/>
    <n v="11.2"/>
    <n v="6"/>
    <n v="0.7"/>
    <n v="0"/>
    <n v="4"/>
    <n v="3"/>
    <n v="2"/>
    <s v="No"/>
    <n v="4"/>
    <n v="1"/>
    <m/>
  </r>
  <r>
    <s v="EMP1112"/>
    <d v="2025-01-26T00:00:00"/>
    <m/>
    <s v="No"/>
    <n v="21"/>
    <s v="Non-Binary"/>
    <s v="Divorced"/>
    <s v="Bachelor's"/>
    <x v="0"/>
    <s v="Process Associate"/>
    <n v="1"/>
    <s v="Bengaluru"/>
    <n v="25000"/>
    <n v="5.5"/>
    <n v="1.1000000000000001"/>
    <n v="0.9"/>
    <n v="0"/>
    <n v="2"/>
    <n v="3"/>
    <n v="3"/>
    <s v="No"/>
    <n v="3"/>
    <n v="1"/>
    <m/>
  </r>
  <r>
    <s v="EMP1113"/>
    <d v="2022-02-21T00:00:00"/>
    <m/>
    <s v="No"/>
    <n v="36"/>
    <s v="Female"/>
    <s v="Divorced"/>
    <s v="Diploma"/>
    <x v="4"/>
    <s v="HR Manager"/>
    <n v="4"/>
    <s v="Mumbai"/>
    <n v="119000"/>
    <n v="7"/>
    <n v="10.9"/>
    <n v="3.9"/>
    <n v="1.4"/>
    <n v="4"/>
    <n v="3"/>
    <n v="4"/>
    <s v="Yes"/>
    <n v="4"/>
    <n v="1"/>
    <m/>
  </r>
  <r>
    <s v="EMP1114"/>
    <d v="2025-05-26T00:00:00"/>
    <m/>
    <s v="No"/>
    <n v="41"/>
    <s v="Female"/>
    <s v="Divorced"/>
    <s v="PhD"/>
    <x v="5"/>
    <s v="Senior Software Developer"/>
    <n v="1"/>
    <s v="Bengaluru"/>
    <n v="40000"/>
    <n v="14.1"/>
    <n v="5.9"/>
    <n v="0.6"/>
    <n v="0"/>
    <n v="3"/>
    <n v="2"/>
    <n v="2"/>
    <s v="No"/>
    <n v="4"/>
    <n v="1"/>
    <m/>
  </r>
  <r>
    <s v="EMP1115"/>
    <d v="2021-04-23T00:00:00"/>
    <m/>
    <s v="No"/>
    <n v="25"/>
    <s v="Female"/>
    <s v="Divorced"/>
    <s v="PhD"/>
    <x v="2"/>
    <s v="IT Support Specialist"/>
    <n v="1"/>
    <s v="Chennai"/>
    <n v="22000"/>
    <n v="2.8"/>
    <n v="6.9"/>
    <n v="4.7"/>
    <n v="0.8"/>
    <m/>
    <n v="3"/>
    <n v="3"/>
    <s v="No"/>
    <n v="3"/>
    <n v="1"/>
    <m/>
  </r>
  <r>
    <s v="EMP1116"/>
    <d v="2025-02-11T00:00:00"/>
    <m/>
    <s v="No"/>
    <n v="41"/>
    <s v="Male"/>
    <s v="Married"/>
    <s v="Master's"/>
    <x v="0"/>
    <s v="Process Associate"/>
    <n v="3"/>
    <s v="Pune"/>
    <s v="₹89,000"/>
    <n v="12.4"/>
    <n v="3"/>
    <n v="0.9"/>
    <n v="0"/>
    <n v="3"/>
    <n v="4"/>
    <n v="3"/>
    <s v="Yes"/>
    <n v="3"/>
    <n v="1"/>
    <m/>
  </r>
  <r>
    <s v="EMP1117"/>
    <d v="2018-09-01T00:00:00"/>
    <m/>
    <s v="No"/>
    <n v="29"/>
    <s v="Non-Binary"/>
    <s v="Divorced"/>
    <s v="PhD"/>
    <x v="3"/>
    <s v="Finance Executive"/>
    <n v="3"/>
    <s v="Pune"/>
    <n v="70000"/>
    <n v="12.4"/>
    <n v="10.199999999999999"/>
    <n v="7.3"/>
    <n v="4.7"/>
    <n v="2"/>
    <n v="3"/>
    <n v="4"/>
    <s v="No"/>
    <n v="4"/>
    <n v="1"/>
    <m/>
  </r>
  <r>
    <s v="EMP1118"/>
    <d v="2014-11-12T00:00:00"/>
    <m/>
    <s v="No"/>
    <n v="34"/>
    <s v="Female"/>
    <s v="Divorced"/>
    <s v="Diploma"/>
    <x v="6"/>
    <s v="Sales Executive"/>
    <n v="4"/>
    <s v="Pune"/>
    <n v="114000"/>
    <n v="10.3"/>
    <n v="14.2"/>
    <n v="11.1"/>
    <n v="1.5"/>
    <n v="3"/>
    <n v="3"/>
    <n v="3"/>
    <s v="No"/>
    <n v="1"/>
    <n v="1"/>
    <m/>
  </r>
  <r>
    <s v="EMP1119"/>
    <d v="2019-02-20T00:00:00"/>
    <m/>
    <s v="No"/>
    <n v="42"/>
    <s v="Male"/>
    <s v="Single"/>
    <s v="Master's"/>
    <x v="5"/>
    <s v="Tech Lead"/>
    <n v="1"/>
    <s v="Hyderabad"/>
    <n v="43000"/>
    <n v="12.4"/>
    <n v="9.6999999999999993"/>
    <n v="6.9"/>
    <n v="4.5999999999999996"/>
    <n v="2"/>
    <n v="4"/>
    <n v="3"/>
    <s v="Yes"/>
    <n v="4"/>
    <n v="1"/>
    <m/>
  </r>
  <r>
    <s v="EMP1120"/>
    <d v="2020-10-31T00:00:00"/>
    <m/>
    <s v="No"/>
    <n v="30"/>
    <s v="Non-Binary"/>
    <s v="Single"/>
    <s v="PhD"/>
    <x v="4"/>
    <s v="HR Manager"/>
    <n v="3"/>
    <s v="Bengaluru"/>
    <n v="80000"/>
    <n v="3.4"/>
    <n v="7.2"/>
    <n v="5.2"/>
    <n v="2.5"/>
    <n v="4"/>
    <n v="4"/>
    <n v="3"/>
    <s v="No"/>
    <n v="3"/>
    <n v="1"/>
    <m/>
  </r>
  <r>
    <s v="EMP1121"/>
    <d v="2025-04-13T00:00:00"/>
    <d v="2025-12-22T00:00:00"/>
    <s v="Yes"/>
    <n v="25"/>
    <s v="Male"/>
    <s v="Single"/>
    <s v="PhD"/>
    <x v="4"/>
    <s v="HR Executive"/>
    <n v="1"/>
    <s v="Bengaluru"/>
    <n v="35000"/>
    <n v="5.6"/>
    <n v="8.6"/>
    <n v="0.7"/>
    <n v="0"/>
    <n v="4"/>
    <n v="3"/>
    <n v="4"/>
    <s v="Yes"/>
    <n v="4"/>
    <n v="1"/>
    <m/>
  </r>
  <r>
    <s v="EMP1122"/>
    <d v="2020-12-06T00:00:00"/>
    <m/>
    <s v="No"/>
    <n v="33"/>
    <s v="Non-Binary"/>
    <s v="Single"/>
    <s v="Master's"/>
    <x v="1"/>
    <s v="BI Analyst"/>
    <n v="3"/>
    <s v="Hyderabad"/>
    <n v="75000"/>
    <n v="10.7"/>
    <n v="12.4"/>
    <n v="5.0999999999999996"/>
    <n v="1.6"/>
    <n v="2"/>
    <n v="3"/>
    <n v="3"/>
    <s v="Yes"/>
    <n v="4"/>
    <n v="1"/>
    <m/>
  </r>
  <r>
    <s v="EMP1123"/>
    <d v="2022-08-20T00:00:00"/>
    <m/>
    <s v="No"/>
    <n v="39"/>
    <s v="Male"/>
    <s v="Married"/>
    <s v="PhD"/>
    <x v="6"/>
    <s v="Sales Manager"/>
    <n v="3"/>
    <s v="Noida"/>
    <n v="77000"/>
    <n v="10.6"/>
    <n v="10.3"/>
    <n v="3.4"/>
    <n v="2.4"/>
    <n v="3"/>
    <n v="3"/>
    <n v="4"/>
    <s v="No"/>
    <n v="3"/>
    <n v="1"/>
    <m/>
  </r>
  <r>
    <s v="EMP1124"/>
    <d v="2020-07-12T00:00:00"/>
    <d v="2025-10-05T00:00:00"/>
    <s v="Yes"/>
    <n v="29"/>
    <s v="Male"/>
    <s v="Married"/>
    <s v="Bachelor's"/>
    <x v="5"/>
    <s v="Senior Software Developer"/>
    <n v="3"/>
    <s v="Mumbai"/>
    <n v="82000"/>
    <n v="12.4"/>
    <n v="12.9"/>
    <n v="5.2"/>
    <n v="3.8"/>
    <n v="3"/>
    <n v="4"/>
    <n v="3"/>
    <s v="No"/>
    <n v="4"/>
    <n v="1"/>
    <m/>
  </r>
  <r>
    <s v="EMP1125"/>
    <d v="2022-03-28T00:00:00"/>
    <m/>
    <s v="No"/>
    <n v="27"/>
    <s v="Non-Binary"/>
    <s v="Divorced"/>
    <s v="Master's"/>
    <x v="6"/>
    <s v="Business Development Executive"/>
    <n v="1"/>
    <s v="Noida"/>
    <n v="43000"/>
    <n v="0.3"/>
    <n v="8.6999999999999993"/>
    <n v="3.8"/>
    <n v="3.5"/>
    <n v="4"/>
    <n v="3"/>
    <n v="4"/>
    <s v="No"/>
    <n v="4"/>
    <n v="1"/>
    <m/>
  </r>
  <r>
    <s v="EMP1126"/>
    <d v="2021-09-24T00:00:00"/>
    <m/>
    <s v="No"/>
    <n v="26"/>
    <s v="Female"/>
    <s v="Divorced"/>
    <s v="Bachelor's"/>
    <x v="4"/>
    <s v="HR Manager"/>
    <n v="1"/>
    <s v="Bengaluru"/>
    <n v="22000"/>
    <n v="2.7"/>
    <n v="8.8000000000000007"/>
    <n v="4.3"/>
    <n v="3"/>
    <n v="3"/>
    <n v="4"/>
    <n v="3"/>
    <s v="No"/>
    <n v="4"/>
    <n v="1"/>
    <m/>
  </r>
  <r>
    <s v="EMP1127"/>
    <d v="2017-10-01T00:00:00"/>
    <m/>
    <s v="No"/>
    <n v="32"/>
    <s v="Male"/>
    <s v="Married"/>
    <s v="Bachelor's"/>
    <x v="5"/>
    <s v="Senior Software Developer"/>
    <n v="3"/>
    <s v="Mumbai"/>
    <n v="90000"/>
    <n v="11.8"/>
    <n v="11.1"/>
    <n v="8.1999999999999993"/>
    <n v="4.2"/>
    <n v="3"/>
    <n v="3"/>
    <n v="3"/>
    <s v="Yes"/>
    <n v="3"/>
    <n v="1"/>
    <m/>
  </r>
  <r>
    <s v="EMP1128"/>
    <d v="2018-09-23T00:00:00"/>
    <m/>
    <s v="No"/>
    <n v="38"/>
    <s v="Non-Binary"/>
    <s v="Married"/>
    <s v="Diploma"/>
    <x v="0"/>
    <s v="Operations Executive"/>
    <n v="2"/>
    <s v="Hyderabad"/>
    <n v="49000"/>
    <n v="4.3"/>
    <n v="10.6"/>
    <n v="7.3"/>
    <n v="1.5"/>
    <n v="3"/>
    <n v="4"/>
    <n v="3"/>
    <s v="No"/>
    <n v="2"/>
    <n v="1"/>
    <m/>
  </r>
  <r>
    <s v="EMP1129"/>
    <d v="2025-08-20T00:00:00"/>
    <m/>
    <s v="No"/>
    <n v="29"/>
    <s v="Female"/>
    <s v="Married"/>
    <s v="Diploma"/>
    <x v="4"/>
    <s v="HR Executive"/>
    <n v="2"/>
    <s v="Noida"/>
    <n v="42000"/>
    <n v="8.3000000000000007"/>
    <n v="6.8"/>
    <n v="0.4"/>
    <n v="0"/>
    <m/>
    <n v="4"/>
    <n v="2"/>
    <s v="Yes"/>
    <n v="1"/>
    <n v="1"/>
    <m/>
  </r>
  <r>
    <s v="EMP1130"/>
    <d v="2021-09-20T00:00:00"/>
    <m/>
    <s v="No"/>
    <n v="30"/>
    <s v="Female"/>
    <s v="Married"/>
    <s v="Bachelor's"/>
    <x v="2"/>
    <s v="IT Support Lead"/>
    <n v="2"/>
    <s v="Chennai"/>
    <n v="55000"/>
    <n v="10.4"/>
    <n v="10.8"/>
    <n v="4.3"/>
    <n v="4"/>
    <n v="3"/>
    <n v="3"/>
    <n v="4"/>
    <s v="No"/>
    <n v="3"/>
    <n v="1"/>
    <m/>
  </r>
  <r>
    <s v="EMP1131"/>
    <d v="2016-05-05T00:00:00"/>
    <m/>
    <s v="No"/>
    <n v="30"/>
    <s v="Female"/>
    <s v="Single"/>
    <s v="Master's"/>
    <x v="3"/>
    <s v="Finance Executive"/>
    <n v="3"/>
    <s v="Mumbai"/>
    <n v="90000"/>
    <n v="11"/>
    <n v="13.1"/>
    <n v="9.6999999999999993"/>
    <n v="1.5"/>
    <n v="3"/>
    <n v="4"/>
    <n v="2"/>
    <s v="Yes"/>
    <n v="3"/>
    <n v="1"/>
    <m/>
  </r>
  <r>
    <s v="EMP1132"/>
    <d v="2021-01-23T00:00:00"/>
    <m/>
    <s v="No"/>
    <n v="41"/>
    <s v="Male"/>
    <s v="Single"/>
    <s v="Diploma"/>
    <x v="6"/>
    <s v="Sales Manager"/>
    <n v="1"/>
    <s v="Pune"/>
    <n v="44000"/>
    <n v="3.4"/>
    <n v="5.4"/>
    <n v="4.9000000000000004"/>
    <n v="3.4"/>
    <n v="3"/>
    <n v="3"/>
    <n v="2"/>
    <s v="No"/>
    <n v="3"/>
    <n v="1"/>
    <m/>
  </r>
  <r>
    <s v="EMP1133"/>
    <d v="2015-05-23T00:00:00"/>
    <m/>
    <s v="No"/>
    <n v="33"/>
    <s v="Non-Binary"/>
    <s v="Single"/>
    <s v="Bachelor's"/>
    <x v="2"/>
    <s v="IT Support Lead"/>
    <n v="2"/>
    <s v="Hyderabad"/>
    <n v="47000"/>
    <n v="9.6999999999999993"/>
    <n v="16.7"/>
    <n v="10.6"/>
    <n v="3.7"/>
    <n v="3"/>
    <n v="3"/>
    <n v="2"/>
    <s v="No"/>
    <n v="3"/>
    <n v="1"/>
    <m/>
  </r>
  <r>
    <s v="EMP1134"/>
    <d v="2019-08-26T00:00:00"/>
    <m/>
    <s v="No"/>
    <n v="37"/>
    <s v="Non-Binary"/>
    <s v="Married"/>
    <s v="Master's"/>
    <x v="2"/>
    <s v="IT Analyst"/>
    <n v="3"/>
    <s v="Pune"/>
    <n v="67000"/>
    <n v="12"/>
    <n v="14.2"/>
    <n v="6.3"/>
    <n v="0.1"/>
    <n v="1"/>
    <n v="3"/>
    <n v="3"/>
    <s v="No"/>
    <n v="3"/>
    <n v="1"/>
    <m/>
  </r>
  <r>
    <s v="EMP1135"/>
    <d v="2018-09-25T00:00:00"/>
    <m/>
    <s v="No"/>
    <n v="35"/>
    <s v="Female"/>
    <s v="Single"/>
    <s v="PhD"/>
    <x v="2"/>
    <s v="IT Support Specialist"/>
    <n v="2"/>
    <s v="Bengaluru"/>
    <n v="49000"/>
    <n v="8.1"/>
    <n v="7.4"/>
    <n v="7.3"/>
    <n v="4.8"/>
    <n v="3"/>
    <n v="3"/>
    <n v="4"/>
    <s v="No"/>
    <n v="3"/>
    <n v="1"/>
    <m/>
  </r>
  <r>
    <s v="EMP1136"/>
    <d v="2020-06-17T00:00:00"/>
    <m/>
    <s v="No"/>
    <n v="26"/>
    <s v="Female"/>
    <s v="Divorced"/>
    <s v="Bachelor's"/>
    <x v="1"/>
    <s v="Data Analyst"/>
    <n v="1"/>
    <s v="Mumbai"/>
    <n v="57000"/>
    <n v="1.7"/>
    <n v="11.6"/>
    <n v="5.5"/>
    <n v="2.6"/>
    <n v="3"/>
    <n v="2"/>
    <n v="3"/>
    <s v="Yes"/>
    <n v="4"/>
    <n v="1"/>
    <m/>
  </r>
  <r>
    <s v="EMP1137"/>
    <d v="2018-04-07T00:00:00"/>
    <m/>
    <s v="No"/>
    <n v="36"/>
    <s v="Female"/>
    <s v="Married"/>
    <s v="Diploma"/>
    <x v="4"/>
    <s v="HR Analyst"/>
    <n v="5"/>
    <s v="Bengaluru"/>
    <n v="152000"/>
    <n v="8.6"/>
    <n v="10.199999999999999"/>
    <n v="7.7"/>
    <n v="0.7"/>
    <n v="3"/>
    <n v="3"/>
    <n v="3"/>
    <s v="No"/>
    <n v="3"/>
    <n v="1"/>
    <m/>
  </r>
  <r>
    <s v="EMP1138"/>
    <d v="2018-01-23T00:00:00"/>
    <m/>
    <s v="No"/>
    <n v="36"/>
    <s v="Non-Binary"/>
    <s v="Married"/>
    <s v="Diploma"/>
    <x v="5"/>
    <s v="Tech Lead"/>
    <n v="2"/>
    <s v="Chennai"/>
    <n v="57000"/>
    <n v="14.6"/>
    <n v="14.9"/>
    <n v="7.9"/>
    <n v="5.0999999999999996"/>
    <n v="3"/>
    <n v="2"/>
    <n v="2"/>
    <s v="No"/>
    <n v="3"/>
    <n v="1"/>
    <m/>
  </r>
  <r>
    <s v="EMP1139"/>
    <d v="2018-06-09T00:00:00"/>
    <m/>
    <s v="No"/>
    <n v="39"/>
    <s v="Non-Binary"/>
    <s v="Single"/>
    <s v="PhD"/>
    <x v="4"/>
    <s v="HR Manager"/>
    <n v="3"/>
    <s v="Pune"/>
    <n v="65000"/>
    <n v="8.6999999999999993"/>
    <n v="13.8"/>
    <n v="7.6"/>
    <n v="4.5999999999999996"/>
    <n v="2"/>
    <n v="2"/>
    <n v="3"/>
    <s v="No"/>
    <n v="4"/>
    <n v="1"/>
    <m/>
  </r>
  <r>
    <s v="EMP1140"/>
    <d v="2020-10-03T00:00:00"/>
    <m/>
    <s v="No"/>
    <n v="26"/>
    <s v="Male"/>
    <s v="Divorced"/>
    <s v="PhD"/>
    <x v="5"/>
    <s v="Senior Software Developer"/>
    <n v="1"/>
    <s v="Pune"/>
    <n v="41000"/>
    <n v="6.8"/>
    <n v="5.8"/>
    <n v="5.2"/>
    <n v="2.5"/>
    <n v="3"/>
    <n v="3"/>
    <n v="3"/>
    <s v="No"/>
    <n v="2"/>
    <n v="1"/>
    <m/>
  </r>
  <r>
    <s v="EMP1141"/>
    <d v="2024-03-31T00:00:00"/>
    <m/>
    <s v="No"/>
    <n v="26"/>
    <s v="Female"/>
    <s v="Divorced"/>
    <s v="Master's"/>
    <x v="2"/>
    <s v="IT Support Specialist"/>
    <n v="1"/>
    <s v="Hyderabad"/>
    <n v="48000"/>
    <n v="5.4"/>
    <n v="9.6999999999999993"/>
    <n v="1.8"/>
    <n v="1.8"/>
    <n v="2"/>
    <n v="3"/>
    <n v="3"/>
    <s v="No"/>
    <n v="4"/>
    <n v="1"/>
    <m/>
  </r>
  <r>
    <s v="EMP1142"/>
    <d v="2025-07-24T00:00:00"/>
    <m/>
    <s v="No"/>
    <n v="39"/>
    <s v="Female"/>
    <s v="Divorced"/>
    <s v="Bachelor's"/>
    <x v="2"/>
    <s v="System Administrator"/>
    <n v="4"/>
    <s v="Mumbai"/>
    <n v="103000"/>
    <n v="12.4"/>
    <n v="6.4"/>
    <n v="0.4"/>
    <n v="0"/>
    <n v="4"/>
    <n v="3"/>
    <n v="3"/>
    <s v="No"/>
    <n v="3"/>
    <n v="1"/>
    <m/>
  </r>
  <r>
    <s v="EMP1143"/>
    <d v="2022-09-22T00:00:00"/>
    <m/>
    <s v="No"/>
    <n v="43"/>
    <s v="Female"/>
    <s v="Divorced"/>
    <s v="Master's"/>
    <x v="6"/>
    <s v="Account Manager"/>
    <n v="2"/>
    <s v="Mumbai"/>
    <n v="53000"/>
    <n v="6.6"/>
    <n v="3.7"/>
    <n v="3.3"/>
    <n v="1.8"/>
    <n v="3"/>
    <n v="4"/>
    <n v="4"/>
    <s v="No"/>
    <n v="4"/>
    <n v="1"/>
    <m/>
  </r>
  <r>
    <s v="EMP1144"/>
    <d v="2017-09-02T00:00:00"/>
    <m/>
    <s v="No"/>
    <n v="39"/>
    <s v="Non-Binary"/>
    <s v="Married"/>
    <s v="PhD"/>
    <x v="0"/>
    <s v="Operations Executive"/>
    <n v="1"/>
    <s v="Chennai"/>
    <n v="26000"/>
    <n v="6"/>
    <n v="10.3"/>
    <n v="8.3000000000000007"/>
    <n v="3.6"/>
    <n v="4"/>
    <n v="2"/>
    <n v="3"/>
    <s v="No"/>
    <n v="3"/>
    <n v="1"/>
    <m/>
  </r>
  <r>
    <s v="EMP1145"/>
    <d v="2021-01-21T00:00:00"/>
    <m/>
    <s v="No"/>
    <n v="25"/>
    <s v="Non-Binary"/>
    <s v="Single"/>
    <s v="PhD"/>
    <x v="4"/>
    <s v="HR Manager"/>
    <n v="1"/>
    <s v="Bengaluru"/>
    <n v="49000"/>
    <n v="6.7"/>
    <n v="11.1"/>
    <n v="4.9000000000000004"/>
    <n v="2.9"/>
    <n v="4"/>
    <n v="3"/>
    <n v="4"/>
    <s v="No"/>
    <n v="3"/>
    <n v="1"/>
    <m/>
  </r>
  <r>
    <s v="EMP1146"/>
    <d v="2022-09-24T00:00:00"/>
    <m/>
    <s v="No"/>
    <n v="34"/>
    <s v="Male"/>
    <s v="Single"/>
    <s v="Master's"/>
    <x v="6"/>
    <s v="Business Development Executive"/>
    <n v="3"/>
    <s v="Chennai"/>
    <n v="68000"/>
    <n v="9"/>
    <n v="11.2"/>
    <n v="3.3"/>
    <n v="1.8"/>
    <n v="4"/>
    <n v="4"/>
    <n v="3"/>
    <s v="Yes"/>
    <n v="3"/>
    <n v="1"/>
    <m/>
  </r>
  <r>
    <s v="EMP1147"/>
    <d v="2022-11-30T00:00:00"/>
    <d v="2025-11-27T00:00:00"/>
    <s v="Yes"/>
    <n v="32"/>
    <s v="Non-Binary"/>
    <s v="Single"/>
    <s v="Master's"/>
    <x v="3"/>
    <s v="Accountant"/>
    <n v="3"/>
    <s v="Chennai"/>
    <n v="91000"/>
    <n v="13.1"/>
    <n v="8.3000000000000007"/>
    <n v="3"/>
    <n v="1.5"/>
    <n v="2"/>
    <n v="3"/>
    <n v="4"/>
    <s v="No"/>
    <n v="5"/>
    <n v="1"/>
    <m/>
  </r>
  <r>
    <s v="EMP1148"/>
    <d v="2020-04-18T00:00:00"/>
    <d v="2025-03-01T00:00:00"/>
    <s v="Yes"/>
    <n v="30"/>
    <s v="Female"/>
    <s v="Married"/>
    <s v="PhD"/>
    <x v="2"/>
    <s v="IT Support Specialist"/>
    <n v="3"/>
    <s v="Mumbai"/>
    <n v="65000"/>
    <n v="6.5"/>
    <n v="5"/>
    <n v="4.9000000000000004"/>
    <n v="1.1000000000000001"/>
    <n v="2"/>
    <n v="4"/>
    <n v="1"/>
    <s v="Yes"/>
    <n v="4"/>
    <n v="1"/>
    <m/>
  </r>
  <r>
    <s v="EMP1149"/>
    <d v="2019-10-04T00:00:00"/>
    <m/>
    <s v="No"/>
    <n v="37"/>
    <s v="Female"/>
    <s v="Single"/>
    <s v="Diploma"/>
    <x v="5"/>
    <s v="Software Developer"/>
    <n v="4"/>
    <s v="Mumbai"/>
    <n v="105000"/>
    <n v="9"/>
    <n v="12.7"/>
    <n v="6.2"/>
    <n v="2.9"/>
    <n v="3"/>
    <n v="3"/>
    <n v="1"/>
    <s v="No"/>
    <n v="2"/>
    <n v="1"/>
    <m/>
  </r>
  <r>
    <s v="EMP1150"/>
    <d v="2015-11-20T00:00:00"/>
    <d v="2015-10-21T00:00:00"/>
    <s v="Yes"/>
    <n v="31"/>
    <s v="Female"/>
    <s v="Married"/>
    <s v="PhD"/>
    <x v="2"/>
    <s v="IT Support Specialist"/>
    <n v="2"/>
    <s v="Chennai"/>
    <n v="63000"/>
    <n v="10.7"/>
    <n v="15.3"/>
    <n v="10.1"/>
    <n v="3.8"/>
    <n v="3"/>
    <n v="2"/>
    <n v="3"/>
    <s v="Yes"/>
    <n v="1"/>
    <n v="1"/>
    <m/>
  </r>
  <r>
    <s v="EMP1150"/>
    <d v="2015-11-20T00:00:00"/>
    <m/>
    <s v="No"/>
    <n v="31"/>
    <s v="Female"/>
    <s v="Married"/>
    <s v="PhD"/>
    <x v="2"/>
    <s v="IT Support Specialist"/>
    <n v="2"/>
    <s v="Chennai"/>
    <n v="63000"/>
    <n v="10.7"/>
    <n v="15.3"/>
    <n v="10.1"/>
    <n v="3.8"/>
    <n v="3"/>
    <n v="2"/>
    <n v="3"/>
    <s v="Yes"/>
    <n v="1"/>
    <n v="2"/>
    <m/>
  </r>
  <r>
    <s v="EMP1151"/>
    <d v="2022-05-23T00:00:00"/>
    <m/>
    <s v="No"/>
    <n v="31"/>
    <s v="Female"/>
    <s v="Single"/>
    <s v="Bachelor's"/>
    <x v="0"/>
    <s v="Operations Analyst"/>
    <n v="2"/>
    <s v="Hyderabad"/>
    <n v="58000"/>
    <n v="15.5"/>
    <n v="9.9"/>
    <n v="3.6"/>
    <n v="0.1"/>
    <n v="3"/>
    <n v="2"/>
    <n v="4"/>
    <s v="No"/>
    <n v="1"/>
    <n v="1"/>
    <m/>
  </r>
  <r>
    <s v="EMP1152"/>
    <d v="2021-04-07T00:00:00"/>
    <m/>
    <s v="No"/>
    <n v="25"/>
    <s v="Non-Binary"/>
    <s v="Married"/>
    <s v="PhD"/>
    <x v="2"/>
    <s v="IT Analyst"/>
    <n v="1"/>
    <s v="Hyderabad"/>
    <n v="31000"/>
    <n v="7.6"/>
    <n v="5.3"/>
    <n v="4.7"/>
    <n v="0.1"/>
    <n v="3"/>
    <n v="3"/>
    <n v="3"/>
    <s v="No"/>
    <n v="5"/>
    <n v="1"/>
    <m/>
  </r>
  <r>
    <s v="EMP1153"/>
    <d v="2018-02-16T00:00:00"/>
    <d v="2025-02-16T00:00:00"/>
    <s v="Yes"/>
    <n v="38"/>
    <s v="Female"/>
    <s v="Divorced"/>
    <s v="Diploma"/>
    <x v="5"/>
    <s v="Software Developer"/>
    <n v="1"/>
    <s v="Bengaluru"/>
    <n v="30000"/>
    <n v="9.3000000000000007"/>
    <n v="12.6"/>
    <n v="7"/>
    <n v="5.4"/>
    <n v="3"/>
    <n v="4"/>
    <n v="4"/>
    <s v="No"/>
    <n v="1"/>
    <n v="1"/>
    <m/>
  </r>
  <r>
    <s v="EMP1154"/>
    <d v="2020-03-17T00:00:00"/>
    <m/>
    <s v="No"/>
    <n v="43"/>
    <s v="Non-Binary"/>
    <s v="Divorced"/>
    <s v="PhD"/>
    <x v="3"/>
    <s v="Finance Executive"/>
    <n v="3"/>
    <s v="Pune"/>
    <n v="75000"/>
    <n v="9.1999999999999993"/>
    <n v="11.9"/>
    <n v="5.8"/>
    <n v="2.5"/>
    <n v="1"/>
    <n v="3"/>
    <n v="3"/>
    <s v="No"/>
    <n v="2"/>
    <n v="1"/>
    <m/>
  </r>
  <r>
    <s v="EMP1155"/>
    <d v="2019-07-11T00:00:00"/>
    <m/>
    <s v="No"/>
    <n v="41"/>
    <s v="Non-Binary"/>
    <s v="Single"/>
    <s v="Diploma"/>
    <x v="3"/>
    <s v="Finance Manager"/>
    <n v="3"/>
    <s v="Bengaluru"/>
    <n v="54000"/>
    <n v="8.9"/>
    <n v="11.6"/>
    <n v="6.5"/>
    <n v="0.7"/>
    <n v="3"/>
    <n v="3"/>
    <n v="3"/>
    <s v="No"/>
    <n v="4"/>
    <n v="1"/>
    <m/>
  </r>
  <r>
    <s v="EMP1156"/>
    <d v="2021-04-20T00:00:00"/>
    <m/>
    <s v="No"/>
    <n v="30"/>
    <s v="Non-Binary"/>
    <s v="Married"/>
    <s v="PhD"/>
    <x v="6"/>
    <s v="Business Development Executive"/>
    <n v="2"/>
    <s v="Noida"/>
    <n v="68000"/>
    <n v="5.5"/>
    <n v="10.199999999999999"/>
    <n v="4.7"/>
    <n v="1.1000000000000001"/>
    <n v="3"/>
    <n v="1"/>
    <n v="2"/>
    <s v="Yes"/>
    <n v="3"/>
    <n v="1"/>
    <m/>
  </r>
  <r>
    <s v="EMP1157"/>
    <d v="2022-02-27T00:00:00"/>
    <m/>
    <s v="No"/>
    <n v="35"/>
    <s v="Female"/>
    <s v="Married"/>
    <s v="Diploma"/>
    <x v="4"/>
    <s v="Recruiter"/>
    <n v="2"/>
    <s v="Bengaluru"/>
    <n v="62000"/>
    <n v="6.3"/>
    <n v="11.7"/>
    <n v="3.8"/>
    <n v="2.2000000000000002"/>
    <n v="4"/>
    <n v="4"/>
    <n v="4"/>
    <s v="Yes"/>
    <n v="4"/>
    <n v="1"/>
    <m/>
  </r>
  <r>
    <s v="EMP1158"/>
    <d v="2017-06-10T00:00:00"/>
    <m/>
    <s v="No"/>
    <n v="41"/>
    <s v="Non-Binary"/>
    <s v="Single"/>
    <s v="Diploma"/>
    <x v="3"/>
    <s v="Finance Manager"/>
    <n v="3"/>
    <s v="Bengaluru"/>
    <n v="84000"/>
    <n v="2.8"/>
    <n v="13.4"/>
    <n v="8.6"/>
    <n v="4.7"/>
    <n v="2"/>
    <n v="2"/>
    <n v="3"/>
    <s v="No"/>
    <n v="4"/>
    <n v="1"/>
    <m/>
  </r>
  <r>
    <s v="EMP1159"/>
    <d v="2020-08-08T00:00:00"/>
    <m/>
    <s v="No"/>
    <n v="36"/>
    <s v="Female"/>
    <s v="Divorced"/>
    <s v="Diploma"/>
    <x v="4"/>
    <s v="HR Manager"/>
    <n v="4"/>
    <s v="Hyderabad"/>
    <n v="113000"/>
    <n v="6.3"/>
    <n v="8.1"/>
    <n v="5.4"/>
    <n v="3.2"/>
    <n v="2"/>
    <n v="3"/>
    <n v="4"/>
    <s v="Yes"/>
    <n v="5"/>
    <n v="1"/>
    <m/>
  </r>
  <r>
    <s v="EMP1160"/>
    <d v="2021-08-24T00:00:00"/>
    <m/>
    <s v="No"/>
    <n v="37"/>
    <s v="Female"/>
    <s v="Married"/>
    <s v="Bachelor's"/>
    <x v="1"/>
    <s v="Data Analyst"/>
    <n v="4"/>
    <s v="Noida"/>
    <n v="118000"/>
    <n v="0.9"/>
    <n v="6.9"/>
    <n v="4.4000000000000004"/>
    <n v="3.4"/>
    <n v="3"/>
    <n v="2"/>
    <n v="4"/>
    <s v="No"/>
    <n v="2"/>
    <n v="1"/>
    <m/>
  </r>
  <r>
    <s v="EMP1161"/>
    <d v="2025-02-12T00:00:00"/>
    <m/>
    <s v="No"/>
    <n v="39"/>
    <s v="Female"/>
    <s v="Married"/>
    <s v="Master's"/>
    <x v="4"/>
    <s v="HR Executive"/>
    <n v="4"/>
    <s v="Chennai"/>
    <n v="107000"/>
    <n v="8.1"/>
    <n v="3.6"/>
    <n v="0.9"/>
    <n v="0"/>
    <n v="2"/>
    <n v="1"/>
    <n v="2"/>
    <s v="No"/>
    <n v="4"/>
    <n v="1"/>
    <m/>
  </r>
  <r>
    <s v="EMP1162"/>
    <d v="2015-05-05T00:00:00"/>
    <m/>
    <s v="No"/>
    <n v="37"/>
    <s v="Female"/>
    <s v="Single"/>
    <s v="Bachelor's"/>
    <x v="1"/>
    <s v="Senior Data Analyst"/>
    <n v="4"/>
    <s v="Pune"/>
    <n v="143000"/>
    <n v="3.4"/>
    <n v="15.9"/>
    <n v="10.7"/>
    <n v="5.5"/>
    <n v="1"/>
    <n v="3"/>
    <n v="2"/>
    <s v="Yes"/>
    <n v="3"/>
    <n v="1"/>
    <m/>
  </r>
  <r>
    <s v="EMP1163"/>
    <d v="2025-01-14T00:00:00"/>
    <m/>
    <s v="No"/>
    <n v="22"/>
    <s v="Non-Binary"/>
    <s v="Single"/>
    <s v="Bachelor's"/>
    <x v="3"/>
    <s v="Financial Analyst"/>
    <n v="1"/>
    <s v="Bengaluru"/>
    <n v="33000"/>
    <n v="8"/>
    <n v="3.9"/>
    <n v="1"/>
    <n v="0.5"/>
    <n v="4"/>
    <n v="1"/>
    <n v="3"/>
    <s v="No"/>
    <n v="4"/>
    <n v="1"/>
    <m/>
  </r>
  <r>
    <s v="EMP1164"/>
    <d v="2018-07-23T00:00:00"/>
    <d v="2025-12-03T00:00:00"/>
    <s v="Yes"/>
    <n v="33"/>
    <s v="Male"/>
    <s v="Married"/>
    <s v="Bachelor's"/>
    <x v="4"/>
    <s v="HR Analyst"/>
    <n v="5"/>
    <s v="Chennai"/>
    <n v="153000"/>
    <n v="11.8"/>
    <n v="8.1"/>
    <n v="7.4"/>
    <n v="1.1000000000000001"/>
    <n v="4"/>
    <n v="2"/>
    <n v="4"/>
    <s v="No"/>
    <n v="4"/>
    <n v="1"/>
    <m/>
  </r>
  <r>
    <s v="EMP1165"/>
    <d v="2020-10-02T00:00:00"/>
    <m/>
    <s v="No"/>
    <n v="31"/>
    <s v="Non-Binary"/>
    <s v="Divorced"/>
    <s v="Diploma"/>
    <x v="1"/>
    <s v="BI Analyst"/>
    <n v="1"/>
    <s v="Chennai"/>
    <n v="31000"/>
    <n v="10"/>
    <n v="5.3"/>
    <n v="5.2"/>
    <n v="2.5"/>
    <n v="3"/>
    <n v="4"/>
    <n v="4"/>
    <s v="No"/>
    <n v="4"/>
    <n v="1"/>
    <m/>
  </r>
  <r>
    <s v="EMP1166"/>
    <d v="2023-01-17T00:00:00"/>
    <m/>
    <s v="No"/>
    <n v="43"/>
    <s v="Non-Binary"/>
    <s v="Married"/>
    <s v="Diploma"/>
    <x v="0"/>
    <s v="Operations Manager"/>
    <n v="3"/>
    <s v="Mumbai"/>
    <n v="69000"/>
    <n v="6.7"/>
    <n v="6.3"/>
    <n v="3"/>
    <n v="1.7"/>
    <n v="4"/>
    <n v="2"/>
    <n v="4"/>
    <s v="No"/>
    <n v="3"/>
    <n v="1"/>
    <m/>
  </r>
  <r>
    <s v="EMP1167"/>
    <d v="2017-02-16T00:00:00"/>
    <m/>
    <s v="No"/>
    <n v="38"/>
    <s v="Non-Binary"/>
    <s v="Single"/>
    <s v="Bachelor's"/>
    <x v="2"/>
    <s v="IT Support Specialist"/>
    <n v="2"/>
    <s v="Hyderabad"/>
    <n v="50000"/>
    <n v="6.4"/>
    <n v="10"/>
    <n v="8.9"/>
    <n v="2.8"/>
    <n v="4"/>
    <n v="4"/>
    <n v="4"/>
    <s v="No"/>
    <n v="2"/>
    <n v="1"/>
    <m/>
  </r>
  <r>
    <s v="EMP1168"/>
    <d v="2024-09-02T00:00:00"/>
    <m/>
    <s v="No"/>
    <n v="27"/>
    <s v="Non-Binary"/>
    <s v="Married"/>
    <s v="PhD"/>
    <x v="6"/>
    <s v="Sales Executive"/>
    <n v="1"/>
    <s v="Hyderabad"/>
    <n v="34000"/>
    <n v="11.6"/>
    <n v="6.8"/>
    <n v="1.3"/>
    <n v="0.1"/>
    <n v="3"/>
    <n v="4"/>
    <n v="2"/>
    <s v="No"/>
    <n v="5"/>
    <n v="1"/>
    <m/>
  </r>
  <r>
    <s v="EMP1169"/>
    <d v="2014-12-15T00:00:00"/>
    <m/>
    <s v="No"/>
    <n v="36"/>
    <s v="Male"/>
    <s v="Divorced"/>
    <s v="Diploma"/>
    <x v="4"/>
    <s v="Recruiter"/>
    <n v="2"/>
    <s v="Hyderabad"/>
    <n v="41000"/>
    <n v="12.3"/>
    <n v="18.899999999999999"/>
    <n v="11"/>
    <n v="2.6"/>
    <n v="1"/>
    <n v="4"/>
    <n v="3"/>
    <s v="No"/>
    <n v="4"/>
    <n v="1"/>
    <m/>
  </r>
  <r>
    <s v="EMP1170"/>
    <d v="2014-05-19T00:00:00"/>
    <m/>
    <s v="No"/>
    <n v="38"/>
    <s v="Male"/>
    <s v="Married"/>
    <s v="Diploma"/>
    <x v="4"/>
    <s v="Recruiter"/>
    <n v="3"/>
    <s v="Bengaluru"/>
    <n v="84000"/>
    <n v="12.4"/>
    <n v="18"/>
    <n v="11.6"/>
    <n v="3.8"/>
    <n v="2"/>
    <n v="4"/>
    <n v="3"/>
    <s v="No"/>
    <n v="2"/>
    <n v="1"/>
    <m/>
  </r>
  <r>
    <s v="EMP1171"/>
    <d v="2018-02-28T00:00:00"/>
    <m/>
    <s v="No"/>
    <n v="31"/>
    <s v="Male"/>
    <s v="Divorced"/>
    <s v="Bachelor's"/>
    <x v="3"/>
    <s v="Finance Manager"/>
    <n v="4"/>
    <s v="Chennai"/>
    <n v="110000"/>
    <n v="14.9"/>
    <n v="8.5"/>
    <n v="7.8"/>
    <n v="5.8"/>
    <n v="3"/>
    <n v="2"/>
    <n v="3"/>
    <s v="No"/>
    <n v="4"/>
    <n v="1"/>
    <m/>
  </r>
  <r>
    <s v="EMP1172"/>
    <d v="2025-02-02T00:00:00"/>
    <m/>
    <s v="No"/>
    <n v="26"/>
    <s v="Male"/>
    <s v="Married"/>
    <s v="PhD"/>
    <x v="6"/>
    <s v="Sales Manager"/>
    <n v="1"/>
    <s v="Bengaluru"/>
    <n v="40000"/>
    <n v="5.8"/>
    <n v="6.2"/>
    <n v="0.9"/>
    <n v="0"/>
    <n v="3"/>
    <n v="4"/>
    <n v="2"/>
    <s v="No"/>
    <n v="2"/>
    <n v="1"/>
    <m/>
  </r>
  <r>
    <s v="EMP1173"/>
    <d v="2025-04-26T00:00:00"/>
    <m/>
    <s v="No"/>
    <n v="23"/>
    <s v="Non-Binary"/>
    <s v="Married"/>
    <s v="Master's"/>
    <x v="4"/>
    <s v="HR Executive"/>
    <n v="1"/>
    <s v="Hyderabad"/>
    <n v="28000"/>
    <n v="8.6999999999999993"/>
    <n v="3.8"/>
    <n v="0.7"/>
    <n v="0"/>
    <n v="3"/>
    <n v="2"/>
    <n v="3"/>
    <s v="No"/>
    <n v="3"/>
    <n v="1"/>
    <m/>
  </r>
  <r>
    <s v="EMP1174"/>
    <d v="2024-09-23T00:00:00"/>
    <d v="2025-03-11T00:00:00"/>
    <s v="Yes"/>
    <n v="40"/>
    <s v="Male"/>
    <s v="Single"/>
    <s v="Master's"/>
    <x v="2"/>
    <s v="IT Analyst"/>
    <n v="3"/>
    <s v="Mumbai"/>
    <n v="80000"/>
    <n v="8.1999999999999993"/>
    <n v="1.9"/>
    <n v="0.5"/>
    <n v="0"/>
    <n v="1"/>
    <n v="4"/>
    <n v="4"/>
    <s v="Yes"/>
    <n v="3"/>
    <n v="1"/>
    <m/>
  </r>
  <r>
    <s v="EMP1175"/>
    <d v="2024-05-27T00:00:00"/>
    <d v="2025-06-27T00:00:00"/>
    <s v="Yes"/>
    <n v="37"/>
    <s v="Non-Binary"/>
    <s v="Married"/>
    <s v="Bachelor's"/>
    <x v="2"/>
    <s v="IT Support Specialist"/>
    <n v="1"/>
    <s v="Mumbai"/>
    <n v="44000"/>
    <n v="9.5"/>
    <n v="8.8000000000000007"/>
    <n v="1.1000000000000001"/>
    <n v="0.7"/>
    <n v="3"/>
    <n v="3"/>
    <n v="2"/>
    <s v="Yes"/>
    <n v="4"/>
    <n v="1"/>
    <m/>
  </r>
  <r>
    <s v="EMP1176"/>
    <d v="2020-04-02T00:00:00"/>
    <m/>
    <s v="No"/>
    <n v="26"/>
    <s v="Non-Binary"/>
    <s v="Divorced"/>
    <s v="Diploma"/>
    <x v="6"/>
    <s v="Sales Executive"/>
    <n v="1"/>
    <s v="Noida"/>
    <n v="22000"/>
    <n v="11.7"/>
    <n v="12.5"/>
    <n v="5.7"/>
    <n v="2.6"/>
    <n v="4"/>
    <n v="3"/>
    <n v="4"/>
    <s v="No"/>
    <n v="4"/>
    <n v="1"/>
    <m/>
  </r>
  <r>
    <s v="EMP1177"/>
    <d v="2015-12-31T00:00:00"/>
    <m/>
    <s v="No"/>
    <n v="37"/>
    <s v="Non-Binary"/>
    <s v="Single"/>
    <s v="Bachelor's"/>
    <x v="5"/>
    <s v="Senior Software Developer"/>
    <n v="3"/>
    <s v="Hyderabad"/>
    <n v="85000"/>
    <n v="14.6"/>
    <n v="15.4"/>
    <n v="10"/>
    <n v="1.3"/>
    <n v="4"/>
    <n v="3"/>
    <n v="3"/>
    <s v="Yes"/>
    <n v="3"/>
    <n v="1"/>
    <m/>
  </r>
  <r>
    <s v="EMP1178"/>
    <d v="2015-06-05T00:00:00"/>
    <m/>
    <s v="No"/>
    <n v="40"/>
    <s v="Male"/>
    <s v="Divorced"/>
    <s v="Diploma"/>
    <x v="6"/>
    <s v="Account Manager"/>
    <n v="4"/>
    <s v="Chennai"/>
    <n v="110000"/>
    <n v="6.6"/>
    <n v="16.7"/>
    <n v="10.6"/>
    <n v="0.4"/>
    <n v="3"/>
    <n v="3"/>
    <n v="3"/>
    <s v="No"/>
    <n v="5"/>
    <n v="1"/>
    <m/>
  </r>
  <r>
    <s v="EMP1179"/>
    <d v="2021-07-01T00:00:00"/>
    <m/>
    <s v="No"/>
    <n v="36"/>
    <s v="Female"/>
    <s v="Divorced"/>
    <s v="Bachelor's"/>
    <x v="4"/>
    <s v="Recruiter"/>
    <n v="5"/>
    <s v="Noida"/>
    <n v="150000"/>
    <n v="9.3000000000000007"/>
    <n v="9"/>
    <n v="4.5"/>
    <n v="0.7"/>
    <n v="2"/>
    <n v="3"/>
    <n v="2"/>
    <s v="No"/>
    <n v="2"/>
    <n v="1"/>
    <m/>
  </r>
  <r>
    <s v="EMP1180"/>
    <d v="2014-09-01T00:00:00"/>
    <d v="2025-07-18T00:00:00"/>
    <s v="Yes"/>
    <n v="50"/>
    <s v="Female"/>
    <s v="Divorced"/>
    <s v="Diploma"/>
    <x v="5"/>
    <s v="Tech Lead"/>
    <n v="3"/>
    <s v="Noida"/>
    <n v="97000"/>
    <n v="11.9"/>
    <n v="16.600000000000001"/>
    <n v="10.9"/>
    <n v="2.9"/>
    <n v="3"/>
    <n v="1"/>
    <n v="3"/>
    <s v="No"/>
    <n v="3"/>
    <n v="1"/>
    <m/>
  </r>
  <r>
    <s v="EMP1181"/>
    <d v="2014-07-06T00:00:00"/>
    <m/>
    <s v="No"/>
    <n v="40"/>
    <s v="Female"/>
    <s v="Married"/>
    <s v="PhD"/>
    <x v="0"/>
    <s v="Operations Analyst"/>
    <n v="3"/>
    <s v="Pune"/>
    <n v="77000"/>
    <n v="9.1"/>
    <n v="16.100000000000001"/>
    <n v="11.5"/>
    <n v="5.8"/>
    <n v="3"/>
    <n v="3"/>
    <n v="2"/>
    <s v="No"/>
    <n v="1"/>
    <n v="1"/>
    <m/>
  </r>
  <r>
    <s v="EMP1182"/>
    <d v="2023-10-27T00:00:00"/>
    <m/>
    <s v="No"/>
    <n v="32"/>
    <s v="Female"/>
    <s v="Divorced"/>
    <s v="Diploma"/>
    <x v="6"/>
    <s v="Sales Manager"/>
    <n v="1"/>
    <s v="Pune"/>
    <n v="22000"/>
    <m/>
    <n v="10.1"/>
    <n v="2.2000000000000002"/>
    <n v="0.7"/>
    <n v="1"/>
    <n v="2"/>
    <n v="3"/>
    <s v="No"/>
    <n v="3"/>
    <n v="1"/>
    <m/>
  </r>
  <r>
    <s v="EMP1183"/>
    <d v="2017-12-17T00:00:00"/>
    <m/>
    <s v="No"/>
    <n v="44"/>
    <s v="Non-Binary"/>
    <s v="Single"/>
    <s v="PhD"/>
    <x v="4"/>
    <s v="HR Executive"/>
    <n v="3"/>
    <s v="Noida"/>
    <n v="74000"/>
    <n v="4.2"/>
    <n v="9.8000000000000007"/>
    <n v="8"/>
    <n v="2"/>
    <n v="4"/>
    <n v="2"/>
    <n v="1"/>
    <s v="No"/>
    <n v="4"/>
    <n v="1"/>
    <m/>
  </r>
  <r>
    <s v="EMP1184"/>
    <d v="2024-04-22T00:00:00"/>
    <m/>
    <s v="No"/>
    <n v="26"/>
    <s v="Female"/>
    <s v="Married"/>
    <s v="PhD"/>
    <x v="5"/>
    <s v="QA Engineer"/>
    <n v="1"/>
    <s v="Pune"/>
    <n v="42000"/>
    <n v="10.199999999999999"/>
    <n v="5"/>
    <n v="1.7"/>
    <n v="0.4"/>
    <n v="4"/>
    <n v="1"/>
    <n v="4"/>
    <s v="No"/>
    <n v="2"/>
    <n v="1"/>
    <m/>
  </r>
  <r>
    <s v="EMP1185"/>
    <d v="2021-07-28T00:00:00"/>
    <m/>
    <s v="No"/>
    <n v="27"/>
    <s v="Non-Binary"/>
    <s v="Married"/>
    <s v="Diploma"/>
    <x v="2"/>
    <s v="System Administrator"/>
    <n v="1"/>
    <s v="Chennai"/>
    <n v="33000"/>
    <n v="3.5"/>
    <n v="12.2"/>
    <n v="4.4000000000000004"/>
    <n v="4"/>
    <n v="4"/>
    <n v="3"/>
    <n v="4"/>
    <s v="Yes"/>
    <n v="4"/>
    <n v="1"/>
    <m/>
  </r>
  <r>
    <s v="EMP1186"/>
    <d v="2018-10-04T00:00:00"/>
    <m/>
    <s v="No"/>
    <n v="37"/>
    <s v="Male"/>
    <s v="Divorced"/>
    <s v="Master's"/>
    <x v="2"/>
    <s v="System Administrator"/>
    <n v="1"/>
    <s v="Mumbai"/>
    <s v="₹37,000"/>
    <n v="9"/>
    <n v="7.6"/>
    <n v="7.2"/>
    <n v="5.7"/>
    <n v="3"/>
    <n v="2"/>
    <n v="3"/>
    <s v="No"/>
    <n v="5"/>
    <n v="1"/>
    <m/>
  </r>
  <r>
    <s v="EMP1187"/>
    <d v="2024-10-16T00:00:00"/>
    <d v="2025-11-02T00:00:00"/>
    <s v="Yes"/>
    <n v="44"/>
    <s v="Male"/>
    <s v="Divorced"/>
    <s v="Bachelor's"/>
    <x v="6"/>
    <s v="Sales Manager"/>
    <n v="3"/>
    <s v="Pune"/>
    <n v="74000"/>
    <n v="9.6"/>
    <n v="2.1"/>
    <n v="1"/>
    <n v="0.9"/>
    <n v="3"/>
    <n v="2"/>
    <n v="4"/>
    <s v="No"/>
    <n v="4"/>
    <n v="1"/>
    <m/>
  </r>
  <r>
    <s v="EMP1188"/>
    <d v="2021-01-03T00:00:00"/>
    <m/>
    <s v="No"/>
    <n v="27"/>
    <s v="Non-Binary"/>
    <s v="Married"/>
    <s v="Bachelor's"/>
    <x v="1"/>
    <s v="Data Engineer"/>
    <n v="1"/>
    <s v="Noida"/>
    <n v="40000"/>
    <n v="13.4"/>
    <n v="10.3"/>
    <n v="5"/>
    <n v="0.3"/>
    <n v="3"/>
    <n v="4"/>
    <n v="3"/>
    <s v="Yes"/>
    <n v="2"/>
    <n v="1"/>
    <m/>
  </r>
  <r>
    <s v="EMP1189"/>
    <d v="2017-06-07T00:00:00"/>
    <m/>
    <s v="No"/>
    <n v="31"/>
    <s v="Non-Binary"/>
    <s v="Married"/>
    <s v="Master's"/>
    <x v="6"/>
    <s v="Sales Executive"/>
    <n v="2"/>
    <s v="Noida"/>
    <n v="49000"/>
    <n v="6.9"/>
    <n v="13"/>
    <n v="8.6"/>
    <n v="0.5"/>
    <n v="2"/>
    <n v="3"/>
    <n v="3"/>
    <s v="No"/>
    <n v="4"/>
    <n v="1"/>
    <m/>
  </r>
  <r>
    <s v="EMP1190"/>
    <d v="2024-09-01T00:00:00"/>
    <m/>
    <s v="No"/>
    <n v="23"/>
    <s v="Male"/>
    <s v="Single"/>
    <s v="PhD"/>
    <x v="0"/>
    <s v="Operations Executive"/>
    <n v="1"/>
    <s v="Chennai"/>
    <n v="43000"/>
    <n v="6.3"/>
    <n v="7.5"/>
    <n v="1.3"/>
    <n v="1.2"/>
    <n v="3"/>
    <n v="3"/>
    <n v="4"/>
    <s v="No"/>
    <n v="4"/>
    <n v="1"/>
    <m/>
  </r>
  <r>
    <s v="EMP1191"/>
    <d v="2022-05-17T00:00:00"/>
    <m/>
    <s v="No"/>
    <n v="24"/>
    <s v="Female"/>
    <s v="Single"/>
    <s v="Bachelor's"/>
    <x v="1"/>
    <s v="Data Engineer"/>
    <n v="1"/>
    <s v="Bengaluru"/>
    <n v="45000"/>
    <n v="11.7"/>
    <n v="6.1"/>
    <n v="3.6"/>
    <n v="0.2"/>
    <n v="3"/>
    <n v="2"/>
    <n v="3"/>
    <s v="No"/>
    <n v="2"/>
    <n v="1"/>
    <m/>
  </r>
  <r>
    <s v="EMP1192"/>
    <d v="2022-03-12T00:00:00"/>
    <m/>
    <s v="No"/>
    <n v="26"/>
    <s v="Female"/>
    <s v="Married"/>
    <s v="Master's"/>
    <x v="1"/>
    <s v="BI Analyst"/>
    <n v="1"/>
    <s v="Noida"/>
    <n v="41000"/>
    <n v="4.3"/>
    <n v="5.6"/>
    <n v="3.8"/>
    <n v="2.5"/>
    <n v="3"/>
    <n v="2"/>
    <n v="2"/>
    <s v="No"/>
    <n v="3"/>
    <n v="1"/>
    <m/>
  </r>
  <r>
    <s v="EMP1193"/>
    <d v="2014-04-22T00:00:00"/>
    <m/>
    <s v="No"/>
    <n v="40"/>
    <s v="Non-Binary"/>
    <s v="Single"/>
    <s v="Bachelor's"/>
    <x v="1"/>
    <s v="Data Analyst"/>
    <n v="1"/>
    <s v="Hyderabad"/>
    <n v="46000"/>
    <n v="9.1"/>
    <n v="17.3"/>
    <n v="11.7"/>
    <n v="4"/>
    <n v="3"/>
    <n v="3"/>
    <n v="3"/>
    <s v="No"/>
    <n v="2"/>
    <n v="1"/>
    <m/>
  </r>
  <r>
    <s v="EMP1194"/>
    <d v="2024-03-01T00:00:00"/>
    <m/>
    <s v="No"/>
    <n v="38"/>
    <s v="Male"/>
    <s v="Divorced"/>
    <s v="Bachelor's"/>
    <x v="0"/>
    <s v="Operations Analyst"/>
    <n v="2"/>
    <s v="Mumbai"/>
    <n v="50000"/>
    <n v="0"/>
    <n v="2.9"/>
    <n v="1.8"/>
    <n v="1.6"/>
    <n v="3"/>
    <n v="2"/>
    <n v="3"/>
    <s v="No"/>
    <n v="1"/>
    <n v="1"/>
    <m/>
  </r>
  <r>
    <s v="EMP1195"/>
    <d v="2021-01-25T00:00:00"/>
    <d v="2025-11-01T00:00:00"/>
    <s v="Yes"/>
    <n v="33"/>
    <s v="Male"/>
    <s v="Divorced"/>
    <s v="Master's"/>
    <x v="6"/>
    <s v="Sales Executive"/>
    <n v="2"/>
    <s v="Pune"/>
    <n v="64000"/>
    <n v="4.5999999999999996"/>
    <n v="6.6"/>
    <n v="4.8"/>
    <n v="4"/>
    <n v="4"/>
    <n v="3"/>
    <n v="3"/>
    <s v="Yes"/>
    <n v="5"/>
    <n v="1"/>
    <m/>
  </r>
  <r>
    <s v="EMP1196"/>
    <d v="2018-01-28T00:00:00"/>
    <m/>
    <s v="No"/>
    <n v="35"/>
    <s v="Male"/>
    <s v="Single"/>
    <s v="Master's"/>
    <x v="2"/>
    <s v="IT Support Specialist"/>
    <n v="3"/>
    <s v="Bengaluru"/>
    <n v="78000"/>
    <n v="2.2000000000000002"/>
    <n v="14.4"/>
    <n v="7.9"/>
    <n v="5.9"/>
    <n v="2"/>
    <n v="2"/>
    <n v="3"/>
    <s v="No"/>
    <n v="4"/>
    <n v="1"/>
    <m/>
  </r>
  <r>
    <s v="EMP1197"/>
    <d v="2015-11-06T00:00:00"/>
    <d v="2025-07-18T00:00:00"/>
    <s v="Yes"/>
    <n v="52"/>
    <s v="Female"/>
    <s v="Married"/>
    <s v="Bachelor's"/>
    <x v="2"/>
    <s v="IT Support Specialist"/>
    <n v="2"/>
    <s v="Chennai"/>
    <n v="49000"/>
    <n v="11.9"/>
    <n v="12.8"/>
    <n v="9.6999999999999993"/>
    <n v="0.9"/>
    <n v="4"/>
    <n v="2"/>
    <n v="4"/>
    <s v="No"/>
    <n v="5"/>
    <n v="1"/>
    <m/>
  </r>
  <r>
    <s v="EMP1198"/>
    <d v="2025-06-01T00:00:00"/>
    <m/>
    <s v="No"/>
    <n v="21"/>
    <s v="Male"/>
    <s v="Divorced"/>
    <s v="PhD"/>
    <x v="5"/>
    <s v="QA Engineer"/>
    <n v="1"/>
    <s v="Pune"/>
    <n v="36000"/>
    <n v="7.9"/>
    <n v="8.3000000000000007"/>
    <n v="0.6"/>
    <n v="0"/>
    <n v="4"/>
    <n v="4"/>
    <n v="4"/>
    <s v="No"/>
    <n v="1"/>
    <n v="1"/>
    <m/>
  </r>
  <r>
    <s v="EMP1199"/>
    <d v="2024-12-29T00:00:00"/>
    <m/>
    <s v="No"/>
    <n v="32"/>
    <s v="Female"/>
    <s v="Divorced"/>
    <s v="Master's"/>
    <x v="5"/>
    <s v="Tech Lead"/>
    <n v="2"/>
    <s v="Noida"/>
    <n v="62000"/>
    <n v="8.4"/>
    <n v="3.4"/>
    <n v="1"/>
    <n v="0"/>
    <n v="4"/>
    <n v="4"/>
    <n v="3"/>
    <s v="No"/>
    <n v="3"/>
    <n v="1"/>
    <m/>
  </r>
  <r>
    <s v="EMP1200"/>
    <d v="2022-03-01T00:00:00"/>
    <m/>
    <s v="No"/>
    <n v="36"/>
    <s v="Male"/>
    <s v="Married"/>
    <s v="Master's"/>
    <x v="1"/>
    <s v="Data Engineer"/>
    <n v="2"/>
    <s v="Mumbai"/>
    <n v="44000"/>
    <n v="0.8"/>
    <n v="10.6"/>
    <n v="3.8"/>
    <n v="1.5"/>
    <n v="2"/>
    <n v="3"/>
    <n v="4"/>
    <s v="No"/>
    <n v="2"/>
    <n v="1"/>
    <m/>
  </r>
  <r>
    <s v="EMP1201"/>
    <d v="2017-01-21T00:00:00"/>
    <m/>
    <s v="No"/>
    <n v="37"/>
    <s v="Male"/>
    <s v="Divorced"/>
    <s v="PhD"/>
    <x v="0"/>
    <s v="Operations Analyst"/>
    <n v="4"/>
    <s v="Chennai"/>
    <n v="103000"/>
    <n v="3.4"/>
    <n v="14.3"/>
    <n v="8.9"/>
    <n v="0.6"/>
    <n v="3"/>
    <n v="3"/>
    <n v="3"/>
    <s v="No"/>
    <n v="5"/>
    <n v="1"/>
    <m/>
  </r>
  <r>
    <s v="EMP1202"/>
    <d v="2015-09-30T00:00:00"/>
    <m/>
    <s v="No"/>
    <n v="31"/>
    <s v="Male"/>
    <s v="Divorced"/>
    <s v="Diploma"/>
    <x v="0"/>
    <s v="Operations Executive"/>
    <n v="3"/>
    <s v="Pune"/>
    <n v="58000"/>
    <n v="6"/>
    <n v="16.8"/>
    <n v="10.3"/>
    <n v="0.5"/>
    <n v="2"/>
    <n v="3"/>
    <n v="3"/>
    <s v="Yes"/>
    <n v="3"/>
    <n v="1"/>
    <m/>
  </r>
  <r>
    <s v="EMP1203"/>
    <d v="2014-04-21T00:00:00"/>
    <d v="2025-09-30T00:00:00"/>
    <s v="Yes"/>
    <n v="43"/>
    <s v="Non-Binary"/>
    <s v="Single"/>
    <s v="Bachelor's"/>
    <x v="1"/>
    <s v="Senior Data Analyst"/>
    <n v="4"/>
    <s v="Bengaluru"/>
    <n v="125000"/>
    <n v="12"/>
    <n v="13.3"/>
    <n v="11.4"/>
    <n v="1.5"/>
    <n v="3"/>
    <n v="4"/>
    <n v="4"/>
    <s v="Yes"/>
    <n v="1"/>
    <n v="1"/>
    <m/>
  </r>
  <r>
    <s v="EMP1204"/>
    <d v="2019-07-06T00:00:00"/>
    <m/>
    <s v="No"/>
    <n v="38"/>
    <s v="Female"/>
    <s v="Married"/>
    <s v="Diploma"/>
    <x v="0"/>
    <s v="Operations Manager"/>
    <n v="4"/>
    <s v="Mumbai"/>
    <n v="96000"/>
    <n v="10.199999999999999"/>
    <n v="9.4"/>
    <n v="6.5"/>
    <n v="2.8"/>
    <n v="3"/>
    <n v="3"/>
    <n v="4"/>
    <s v="No"/>
    <n v="4"/>
    <n v="1"/>
    <m/>
  </r>
  <r>
    <s v="EMP1205"/>
    <d v="2014-09-02T00:00:00"/>
    <m/>
    <s v="No"/>
    <n v="42"/>
    <s v="Female"/>
    <s v="Divorced"/>
    <s v="PhD"/>
    <x v="3"/>
    <s v="Finance Executive"/>
    <n v="3"/>
    <s v="Bengaluru"/>
    <n v="72000"/>
    <n v="11.5"/>
    <n v="19.100000000000001"/>
    <n v="11.3"/>
    <n v="2.6"/>
    <n v="3"/>
    <n v="3"/>
    <n v="4"/>
    <s v="No"/>
    <n v="3"/>
    <n v="1"/>
    <m/>
  </r>
  <r>
    <s v="EMP1206"/>
    <d v="2024-03-21T00:00:00"/>
    <d v="2025-12-24T00:00:00"/>
    <s v="Yes"/>
    <n v="32"/>
    <s v="Female"/>
    <s v="Divorced"/>
    <s v="Bachelor's"/>
    <x v="3"/>
    <s v="Accountant"/>
    <n v="4"/>
    <s v="Hyderabad"/>
    <n v="113000"/>
    <n v="5.6"/>
    <n v="9"/>
    <n v="1.8"/>
    <n v="1"/>
    <n v="3"/>
    <n v="4"/>
    <n v="4"/>
    <s v="Yes"/>
    <n v="5"/>
    <n v="1"/>
    <m/>
  </r>
  <r>
    <s v="EMP1207"/>
    <d v="2021-12-02T00:00:00"/>
    <m/>
    <s v="No"/>
    <n v="33"/>
    <s v="Female"/>
    <s v="Single"/>
    <s v="Master's"/>
    <x v="1"/>
    <s v="Data Engineer"/>
    <n v="3"/>
    <s v="Hyderabad"/>
    <n v="92000"/>
    <n v="9.3000000000000007"/>
    <n v="10.8"/>
    <n v="4.0999999999999996"/>
    <n v="0.7"/>
    <n v="3"/>
    <n v="4"/>
    <n v="2"/>
    <s v="No"/>
    <n v="3"/>
    <n v="1"/>
    <m/>
  </r>
  <r>
    <s v="EMP1208"/>
    <d v="2021-03-13T00:00:00"/>
    <m/>
    <s v="No"/>
    <n v="39"/>
    <s v="Female"/>
    <s v="Single"/>
    <s v="Diploma"/>
    <x v="2"/>
    <s v="IT Support Specialist"/>
    <n v="2"/>
    <s v="Hyderabad"/>
    <n v="42000"/>
    <n v="12.5"/>
    <n v="12.4"/>
    <n v="4.8"/>
    <n v="3.1"/>
    <n v="3"/>
    <n v="3"/>
    <n v="2"/>
    <s v="No"/>
    <n v="5"/>
    <n v="1"/>
    <m/>
  </r>
  <r>
    <s v="EMP1209"/>
    <d v="2025-01-17T00:00:00"/>
    <m/>
    <s v="No"/>
    <n v="37"/>
    <s v="Non-Binary"/>
    <s v="Divorced"/>
    <s v="Bachelor's"/>
    <x v="6"/>
    <s v="Account Manager"/>
    <n v="3"/>
    <s v="Mumbai"/>
    <n v="82000"/>
    <n v="1.4"/>
    <n v="2.8"/>
    <n v="1"/>
    <n v="1"/>
    <n v="2"/>
    <n v="3"/>
    <n v="1"/>
    <s v="No"/>
    <n v="4"/>
    <n v="1"/>
    <m/>
  </r>
  <r>
    <s v="EMP1210"/>
    <d v="2024-04-28T00:00:00"/>
    <m/>
    <s v="No"/>
    <n v="30"/>
    <s v="Non-Binary"/>
    <s v="Married"/>
    <s v="Master's"/>
    <x v="4"/>
    <s v="HR Analyst"/>
    <n v="4"/>
    <s v="Mumbai"/>
    <n v="99000"/>
    <n v="14.4"/>
    <n v="2.4"/>
    <n v="1.7"/>
    <n v="1.6"/>
    <n v="3"/>
    <n v="3"/>
    <n v="2"/>
    <s v="Yes"/>
    <n v="3"/>
    <n v="1"/>
    <m/>
  </r>
  <r>
    <s v="EMP1211"/>
    <d v="2023-12-17T00:00:00"/>
    <m/>
    <s v="No"/>
    <n v="27"/>
    <s v="Non-Binary"/>
    <s v="Single"/>
    <s v="PhD"/>
    <x v="4"/>
    <s v="HR Manager"/>
    <n v="1"/>
    <s v="Hyderabad"/>
    <n v="33000"/>
    <n v="11.7"/>
    <n v="2.4"/>
    <n v="2"/>
    <n v="1"/>
    <n v="3"/>
    <n v="3"/>
    <n v="2"/>
    <s v="No"/>
    <n v="4"/>
    <n v="1"/>
    <m/>
  </r>
  <r>
    <s v="EMP1212"/>
    <d v="2020-06-30T00:00:00"/>
    <m/>
    <s v="No"/>
    <n v="41"/>
    <s v="Non-Binary"/>
    <s v="Single"/>
    <s v="Diploma"/>
    <x v="0"/>
    <s v="Operations Analyst"/>
    <n v="2"/>
    <s v="Pune"/>
    <n v="54000"/>
    <n v="0.3"/>
    <n v="8.1"/>
    <n v="5.5"/>
    <n v="1"/>
    <n v="3"/>
    <n v="3"/>
    <n v="2"/>
    <s v="No"/>
    <n v="5"/>
    <n v="1"/>
    <m/>
  </r>
  <r>
    <s v="EMP1213"/>
    <d v="2025-02-25T00:00:00"/>
    <m/>
    <s v="No"/>
    <n v="29"/>
    <s v="Male"/>
    <s v="Divorced"/>
    <s v="Master's"/>
    <x v="2"/>
    <s v="IT Support Lead"/>
    <n v="4"/>
    <s v="Bengaluru"/>
    <n v="112000"/>
    <n v="0"/>
    <n v="6.1"/>
    <n v="0.8"/>
    <n v="0"/>
    <n v="3"/>
    <n v="1"/>
    <n v="2"/>
    <s v="No"/>
    <n v="4"/>
    <n v="1"/>
    <m/>
  </r>
  <r>
    <s v="EMP1214"/>
    <d v="2017-12-12T00:00:00"/>
    <d v="2025-06-04T00:00:00"/>
    <s v="Yes"/>
    <n v="37"/>
    <s v="Female"/>
    <s v="Divorced"/>
    <s v="Bachelor's"/>
    <x v="6"/>
    <s v="Account Manager"/>
    <n v="2"/>
    <s v="Mumbai"/>
    <n v="54000"/>
    <n v="13.7"/>
    <n v="9.3000000000000007"/>
    <n v="7.5"/>
    <n v="3.4"/>
    <n v="2"/>
    <n v="4"/>
    <n v="4"/>
    <s v="No"/>
    <n v="3"/>
    <n v="1"/>
    <m/>
  </r>
  <r>
    <s v="EMP1215"/>
    <d v="2023-05-20T00:00:00"/>
    <m/>
    <s v="No"/>
    <n v="39"/>
    <s v="Non-Binary"/>
    <s v="Divorced"/>
    <s v="PhD"/>
    <x v="1"/>
    <s v="Data Analyst"/>
    <n v="2"/>
    <s v="Pune"/>
    <n v="70000"/>
    <n v="9.5"/>
    <n v="8.8000000000000007"/>
    <n v="2.6"/>
    <n v="0.5"/>
    <n v="3"/>
    <n v="3"/>
    <n v="3"/>
    <s v="No"/>
    <n v="3"/>
    <n v="1"/>
    <m/>
  </r>
  <r>
    <s v="EMP1216"/>
    <d v="2016-04-29T00:00:00"/>
    <m/>
    <s v="No"/>
    <n v="30"/>
    <s v="Female"/>
    <s v="Single"/>
    <s v="Master's"/>
    <x v="6"/>
    <s v="Account Manager"/>
    <n v="3"/>
    <s v="Chennai"/>
    <n v="69000"/>
    <n v="6.3"/>
    <n v="11.4"/>
    <n v="9.6999999999999993"/>
    <n v="1.4"/>
    <n v="4"/>
    <n v="2"/>
    <n v="3"/>
    <s v="No"/>
    <n v="4"/>
    <n v="1"/>
    <m/>
  </r>
  <r>
    <s v="EMP1217"/>
    <d v="2021-06-12T00:00:00"/>
    <m/>
    <s v="No"/>
    <n v="32"/>
    <s v="Non-Binary"/>
    <s v="Married"/>
    <s v="Bachelor's"/>
    <x v="4"/>
    <s v="Recruiter"/>
    <n v="1"/>
    <s v="Mumbai"/>
    <n v="22000"/>
    <n v="9.8000000000000007"/>
    <n v="11.2"/>
    <n v="4.5999999999999996"/>
    <n v="3.6"/>
    <n v="3"/>
    <n v="2"/>
    <n v="2"/>
    <s v="No"/>
    <n v="3"/>
    <n v="1"/>
    <m/>
  </r>
  <r>
    <s v="EMP1218"/>
    <d v="2019-04-02T00:00:00"/>
    <m/>
    <s v="No"/>
    <n v="34"/>
    <s v="Male"/>
    <s v="Married"/>
    <s v="Bachelor's"/>
    <x v="3"/>
    <s v="Financial Analyst"/>
    <n v="4"/>
    <s v="Bengaluru"/>
    <n v="110000"/>
    <n v="21.3"/>
    <n v="10.7"/>
    <n v="6.7"/>
    <n v="5.8"/>
    <n v="3"/>
    <n v="4"/>
    <n v="4"/>
    <s v="No"/>
    <n v="4"/>
    <n v="1"/>
    <m/>
  </r>
  <r>
    <s v="EMP1219"/>
    <d v="2025-03-28T00:00:00"/>
    <m/>
    <s v="No"/>
    <n v="24"/>
    <s v="Male"/>
    <s v="Divorced"/>
    <s v="Bachelor's"/>
    <x v="5"/>
    <s v="Tech Lead"/>
    <n v="1"/>
    <s v="Mumbai"/>
    <n v="40000"/>
    <n v="6.6"/>
    <n v="7.4"/>
    <n v="0.8"/>
    <n v="0"/>
    <n v="3"/>
    <n v="4"/>
    <n v="3"/>
    <s v="No"/>
    <n v="4"/>
    <n v="1"/>
    <m/>
  </r>
  <r>
    <s v="EMP1220"/>
    <d v="2022-04-15T00:00:00"/>
    <m/>
    <s v="No"/>
    <n v="24"/>
    <s v="Male"/>
    <s v="Divorced"/>
    <s v="Master's"/>
    <x v="0"/>
    <s v="Process Associate"/>
    <n v="1"/>
    <s v="Pune"/>
    <n v="35000"/>
    <n v="6.3"/>
    <n v="6.9"/>
    <n v="3.7"/>
    <n v="0.7"/>
    <n v="3"/>
    <n v="3"/>
    <n v="3"/>
    <s v="No"/>
    <n v="2"/>
    <n v="1"/>
    <m/>
  </r>
  <r>
    <s v="EMP1221"/>
    <d v="2016-11-15T00:00:00"/>
    <m/>
    <s v="No"/>
    <n v="40"/>
    <s v="Non-Binary"/>
    <s v="Divorced"/>
    <s v="Master's"/>
    <x v="1"/>
    <s v="Data Analyst"/>
    <n v="3"/>
    <s v="Pune"/>
    <n v="102000"/>
    <n v="5.6"/>
    <n v="17"/>
    <n v="9.1"/>
    <n v="5.0999999999999996"/>
    <n v="4"/>
    <n v="3"/>
    <n v="3"/>
    <s v="No"/>
    <n v="4"/>
    <n v="1"/>
    <m/>
  </r>
  <r>
    <s v="EMP1222"/>
    <d v="2021-04-16T00:00:00"/>
    <m/>
    <s v="No"/>
    <n v="37"/>
    <s v="Non-Binary"/>
    <s v="Married"/>
    <s v="Master's"/>
    <x v="0"/>
    <s v="Operations Manager"/>
    <n v="2"/>
    <s v="Bengaluru"/>
    <n v="45000"/>
    <n v="5.9"/>
    <n v="6.4"/>
    <n v="4.7"/>
    <n v="3.1"/>
    <n v="3"/>
    <n v="4"/>
    <n v="2"/>
    <s v="No"/>
    <n v="5"/>
    <n v="1"/>
    <m/>
  </r>
  <r>
    <s v="EMP1223"/>
    <d v="2022-07-10T00:00:00"/>
    <d v="2025-05-01T00:00:00"/>
    <s v="Yes"/>
    <n v="35"/>
    <s v="Male"/>
    <s v="Divorced"/>
    <s v="Diploma"/>
    <x v="2"/>
    <s v="IT Support Specialist"/>
    <n v="3"/>
    <s v="Pune"/>
    <n v="81000"/>
    <n v="5.7"/>
    <n v="2.9"/>
    <n v="2.8"/>
    <n v="1.9"/>
    <n v="3"/>
    <n v="2"/>
    <n v="3"/>
    <s v="No"/>
    <n v="3"/>
    <n v="1"/>
    <m/>
  </r>
  <r>
    <s v="EMP1224"/>
    <d v="2022-05-07T00:00:00"/>
    <m/>
    <s v="No"/>
    <n v="29"/>
    <s v="Male"/>
    <s v="Married"/>
    <s v="Diploma"/>
    <x v="5"/>
    <s v="Software Developer"/>
    <n v="2"/>
    <s v="Mumbai"/>
    <n v="58000"/>
    <n v="4.7"/>
    <n v="9"/>
    <n v="3.7"/>
    <n v="0.8"/>
    <n v="1"/>
    <n v="4"/>
    <n v="3"/>
    <s v="No"/>
    <n v="3"/>
    <n v="1"/>
    <m/>
  </r>
  <r>
    <s v="EMP1225"/>
    <d v="2025-06-24T00:00:00"/>
    <m/>
    <s v="No"/>
    <n v="21"/>
    <s v="Non-Binary"/>
    <s v="Divorced"/>
    <s v="Diploma"/>
    <x v="5"/>
    <s v="QA Engineer"/>
    <n v="1"/>
    <s v="Hyderabad"/>
    <n v="28000"/>
    <n v="11.7"/>
    <n v="5.8"/>
    <n v="0.5"/>
    <n v="0"/>
    <n v="4"/>
    <n v="3"/>
    <n v="3"/>
    <s v="No"/>
    <n v="2"/>
    <n v="1"/>
    <m/>
  </r>
  <r>
    <s v="EMP1226"/>
    <d v="2016-08-24T00:00:00"/>
    <m/>
    <s v="No"/>
    <n v="30"/>
    <s v="Female"/>
    <s v="Single"/>
    <s v="Master's"/>
    <x v="3"/>
    <s v="Finance Executive"/>
    <n v="1"/>
    <s v="Bengaluru"/>
    <n v="26000"/>
    <n v="4.9000000000000004"/>
    <n v="11"/>
    <n v="9.4"/>
    <n v="1.9"/>
    <n v="3"/>
    <n v="3"/>
    <n v="3"/>
    <s v="Yes"/>
    <n v="3"/>
    <n v="1"/>
    <m/>
  </r>
  <r>
    <s v="EMP1227"/>
    <d v="2023-11-06T00:00:00"/>
    <m/>
    <s v="No"/>
    <n v="38"/>
    <s v="Non-Binary"/>
    <s v="Single"/>
    <s v="PhD"/>
    <x v="6"/>
    <s v="Account Manager"/>
    <n v="2"/>
    <s v="Chennai"/>
    <n v="61000"/>
    <n v="7"/>
    <n v="2.9"/>
    <n v="2.2000000000000002"/>
    <n v="1.6"/>
    <n v="3"/>
    <n v="2"/>
    <n v="3"/>
    <s v="Yes"/>
    <n v="5"/>
    <n v="1"/>
    <m/>
  </r>
  <r>
    <s v="EMP1228"/>
    <d v="2018-02-16T00:00:00"/>
    <m/>
    <s v="No"/>
    <n v="35"/>
    <s v="Non-Binary"/>
    <s v="Single"/>
    <s v="Master's"/>
    <x v="3"/>
    <s v="Finance Manager"/>
    <n v="3"/>
    <s v="Mumbai"/>
    <n v="73000"/>
    <n v="6.9"/>
    <n v="9.6"/>
    <n v="7.9"/>
    <n v="1"/>
    <n v="3"/>
    <n v="3"/>
    <n v="3"/>
    <s v="No"/>
    <n v="2"/>
    <n v="1"/>
    <m/>
  </r>
  <r>
    <s v="EMP1229"/>
    <d v="2025-05-15T00:00:00"/>
    <m/>
    <s v="No"/>
    <n v="39"/>
    <s v="Male"/>
    <s v="Divorced"/>
    <s v="Diploma"/>
    <x v="0"/>
    <s v="Process Associate"/>
    <n v="3"/>
    <s v="Pune"/>
    <n v="73000"/>
    <n v="3.9"/>
    <n v="4.9000000000000004"/>
    <n v="0.6"/>
    <n v="0"/>
    <n v="3"/>
    <n v="3"/>
    <n v="3"/>
    <s v="No"/>
    <n v="4"/>
    <n v="1"/>
    <m/>
  </r>
  <r>
    <s v="EMP1230"/>
    <d v="2021-03-24T00:00:00"/>
    <m/>
    <s v="No"/>
    <n v="40"/>
    <s v="Male"/>
    <s v="Single"/>
    <s v="Bachelor's"/>
    <x v="5"/>
    <s v="Software Developer"/>
    <n v="3"/>
    <s v="Hyderabad"/>
    <n v="83000"/>
    <n v="14.4"/>
    <n v="10.6"/>
    <n v="4.8"/>
    <n v="2.8"/>
    <n v="1"/>
    <n v="3"/>
    <n v="2"/>
    <s v="No"/>
    <n v="2"/>
    <n v="1"/>
    <m/>
  </r>
  <r>
    <s v="EMP1231"/>
    <d v="2020-01-05T00:00:00"/>
    <m/>
    <s v="No"/>
    <n v="45"/>
    <s v="Female"/>
    <s v="Divorced"/>
    <s v="PhD"/>
    <x v="2"/>
    <s v="IT Support Specialist"/>
    <n v="3"/>
    <s v="Mumbai"/>
    <n v="78000"/>
    <n v="11.3"/>
    <n v="9.6"/>
    <n v="6"/>
    <n v="5.5"/>
    <n v="4"/>
    <n v="3"/>
    <n v="3"/>
    <s v="No"/>
    <n v="1"/>
    <n v="1"/>
    <m/>
  </r>
  <r>
    <s v="EMP1232"/>
    <d v="2016-10-11T00:00:00"/>
    <m/>
    <s v="No"/>
    <n v="36"/>
    <s v="Female"/>
    <s v="Married"/>
    <s v="Bachelor's"/>
    <x v="6"/>
    <s v="Sales Manager"/>
    <n v="3"/>
    <s v="Hyderabad"/>
    <n v="72000"/>
    <n v="7.2"/>
    <n v="12.8"/>
    <n v="9.1999999999999993"/>
    <n v="1.9"/>
    <n v="3"/>
    <n v="4"/>
    <n v="3"/>
    <s v="No"/>
    <n v="3"/>
    <n v="1"/>
    <m/>
  </r>
  <r>
    <s v="EMP1233"/>
    <d v="2025-07-30T00:00:00"/>
    <m/>
    <s v="No"/>
    <n v="24"/>
    <s v="Non-Binary"/>
    <s v="Single"/>
    <s v="PhD"/>
    <x v="2"/>
    <s v="IT Analyst"/>
    <n v="1"/>
    <s v="Mumbai"/>
    <n v="32000"/>
    <n v="13.4"/>
    <n v="4.2"/>
    <n v="0.4"/>
    <n v="0"/>
    <n v="3"/>
    <n v="3"/>
    <n v="4"/>
    <s v="No"/>
    <n v="4"/>
    <n v="1"/>
    <m/>
  </r>
  <r>
    <s v="EMP1234"/>
    <d v="2019-02-01T00:00:00"/>
    <m/>
    <s v="No"/>
    <n v="44"/>
    <s v="Female"/>
    <s v="Married"/>
    <s v="Bachelor's"/>
    <x v="5"/>
    <s v="Software Developer"/>
    <n v="4"/>
    <s v="Pune"/>
    <n v="134000"/>
    <n v="7.2"/>
    <n v="9.5"/>
    <n v="6.9"/>
    <n v="0.3"/>
    <n v="3"/>
    <n v="3"/>
    <n v="3"/>
    <s v="No"/>
    <n v="1"/>
    <n v="1"/>
    <m/>
  </r>
  <r>
    <s v="EMP1235"/>
    <d v="2017-10-23T00:00:00"/>
    <d v="2025-06-10T00:00:00"/>
    <s v="Yes"/>
    <n v="33"/>
    <s v="Female"/>
    <s v="Divorced"/>
    <s v="PhD"/>
    <x v="4"/>
    <s v="Recruiter"/>
    <n v="3"/>
    <s v="Hyderabad"/>
    <n v="85000"/>
    <n v="12.9"/>
    <n v="12.5"/>
    <n v="7.6"/>
    <n v="5.5"/>
    <n v="2"/>
    <n v="3"/>
    <n v="3"/>
    <s v="No"/>
    <n v="4"/>
    <n v="1"/>
    <m/>
  </r>
  <r>
    <s v="EMP1236"/>
    <d v="2022-10-19T00:00:00"/>
    <m/>
    <s v="No"/>
    <n v="37"/>
    <s v="Female"/>
    <s v="Divorced"/>
    <s v="Bachelor's"/>
    <x v="6"/>
    <s v="Business Development Executive"/>
    <n v="3"/>
    <s v="Mumbai"/>
    <n v="75000"/>
    <n v="9.3000000000000007"/>
    <n v="10.7"/>
    <n v="3.2"/>
    <n v="0.9"/>
    <n v="4"/>
    <n v="2"/>
    <n v="3"/>
    <s v="No"/>
    <n v="4"/>
    <n v="1"/>
    <m/>
  </r>
  <r>
    <s v="EMP1237"/>
    <d v="2022-11-12T00:00:00"/>
    <m/>
    <s v="No"/>
    <n v="45"/>
    <s v="Non-Binary"/>
    <s v="Divorced"/>
    <s v="Master's"/>
    <x v="4"/>
    <s v="Recruiter"/>
    <n v="3"/>
    <s v="Pune"/>
    <n v="83000"/>
    <n v="6"/>
    <n v="6.7"/>
    <n v="3.1"/>
    <n v="0.7"/>
    <n v="4"/>
    <n v="4"/>
    <n v="4"/>
    <s v="No"/>
    <n v="3"/>
    <n v="1"/>
    <m/>
  </r>
  <r>
    <s v="EMP1238"/>
    <d v="2020-11-05T00:00:00"/>
    <m/>
    <s v="No"/>
    <n v="30"/>
    <s v="Non-Binary"/>
    <s v="Married"/>
    <s v="Bachelor's"/>
    <x v="1"/>
    <s v="Data Analyst"/>
    <n v="3"/>
    <s v="Pune"/>
    <n v="94000"/>
    <n v="10"/>
    <n v="6.9"/>
    <n v="5.2"/>
    <n v="3"/>
    <n v="3"/>
    <n v="4"/>
    <n v="3"/>
    <s v="Yes"/>
    <n v="5"/>
    <n v="1"/>
    <m/>
  </r>
  <r>
    <s v="EMP1239"/>
    <d v="2014-01-10T00:00:00"/>
    <d v="2025-03-30T00:00:00"/>
    <s v="Yes"/>
    <n v="39"/>
    <s v="Non-Binary"/>
    <s v="Married"/>
    <s v="Master's"/>
    <x v="1"/>
    <s v="Data Analyst"/>
    <n v="5"/>
    <s v="Hyderabad"/>
    <n v="188000"/>
    <n v="10.3"/>
    <n v="12.1"/>
    <n v="11.2"/>
    <n v="2.9"/>
    <n v="3"/>
    <n v="1"/>
    <n v="3"/>
    <s v="No"/>
    <n v="5"/>
    <n v="1"/>
    <m/>
  </r>
  <r>
    <s v="EMP1240"/>
    <d v="2020-03-03T00:00:00"/>
    <m/>
    <s v="No"/>
    <n v="32"/>
    <s v="Male"/>
    <s v="Single"/>
    <s v="Master's"/>
    <x v="0"/>
    <s v="Process Associate"/>
    <n v="2"/>
    <s v="Chennai"/>
    <n v="59000"/>
    <n v="8.8000000000000007"/>
    <n v="7.8"/>
    <n v="5.8"/>
    <n v="0.2"/>
    <n v="4"/>
    <n v="3"/>
    <n v="3"/>
    <s v="No"/>
    <n v="3"/>
    <n v="1"/>
    <m/>
  </r>
  <r>
    <s v="EMP1241"/>
    <d v="2017-10-23T00:00:00"/>
    <d v="2025-08-25T00:00:00"/>
    <s v="Yes"/>
    <n v="31"/>
    <s v="Female"/>
    <s v="Divorced"/>
    <s v="Diploma"/>
    <x v="5"/>
    <s v="Software Developer"/>
    <n v="2"/>
    <s v="Noida"/>
    <n v="50000"/>
    <n v="8.5"/>
    <n v="10.5"/>
    <n v="7.8"/>
    <n v="2.4"/>
    <n v="2"/>
    <n v="3"/>
    <n v="3"/>
    <s v="No"/>
    <n v="3"/>
    <n v="1"/>
    <m/>
  </r>
  <r>
    <s v="EMP1242"/>
    <d v="2021-06-04T00:00:00"/>
    <m/>
    <s v="No"/>
    <n v="28"/>
    <s v="Female"/>
    <s v="Divorced"/>
    <s v="Diploma"/>
    <x v="0"/>
    <s v="Process Associate"/>
    <n v="5"/>
    <s v="Mumbai"/>
    <n v="142000"/>
    <n v="5.2"/>
    <n v="9.5"/>
    <n v="4.5999999999999996"/>
    <n v="4.3"/>
    <n v="4"/>
    <n v="3"/>
    <n v="3"/>
    <s v="No"/>
    <n v="3"/>
    <n v="1"/>
    <m/>
  </r>
  <r>
    <s v="EMP1243"/>
    <d v="2023-04-26T00:00:00"/>
    <m/>
    <s v="No"/>
    <n v="31"/>
    <s v="Male"/>
    <s v="Single"/>
    <s v="Master's"/>
    <x v="3"/>
    <s v="Accountant"/>
    <n v="1"/>
    <s v="Pune"/>
    <n v="48000"/>
    <n v="15.1"/>
    <n v="5.0999999999999996"/>
    <n v="2.7"/>
    <n v="0.5"/>
    <n v="3"/>
    <n v="4"/>
    <n v="2"/>
    <s v="No"/>
    <n v="4"/>
    <n v="1"/>
    <m/>
  </r>
  <r>
    <s v="EMP1244"/>
    <d v="2024-01-12T00:00:00"/>
    <d v="2025-06-04T00:00:00"/>
    <s v="Yes"/>
    <n v="26"/>
    <s v="Non-Binary"/>
    <s v="Married"/>
    <s v="Bachelor's"/>
    <x v="6"/>
    <s v="Business Development Executive"/>
    <n v="1"/>
    <s v="Bengaluru"/>
    <n v="22000"/>
    <n v="3.1"/>
    <n v="3.2"/>
    <n v="1.4"/>
    <n v="0.6"/>
    <n v="2"/>
    <n v="3"/>
    <n v="3"/>
    <s v="Yes"/>
    <n v="4"/>
    <n v="1"/>
    <m/>
  </r>
  <r>
    <s v="EMP1245"/>
    <d v="2015-03-16T00:00:00"/>
    <m/>
    <s v="No"/>
    <n v="43"/>
    <s v="Female"/>
    <s v="Married"/>
    <s v="Diploma"/>
    <x v="4"/>
    <s v="HR Analyst"/>
    <n v="3"/>
    <s v="Bengaluru"/>
    <n v="75000"/>
    <n v="10.6"/>
    <n v="18.5"/>
    <n v="10.8"/>
    <n v="0.9"/>
    <n v="3"/>
    <n v="4"/>
    <n v="2"/>
    <s v="No"/>
    <n v="4"/>
    <n v="1"/>
    <m/>
  </r>
  <r>
    <s v="EMP1246"/>
    <d v="2024-10-25T00:00:00"/>
    <m/>
    <s v="No"/>
    <n v="25"/>
    <s v="Male"/>
    <s v="Divorced"/>
    <s v="Diploma"/>
    <x v="3"/>
    <s v="Finance Executive"/>
    <n v="1"/>
    <s v="Mumbai"/>
    <n v="43000"/>
    <n v="10.1"/>
    <n v="2.4"/>
    <n v="1.2"/>
    <n v="0.6"/>
    <n v="2"/>
    <n v="4"/>
    <n v="3"/>
    <s v="Yes"/>
    <n v="1"/>
    <n v="1"/>
    <m/>
  </r>
  <r>
    <s v="EMP1247"/>
    <d v="2016-11-27T00:00:00"/>
    <m/>
    <s v="No"/>
    <n v="37"/>
    <s v="Male"/>
    <s v="Single"/>
    <s v="Master's"/>
    <x v="3"/>
    <s v="Finance Executive"/>
    <n v="2"/>
    <s v="Hyderabad"/>
    <n v="70000"/>
    <n v="8.1"/>
    <n v="10.7"/>
    <n v="9.1"/>
    <n v="0.8"/>
    <n v="4"/>
    <n v="4"/>
    <n v="3"/>
    <s v="No"/>
    <n v="3"/>
    <n v="1"/>
    <m/>
  </r>
  <r>
    <s v="EMP1248"/>
    <d v="2015-06-07T00:00:00"/>
    <m/>
    <s v="No"/>
    <n v="34"/>
    <s v="Female"/>
    <s v="Married"/>
    <s v="Bachelor's"/>
    <x v="3"/>
    <s v="Financial Analyst"/>
    <n v="2"/>
    <s v="Mumbai"/>
    <n v="77000"/>
    <n v="0.6"/>
    <n v="14.3"/>
    <n v="10.6"/>
    <n v="0.4"/>
    <n v="2"/>
    <n v="3"/>
    <n v="3"/>
    <s v="Yes"/>
    <n v="3"/>
    <n v="1"/>
    <m/>
  </r>
  <r>
    <s v="EMP1249"/>
    <d v="2020-02-08T00:00:00"/>
    <m/>
    <s v="No"/>
    <n v="32"/>
    <s v="Male"/>
    <s v="Single"/>
    <s v="Diploma"/>
    <x v="2"/>
    <s v="IT Support Lead"/>
    <n v="2"/>
    <s v="Mumbai"/>
    <n v="57000"/>
    <n v="6.4"/>
    <n v="13.1"/>
    <n v="5.9"/>
    <n v="0.3"/>
    <n v="4"/>
    <n v="3"/>
    <n v="3"/>
    <s v="No"/>
    <n v="2"/>
    <n v="1"/>
    <m/>
  </r>
  <r>
    <s v="EMP1250"/>
    <d v="2022-07-13T00:00:00"/>
    <d v="2025-10-04T00:00:00"/>
    <s v="Yes"/>
    <n v="38"/>
    <s v="Male"/>
    <s v="Single"/>
    <s v="PhD"/>
    <x v="1"/>
    <s v="BI Analyst"/>
    <n v="1"/>
    <s v="Noida"/>
    <n v="67000"/>
    <n v="12.2"/>
    <n v="5.6"/>
    <n v="3.2"/>
    <n v="0.2"/>
    <n v="4"/>
    <n v="4"/>
    <n v="3"/>
    <s v="No"/>
    <n v="4"/>
    <n v="1"/>
    <m/>
  </r>
  <r>
    <s v="EMP1251"/>
    <d v="2024-06-01T00:00:00"/>
    <m/>
    <s v="No"/>
    <n v="30"/>
    <s v="Non-Binary"/>
    <s v="Single"/>
    <s v="PhD"/>
    <x v="1"/>
    <s v="BI Analyst"/>
    <n v="3"/>
    <s v="Noida"/>
    <n v="86000"/>
    <n v="1.8"/>
    <n v="8.6"/>
    <n v="1.6"/>
    <n v="0.7"/>
    <n v="3"/>
    <n v="4"/>
    <n v="3"/>
    <s v="Yes"/>
    <n v="4"/>
    <n v="1"/>
    <m/>
  </r>
  <r>
    <s v="EMP1252"/>
    <d v="2022-08-27T00:00:00"/>
    <m/>
    <s v="No"/>
    <n v="38"/>
    <s v="Non-Binary"/>
    <s v="Married"/>
    <s v="Master's"/>
    <x v="0"/>
    <s v="Process Associate"/>
    <n v="2"/>
    <s v="Noida"/>
    <n v="38000"/>
    <n v="13.2"/>
    <n v="10.199999999999999"/>
    <n v="3.3"/>
    <n v="3.1"/>
    <n v="4"/>
    <n v="1"/>
    <n v="3"/>
    <s v="Yes"/>
    <n v="4"/>
    <n v="1"/>
    <m/>
  </r>
  <r>
    <s v="EMP1253"/>
    <d v="2018-12-26T00:00:00"/>
    <m/>
    <s v="No"/>
    <n v="28"/>
    <s v="Female"/>
    <s v="Divorced"/>
    <s v="Diploma"/>
    <x v="3"/>
    <s v="Accountant"/>
    <n v="2"/>
    <s v="Chennai"/>
    <n v="54000"/>
    <n v="15.4"/>
    <n v="13.4"/>
    <n v="7"/>
    <n v="3.5"/>
    <n v="2"/>
    <n v="3"/>
    <n v="3"/>
    <s v="Yes"/>
    <n v="4"/>
    <n v="1"/>
    <m/>
  </r>
  <r>
    <s v="EMP1254"/>
    <d v="2020-01-08T00:00:00"/>
    <m/>
    <s v="No"/>
    <n v="33"/>
    <s v="Non-Binary"/>
    <s v="Married"/>
    <s v="Bachelor's"/>
    <x v="0"/>
    <s v="Operations Analyst"/>
    <n v="4"/>
    <s v="Pune"/>
    <n v="101000"/>
    <n v="9.3000000000000007"/>
    <n v="6.6"/>
    <n v="6"/>
    <n v="1.1000000000000001"/>
    <n v="3"/>
    <n v="2"/>
    <n v="2"/>
    <s v="No"/>
    <n v="1"/>
    <n v="1"/>
    <m/>
  </r>
  <r>
    <s v="EMP1255"/>
    <d v="2025-01-05T00:00:00"/>
    <m/>
    <s v="No"/>
    <n v="21"/>
    <s v="Female"/>
    <s v="Married"/>
    <s v="Bachelor's"/>
    <x v="0"/>
    <s v="Operations Manager"/>
    <n v="1"/>
    <s v="Noida"/>
    <n v="50000"/>
    <n v="9.6"/>
    <n v="1.4"/>
    <n v="1"/>
    <n v="0.9"/>
    <n v="4"/>
    <n v="4"/>
    <n v="2"/>
    <s v="No"/>
    <n v="4"/>
    <n v="1"/>
    <m/>
  </r>
  <r>
    <s v="EMP1256"/>
    <d v="2018-10-28T00:00:00"/>
    <m/>
    <s v="No"/>
    <n v="33"/>
    <s v="Male"/>
    <s v="Single"/>
    <s v="PhD"/>
    <x v="1"/>
    <s v="BI Analyst"/>
    <n v="2"/>
    <s v="Mumbai"/>
    <n v="55000"/>
    <n v="8.3000000000000007"/>
    <n v="12"/>
    <n v="7.2"/>
    <n v="4.4000000000000004"/>
    <n v="3"/>
    <n v="4"/>
    <n v="2"/>
    <s v="No"/>
    <n v="2"/>
    <n v="1"/>
    <m/>
  </r>
  <r>
    <s v="EMP1257"/>
    <d v="2019-03-06T00:00:00"/>
    <m/>
    <s v="No"/>
    <n v="49"/>
    <s v="Female"/>
    <s v="Divorced"/>
    <s v="PhD"/>
    <x v="0"/>
    <s v="Operations Manager"/>
    <n v="2"/>
    <s v="Pune"/>
    <n v="38000"/>
    <n v="4.9000000000000004"/>
    <n v="8"/>
    <n v="6.8"/>
    <n v="0.7"/>
    <n v="1"/>
    <n v="2"/>
    <n v="3"/>
    <s v="Yes"/>
    <n v="4"/>
    <n v="1"/>
    <m/>
  </r>
  <r>
    <s v="EMP1258"/>
    <d v="2016-02-24T00:00:00"/>
    <m/>
    <s v="No"/>
    <n v="42"/>
    <s v="Non-Binary"/>
    <s v="Divorced"/>
    <s v="Diploma"/>
    <x v="1"/>
    <s v="Data Analyst"/>
    <n v="3"/>
    <s v="Bengaluru"/>
    <n v="90000"/>
    <n v="4.0999999999999996"/>
    <n v="16.899999999999999"/>
    <n v="9.9"/>
    <n v="5"/>
    <n v="3"/>
    <n v="3"/>
    <n v="4"/>
    <s v="Yes"/>
    <n v="3"/>
    <n v="1"/>
    <m/>
  </r>
  <r>
    <s v="EMP1259"/>
    <d v="2023-10-04T00:00:00"/>
    <m/>
    <s v="No"/>
    <n v="38"/>
    <s v="Non-Binary"/>
    <s v="Married"/>
    <s v="PhD"/>
    <x v="6"/>
    <s v="Business Development Executive"/>
    <n v="1"/>
    <s v="Hyderabad"/>
    <n v="38000"/>
    <n v="11.9"/>
    <n v="6.3"/>
    <n v="2.2000000000000002"/>
    <n v="0.8"/>
    <n v="3"/>
    <n v="3"/>
    <n v="4"/>
    <s v="No"/>
    <n v="3"/>
    <n v="1"/>
    <m/>
  </r>
  <r>
    <s v="EMP1260"/>
    <d v="2018-04-11T00:00:00"/>
    <m/>
    <s v="No"/>
    <n v="48"/>
    <s v="Male"/>
    <s v="Single"/>
    <s v="Diploma"/>
    <x v="4"/>
    <s v="Recruiter"/>
    <n v="2"/>
    <s v="Chennai"/>
    <n v="44000"/>
    <n v="15.5"/>
    <n v="10.3"/>
    <n v="7.7"/>
    <n v="1.4"/>
    <n v="4"/>
    <n v="2"/>
    <n v="4"/>
    <s v="Yes"/>
    <n v="3"/>
    <n v="1"/>
    <m/>
  </r>
  <r>
    <s v="EMP1261"/>
    <d v="2015-05-03T00:00:00"/>
    <m/>
    <s v="No"/>
    <n v="36"/>
    <s v="Female"/>
    <s v="Single"/>
    <s v="Bachelor's"/>
    <x v="1"/>
    <s v="Data Analyst"/>
    <n v="2"/>
    <s v="Hyderabad"/>
    <n v="46000"/>
    <n v="8.3000000000000007"/>
    <n v="11.7"/>
    <n v="10.7"/>
    <n v="3.9"/>
    <n v="2"/>
    <n v="3"/>
    <n v="4"/>
    <s v="No"/>
    <n v="2"/>
    <n v="1"/>
    <m/>
  </r>
  <r>
    <s v="EMP1262"/>
    <d v="2023-12-05T00:00:00"/>
    <m/>
    <s v="No"/>
    <n v="39"/>
    <s v="Female"/>
    <s v="Single"/>
    <s v="Diploma"/>
    <x v="2"/>
    <s v="IT Support Lead"/>
    <n v="2"/>
    <s v="Noida"/>
    <n v="61000"/>
    <n v="0.7"/>
    <n v="5.3"/>
    <n v="2.1"/>
    <n v="0.9"/>
    <n v="4"/>
    <n v="3"/>
    <n v="3"/>
    <s v="No"/>
    <n v="2"/>
    <n v="1"/>
    <m/>
  </r>
  <r>
    <s v="EMP1263"/>
    <d v="2021-04-16T00:00:00"/>
    <m/>
    <s v="No"/>
    <n v="41"/>
    <s v="Non-Binary"/>
    <s v="Divorced"/>
    <s v="Bachelor's"/>
    <x v="2"/>
    <s v="System Administrator"/>
    <n v="1"/>
    <s v="Bengaluru"/>
    <n v="31000"/>
    <n v="11.9"/>
    <n v="9.9"/>
    <n v="4.7"/>
    <n v="2.6"/>
    <n v="3"/>
    <n v="2"/>
    <n v="2"/>
    <s v="No"/>
    <n v="2"/>
    <n v="1"/>
    <m/>
  </r>
  <r>
    <s v="EMP1264"/>
    <d v="2023-11-12T00:00:00"/>
    <m/>
    <s v="No"/>
    <n v="35"/>
    <s v="Non-Binary"/>
    <s v="Single"/>
    <s v="Diploma"/>
    <x v="6"/>
    <s v="Account Manager"/>
    <n v="3"/>
    <s v="Chennai"/>
    <n v="74000"/>
    <n v="4.0999999999999996"/>
    <n v="2.9"/>
    <n v="2.1"/>
    <n v="1.7"/>
    <n v="2"/>
    <n v="4"/>
    <n v="3"/>
    <s v="No"/>
    <n v="3"/>
    <n v="1"/>
    <m/>
  </r>
  <r>
    <s v="EMP1265"/>
    <d v="2019-06-07T00:00:00"/>
    <d v="2025-10-26T00:00:00"/>
    <s v="Yes"/>
    <n v="38"/>
    <s v="Female"/>
    <s v="Single"/>
    <s v="Bachelor's"/>
    <x v="1"/>
    <s v="Data Engineer"/>
    <n v="3"/>
    <s v="Bengaluru"/>
    <n v="90000"/>
    <n v="8.4"/>
    <n v="7.3"/>
    <n v="6.4"/>
    <n v="2"/>
    <n v="3"/>
    <n v="3"/>
    <n v="1"/>
    <s v="No"/>
    <n v="3"/>
    <n v="1"/>
    <m/>
  </r>
  <r>
    <s v="EMP1266"/>
    <d v="2015-10-09T00:00:00"/>
    <m/>
    <s v="No"/>
    <n v="31"/>
    <s v="Non-Binary"/>
    <s v="Married"/>
    <s v="Diploma"/>
    <x v="2"/>
    <s v="IT Support Lead"/>
    <n v="2"/>
    <s v="Mumbai"/>
    <n v="61000"/>
    <n v="7.7"/>
    <n v="14.1"/>
    <n v="10.199999999999999"/>
    <n v="5"/>
    <n v="3"/>
    <n v="3"/>
    <n v="4"/>
    <s v="No"/>
    <n v="5"/>
    <n v="1"/>
    <m/>
  </r>
  <r>
    <s v="EMP1267"/>
    <d v="2024-04-23T00:00:00"/>
    <m/>
    <s v="No"/>
    <n v="38"/>
    <s v="Male"/>
    <s v="Single"/>
    <s v="Master's"/>
    <x v="0"/>
    <s v="Operations Manager"/>
    <n v="3"/>
    <s v="Bengaluru"/>
    <n v="70000"/>
    <n v="9.1"/>
    <n v="3.1"/>
    <n v="1.7"/>
    <n v="1"/>
    <n v="2"/>
    <n v="3"/>
    <n v="3"/>
    <s v="No"/>
    <n v="2"/>
    <n v="1"/>
    <m/>
  </r>
  <r>
    <s v="EMP1268"/>
    <d v="2023-10-17T00:00:00"/>
    <m/>
    <s v="No"/>
    <n v="33"/>
    <s v="Non-Binary"/>
    <s v="Single"/>
    <s v="Bachelor's"/>
    <x v="6"/>
    <s v="Sales Executive"/>
    <n v="1"/>
    <s v="Mumbai"/>
    <n v="36000"/>
    <n v="4.3"/>
    <n v="4.5"/>
    <n v="2.2000000000000002"/>
    <n v="1.1000000000000001"/>
    <n v="2"/>
    <n v="3"/>
    <n v="4"/>
    <s v="Yes"/>
    <n v="4"/>
    <n v="1"/>
    <m/>
  </r>
  <r>
    <s v="EMP1269"/>
    <d v="2016-10-21T00:00:00"/>
    <m/>
    <s v="No"/>
    <n v="37"/>
    <s v="Non-Binary"/>
    <s v="Divorced"/>
    <s v="Bachelor's"/>
    <x v="2"/>
    <s v="IT Support Lead"/>
    <n v="2"/>
    <s v="Bengaluru"/>
    <n v="38000"/>
    <n v="9.8000000000000007"/>
    <n v="13.8"/>
    <n v="9.1999999999999993"/>
    <n v="3.2"/>
    <n v="3"/>
    <n v="3"/>
    <n v="3"/>
    <s v="No"/>
    <n v="3"/>
    <n v="1"/>
    <m/>
  </r>
  <r>
    <s v="EMP1270"/>
    <d v="2025-06-15T00:00:00"/>
    <d v="2025-08-15T00:00:00"/>
    <s v="Yes"/>
    <n v="33"/>
    <s v="Male"/>
    <s v="Single"/>
    <s v="Bachelor's"/>
    <x v="1"/>
    <s v="Data Engineer"/>
    <n v="2"/>
    <s v="Hyderabad"/>
    <n v="71000"/>
    <n v="10.3"/>
    <n v="2.9"/>
    <n v="0.2"/>
    <n v="0"/>
    <n v="2"/>
    <n v="2"/>
    <n v="3"/>
    <s v="No"/>
    <n v="4"/>
    <n v="1"/>
    <m/>
  </r>
  <r>
    <s v="EMP1271"/>
    <d v="2023-11-03T00:00:00"/>
    <m/>
    <s v="No"/>
    <n v="26"/>
    <s v="Female"/>
    <s v="Divorced"/>
    <s v="Master's"/>
    <x v="0"/>
    <s v="Operations Executive"/>
    <n v="1"/>
    <s v="Noida"/>
    <n v="33000"/>
    <n v="9.3000000000000007"/>
    <n v="4"/>
    <n v="2.2000000000000002"/>
    <n v="1.6"/>
    <n v="2"/>
    <n v="4"/>
    <n v="3"/>
    <s v="Yes"/>
    <n v="2"/>
    <n v="1"/>
    <m/>
  </r>
  <r>
    <s v="EMP1272"/>
    <d v="2021-01-16T00:00:00"/>
    <m/>
    <s v="No"/>
    <n v="40"/>
    <s v="Male"/>
    <s v="Divorced"/>
    <s v="PhD"/>
    <x v="2"/>
    <s v="IT Support Specialist"/>
    <n v="1"/>
    <s v="Noida"/>
    <n v="54000"/>
    <n v="8.9"/>
    <n v="8.4"/>
    <n v="5"/>
    <n v="1.2"/>
    <n v="2"/>
    <n v="2"/>
    <n v="4"/>
    <s v="No"/>
    <n v="5"/>
    <n v="1"/>
    <m/>
  </r>
  <r>
    <s v="EMP1273"/>
    <d v="2020-01-16T00:00:00"/>
    <m/>
    <s v="No"/>
    <n v="34"/>
    <s v="Female"/>
    <s v="Single"/>
    <s v="PhD"/>
    <x v="2"/>
    <s v="System Administrator"/>
    <n v="2"/>
    <s v="Mumbai"/>
    <n v="45000"/>
    <n v="1.7"/>
    <n v="6.9"/>
    <n v="6"/>
    <n v="3.8"/>
    <n v="2"/>
    <n v="3"/>
    <n v="4"/>
    <s v="No"/>
    <n v="4"/>
    <n v="1"/>
    <m/>
  </r>
  <r>
    <s v="EMP1274"/>
    <d v="2024-07-12T00:00:00"/>
    <d v="2025-02-08T00:00:00"/>
    <s v="Yes"/>
    <n v="23"/>
    <s v="Non-Binary"/>
    <s v="Single"/>
    <s v="Bachelor's"/>
    <x v="5"/>
    <s v="Senior Software Developer"/>
    <n v="1"/>
    <s v="Noida"/>
    <n v="53000"/>
    <n v="8.5"/>
    <n v="2.1"/>
    <n v="0.6"/>
    <n v="0"/>
    <n v="4"/>
    <n v="4"/>
    <n v="2"/>
    <s v="No"/>
    <n v="3"/>
    <n v="1"/>
    <m/>
  </r>
  <r>
    <s v="EMP1275"/>
    <d v="2023-07-07T00:00:00"/>
    <d v="2025-09-02T00:00:00"/>
    <s v="Yes"/>
    <n v="39"/>
    <s v="Female"/>
    <s v="Married"/>
    <s v="PhD"/>
    <x v="4"/>
    <s v="Recruiter"/>
    <n v="2"/>
    <s v="Bengaluru"/>
    <n v="41000"/>
    <n v="5.9"/>
    <n v="4.8"/>
    <n v="2.2000000000000002"/>
    <n v="2.1"/>
    <n v="3"/>
    <n v="3"/>
    <n v="3"/>
    <s v="No"/>
    <n v="3"/>
    <n v="1"/>
    <m/>
  </r>
  <r>
    <s v="EMP1276"/>
    <d v="2018-05-04T00:00:00"/>
    <d v="2025-10-03T00:00:00"/>
    <s v="Yes"/>
    <n v="40"/>
    <s v="Male"/>
    <s v="Married"/>
    <s v="PhD"/>
    <x v="0"/>
    <s v="Operations Executive"/>
    <n v="2"/>
    <s v="Mumbai"/>
    <n v="54000"/>
    <n v="10"/>
    <n v="11.6"/>
    <n v="7.4"/>
    <n v="5.0999999999999996"/>
    <n v="3"/>
    <n v="4"/>
    <n v="2"/>
    <s v="No"/>
    <n v="2"/>
    <n v="1"/>
    <m/>
  </r>
  <r>
    <s v="EMP1277"/>
    <d v="2017-07-28T00:00:00"/>
    <m/>
    <s v="No"/>
    <n v="36"/>
    <s v="Non-Binary"/>
    <m/>
    <s v="Bachelor's"/>
    <x v="5"/>
    <s v="Tech Lead"/>
    <n v="4"/>
    <s v="Noida"/>
    <n v="126000"/>
    <n v="4.9000000000000004"/>
    <n v="12.7"/>
    <n v="8.4"/>
    <n v="1.5"/>
    <n v="3"/>
    <n v="3"/>
    <n v="3"/>
    <s v="No"/>
    <n v="3"/>
    <n v="1"/>
    <m/>
  </r>
  <r>
    <s v="EMP1278"/>
    <d v="2022-05-28T00:00:00"/>
    <m/>
    <s v="No"/>
    <n v="25"/>
    <s v="Male"/>
    <s v="Married"/>
    <s v="PhD"/>
    <x v="2"/>
    <s v="System Administrator"/>
    <n v="1"/>
    <s v="Pune"/>
    <n v="34000"/>
    <n v="7.1"/>
    <n v="7.9"/>
    <n v="3.6"/>
    <n v="2.7"/>
    <n v="3"/>
    <n v="3"/>
    <n v="3"/>
    <s v="No"/>
    <n v="4"/>
    <n v="1"/>
    <m/>
  </r>
  <r>
    <s v="EMP1279"/>
    <d v="2023-02-01T00:00:00"/>
    <m/>
    <s v="No"/>
    <n v="33"/>
    <s v="Female"/>
    <s v="Married"/>
    <s v="PhD"/>
    <x v="6"/>
    <s v="Account Manager"/>
    <n v="2"/>
    <m/>
    <n v="40000"/>
    <n v="8.5"/>
    <n v="9"/>
    <n v="2.9"/>
    <n v="2.1"/>
    <n v="3"/>
    <n v="4"/>
    <n v="3"/>
    <s v="Yes"/>
    <n v="4"/>
    <n v="1"/>
    <m/>
  </r>
  <r>
    <s v="EMP1280"/>
    <d v="2014-02-19T00:00:00"/>
    <m/>
    <s v="No"/>
    <n v="45"/>
    <s v="Non-Binary"/>
    <s v="Divorced"/>
    <s v="PhD"/>
    <x v="2"/>
    <s v="IT Support Lead"/>
    <n v="2"/>
    <s v="Hyderabad"/>
    <n v="46000"/>
    <n v="2.7"/>
    <n v="15"/>
    <n v="11.9"/>
    <n v="0.1"/>
    <n v="4"/>
    <n v="1"/>
    <n v="4"/>
    <s v="No"/>
    <n v="3"/>
    <n v="1"/>
    <m/>
  </r>
  <r>
    <s v="EMP1281"/>
    <d v="2023-11-07T00:00:00"/>
    <m/>
    <s v="No"/>
    <n v="23"/>
    <s v="Female"/>
    <s v="Married"/>
    <s v="Master's"/>
    <x v="4"/>
    <s v="HR Analyst"/>
    <n v="1"/>
    <s v="Hyderabad"/>
    <n v="28000"/>
    <n v="8"/>
    <n v="9.8000000000000007"/>
    <n v="2.1"/>
    <n v="0.4"/>
    <n v="3"/>
    <n v="3"/>
    <n v="3"/>
    <s v="No"/>
    <n v="3"/>
    <n v="1"/>
    <m/>
  </r>
  <r>
    <s v="EMP1282"/>
    <d v="2018-05-01T00:00:00"/>
    <m/>
    <s v="No"/>
    <n v="38"/>
    <s v="Female"/>
    <s v="Married"/>
    <s v="Bachelor's"/>
    <x v="2"/>
    <s v="IT Support Lead"/>
    <n v="3"/>
    <s v="Chennai"/>
    <n v="69000"/>
    <n v="7.9"/>
    <n v="11.9"/>
    <n v="7.7"/>
    <n v="6"/>
    <n v="4"/>
    <n v="3"/>
    <n v="3"/>
    <s v="Yes"/>
    <n v="1"/>
    <n v="1"/>
    <m/>
  </r>
  <r>
    <s v="EMP1283"/>
    <d v="2021-11-17T00:00:00"/>
    <m/>
    <s v="No"/>
    <n v="34"/>
    <s v="Non-Binary"/>
    <s v="Single"/>
    <s v="Bachelor's"/>
    <x v="1"/>
    <s v="Data Engineer"/>
    <n v="4"/>
    <s v="Chennai"/>
    <n v="130000"/>
    <n v="10.7"/>
    <n v="5.4"/>
    <n v="4.0999999999999996"/>
    <n v="0.6"/>
    <n v="4"/>
    <n v="3"/>
    <n v="3"/>
    <s v="Yes"/>
    <n v="3"/>
    <n v="1"/>
    <m/>
  </r>
  <r>
    <s v="EMP1284"/>
    <d v="2022-09-29T00:00:00"/>
    <d v="2025-10-04T00:00:00"/>
    <s v="Yes"/>
    <n v="36"/>
    <s v="Non-Binary"/>
    <s v="Divorced"/>
    <s v="Master's"/>
    <x v="1"/>
    <s v="Senior Data Analyst"/>
    <n v="3"/>
    <s v="Chennai"/>
    <n v="94000"/>
    <n v="2.7"/>
    <n v="7.6"/>
    <n v="3"/>
    <n v="0.6"/>
    <n v="4"/>
    <n v="3"/>
    <n v="1"/>
    <s v="No"/>
    <n v="3"/>
    <n v="1"/>
    <m/>
  </r>
  <r>
    <s v="EMP1285"/>
    <d v="2015-09-14T00:00:00"/>
    <m/>
    <s v="No"/>
    <n v="36"/>
    <s v="Male"/>
    <s v="Single"/>
    <s v="Bachelor's"/>
    <x v="4"/>
    <s v="HR Manager"/>
    <n v="2"/>
    <s v="Pune"/>
    <n v="57000"/>
    <n v="6.2"/>
    <n v="17.2"/>
    <n v="10.3"/>
    <n v="0.1"/>
    <n v="3"/>
    <n v="4"/>
    <n v="3"/>
    <s v="No"/>
    <n v="3"/>
    <n v="1"/>
    <m/>
  </r>
  <r>
    <s v="EMP1286"/>
    <d v="2019-02-03T00:00:00"/>
    <m/>
    <s v="No"/>
    <n v="29"/>
    <s v="Female"/>
    <s v="Single"/>
    <s v="Diploma"/>
    <x v="5"/>
    <s v="QA Engineer"/>
    <n v="3"/>
    <s v="Chennai"/>
    <n v="91000"/>
    <n v="13.1"/>
    <n v="11.7"/>
    <n v="6.9"/>
    <n v="3.9"/>
    <n v="3"/>
    <n v="1"/>
    <n v="4"/>
    <s v="No"/>
    <n v="3"/>
    <n v="1"/>
    <m/>
  </r>
  <r>
    <s v="EMP1287"/>
    <d v="2017-12-02T00:00:00"/>
    <m/>
    <s v="No"/>
    <n v="39"/>
    <s v="Non-Binary"/>
    <s v="Married"/>
    <s v="Master's"/>
    <x v="1"/>
    <s v="Data Engineer"/>
    <n v="5"/>
    <s v="Mumbai"/>
    <n v="180000"/>
    <n v="8.5"/>
    <n v="8.5"/>
    <n v="8.1"/>
    <n v="4.5999999999999996"/>
    <n v="3"/>
    <n v="4"/>
    <n v="4"/>
    <s v="No"/>
    <n v="4"/>
    <n v="1"/>
    <m/>
  </r>
  <r>
    <s v="EMP1288"/>
    <d v="2018-04-26T00:00:00"/>
    <m/>
    <s v="No"/>
    <n v="38"/>
    <s v="Non-Binary"/>
    <s v="Divorced"/>
    <s v="Bachelor's"/>
    <x v="0"/>
    <s v="Operations Executive"/>
    <n v="1"/>
    <s v="Mumbai"/>
    <n v="34000"/>
    <n v="18.100000000000001"/>
    <n v="8.1"/>
    <n v="7.7"/>
    <n v="1.6"/>
    <n v="3"/>
    <n v="3"/>
    <n v="4"/>
    <s v="Yes"/>
    <n v="3"/>
    <n v="1"/>
    <m/>
  </r>
  <r>
    <s v="EMP1289"/>
    <d v="2014-07-13T00:00:00"/>
    <m/>
    <s v="No"/>
    <n v="37"/>
    <s v="Male"/>
    <s v="Married"/>
    <s v="Diploma"/>
    <x v="3"/>
    <s v="Finance Executive"/>
    <n v="3"/>
    <s v="Chennai"/>
    <n v="75000"/>
    <n v="5.5"/>
    <n v="14.5"/>
    <n v="11.5"/>
    <n v="1.8"/>
    <n v="4"/>
    <n v="1"/>
    <n v="2"/>
    <s v="No"/>
    <n v="4"/>
    <n v="1"/>
    <m/>
  </r>
  <r>
    <s v="EMP1290"/>
    <d v="2024-02-06T00:00:00"/>
    <m/>
    <s v="No"/>
    <n v="34"/>
    <s v="Non-Binary"/>
    <s v="Divorced"/>
    <s v="Diploma"/>
    <x v="9"/>
    <s v="HR Manager"/>
    <n v="4"/>
    <s v="Mumbai"/>
    <n v="132000"/>
    <n v="8.3000000000000007"/>
    <n v="8.6999999999999993"/>
    <n v="1.9"/>
    <n v="0.2"/>
    <n v="4"/>
    <n v="1"/>
    <n v="2"/>
    <s v="No"/>
    <n v="5"/>
    <n v="1"/>
    <m/>
  </r>
  <r>
    <s v="EMP1291"/>
    <d v="2022-02-08T00:00:00"/>
    <m/>
    <s v="No"/>
    <n v="35"/>
    <s v="Male"/>
    <s v="Divorced"/>
    <s v="Master's"/>
    <x v="2"/>
    <s v="IT Support Specialist"/>
    <n v="2"/>
    <s v="Hyderabad"/>
    <n v="33000"/>
    <n v="8.6"/>
    <n v="10.199999999999999"/>
    <n v="3.9"/>
    <n v="1.5"/>
    <n v="3"/>
    <n v="2"/>
    <n v="3"/>
    <s v="No"/>
    <n v="3"/>
    <n v="1"/>
    <m/>
  </r>
  <r>
    <s v="EMP1292"/>
    <d v="2014-05-11T00:00:00"/>
    <m/>
    <s v="No"/>
    <n v="39"/>
    <s v="Female"/>
    <s v="Single"/>
    <s v="Master's"/>
    <x v="5"/>
    <s v="Tech Lead"/>
    <n v="4"/>
    <s v="Bengaluru"/>
    <n v="133000"/>
    <n v="7"/>
    <n v="13"/>
    <n v="11.6"/>
    <n v="5"/>
    <n v="3"/>
    <n v="4"/>
    <n v="1"/>
    <s v="No"/>
    <n v="4"/>
    <n v="1"/>
    <m/>
  </r>
  <r>
    <s v="EMP1293"/>
    <d v="2019-09-14T00:00:00"/>
    <d v="2025-08-26T00:00:00"/>
    <s v="Yes"/>
    <n v="28"/>
    <s v="Non-Binary"/>
    <s v="Married"/>
    <s v="Diploma"/>
    <x v="2"/>
    <s v="IT Support Specialist"/>
    <n v="4"/>
    <s v="Noida"/>
    <n v="98000"/>
    <m/>
    <n v="9.9"/>
    <n v="5.9"/>
    <n v="2.5"/>
    <n v="4"/>
    <n v="3"/>
    <n v="3"/>
    <s v="Yes"/>
    <n v="4"/>
    <n v="1"/>
    <m/>
  </r>
  <r>
    <s v="EMP1294"/>
    <d v="2024-01-16T00:00:00"/>
    <m/>
    <s v="No"/>
    <n v="30"/>
    <s v="Female"/>
    <s v="Married"/>
    <s v="Diploma"/>
    <x v="0"/>
    <s v="Operations Manager"/>
    <n v="3"/>
    <s v="Chennai"/>
    <n v="63000"/>
    <n v="11.2"/>
    <n v="4.7"/>
    <n v="2"/>
    <n v="1.4"/>
    <n v="3"/>
    <n v="3"/>
    <n v="3"/>
    <s v="No"/>
    <n v="5"/>
    <n v="1"/>
    <m/>
  </r>
  <r>
    <s v="EMP1295"/>
    <d v="2025-06-15T00:00:00"/>
    <m/>
    <s v="No"/>
    <n v="24"/>
    <s v="Female"/>
    <s v="Single"/>
    <s v="Diploma"/>
    <x v="5"/>
    <s v="Tech Lead"/>
    <n v="1"/>
    <s v="Noida"/>
    <n v="22000"/>
    <n v="8.5"/>
    <n v="0.9"/>
    <n v="0.5"/>
    <n v="0"/>
    <n v="1"/>
    <n v="2"/>
    <n v="3"/>
    <s v="No"/>
    <n v="3"/>
    <n v="1"/>
    <m/>
  </r>
  <r>
    <s v="EMP1296"/>
    <d v="2022-03-21T00:00:00"/>
    <m/>
    <s v="No"/>
    <n v="35"/>
    <s v="Non-Binary"/>
    <s v="Divorced"/>
    <s v="PhD"/>
    <x v="1"/>
    <s v="Senior Data Analyst"/>
    <n v="3"/>
    <s v="Pune"/>
    <n v="86000"/>
    <n v="8.1999999999999993"/>
    <n v="6.1"/>
    <n v="3.8"/>
    <n v="3.2"/>
    <n v="4"/>
    <n v="4"/>
    <n v="2"/>
    <s v="No"/>
    <n v="4"/>
    <n v="1"/>
    <m/>
  </r>
  <r>
    <s v="EMP1297"/>
    <d v="2018-08-24T00:00:00"/>
    <m/>
    <s v="No"/>
    <n v="40"/>
    <s v="Male"/>
    <s v="Divorced"/>
    <s v="Master's"/>
    <x v="6"/>
    <s v="Sales Manager"/>
    <n v="4"/>
    <s v="Pune"/>
    <n v="93000"/>
    <n v="7.5"/>
    <n v="7.6"/>
    <n v="7.4"/>
    <n v="1.2"/>
    <n v="2"/>
    <n v="3"/>
    <n v="3"/>
    <s v="Yes"/>
    <n v="5"/>
    <n v="1"/>
    <m/>
  </r>
  <r>
    <s v="EMP1298"/>
    <d v="2022-11-03T00:00:00"/>
    <m/>
    <s v="No"/>
    <n v="27"/>
    <s v="Female"/>
    <s v="Single"/>
    <s v="Bachelor's"/>
    <x v="2"/>
    <s v="System Administrator"/>
    <n v="1"/>
    <s v="Hyderabad"/>
    <n v="48000"/>
    <n v="6.5"/>
    <n v="4.5999999999999996"/>
    <n v="3.2"/>
    <n v="2.9"/>
    <n v="3"/>
    <n v="1"/>
    <n v="4"/>
    <s v="Yes"/>
    <n v="3"/>
    <n v="1"/>
    <m/>
  </r>
  <r>
    <s v="EMP1299"/>
    <d v="2017-09-11T00:00:00"/>
    <m/>
    <s v="No"/>
    <n v="37"/>
    <s v="Non-Binary"/>
    <s v="Single"/>
    <s v="Bachelor's"/>
    <x v="2"/>
    <s v="IT Support Lead"/>
    <n v="2"/>
    <s v="Chennai"/>
    <n v="46000"/>
    <n v="1.6"/>
    <n v="11.6"/>
    <n v="8.3000000000000007"/>
    <n v="5"/>
    <n v="2"/>
    <n v="2"/>
    <n v="3"/>
    <s v="No"/>
    <n v="3"/>
    <n v="1"/>
    <m/>
  </r>
  <r>
    <s v="EMP1300"/>
    <d v="2017-09-05T00:00:00"/>
    <m/>
    <s v="No"/>
    <n v="40"/>
    <s v="Female"/>
    <s v="Divorced"/>
    <s v="Bachelor's"/>
    <x v="4"/>
    <s v="HR Executive"/>
    <n v="2"/>
    <s v="Hyderabad"/>
    <n v="48000"/>
    <n v="5.6"/>
    <n v="9"/>
    <n v="8.3000000000000007"/>
    <n v="2.9"/>
    <n v="3"/>
    <n v="4"/>
    <n v="4"/>
    <s v="Yes"/>
    <n v="4"/>
    <n v="1"/>
    <m/>
  </r>
  <r>
    <s v="EMP1301"/>
    <d v="2024-03-28T00:00:00"/>
    <m/>
    <s v="No"/>
    <n v="31"/>
    <s v="Non-Binary"/>
    <s v="Single"/>
    <s v="Bachelor's"/>
    <x v="1"/>
    <s v="BI Analyst"/>
    <n v="4"/>
    <s v="Bengaluru"/>
    <n v="124000"/>
    <n v="9.6"/>
    <n v="8.1"/>
    <n v="1.8"/>
    <n v="0.5"/>
    <n v="3"/>
    <n v="4"/>
    <n v="1"/>
    <s v="No"/>
    <n v="4"/>
    <n v="1"/>
    <m/>
  </r>
  <r>
    <s v="EMP1302"/>
    <d v="2018-12-11T00:00:00"/>
    <m/>
    <s v="No"/>
    <n v="50"/>
    <s v="Non-Binary"/>
    <s v="Married"/>
    <s v="Diploma"/>
    <x v="5"/>
    <s v="QA Engineer"/>
    <n v="3"/>
    <s v="Pune"/>
    <n v="94000"/>
    <n v="13.6"/>
    <n v="12.7"/>
    <n v="7.1"/>
    <n v="1"/>
    <n v="2"/>
    <n v="3"/>
    <n v="3"/>
    <s v="No"/>
    <n v="3"/>
    <n v="1"/>
    <m/>
  </r>
  <r>
    <s v="EMP1303"/>
    <d v="2023-06-24T00:00:00"/>
    <m/>
    <s v="No"/>
    <n v="26"/>
    <s v="Female"/>
    <s v="Married"/>
    <s v="Master's"/>
    <x v="0"/>
    <s v="Operations Manager"/>
    <n v="1"/>
    <s v="Chennai"/>
    <n v="32000"/>
    <n v="9.4"/>
    <n v="7.5"/>
    <n v="2.5"/>
    <n v="2.2999999999999998"/>
    <n v="3"/>
    <n v="4"/>
    <n v="3"/>
    <s v="No"/>
    <n v="3"/>
    <n v="1"/>
    <m/>
  </r>
  <r>
    <s v="EMP1304"/>
    <d v="2017-05-24T00:00:00"/>
    <m/>
    <s v="No"/>
    <n v="32"/>
    <s v="Non-Binary"/>
    <s v="Married"/>
    <s v="Bachelor's"/>
    <x v="6"/>
    <s v="Business Development Executive"/>
    <n v="2"/>
    <s v="Pune"/>
    <n v="56000"/>
    <n v="10.4"/>
    <n v="14.5"/>
    <n v="8.6"/>
    <n v="5.0999999999999996"/>
    <n v="3"/>
    <n v="1"/>
    <n v="2"/>
    <s v="No"/>
    <n v="3"/>
    <n v="1"/>
    <m/>
  </r>
  <r>
    <s v="EMP1305"/>
    <d v="2015-02-01T00:00:00"/>
    <d v="2025-06-18T00:00:00"/>
    <s v="Yes"/>
    <n v="35"/>
    <s v="Male"/>
    <s v="Married"/>
    <s v="Master's"/>
    <x v="6"/>
    <s v="Account Manager"/>
    <n v="3"/>
    <s v="Mumbai"/>
    <n v="72000"/>
    <n v="6.9"/>
    <n v="16.399999999999999"/>
    <n v="10.4"/>
    <n v="3.2"/>
    <n v="2"/>
    <n v="4"/>
    <n v="3"/>
    <s v="No"/>
    <n v="3"/>
    <n v="1"/>
    <m/>
  </r>
  <r>
    <s v="EMP1306"/>
    <d v="2021-02-14T00:00:00"/>
    <m/>
    <s v="No"/>
    <n v="45"/>
    <s v="Male"/>
    <s v="Single"/>
    <s v="Master's"/>
    <x v="3"/>
    <s v="Accountant"/>
    <n v="3"/>
    <s v="Chennai"/>
    <n v="80000"/>
    <n v="8.1"/>
    <n v="10"/>
    <n v="4.9000000000000004"/>
    <n v="1"/>
    <n v="2"/>
    <n v="3"/>
    <n v="3"/>
    <s v="No"/>
    <n v="4"/>
    <n v="1"/>
    <m/>
  </r>
  <r>
    <s v="EMP1307"/>
    <d v="2014-12-24T00:00:00"/>
    <d v="2025-11-13T00:00:00"/>
    <s v="Yes"/>
    <n v="54"/>
    <s v="Male"/>
    <s v="Married"/>
    <s v="PhD"/>
    <x v="3"/>
    <s v="Financial Analyst"/>
    <n v="2"/>
    <s v="Chennai"/>
    <n v="45000"/>
    <n v="7.3"/>
    <n v="16.100000000000001"/>
    <n v="10.9"/>
    <n v="5.2"/>
    <n v="4"/>
    <n v="4"/>
    <n v="3"/>
    <s v="No"/>
    <n v="4"/>
    <n v="1"/>
    <m/>
  </r>
  <r>
    <s v="EMP1308"/>
    <d v="2019-02-23T00:00:00"/>
    <m/>
    <s v="No"/>
    <n v="37"/>
    <s v="Non-Binary"/>
    <s v="Single"/>
    <s v="PhD"/>
    <x v="5"/>
    <s v="QA Engineer"/>
    <n v="2"/>
    <s v="Noida"/>
    <n v="68000"/>
    <n v="16.2"/>
    <n v="13.4"/>
    <n v="6.9"/>
    <n v="2.2000000000000002"/>
    <n v="3"/>
    <n v="3"/>
    <n v="3"/>
    <s v="No"/>
    <n v="4"/>
    <n v="1"/>
    <m/>
  </r>
  <r>
    <s v="EMP1309"/>
    <d v="2024-08-03T00:00:00"/>
    <m/>
    <s v="No"/>
    <n v="26"/>
    <s v="Non-Binary"/>
    <s v="Single"/>
    <s v="PhD"/>
    <x v="5"/>
    <s v="QA Engineer"/>
    <n v="1"/>
    <s v="Hyderabad"/>
    <n v="35000"/>
    <n v="10.199999999999999"/>
    <n v="2.4"/>
    <n v="1.4"/>
    <n v="0.3"/>
    <n v="1"/>
    <n v="3"/>
    <n v="1"/>
    <s v="No"/>
    <n v="5"/>
    <n v="1"/>
    <m/>
  </r>
  <r>
    <s v="EMP1310"/>
    <d v="2024-10-03T00:00:00"/>
    <m/>
    <s v="No"/>
    <n v="23"/>
    <s v="Male"/>
    <s v="Single"/>
    <s v="Diploma"/>
    <x v="1"/>
    <s v="Senior Data Analyst"/>
    <n v="1"/>
    <s v="Hyderabad"/>
    <n v="50000"/>
    <n v="9.6999999999999993"/>
    <n v="6.8"/>
    <n v="1.2"/>
    <n v="0.4"/>
    <n v="3"/>
    <n v="3"/>
    <n v="2"/>
    <s v="Yes"/>
    <n v="3"/>
    <n v="1"/>
    <m/>
  </r>
  <r>
    <s v="EMP1311"/>
    <d v="2017-05-04T00:00:00"/>
    <m/>
    <s v="No"/>
    <n v="32"/>
    <s v="Female"/>
    <s v="Single"/>
    <s v="Master's"/>
    <x v="5"/>
    <s v="Senior Software Developer"/>
    <n v="2"/>
    <s v="Noida"/>
    <n v="52000"/>
    <n v="12"/>
    <n v="14.2"/>
    <n v="8.6999999999999993"/>
    <n v="4.7"/>
    <n v="1"/>
    <n v="3"/>
    <n v="3"/>
    <s v="Yes"/>
    <n v="3"/>
    <n v="1"/>
    <m/>
  </r>
  <r>
    <s v="EMP1312"/>
    <d v="2023-04-04T00:00:00"/>
    <m/>
    <s v="No"/>
    <n v="40"/>
    <s v="Female"/>
    <s v="Single"/>
    <s v="Diploma"/>
    <x v="6"/>
    <s v="Business Development Executive"/>
    <n v="3"/>
    <s v="Noida"/>
    <n v="77000"/>
    <n v="6.6"/>
    <n v="7.8"/>
    <n v="2.7"/>
    <n v="1.5"/>
    <n v="3"/>
    <n v="4"/>
    <n v="4"/>
    <s v="Yes"/>
    <n v="4"/>
    <n v="1"/>
    <m/>
  </r>
  <r>
    <s v="EMP1313"/>
    <d v="2024-09-11T00:00:00"/>
    <m/>
    <s v="No"/>
    <n v="39"/>
    <s v="Female"/>
    <s v="Married"/>
    <s v="Master's"/>
    <x v="6"/>
    <s v="Business Development Executive"/>
    <n v="3"/>
    <s v="Mumbai"/>
    <n v="81000"/>
    <n v="5.0999999999999996"/>
    <n v="6"/>
    <n v="1.3"/>
    <n v="0.7"/>
    <n v="3"/>
    <n v="3"/>
    <n v="4"/>
    <s v="No"/>
    <n v="2"/>
    <n v="1"/>
    <m/>
  </r>
  <r>
    <s v="EMP1314"/>
    <d v="2017-07-27T00:00:00"/>
    <m/>
    <s v="No"/>
    <n v="30"/>
    <s v="Female"/>
    <s v="Single"/>
    <s v="Diploma"/>
    <x v="0"/>
    <s v="Operations Executive"/>
    <n v="3"/>
    <s v="Pune"/>
    <n v="59000"/>
    <n v="5.7"/>
    <n v="8.6999999999999993"/>
    <n v="8.4"/>
    <n v="1"/>
    <n v="3"/>
    <n v="3"/>
    <n v="4"/>
    <s v="No"/>
    <n v="4"/>
    <n v="1"/>
    <m/>
  </r>
  <r>
    <s v="EMP1315"/>
    <d v="2022-01-14T00:00:00"/>
    <m/>
    <s v="No"/>
    <n v="30"/>
    <s v="Female"/>
    <s v="Divorced"/>
    <s v="Master's"/>
    <x v="6"/>
    <s v="Account Manager"/>
    <n v="3"/>
    <s v="Hyderabad"/>
    <n v="70000"/>
    <n v="2.5"/>
    <n v="7.3"/>
    <n v="4"/>
    <n v="0.1"/>
    <n v="1"/>
    <n v="2"/>
    <n v="4"/>
    <s v="Yes"/>
    <n v="3"/>
    <n v="1"/>
    <m/>
  </r>
  <r>
    <s v="EMP1316"/>
    <d v="2022-08-05T00:00:00"/>
    <d v="2025-12-09T00:00:00"/>
    <s v="Yes"/>
    <n v="42"/>
    <s v="Female"/>
    <s v="Married"/>
    <s v="Master's"/>
    <x v="4"/>
    <s v="HR Analyst"/>
    <n v="2"/>
    <s v="Mumbai"/>
    <n v="44000"/>
    <n v="10.1"/>
    <n v="7.8"/>
    <n v="3.3"/>
    <n v="0"/>
    <n v="4"/>
    <n v="3"/>
    <n v="2"/>
    <s v="No"/>
    <n v="3"/>
    <n v="1"/>
    <m/>
  </r>
  <r>
    <s v="EMP1317"/>
    <d v="2022-09-01T00:00:00"/>
    <m/>
    <s v="No"/>
    <n v="41"/>
    <s v="Male"/>
    <s v="Married"/>
    <s v="PhD"/>
    <x v="1"/>
    <s v="Data Analyst"/>
    <n v="2"/>
    <s v="Mumbai"/>
    <n v="54000"/>
    <n v="13.4"/>
    <n v="5.2"/>
    <n v="3.3"/>
    <n v="1"/>
    <n v="2"/>
    <n v="2"/>
    <n v="1"/>
    <s v="Yes"/>
    <n v="3"/>
    <n v="1"/>
    <m/>
  </r>
  <r>
    <s v="EMP1318"/>
    <d v="2023-08-05T00:00:00"/>
    <m/>
    <s v="No"/>
    <n v="24"/>
    <s v="Female"/>
    <s v="Single"/>
    <s v="Master's"/>
    <x v="6"/>
    <s v="Sales Executive"/>
    <n v="1"/>
    <s v="Hyderabad"/>
    <n v="40000"/>
    <n v="14.2"/>
    <n v="9.9"/>
    <n v="2.4"/>
    <n v="1.2"/>
    <n v="3"/>
    <n v="4"/>
    <n v="4"/>
    <s v="Yes"/>
    <n v="4"/>
    <n v="1"/>
    <m/>
  </r>
  <r>
    <s v="EMP1319"/>
    <d v="2025-01-23T00:00:00"/>
    <m/>
    <s v="No"/>
    <n v="25"/>
    <s v="Male"/>
    <s v="Married"/>
    <s v="Diploma"/>
    <x v="4"/>
    <s v="HR Manager"/>
    <n v="1"/>
    <s v="Noida"/>
    <n v="38000"/>
    <n v="7.4"/>
    <n v="1.1000000000000001"/>
    <n v="0.9"/>
    <n v="0"/>
    <n v="3"/>
    <n v="4"/>
    <n v="4"/>
    <s v="No"/>
    <n v="5"/>
    <n v="1"/>
    <m/>
  </r>
  <r>
    <s v="EMP1320"/>
    <d v="2025-02-25T00:00:00"/>
    <m/>
    <s v="No"/>
    <n v="23"/>
    <s v="Female"/>
    <s v="Divorced"/>
    <s v="Master's"/>
    <x v="2"/>
    <s v="IT Support Specialist"/>
    <n v="1"/>
    <s v="Noida"/>
    <n v="22000"/>
    <n v="5.9"/>
    <n v="8.1"/>
    <n v="0.8"/>
    <n v="0"/>
    <n v="3"/>
    <n v="2"/>
    <n v="3"/>
    <s v="No"/>
    <n v="4"/>
    <n v="1"/>
    <m/>
  </r>
  <r>
    <s v="EMP1321"/>
    <d v="2019-01-30T00:00:00"/>
    <d v="2025-01-05T00:00:00"/>
    <s v="Yes"/>
    <n v="29"/>
    <s v="Non-Binary"/>
    <s v="Married"/>
    <s v="Bachelor's"/>
    <x v="1"/>
    <s v="BI Analyst"/>
    <n v="2"/>
    <s v="Pune"/>
    <n v="68000"/>
    <n v="13.1"/>
    <n v="10.8"/>
    <n v="5.9"/>
    <n v="3.7"/>
    <n v="4"/>
    <n v="2"/>
    <n v="4"/>
    <s v="No"/>
    <n v="3"/>
    <n v="1"/>
    <m/>
  </r>
  <r>
    <s v="EMP1322"/>
    <d v="2021-08-15T00:00:00"/>
    <m/>
    <s v="No"/>
    <n v="44"/>
    <s v="Male"/>
    <s v="Divorced"/>
    <s v="Diploma"/>
    <x v="4"/>
    <s v="Recruiter"/>
    <n v="2"/>
    <s v="Mumbai"/>
    <n v="54000"/>
    <n v="4.0999999999999996"/>
    <n v="4.9000000000000004"/>
    <n v="4.4000000000000004"/>
    <n v="3.7"/>
    <n v="4"/>
    <n v="4"/>
    <n v="2"/>
    <s v="No"/>
    <n v="2"/>
    <n v="1"/>
    <m/>
  </r>
  <r>
    <s v="EMP1323"/>
    <d v="2019-02-08T00:00:00"/>
    <m/>
    <s v="No"/>
    <n v="29"/>
    <s v="Female"/>
    <s v="Single"/>
    <s v="Bachelor's"/>
    <x v="3"/>
    <s v="Accountant"/>
    <n v="1"/>
    <s v="Bengaluru"/>
    <n v="43000"/>
    <n v="15.3"/>
    <n v="12.4"/>
    <n v="6.9"/>
    <n v="5"/>
    <n v="1"/>
    <n v="3"/>
    <n v="3"/>
    <s v="Yes"/>
    <n v="2"/>
    <n v="1"/>
    <m/>
  </r>
  <r>
    <s v="EMP1324"/>
    <d v="2023-10-09T00:00:00"/>
    <m/>
    <s v="No"/>
    <n v="23"/>
    <s v="Non-Binary"/>
    <s v="Married"/>
    <s v="Master's"/>
    <x v="4"/>
    <s v="HR Manager"/>
    <n v="1"/>
    <s v="Noida"/>
    <n v="24000"/>
    <n v="14.3"/>
    <n v="3.4"/>
    <n v="2.2000000000000002"/>
    <n v="0.6"/>
    <n v="4"/>
    <n v="4"/>
    <n v="1"/>
    <s v="No"/>
    <n v="4"/>
    <n v="1"/>
    <m/>
  </r>
  <r>
    <s v="EMP1325"/>
    <d v="2018-12-25T00:00:00"/>
    <d v="2025-09-11T00:00:00"/>
    <s v="Yes"/>
    <n v="34"/>
    <s v="Non-Binary"/>
    <s v="Divorced"/>
    <s v="Master's"/>
    <x v="3"/>
    <s v="Finance Executive"/>
    <n v="4"/>
    <s v="Pune"/>
    <n v="122000"/>
    <n v="11.8"/>
    <n v="13.4"/>
    <n v="6.7"/>
    <n v="4.8"/>
    <n v="2"/>
    <n v="2"/>
    <n v="1"/>
    <s v="Yes"/>
    <n v="4"/>
    <n v="1"/>
    <m/>
  </r>
  <r>
    <s v="EMP1326"/>
    <d v="2016-01-04T00:00:00"/>
    <m/>
    <s v="No"/>
    <n v="32"/>
    <s v="Female"/>
    <s v="Married"/>
    <s v="Master's"/>
    <x v="3"/>
    <s v="Financial Analyst"/>
    <n v="2"/>
    <s v="Bengaluru"/>
    <n v="52000"/>
    <n v="12.4"/>
    <n v="13.4"/>
    <n v="10"/>
    <n v="4.0999999999999996"/>
    <n v="2"/>
    <n v="2"/>
    <n v="3"/>
    <s v="Yes"/>
    <n v="2"/>
    <n v="1"/>
    <m/>
  </r>
  <r>
    <s v="EMP1327"/>
    <d v="2022-02-11T00:00:00"/>
    <m/>
    <s v="No"/>
    <n v="31"/>
    <s v="Male"/>
    <s v="Single"/>
    <s v="Diploma"/>
    <x v="1"/>
    <s v="Data Analyst"/>
    <n v="1"/>
    <s v="Mumbai"/>
    <n v="49000"/>
    <n v="8.5"/>
    <n v="9.6999999999999993"/>
    <n v="3.9"/>
    <n v="0.3"/>
    <n v="3"/>
    <n v="3"/>
    <n v="3"/>
    <s v="No"/>
    <n v="4"/>
    <n v="1"/>
    <m/>
  </r>
  <r>
    <s v="EMP1328"/>
    <d v="2024-12-18T00:00:00"/>
    <m/>
    <s v="No"/>
    <n v="28"/>
    <s v="Male"/>
    <s v="Divorced"/>
    <s v="PhD"/>
    <x v="3"/>
    <s v="Finance Executive"/>
    <n v="1"/>
    <s v="Pune"/>
    <n v="26000"/>
    <n v="7.9"/>
    <n v="8.8000000000000007"/>
    <n v="1"/>
    <n v="0"/>
    <n v="3"/>
    <n v="3"/>
    <n v="3"/>
    <s v="Yes"/>
    <n v="2"/>
    <n v="1"/>
    <m/>
  </r>
  <r>
    <s v="EMP1329"/>
    <d v="2024-12-20T00:00:00"/>
    <d v="2025-11-05T00:00:00"/>
    <s v="Yes"/>
    <n v="27"/>
    <s v="Female"/>
    <s v="Married"/>
    <s v="Diploma"/>
    <x v="1"/>
    <s v="Data Analyst"/>
    <n v="1"/>
    <s v="Noida"/>
    <n v="41000"/>
    <n v="6.4"/>
    <n v="4.7"/>
    <n v="0.9"/>
    <n v="0"/>
    <n v="3"/>
    <n v="3"/>
    <n v="2"/>
    <s v="No"/>
    <n v="2"/>
    <n v="1"/>
    <m/>
  </r>
  <r>
    <s v="EMP1330"/>
    <d v="2024-01-02T00:00:00"/>
    <m/>
    <s v="No"/>
    <n v="22"/>
    <s v="Male"/>
    <s v="Single"/>
    <s v="Master's"/>
    <x v="3"/>
    <s v="Financial Analyst"/>
    <n v="1"/>
    <s v="Hyderabad"/>
    <n v="33000"/>
    <n v="8.1999999999999993"/>
    <n v="9.6999999999999993"/>
    <n v="2"/>
    <n v="0.9"/>
    <n v="2"/>
    <n v="1"/>
    <n v="2"/>
    <s v="Yes"/>
    <n v="3"/>
    <n v="1"/>
    <m/>
  </r>
  <r>
    <s v="EMP1331"/>
    <d v="2024-01-06T00:00:00"/>
    <m/>
    <s v="No"/>
    <n v="35"/>
    <s v="Non-Binary"/>
    <s v="Divorced"/>
    <s v="Bachelor's"/>
    <x v="6"/>
    <s v="Account Manager"/>
    <n v="2"/>
    <s v="Chennai"/>
    <n v="42000"/>
    <n v="13.3"/>
    <n v="3.7"/>
    <n v="2"/>
    <n v="1.2"/>
    <n v="1"/>
    <n v="4"/>
    <n v="2"/>
    <s v="No"/>
    <n v="4"/>
    <n v="1"/>
    <m/>
  </r>
  <r>
    <s v="EMP1332"/>
    <d v="2020-06-25T00:00:00"/>
    <m/>
    <s v="No"/>
    <n v="34"/>
    <s v="Male"/>
    <s v="Single"/>
    <s v="PhD"/>
    <x v="6"/>
    <s v="Sales Manager"/>
    <n v="3"/>
    <s v="Mumbai"/>
    <n v="77000"/>
    <n v="6.9"/>
    <n v="5.7"/>
    <n v="5.5"/>
    <n v="3.7"/>
    <n v="4"/>
    <n v="3"/>
    <n v="3"/>
    <s v="No"/>
    <n v="3"/>
    <n v="1"/>
    <m/>
  </r>
  <r>
    <s v="EMP1333"/>
    <d v="2022-03-10T00:00:00"/>
    <m/>
    <s v="No"/>
    <n v="36"/>
    <s v="Female"/>
    <s v="Single"/>
    <s v="Master's"/>
    <x v="5"/>
    <s v="Tech Lead"/>
    <n v="3"/>
    <s v="Bengaluru"/>
    <n v="71000"/>
    <n v="6.8"/>
    <n v="6"/>
    <n v="3.8"/>
    <n v="1.3"/>
    <n v="4"/>
    <n v="3"/>
    <n v="3"/>
    <s v="No"/>
    <n v="3"/>
    <n v="1"/>
    <m/>
  </r>
  <r>
    <s v="EMP1334"/>
    <d v="2014-10-26T00:00:00"/>
    <m/>
    <s v="No"/>
    <n v="35"/>
    <s v="Non-Binary"/>
    <s v="Married"/>
    <s v="Diploma"/>
    <x v="5"/>
    <s v="Software Developer"/>
    <n v="2"/>
    <s v="Mumbai"/>
    <n v="70000"/>
    <n v="5.9"/>
    <n v="14.6"/>
    <n v="11.2"/>
    <n v="5.3"/>
    <n v="4"/>
    <n v="4"/>
    <n v="3"/>
    <s v="No"/>
    <n v="4"/>
    <n v="1"/>
    <m/>
  </r>
  <r>
    <s v="EMP1335"/>
    <d v="2017-10-19T00:00:00"/>
    <m/>
    <s v="No"/>
    <n v="29"/>
    <s v="Female"/>
    <s v="Single"/>
    <s v="Master's"/>
    <x v="4"/>
    <s v="HR Manager"/>
    <n v="3"/>
    <s v="Mumbai"/>
    <n v="66000"/>
    <n v="7.6"/>
    <n v="11.2"/>
    <n v="8.1999999999999993"/>
    <n v="0.4"/>
    <n v="3"/>
    <n v="1"/>
    <n v="3"/>
    <s v="No"/>
    <n v="3"/>
    <n v="1"/>
    <m/>
  </r>
  <r>
    <s v="EMP1336"/>
    <d v="2020-02-18T00:00:00"/>
    <m/>
    <s v="No"/>
    <n v="26"/>
    <s v="Non-Binary"/>
    <s v="Divorced"/>
    <s v="Master's"/>
    <x v="2"/>
    <s v="IT Support Specialist"/>
    <n v="1"/>
    <s v="Mumbai"/>
    <n v="37000"/>
    <n v="2.2000000000000002"/>
    <n v="12.6"/>
    <n v="5.9"/>
    <n v="0.8"/>
    <n v="1"/>
    <n v="3"/>
    <n v="1"/>
    <s v="Yes"/>
    <n v="3"/>
    <n v="1"/>
    <m/>
  </r>
  <r>
    <s v="EMP1337"/>
    <d v="2017-04-18T00:00:00"/>
    <m/>
    <s v="No"/>
    <n v="31"/>
    <s v="Non-Binary"/>
    <s v="Divorced"/>
    <s v="PhD"/>
    <x v="4"/>
    <s v="Recruiter"/>
    <n v="4"/>
    <s v="Hyderabad"/>
    <n v="121000"/>
    <n v="7.9"/>
    <n v="12.2"/>
    <n v="8.6999999999999993"/>
    <n v="2.7"/>
    <n v="3"/>
    <n v="4"/>
    <n v="3"/>
    <s v="No"/>
    <n v="2"/>
    <n v="1"/>
    <m/>
  </r>
  <r>
    <s v="EMP1338"/>
    <d v="2025-07-27T00:00:00"/>
    <d v="2025-10-16T00:00:00"/>
    <s v="Yes"/>
    <n v="21"/>
    <s v="Female"/>
    <s v="Married"/>
    <s v="Bachelor's"/>
    <x v="6"/>
    <s v="Business Development Executive"/>
    <n v="1"/>
    <s v="Pune"/>
    <n v="34000"/>
    <n v="11.5"/>
    <n v="1.8"/>
    <n v="0.2"/>
    <n v="0"/>
    <n v="1"/>
    <n v="3"/>
    <n v="3"/>
    <s v="No"/>
    <n v="4"/>
    <n v="1"/>
    <m/>
  </r>
  <r>
    <s v="EMP1339"/>
    <d v="2025-06-17T00:00:00"/>
    <m/>
    <s v="No"/>
    <n v="34"/>
    <s v="Male"/>
    <s v="Divorced"/>
    <s v="Bachelor's"/>
    <x v="2"/>
    <s v="System Administrator"/>
    <n v="1"/>
    <s v="Bengaluru"/>
    <n v="43000"/>
    <n v="6.8"/>
    <n v="6.5"/>
    <n v="0.5"/>
    <n v="0"/>
    <n v="3"/>
    <n v="3"/>
    <n v="3"/>
    <s v="No"/>
    <n v="4"/>
    <n v="1"/>
    <m/>
  </r>
  <r>
    <s v="EMP1340"/>
    <d v="2025-01-04T00:00:00"/>
    <m/>
    <s v="No"/>
    <n v="22"/>
    <s v="Non-Binary"/>
    <s v="Married"/>
    <s v="Master's"/>
    <x v="6"/>
    <s v="Sales Executive"/>
    <n v="1"/>
    <s v="Mumbai"/>
    <n v="25000"/>
    <n v="1.8"/>
    <n v="1.7"/>
    <n v="1"/>
    <n v="0.6"/>
    <n v="3"/>
    <n v="4"/>
    <n v="2"/>
    <s v="Yes"/>
    <n v="3"/>
    <n v="1"/>
    <m/>
  </r>
  <r>
    <s v="EMP1341"/>
    <d v="2018-06-22T00:00:00"/>
    <m/>
    <s v="No"/>
    <n v="33"/>
    <s v="Non-Binary"/>
    <s v="Married"/>
    <s v="PhD"/>
    <x v="0"/>
    <s v="Process Associate"/>
    <n v="3"/>
    <s v="Hyderabad"/>
    <n v="73000"/>
    <n v="9.1999999999999993"/>
    <n v="9.9"/>
    <n v="7.5"/>
    <n v="5.9"/>
    <n v="3"/>
    <n v="4"/>
    <n v="4"/>
    <s v="No"/>
    <n v="4"/>
    <n v="1"/>
    <m/>
  </r>
  <r>
    <s v="EMP1342"/>
    <d v="2025-06-06T00:00:00"/>
    <m/>
    <s v="No"/>
    <n v="32"/>
    <s v="Male"/>
    <s v="Married"/>
    <s v="Bachelor's"/>
    <x v="3"/>
    <s v="Accountant"/>
    <n v="1"/>
    <s v="Bengaluru"/>
    <n v="22000"/>
    <n v="14.5"/>
    <n v="2.8"/>
    <n v="0.6"/>
    <n v="0"/>
    <n v="4"/>
    <n v="3"/>
    <n v="4"/>
    <s v="No"/>
    <n v="4"/>
    <n v="1"/>
    <m/>
  </r>
  <r>
    <s v="EMP1343"/>
    <d v="2019-04-12T00:00:00"/>
    <m/>
    <s v="No"/>
    <n v="30"/>
    <s v="Male"/>
    <s v="Divorced"/>
    <s v="Diploma"/>
    <x v="4"/>
    <s v="HR Executive"/>
    <n v="2"/>
    <s v="Noida"/>
    <n v="65000"/>
    <n v="4"/>
    <n v="10.7"/>
    <n v="6.7"/>
    <n v="4.5999999999999996"/>
    <n v="3"/>
    <n v="4"/>
    <n v="3"/>
    <s v="No"/>
    <n v="5"/>
    <n v="1"/>
    <m/>
  </r>
  <r>
    <s v="EMP1344"/>
    <d v="2023-12-30T00:00:00"/>
    <m/>
    <s v="No"/>
    <n v="25"/>
    <s v="Non-Binary"/>
    <s v="Divorced"/>
    <s v="Diploma"/>
    <x v="5"/>
    <s v="Software Developer"/>
    <n v="1"/>
    <s v="Mumbai"/>
    <n v="37000"/>
    <n v="10.7"/>
    <n v="2.2000000000000002"/>
    <n v="2"/>
    <n v="0.6"/>
    <n v="2"/>
    <n v="4"/>
    <n v="3"/>
    <s v="No"/>
    <n v="3"/>
    <n v="1"/>
    <m/>
  </r>
  <r>
    <s v="EMP1345"/>
    <d v="2025-01-27T00:00:00"/>
    <m/>
    <s v="No"/>
    <n v="51"/>
    <s v="Non-Binary"/>
    <s v="Single"/>
    <s v="Master's"/>
    <x v="3"/>
    <s v="Finance Manager"/>
    <n v="2"/>
    <s v="Noida"/>
    <n v="35000"/>
    <n v="11.4"/>
    <n v="6.7"/>
    <n v="0.9"/>
    <n v="0"/>
    <n v="2"/>
    <n v="3"/>
    <n v="3"/>
    <s v="Yes"/>
    <n v="2"/>
    <n v="1"/>
    <m/>
  </r>
  <r>
    <s v="EMP1346"/>
    <d v="2019-01-10T00:00:00"/>
    <m/>
    <s v="No"/>
    <n v="29"/>
    <s v="Female"/>
    <s v="Single"/>
    <s v="PhD"/>
    <x v="1"/>
    <s v="Data Engineer"/>
    <n v="3"/>
    <s v="Pune"/>
    <n v="84000"/>
    <n v="5.4"/>
    <n v="8.1"/>
    <n v="7"/>
    <n v="3.2"/>
    <n v="2"/>
    <n v="3"/>
    <n v="2"/>
    <s v="No"/>
    <n v="3"/>
    <n v="1"/>
    <m/>
  </r>
  <r>
    <s v="EMP1347"/>
    <d v="2023-06-13T00:00:00"/>
    <m/>
    <s v="No"/>
    <n v="39"/>
    <s v="Non-Binary"/>
    <s v="Single"/>
    <s v="Diploma"/>
    <x v="2"/>
    <s v="IT Analyst"/>
    <n v="3"/>
    <s v="Bengaluru"/>
    <n v="75000"/>
    <n v="14.4"/>
    <n v="10.5"/>
    <n v="2.6"/>
    <n v="0"/>
    <n v="4"/>
    <n v="3"/>
    <n v="2"/>
    <s v="No"/>
    <n v="2"/>
    <n v="1"/>
    <m/>
  </r>
  <r>
    <s v="EMP1348"/>
    <d v="2023-02-28T00:00:00"/>
    <m/>
    <s v="No"/>
    <n v="24"/>
    <s v="Male"/>
    <s v="Single"/>
    <s v="Bachelor's"/>
    <x v="4"/>
    <s v="HR Executive"/>
    <n v="1"/>
    <s v="Mumbai"/>
    <n v="22000"/>
    <n v="6.2"/>
    <n v="10.6"/>
    <n v="2.8"/>
    <n v="1"/>
    <n v="3"/>
    <n v="1"/>
    <n v="3"/>
    <s v="No"/>
    <n v="5"/>
    <n v="1"/>
    <m/>
  </r>
  <r>
    <s v="EMP1349"/>
    <d v="2022-08-10T00:00:00"/>
    <d v="2025-05-05T00:00:00"/>
    <s v="Yes"/>
    <n v="34"/>
    <s v="Male"/>
    <s v="Single"/>
    <s v="Master's"/>
    <x v="4"/>
    <s v="Recruiter"/>
    <n v="2"/>
    <s v="Chennai"/>
    <n v="52000"/>
    <n v="3.4"/>
    <n v="6.9"/>
    <n v="2.7"/>
    <n v="1.2"/>
    <n v="1"/>
    <n v="1"/>
    <n v="3"/>
    <s v="No"/>
    <n v="4"/>
    <n v="1"/>
    <m/>
  </r>
  <r>
    <s v="EMP1350"/>
    <d v="2024-08-26T00:00:00"/>
    <m/>
    <s v="No"/>
    <n v="35"/>
    <s v="Non-Binary"/>
    <m/>
    <s v="Diploma"/>
    <x v="0"/>
    <s v="Process Associate"/>
    <n v="1"/>
    <s v="Mumbai"/>
    <n v="38000"/>
    <n v="1.4"/>
    <n v="7.1"/>
    <n v="1.3"/>
    <n v="0"/>
    <n v="4"/>
    <n v="3"/>
    <n v="3"/>
    <s v="Yes"/>
    <n v="3"/>
    <n v="1"/>
    <m/>
  </r>
  <r>
    <s v="EMP1351"/>
    <d v="2021-02-20T00:00:00"/>
    <d v="2025-08-14T00:00:00"/>
    <s v="Yes"/>
    <n v="25"/>
    <s v="Male"/>
    <s v="Divorced"/>
    <s v="Bachelor's"/>
    <x v="0"/>
    <s v="Operations Executive"/>
    <n v="1"/>
    <s v="Hyderabad"/>
    <n v="28000"/>
    <n v="11.1"/>
    <n v="7.8"/>
    <n v="4.5"/>
    <n v="1"/>
    <n v="2"/>
    <n v="3"/>
    <n v="3"/>
    <s v="No"/>
    <n v="5"/>
    <n v="1"/>
    <m/>
  </r>
  <r>
    <s v="EMP1352"/>
    <d v="2023-04-01T00:00:00"/>
    <m/>
    <s v="No"/>
    <n v="27"/>
    <s v="Female"/>
    <s v="Single"/>
    <s v="PhD"/>
    <x v="1"/>
    <s v="Data Analyst"/>
    <n v="1"/>
    <s v="Mumbai"/>
    <n v="39000"/>
    <n v="2.9"/>
    <n v="10.5"/>
    <n v="2.8"/>
    <n v="0.9"/>
    <n v="4"/>
    <n v="4"/>
    <n v="2"/>
    <s v="No"/>
    <n v="3"/>
    <n v="1"/>
    <m/>
  </r>
  <r>
    <s v="EMP1353"/>
    <d v="2021-12-25T00:00:00"/>
    <m/>
    <s v="No"/>
    <n v="32"/>
    <s v="Female"/>
    <s v="Divorced"/>
    <s v="PhD"/>
    <x v="4"/>
    <s v="Recruiter"/>
    <n v="2"/>
    <s v="Hyderabad"/>
    <n v="61000"/>
    <n v="6.9"/>
    <n v="9.4"/>
    <n v="4"/>
    <n v="0.7"/>
    <n v="3"/>
    <n v="3"/>
    <n v="1"/>
    <s v="Yes"/>
    <n v="3"/>
    <n v="1"/>
    <m/>
  </r>
  <r>
    <s v="EMP1354"/>
    <d v="2019-02-10T00:00:00"/>
    <m/>
    <s v="No"/>
    <n v="28"/>
    <s v="Female"/>
    <s v="Divorced"/>
    <s v="Diploma"/>
    <x v="0"/>
    <s v="Process Associate"/>
    <n v="5"/>
    <s v="Mumbai"/>
    <n v="152000"/>
    <n v="6.2"/>
    <n v="13.9"/>
    <n v="6.9"/>
    <n v="5.3"/>
    <n v="1"/>
    <n v="3"/>
    <n v="3"/>
    <s v="Yes"/>
    <n v="3"/>
    <n v="1"/>
    <m/>
  </r>
  <r>
    <s v="EMP1355"/>
    <d v="2020-02-03T00:00:00"/>
    <d v="2025-02-25T00:00:00"/>
    <s v="Yes"/>
    <n v="30"/>
    <s v="Male"/>
    <s v="Single"/>
    <s v="Diploma"/>
    <x v="3"/>
    <s v="Financial Analyst"/>
    <n v="3"/>
    <s v="Hyderabad"/>
    <n v="62000"/>
    <n v="6.7"/>
    <n v="11.5"/>
    <n v="5.0999999999999996"/>
    <n v="1.5"/>
    <n v="3"/>
    <n v="3"/>
    <n v="4"/>
    <s v="No"/>
    <n v="5"/>
    <n v="1"/>
    <m/>
  </r>
  <r>
    <s v="EMP1356"/>
    <d v="2022-02-08T00:00:00"/>
    <m/>
    <s v="No"/>
    <n v="33"/>
    <s v="Female"/>
    <s v="Divorced"/>
    <s v="Diploma"/>
    <x v="2"/>
    <s v="System Administrator"/>
    <n v="2"/>
    <s v="Pune"/>
    <n v="41000"/>
    <n v="12.7"/>
    <n v="5.0999999999999996"/>
    <n v="3.9"/>
    <n v="0.4"/>
    <n v="4"/>
    <n v="2"/>
    <n v="4"/>
    <s v="No"/>
    <n v="3"/>
    <n v="1"/>
    <m/>
  </r>
  <r>
    <s v="EMP1357"/>
    <d v="2023-09-09T00:00:00"/>
    <m/>
    <s v="No"/>
    <n v="32"/>
    <s v="Female"/>
    <s v="Single"/>
    <s v="Bachelor's"/>
    <x v="6"/>
    <s v="Sales Manager"/>
    <n v="3"/>
    <s v="Chennai"/>
    <n v="83000"/>
    <n v="12.9"/>
    <n v="4.5999999999999996"/>
    <n v="2.2999999999999998"/>
    <n v="1.9"/>
    <n v="3"/>
    <n v="4"/>
    <n v="2"/>
    <s v="No"/>
    <n v="4"/>
    <n v="1"/>
    <m/>
  </r>
  <r>
    <s v="EMP1358"/>
    <d v="2019-02-06T00:00:00"/>
    <m/>
    <s v="No"/>
    <n v="28"/>
    <s v="Male"/>
    <s v="Divorced"/>
    <s v="Diploma"/>
    <x v="1"/>
    <s v="Data Engineer"/>
    <n v="2"/>
    <s v="Chennai"/>
    <n v="46000"/>
    <n v="6.3"/>
    <n v="11.6"/>
    <n v="6.9"/>
    <n v="1.7"/>
    <n v="3"/>
    <n v="4"/>
    <n v="3"/>
    <s v="No"/>
    <n v="3"/>
    <n v="1"/>
    <m/>
  </r>
  <r>
    <s v="EMP1359"/>
    <d v="2014-01-30T00:00:00"/>
    <d v="2025-02-20T00:00:00"/>
    <s v="Yes"/>
    <n v="34"/>
    <s v="Female"/>
    <s v="Single"/>
    <s v="Diploma"/>
    <x v="2"/>
    <s v="IT Support Lead"/>
    <n v="3"/>
    <s v="Bengaluru"/>
    <s v="₹72,000"/>
    <n v="11.8"/>
    <n v="17.600000000000001"/>
    <n v="11.1"/>
    <n v="6"/>
    <n v="4"/>
    <n v="2"/>
    <n v="2"/>
    <s v="No"/>
    <n v="5"/>
    <n v="1"/>
    <m/>
  </r>
  <r>
    <s v="EMP1360"/>
    <d v="2025-05-11T00:00:00"/>
    <m/>
    <s v="No"/>
    <n v="33"/>
    <s v="Non-Binary"/>
    <s v="Divorced"/>
    <s v="PhD"/>
    <x v="2"/>
    <s v="System Administrator"/>
    <n v="2"/>
    <s v="Bengaluru"/>
    <n v="62000"/>
    <n v="10.4"/>
    <n v="8.1999999999999993"/>
    <n v="0.6"/>
    <n v="0"/>
    <n v="1"/>
    <n v="4"/>
    <n v="2"/>
    <s v="No"/>
    <n v="2"/>
    <n v="1"/>
    <m/>
  </r>
  <r>
    <s v="EMP1361"/>
    <d v="2017-01-02T00:00:00"/>
    <m/>
    <s v="No"/>
    <n v="29"/>
    <s v="Male"/>
    <s v="Single"/>
    <s v="Master's"/>
    <x v="5"/>
    <s v="Senior Software Developer"/>
    <n v="2"/>
    <s v="Hyderabad"/>
    <n v="54000"/>
    <n v="5.6"/>
    <n v="13.7"/>
    <n v="9"/>
    <n v="3.6"/>
    <n v="3"/>
    <n v="4"/>
    <n v="2"/>
    <s v="Yes"/>
    <n v="4"/>
    <n v="1"/>
    <m/>
  </r>
  <r>
    <s v="EMP1362"/>
    <d v="2016-12-03T00:00:00"/>
    <m/>
    <s v="No"/>
    <n v="38"/>
    <s v="Female"/>
    <s v="Single"/>
    <s v="Diploma"/>
    <x v="3"/>
    <s v="Financial Analyst"/>
    <n v="2"/>
    <s v="Noida"/>
    <n v="53000"/>
    <n v="3.6"/>
    <n v="15.2"/>
    <n v="9.1"/>
    <n v="3.3"/>
    <n v="2"/>
    <n v="1"/>
    <n v="3"/>
    <s v="No"/>
    <n v="5"/>
    <n v="1"/>
    <m/>
  </r>
  <r>
    <s v="EMP1363"/>
    <d v="2022-09-05T00:00:00"/>
    <m/>
    <s v="No"/>
    <n v="35"/>
    <s v="Male"/>
    <s v="Single"/>
    <s v="PhD"/>
    <x v="0"/>
    <s v="Operations Executive"/>
    <n v="3"/>
    <s v="Hyderabad"/>
    <n v="59000"/>
    <n v="7.2"/>
    <n v="7.1"/>
    <n v="3.3"/>
    <n v="1.7"/>
    <n v="3"/>
    <n v="4"/>
    <n v="4"/>
    <s v="No"/>
    <n v="4"/>
    <n v="1"/>
    <m/>
  </r>
  <r>
    <s v="EMP1364"/>
    <d v="2017-06-09T00:00:00"/>
    <m/>
    <s v="No"/>
    <n v="45"/>
    <s v="Female"/>
    <s v="Divorced"/>
    <s v="Bachelor's"/>
    <x v="1"/>
    <s v="Senior Data Analyst"/>
    <n v="3"/>
    <s v="Noida"/>
    <n v="80000"/>
    <n v="12.9"/>
    <n v="14"/>
    <n v="8.6"/>
    <n v="5"/>
    <n v="4"/>
    <n v="3"/>
    <n v="1"/>
    <s v="Yes"/>
    <n v="2"/>
    <n v="1"/>
    <m/>
  </r>
  <r>
    <s v="EMP1365"/>
    <d v="2022-02-01T00:00:00"/>
    <m/>
    <s v="No"/>
    <n v="29"/>
    <s v="Non-Binary"/>
    <s v="Divorced"/>
    <s v="PhD"/>
    <x v="1"/>
    <s v="Data Engineer"/>
    <n v="2"/>
    <s v="Hyderabad"/>
    <n v="59000"/>
    <n v="4.9000000000000004"/>
    <n v="10.1"/>
    <n v="3.9"/>
    <n v="1.8"/>
    <n v="3"/>
    <n v="4"/>
    <n v="2"/>
    <s v="No"/>
    <n v="3"/>
    <n v="1"/>
    <m/>
  </r>
  <r>
    <s v="EMP1366"/>
    <d v="2019-06-09T00:00:00"/>
    <d v="2025-08-03T00:00:00"/>
    <s v="Yes"/>
    <n v="33"/>
    <s v="Male"/>
    <s v="Divorced"/>
    <s v="Diploma"/>
    <x v="3"/>
    <s v="Finance Manager"/>
    <n v="3"/>
    <s v="Hyderabad"/>
    <n v="86000"/>
    <n v="13.4"/>
    <n v="10.6"/>
    <n v="6.2"/>
    <n v="0.6"/>
    <n v="4"/>
    <n v="4"/>
    <n v="2"/>
    <s v="No"/>
    <n v="3"/>
    <n v="1"/>
    <m/>
  </r>
  <r>
    <s v="EMP1367"/>
    <d v="2025-09-09T00:00:00"/>
    <m/>
    <s v="No"/>
    <n v="21"/>
    <s v="Male"/>
    <s v="Married"/>
    <s v="Bachelor's"/>
    <x v="3"/>
    <s v="Financial Analyst"/>
    <n v="1"/>
    <s v="Mumbai"/>
    <n v="35000"/>
    <n v="10.199999999999999"/>
    <n v="6.7"/>
    <n v="0.3"/>
    <n v="0"/>
    <n v="3"/>
    <n v="4"/>
    <n v="4"/>
    <s v="No"/>
    <n v="2"/>
    <n v="1"/>
    <m/>
  </r>
  <r>
    <s v="EMP1368"/>
    <d v="2016-08-21T00:00:00"/>
    <d v="2025-08-15T00:00:00"/>
    <s v="Yes"/>
    <n v="31"/>
    <s v="Female"/>
    <s v="Divorced"/>
    <s v="Master's"/>
    <x v="4"/>
    <s v="HR Manager"/>
    <n v="3"/>
    <s v="Bengaluru"/>
    <n v="75000"/>
    <n v="15.1"/>
    <n v="14.4"/>
    <n v="9"/>
    <n v="2.1"/>
    <n v="3"/>
    <n v="3"/>
    <n v="3"/>
    <s v="Yes"/>
    <n v="3"/>
    <n v="1"/>
    <m/>
  </r>
  <r>
    <s v="EMP1369"/>
    <d v="2017-07-25T00:00:00"/>
    <m/>
    <s v="No"/>
    <n v="30"/>
    <s v="Non-Binary"/>
    <s v="Divorced"/>
    <s v="Diploma"/>
    <x v="6"/>
    <s v="Sales Executive"/>
    <n v="3"/>
    <s v="Pune"/>
    <n v="72000"/>
    <n v="8.3000000000000007"/>
    <n v="8.5"/>
    <n v="8.4"/>
    <n v="5.6"/>
    <n v="4"/>
    <n v="2"/>
    <n v="3"/>
    <s v="No"/>
    <n v="5"/>
    <n v="1"/>
    <m/>
  </r>
  <r>
    <s v="EMP1370"/>
    <d v="2017-07-28T00:00:00"/>
    <m/>
    <s v="No"/>
    <n v="32"/>
    <s v="Male"/>
    <s v="Divorced"/>
    <s v="PhD"/>
    <x v="6"/>
    <s v="Account Manager"/>
    <n v="3"/>
    <s v="Chennai"/>
    <n v="77000"/>
    <n v="7.1"/>
    <n v="10.7"/>
    <n v="8.4"/>
    <n v="5.0999999999999996"/>
    <n v="4"/>
    <n v="3"/>
    <n v="2"/>
    <s v="No"/>
    <n v="1"/>
    <n v="1"/>
    <m/>
  </r>
  <r>
    <s v="EMP1371"/>
    <d v="2021-12-31T00:00:00"/>
    <m/>
    <s v="No"/>
    <n v="47"/>
    <s v="Female"/>
    <s v="Divorced"/>
    <s v="Diploma"/>
    <x v="2"/>
    <s v="IT Support Specialist"/>
    <n v="4"/>
    <s v="Mumbai"/>
    <n v="112000"/>
    <n v="9.3000000000000007"/>
    <n v="4.5999999999999996"/>
    <n v="4"/>
    <n v="1.9"/>
    <n v="2"/>
    <n v="3"/>
    <n v="4"/>
    <s v="Yes"/>
    <n v="4"/>
    <n v="1"/>
    <m/>
  </r>
  <r>
    <s v="EMP1372"/>
    <d v="2025-07-16T00:00:00"/>
    <m/>
    <s v="No"/>
    <n v="21"/>
    <s v="Female"/>
    <s v="Married"/>
    <s v="PhD"/>
    <x v="0"/>
    <s v="Operations Analyst"/>
    <n v="1"/>
    <s v="Hyderabad"/>
    <n v="38000"/>
    <n v="9.5"/>
    <n v="2.9"/>
    <n v="0.5"/>
    <n v="0"/>
    <n v="3"/>
    <n v="1"/>
    <n v="1"/>
    <s v="No"/>
    <n v="2"/>
    <n v="1"/>
    <m/>
  </r>
  <r>
    <s v="EMP1373"/>
    <d v="2019-05-21T00:00:00"/>
    <m/>
    <s v="No"/>
    <n v="28"/>
    <s v="Male"/>
    <s v="Single"/>
    <s v="Bachelor's"/>
    <x v="2"/>
    <s v="System Administrator"/>
    <n v="3"/>
    <s v="Mumbai"/>
    <n v="72000"/>
    <n v="7.4"/>
    <n v="9.1999999999999993"/>
    <n v="6.6"/>
    <n v="1.5"/>
    <n v="3"/>
    <n v="3"/>
    <n v="3"/>
    <s v="No"/>
    <n v="5"/>
    <n v="1"/>
    <m/>
  </r>
  <r>
    <s v="EMP1374"/>
    <d v="2024-05-26T00:00:00"/>
    <m/>
    <s v="No"/>
    <n v="30"/>
    <s v="Non-Binary"/>
    <s v="Divorced"/>
    <s v="PhD"/>
    <x v="3"/>
    <s v="Finance Executive"/>
    <n v="4"/>
    <s v="Pune"/>
    <n v="134000"/>
    <n v="10.7"/>
    <n v="2.4"/>
    <n v="1.6"/>
    <n v="0.6"/>
    <n v="4"/>
    <n v="2"/>
    <n v="4"/>
    <s v="No"/>
    <n v="4"/>
    <n v="1"/>
    <m/>
  </r>
  <r>
    <s v="EMP1375"/>
    <d v="2022-03-30T00:00:00"/>
    <m/>
    <s v="No"/>
    <n v="32"/>
    <s v="Male"/>
    <s v="Married"/>
    <s v="Bachelor's"/>
    <x v="1"/>
    <s v="Data Engineer"/>
    <n v="1"/>
    <s v="Bengaluru"/>
    <n v="33000"/>
    <n v="0.2"/>
    <n v="6.7"/>
    <n v="3.8"/>
    <n v="1.1000000000000001"/>
    <n v="4"/>
    <n v="4"/>
    <n v="3"/>
    <s v="No"/>
    <n v="1"/>
    <n v="1"/>
    <m/>
  </r>
  <r>
    <s v="EMP1376"/>
    <d v="2019-11-07T00:00:00"/>
    <m/>
    <s v="No"/>
    <n v="38"/>
    <s v="Male"/>
    <s v="Single"/>
    <s v="Bachelor's"/>
    <x v="3"/>
    <s v="Accountant"/>
    <n v="1"/>
    <s v="Mumbai"/>
    <n v="40000"/>
    <n v="9.6999999999999993"/>
    <n v="11.4"/>
    <n v="6.1"/>
    <n v="3.2"/>
    <n v="3"/>
    <n v="3"/>
    <n v="2"/>
    <s v="Yes"/>
    <n v="4"/>
    <n v="1"/>
    <m/>
  </r>
  <r>
    <s v="EMP1377"/>
    <d v="2020-07-23T00:00:00"/>
    <m/>
    <s v="No"/>
    <n v="30"/>
    <s v="Female"/>
    <s v="Single"/>
    <s v="Master's"/>
    <x v="6"/>
    <s v="Sales Manager"/>
    <n v="5"/>
    <s v="Chennai"/>
    <n v="161000"/>
    <n v="4.8"/>
    <n v="6"/>
    <n v="5.4"/>
    <n v="1.6"/>
    <n v="4"/>
    <n v="4"/>
    <n v="3"/>
    <s v="No"/>
    <n v="4"/>
    <n v="1"/>
    <m/>
  </r>
  <r>
    <s v="EMP1378"/>
    <d v="2017-08-28T00:00:00"/>
    <m/>
    <s v="No"/>
    <n v="31"/>
    <s v="Female"/>
    <s v="Married"/>
    <s v="Master's"/>
    <x v="1"/>
    <s v="Senior Data Analyst"/>
    <n v="2"/>
    <s v="Bengaluru"/>
    <n v="60000"/>
    <n v="9.5"/>
    <n v="11.9"/>
    <n v="8.3000000000000007"/>
    <n v="3.3"/>
    <n v="3"/>
    <n v="4"/>
    <n v="4"/>
    <s v="No"/>
    <n v="3"/>
    <n v="1"/>
    <m/>
  </r>
  <r>
    <s v="EMP1379"/>
    <d v="2024-01-07T00:00:00"/>
    <m/>
    <s v="No"/>
    <n v="37"/>
    <s v="Non-Binary"/>
    <s v="Single"/>
    <s v="Diploma"/>
    <x v="3"/>
    <s v="Finance Manager"/>
    <n v="3"/>
    <s v="Chennai"/>
    <n v="82000"/>
    <n v="13.8"/>
    <n v="9.5"/>
    <n v="2"/>
    <n v="0.4"/>
    <n v="4"/>
    <n v="3"/>
    <n v="4"/>
    <s v="No"/>
    <n v="3"/>
    <n v="1"/>
    <m/>
  </r>
  <r>
    <s v="EMP1380"/>
    <d v="2020-08-27T00:00:00"/>
    <d v="2025-12-10T00:00:00"/>
    <s v="Yes"/>
    <n v="37"/>
    <s v="Non-Binary"/>
    <s v="Divorced"/>
    <s v="Master's"/>
    <x v="1"/>
    <s v="BI Analyst"/>
    <n v="4"/>
    <s v="Pune"/>
    <n v="134000"/>
    <n v="4"/>
    <n v="10.8"/>
    <n v="5.3"/>
    <n v="4.2"/>
    <n v="3"/>
    <n v="3"/>
    <n v="4"/>
    <s v="No"/>
    <n v="5"/>
    <n v="1"/>
    <m/>
  </r>
  <r>
    <s v="EMP1381"/>
    <d v="2019-09-18T00:00:00"/>
    <d v="2025-09-26T00:00:00"/>
    <s v="Yes"/>
    <n v="28"/>
    <s v="Male"/>
    <s v="Married"/>
    <s v="PhD"/>
    <x v="5"/>
    <s v="QA Engineer"/>
    <n v="3"/>
    <s v="Mumbai"/>
    <n v="80000"/>
    <n v="12"/>
    <n v="13.6"/>
    <n v="6"/>
    <n v="3.6"/>
    <n v="3"/>
    <n v="2"/>
    <n v="2"/>
    <s v="Yes"/>
    <n v="3"/>
    <n v="1"/>
    <m/>
  </r>
  <r>
    <s v="EMP1382"/>
    <d v="2023-08-06T00:00:00"/>
    <m/>
    <s v="No"/>
    <n v="27"/>
    <s v="Female"/>
    <s v="Married"/>
    <s v="Master's"/>
    <x v="6"/>
    <s v="Sales Executive"/>
    <n v="1"/>
    <s v="Mumbai"/>
    <n v="28000"/>
    <n v="13.5"/>
    <n v="2.9"/>
    <n v="2.4"/>
    <n v="1.1000000000000001"/>
    <n v="4"/>
    <n v="3"/>
    <n v="3"/>
    <s v="No"/>
    <n v="4"/>
    <n v="1"/>
    <m/>
  </r>
  <r>
    <s v="EMP1383"/>
    <d v="2015-08-10T00:00:00"/>
    <m/>
    <s v="No"/>
    <n v="32"/>
    <s v="Non-Binary"/>
    <s v="Single"/>
    <s v="Master's"/>
    <x v="2"/>
    <s v="IT Support Specialist"/>
    <n v="3"/>
    <s v="Bengaluru"/>
    <n v="74000"/>
    <n v="14.2"/>
    <n v="17.2"/>
    <n v="10.4"/>
    <n v="2.9"/>
    <n v="4"/>
    <n v="4"/>
    <n v="3"/>
    <s v="Yes"/>
    <n v="2"/>
    <n v="1"/>
    <m/>
  </r>
  <r>
    <s v="EMP1384"/>
    <d v="2018-03-04T00:00:00"/>
    <d v="2025-08-26T00:00:00"/>
    <s v="Yes"/>
    <n v="42"/>
    <s v="Male"/>
    <s v="Married"/>
    <s v="Master's"/>
    <x v="0"/>
    <s v="Operations Analyst"/>
    <n v="2"/>
    <s v="Bengaluru"/>
    <n v="51000"/>
    <n v="8.4"/>
    <n v="14.1"/>
    <n v="7.5"/>
    <n v="3.9"/>
    <n v="2"/>
    <n v="3"/>
    <n v="3"/>
    <s v="No"/>
    <n v="5"/>
    <n v="1"/>
    <m/>
  </r>
  <r>
    <s v="EMP1385"/>
    <d v="2024-10-20T00:00:00"/>
    <m/>
    <s v="No"/>
    <n v="26"/>
    <s v="Male"/>
    <s v="Married"/>
    <s v="Bachelor's"/>
    <x v="2"/>
    <s v="IT Analyst"/>
    <n v="1"/>
    <s v="Pune"/>
    <n v="30000"/>
    <n v="4.0999999999999996"/>
    <n v="7.9"/>
    <n v="1.2"/>
    <n v="0.5"/>
    <n v="3"/>
    <n v="3"/>
    <n v="1"/>
    <s v="No"/>
    <n v="3"/>
    <n v="1"/>
    <m/>
  </r>
  <r>
    <s v="EMP1386"/>
    <d v="2015-03-10T00:00:00"/>
    <m/>
    <s v="No"/>
    <n v="45"/>
    <s v="Female"/>
    <s v="Married"/>
    <s v="PhD"/>
    <x v="4"/>
    <s v="Recruiter"/>
    <n v="2"/>
    <s v="Bengaluru"/>
    <n v="66000"/>
    <n v="13.9"/>
    <n v="17.2"/>
    <n v="10.8"/>
    <n v="0.1"/>
    <n v="4"/>
    <n v="4"/>
    <n v="4"/>
    <s v="No"/>
    <n v="3"/>
    <n v="1"/>
    <m/>
  </r>
  <r>
    <s v="EMP1387"/>
    <d v="2017-04-11T00:00:00"/>
    <m/>
    <s v="No"/>
    <n v="30"/>
    <s v="Male"/>
    <s v="Married"/>
    <s v="Bachelor's"/>
    <x v="5"/>
    <s v="Tech Lead"/>
    <n v="3"/>
    <s v="Bengaluru"/>
    <n v="71000"/>
    <n v="17.100000000000001"/>
    <n v="16.100000000000001"/>
    <n v="8.6999999999999993"/>
    <n v="4.8"/>
    <n v="4"/>
    <n v="2"/>
    <n v="4"/>
    <s v="No"/>
    <n v="3"/>
    <n v="1"/>
    <m/>
  </r>
  <r>
    <s v="EMP1388"/>
    <d v="2021-09-10T00:00:00"/>
    <m/>
    <s v="No"/>
    <n v="30"/>
    <s v="Female"/>
    <s v="Married"/>
    <s v="Master's"/>
    <x v="6"/>
    <s v="Account Manager"/>
    <n v="2"/>
    <s v="Chennai"/>
    <n v="65000"/>
    <n v="5.0999999999999996"/>
    <n v="8.9"/>
    <n v="4.3"/>
    <n v="3.7"/>
    <n v="3"/>
    <n v="4"/>
    <n v="3"/>
    <s v="No"/>
    <n v="4"/>
    <n v="1"/>
    <m/>
  </r>
  <r>
    <s v="EMP1389"/>
    <d v="2025-04-27T00:00:00"/>
    <m/>
    <s v="No"/>
    <n v="32"/>
    <s v="Male"/>
    <s v="Divorced"/>
    <s v="Master's"/>
    <x v="5"/>
    <s v="Senior Software Developer"/>
    <n v="5"/>
    <s v="Noida"/>
    <n v="179000"/>
    <n v="8.6999999999999993"/>
    <n v="1.9"/>
    <n v="0.7"/>
    <n v="0"/>
    <n v="4"/>
    <n v="3"/>
    <n v="4"/>
    <s v="No"/>
    <n v="4"/>
    <n v="1"/>
    <m/>
  </r>
  <r>
    <s v="EMP1390"/>
    <d v="2017-07-02T00:00:00"/>
    <m/>
    <s v="No"/>
    <n v="34"/>
    <s v="Male"/>
    <s v="Married"/>
    <s v="PhD"/>
    <x v="4"/>
    <s v="Recruiter"/>
    <n v="2"/>
    <s v="Bengaluru"/>
    <n v="60000"/>
    <n v="8.9"/>
    <n v="9.1999999999999993"/>
    <n v="8.5"/>
    <n v="5.4"/>
    <n v="3"/>
    <n v="2"/>
    <n v="3"/>
    <s v="No"/>
    <n v="3"/>
    <n v="1"/>
    <m/>
  </r>
  <r>
    <s v="EMP1391"/>
    <d v="2021-08-09T00:00:00"/>
    <m/>
    <s v="No"/>
    <n v="26"/>
    <s v="Female"/>
    <s v="Married"/>
    <s v="Diploma"/>
    <x v="1"/>
    <s v="Data Engineer"/>
    <n v="1"/>
    <s v="Bengaluru"/>
    <n v="39000"/>
    <n v="6.5"/>
    <n v="8"/>
    <n v="4.4000000000000004"/>
    <n v="0.7"/>
    <n v="3"/>
    <n v="3"/>
    <n v="3"/>
    <s v="No"/>
    <n v="3"/>
    <n v="1"/>
    <m/>
  </r>
  <r>
    <s v="EMP1392"/>
    <d v="2019-04-24T00:00:00"/>
    <m/>
    <s v="No"/>
    <n v="33"/>
    <s v="Male"/>
    <s v="Divorced"/>
    <s v="Bachelor's"/>
    <x v="3"/>
    <s v="Financial Analyst"/>
    <n v="3"/>
    <s v="Chennai"/>
    <n v="86000"/>
    <n v="13.4"/>
    <n v="14.6"/>
    <n v="6.7"/>
    <n v="4.5"/>
    <n v="1"/>
    <n v="4"/>
    <n v="1"/>
    <s v="No"/>
    <n v="1"/>
    <n v="1"/>
    <m/>
  </r>
  <r>
    <s v="EMP1393"/>
    <d v="2023-10-05T00:00:00"/>
    <m/>
    <s v="No"/>
    <n v="35"/>
    <s v="Non-Binary"/>
    <s v="Single"/>
    <s v="Master's"/>
    <x v="2"/>
    <s v="System Administrator"/>
    <n v="3"/>
    <s v="Pune"/>
    <n v="66000"/>
    <n v="9"/>
    <n v="9.8000000000000007"/>
    <n v="2.2000000000000002"/>
    <n v="1.9"/>
    <n v="4"/>
    <n v="2"/>
    <n v="1"/>
    <s v="No"/>
    <n v="3"/>
    <n v="1"/>
    <m/>
  </r>
  <r>
    <s v="EMP1394"/>
    <d v="2023-01-21T00:00:00"/>
    <m/>
    <s v="No"/>
    <n v="31"/>
    <s v="Male"/>
    <s v="Single"/>
    <s v="Master's"/>
    <x v="1"/>
    <s v="Senior Data Analyst"/>
    <n v="5"/>
    <s v="Hyderabad"/>
    <n v="176000"/>
    <n v="5.0999999999999996"/>
    <n v="3.5"/>
    <n v="2.9"/>
    <n v="0.4"/>
    <n v="4"/>
    <n v="3"/>
    <n v="3"/>
    <s v="Yes"/>
    <n v="3"/>
    <n v="1"/>
    <m/>
  </r>
  <r>
    <s v="EMP1395"/>
    <d v="2020-06-10T00:00:00"/>
    <m/>
    <s v="No"/>
    <n v="28"/>
    <s v="Male"/>
    <s v="Single"/>
    <s v="Master's"/>
    <x v="6"/>
    <s v="Sales Manager"/>
    <n v="3"/>
    <s v="Hyderabad"/>
    <n v="79000"/>
    <n v="3.6"/>
    <n v="12.1"/>
    <n v="5.6"/>
    <n v="4.5"/>
    <n v="4"/>
    <n v="3"/>
    <n v="4"/>
    <s v="Yes"/>
    <n v="4"/>
    <n v="1"/>
    <m/>
  </r>
  <r>
    <s v="EMP1396"/>
    <d v="2023-10-16T00:00:00"/>
    <m/>
    <s v="No"/>
    <n v="46"/>
    <s v="Female"/>
    <s v="Married"/>
    <s v="Bachelor's"/>
    <x v="2"/>
    <s v="System Administrator"/>
    <n v="2"/>
    <s v="Pune"/>
    <n v="61000"/>
    <n v="15.6"/>
    <n v="5"/>
    <n v="2.2000000000000002"/>
    <n v="1.6"/>
    <n v="1"/>
    <n v="3"/>
    <n v="3"/>
    <s v="No"/>
    <n v="2"/>
    <n v="1"/>
    <m/>
  </r>
  <r>
    <s v="EMP1397"/>
    <d v="2021-10-19T00:00:00"/>
    <m/>
    <s v="No"/>
    <n v="41"/>
    <s v="Female"/>
    <s v="Single"/>
    <s v="Bachelor's"/>
    <x v="4"/>
    <s v="HR Executive"/>
    <n v="2"/>
    <s v="Mumbai"/>
    <n v="44000"/>
    <n v="6.4"/>
    <n v="9"/>
    <n v="4.2"/>
    <n v="0.6"/>
    <n v="3"/>
    <n v="1"/>
    <n v="2"/>
    <s v="No"/>
    <n v="5"/>
    <n v="1"/>
    <m/>
  </r>
  <r>
    <s v="EMP1398"/>
    <d v="2022-06-14T00:00:00"/>
    <m/>
    <s v="No"/>
    <n v="41"/>
    <s v="Non-Binary"/>
    <s v="Single"/>
    <s v="Master's"/>
    <x v="3"/>
    <s v="Finance Executive"/>
    <n v="3"/>
    <s v="Pune"/>
    <n v="94000"/>
    <n v="6.8"/>
    <n v="9.6999999999999993"/>
    <n v="3.5"/>
    <n v="0.9"/>
    <n v="1"/>
    <n v="2"/>
    <n v="2"/>
    <s v="Yes"/>
    <n v="3"/>
    <n v="1"/>
    <m/>
  </r>
  <r>
    <s v="EMP1399"/>
    <d v="2023-12-09T00:00:00"/>
    <m/>
    <s v="No"/>
    <n v="28"/>
    <s v="Non-Binary"/>
    <s v="Divorced"/>
    <s v="PhD"/>
    <x v="3"/>
    <s v="Finance Manager"/>
    <n v="1"/>
    <s v="Hyderabad"/>
    <n v="38000"/>
    <n v="13.5"/>
    <n v="9.6"/>
    <n v="2.1"/>
    <n v="1.8"/>
    <n v="2"/>
    <n v="3"/>
    <n v="3"/>
    <s v="No"/>
    <n v="4"/>
    <n v="1"/>
    <m/>
  </r>
  <r>
    <s v="EMP1400"/>
    <d v="2024-01-16T00:00:00"/>
    <d v="2025-04-28T00:00:00"/>
    <s v="Yes"/>
    <n v="36"/>
    <s v="Female"/>
    <s v="Married"/>
    <s v="Master's"/>
    <x v="3"/>
    <s v="Financial Analyst"/>
    <n v="4"/>
    <s v="Hyderabad"/>
    <n v="113000"/>
    <n v="9.5"/>
    <n v="1.5"/>
    <n v="1.3"/>
    <n v="0.7"/>
    <n v="3"/>
    <n v="2"/>
    <n v="3"/>
    <s v="Yes"/>
    <n v="4"/>
    <n v="1"/>
    <m/>
  </r>
  <r>
    <s v="EMP1401"/>
    <d v="2024-06-17T00:00:00"/>
    <m/>
    <s v="No"/>
    <n v="32"/>
    <s v="Non-Binary"/>
    <m/>
    <s v="Diploma"/>
    <x v="5"/>
    <s v="Senior Software Developer"/>
    <n v="2"/>
    <s v="Pune"/>
    <n v="58000"/>
    <n v="8.1"/>
    <n v="1.6"/>
    <n v="1.5"/>
    <n v="0.1"/>
    <n v="2"/>
    <n v="2"/>
    <n v="4"/>
    <s v="No"/>
    <n v="2"/>
    <n v="1"/>
    <m/>
  </r>
  <r>
    <s v="EMP1402"/>
    <d v="2020-07-14T00:00:00"/>
    <m/>
    <s v="No"/>
    <n v="36"/>
    <s v="Male"/>
    <s v="Single"/>
    <s v="Master's"/>
    <x v="0"/>
    <s v="Operations Executive"/>
    <n v="3"/>
    <s v="Noida"/>
    <n v="74000"/>
    <n v="3.9"/>
    <n v="9.1999999999999993"/>
    <n v="5.5"/>
    <n v="5.4"/>
    <n v="3"/>
    <n v="3"/>
    <n v="3"/>
    <s v="No"/>
    <n v="4"/>
    <n v="1"/>
    <m/>
  </r>
  <r>
    <s v="EMP1403"/>
    <d v="2017-10-19T00:00:00"/>
    <d v="2025-04-03T00:00:00"/>
    <s v="Yes"/>
    <n v="39"/>
    <s v="Female"/>
    <s v="Married"/>
    <s v="PhD"/>
    <x v="2"/>
    <s v="IT Analyst"/>
    <n v="3"/>
    <s v="Chennai"/>
    <n v="76000"/>
    <n v="11.6"/>
    <n v="13.3"/>
    <n v="7.5"/>
    <n v="5.8"/>
    <n v="3"/>
    <n v="3"/>
    <n v="3"/>
    <s v="No"/>
    <n v="3"/>
    <n v="1"/>
    <m/>
  </r>
  <r>
    <s v="EMP1404"/>
    <d v="2016-11-02T00:00:00"/>
    <m/>
    <s v="No"/>
    <n v="40"/>
    <s v="Non-Binary"/>
    <s v="Divorced"/>
    <s v="Diploma"/>
    <x v="1"/>
    <s v="BI Analyst"/>
    <n v="4"/>
    <s v="Mumbai"/>
    <n v="130000"/>
    <n v="7"/>
    <n v="9.9"/>
    <n v="9.1999999999999993"/>
    <n v="5.2"/>
    <n v="4"/>
    <n v="4"/>
    <n v="2"/>
    <s v="No"/>
    <n v="3"/>
    <n v="1"/>
    <m/>
  </r>
  <r>
    <s v="EMP1405"/>
    <d v="2021-10-19T00:00:00"/>
    <m/>
    <s v="No"/>
    <n v="32"/>
    <s v="Female"/>
    <s v="Divorced"/>
    <s v="PhD"/>
    <x v="6"/>
    <s v="Sales Executive"/>
    <n v="4"/>
    <s v="Pune"/>
    <n v="107000"/>
    <n v="10.6"/>
    <n v="8.4"/>
    <n v="4.2"/>
    <n v="3.5"/>
    <n v="4"/>
    <n v="3"/>
    <n v="4"/>
    <s v="No"/>
    <n v="3"/>
    <n v="1"/>
    <m/>
  </r>
  <r>
    <s v="EMP1406"/>
    <d v="2020-04-07T00:00:00"/>
    <m/>
    <s v="No"/>
    <n v="31"/>
    <s v="Non-Binary"/>
    <s v="Married"/>
    <s v="Bachelor's"/>
    <x v="3"/>
    <s v="Accountant"/>
    <n v="1"/>
    <s v="Chennai"/>
    <n v="22000"/>
    <n v="5.2"/>
    <n v="7.1"/>
    <n v="5.7"/>
    <n v="1.7"/>
    <n v="2"/>
    <n v="2"/>
    <n v="4"/>
    <s v="No"/>
    <n v="5"/>
    <n v="1"/>
    <m/>
  </r>
  <r>
    <s v="EMP1407"/>
    <d v="2023-09-06T00:00:00"/>
    <d v="2025-04-04T00:00:00"/>
    <s v="Yes"/>
    <n v="45"/>
    <s v="Female"/>
    <s v="Married"/>
    <s v="Master's"/>
    <x v="3"/>
    <s v="Accountant"/>
    <n v="3"/>
    <s v="Chennai"/>
    <n v="79000"/>
    <n v="10.3"/>
    <n v="4.4000000000000004"/>
    <n v="1.6"/>
    <n v="1.3"/>
    <n v="1"/>
    <n v="4"/>
    <n v="3"/>
    <s v="No"/>
    <n v="4"/>
    <n v="1"/>
    <m/>
  </r>
  <r>
    <s v="EMP1408"/>
    <d v="2021-10-03T00:00:00"/>
    <d v="2025-03-28T00:00:00"/>
    <s v="Yes"/>
    <n v="27"/>
    <s v="Non-Binary"/>
    <s v="Single"/>
    <s v="Bachelor's"/>
    <x v="3"/>
    <s v="Accountant"/>
    <n v="1"/>
    <s v="Chennai"/>
    <n v="38000"/>
    <n v="6"/>
    <n v="9.8000000000000007"/>
    <n v="3.5"/>
    <n v="0.9"/>
    <n v="2"/>
    <n v="3"/>
    <n v="3"/>
    <s v="Yes"/>
    <n v="4"/>
    <n v="1"/>
    <m/>
  </r>
  <r>
    <s v="EMP1409"/>
    <d v="2015-12-22T00:00:00"/>
    <m/>
    <s v="No"/>
    <n v="34"/>
    <s v="Female"/>
    <s v="Married"/>
    <s v="Master's"/>
    <x v="0"/>
    <s v="Process Associate"/>
    <n v="2"/>
    <s v="Pune"/>
    <n v="52000"/>
    <n v="5.9"/>
    <n v="12.1"/>
    <n v="10"/>
    <n v="5"/>
    <n v="2"/>
    <n v="3"/>
    <n v="4"/>
    <s v="No"/>
    <n v="5"/>
    <n v="1"/>
    <m/>
  </r>
  <r>
    <s v="EMP1410"/>
    <d v="2018-02-17T00:00:00"/>
    <d v="2025-02-13T00:00:00"/>
    <s v="Yes"/>
    <n v="48"/>
    <s v="Male"/>
    <s v="Married"/>
    <s v="PhD"/>
    <x v="5"/>
    <s v="Tech Lead"/>
    <n v="4"/>
    <s v="Bengaluru"/>
    <n v="115000"/>
    <n v="7.6"/>
    <n v="11.6"/>
    <n v="7"/>
    <n v="1.5"/>
    <n v="2"/>
    <n v="4"/>
    <n v="3"/>
    <s v="Yes"/>
    <n v="3"/>
    <n v="1"/>
    <m/>
  </r>
  <r>
    <s v="EMP1411"/>
    <d v="2025-08-19T00:00:00"/>
    <m/>
    <s v="No"/>
    <n v="39"/>
    <s v="Non-Binary"/>
    <s v="Divorced"/>
    <s v="PhD"/>
    <x v="5"/>
    <s v="Senior Software Developer"/>
    <n v="2"/>
    <s v="Bengaluru"/>
    <n v="54000"/>
    <n v="0"/>
    <n v="1.5"/>
    <n v="0.4"/>
    <n v="0"/>
    <n v="4"/>
    <n v="1"/>
    <n v="3"/>
    <s v="Yes"/>
    <n v="3"/>
    <n v="1"/>
    <m/>
  </r>
  <r>
    <s v="EMP1412"/>
    <d v="2021-02-15T00:00:00"/>
    <m/>
    <s v="No"/>
    <n v="38"/>
    <s v="Male"/>
    <s v="Married"/>
    <s v="PhD"/>
    <x v="3"/>
    <s v="Finance Manager"/>
    <n v="4"/>
    <s v="Noida"/>
    <n v="99000"/>
    <n v="6.6"/>
    <n v="5"/>
    <n v="4.9000000000000004"/>
    <n v="2.8"/>
    <n v="3"/>
    <n v="2"/>
    <n v="2"/>
    <s v="Yes"/>
    <n v="3"/>
    <n v="1"/>
    <m/>
  </r>
  <r>
    <s v="EMP1413"/>
    <d v="2023-04-18T00:00:00"/>
    <m/>
    <s v="No"/>
    <n v="43"/>
    <s v="Female"/>
    <s v="Married"/>
    <s v="Master's"/>
    <x v="1"/>
    <s v="BI Analyst"/>
    <n v="3"/>
    <m/>
    <n v="98000"/>
    <n v="8.3000000000000007"/>
    <n v="2.8"/>
    <n v="2.7"/>
    <n v="2.5"/>
    <n v="2"/>
    <n v="3"/>
    <n v="3"/>
    <s v="No"/>
    <n v="2"/>
    <n v="1"/>
    <m/>
  </r>
  <r>
    <s v="EMP1414"/>
    <d v="2022-06-21T00:00:00"/>
    <m/>
    <s v="No"/>
    <n v="32"/>
    <s v="Female"/>
    <s v="Single"/>
    <s v="PhD"/>
    <x v="0"/>
    <s v="Operations Executive"/>
    <n v="2"/>
    <s v="Noida"/>
    <n v="60000"/>
    <n v="5.5"/>
    <n v="7.2"/>
    <n v="3.5"/>
    <n v="1.6"/>
    <n v="2"/>
    <n v="3"/>
    <n v="3"/>
    <s v="No"/>
    <n v="3"/>
    <n v="1"/>
    <m/>
  </r>
  <r>
    <s v="EMP1415"/>
    <d v="2023-08-05T00:00:00"/>
    <m/>
    <s v="No"/>
    <n v="40"/>
    <s v="Male"/>
    <s v="Single"/>
    <s v="PhD"/>
    <x v="1"/>
    <s v="Senior Data Analyst"/>
    <n v="3"/>
    <s v="Chennai"/>
    <n v="89000"/>
    <n v="14.5"/>
    <n v="8.9"/>
    <n v="2.4"/>
    <n v="1.1000000000000001"/>
    <n v="4"/>
    <n v="4"/>
    <n v="2"/>
    <s v="No"/>
    <n v="4"/>
    <n v="1"/>
    <m/>
  </r>
  <r>
    <s v="EMP1416"/>
    <d v="2017-07-17T00:00:00"/>
    <m/>
    <s v="No"/>
    <n v="33"/>
    <s v="Female"/>
    <s v="Married"/>
    <s v="PhD"/>
    <x v="4"/>
    <s v="Recruiter"/>
    <n v="2"/>
    <s v="Hyderabad"/>
    <n v="42000"/>
    <n v="9"/>
    <n v="12"/>
    <n v="8.5"/>
    <n v="1.6"/>
    <n v="2"/>
    <n v="3"/>
    <n v="4"/>
    <s v="Yes"/>
    <n v="2"/>
    <n v="1"/>
    <m/>
  </r>
  <r>
    <s v="EMP1417"/>
    <d v="2021-12-06T00:00:00"/>
    <m/>
    <s v="No"/>
    <n v="30"/>
    <s v="Male"/>
    <s v="Married"/>
    <s v="Bachelor's"/>
    <x v="2"/>
    <s v="System Administrator"/>
    <n v="3"/>
    <s v="Hyderabad"/>
    <n v="62000"/>
    <n v="11.8"/>
    <n v="5.4"/>
    <n v="4.0999999999999996"/>
    <n v="3.6"/>
    <n v="3"/>
    <n v="4"/>
    <n v="3"/>
    <s v="Yes"/>
    <n v="3"/>
    <n v="1"/>
    <m/>
  </r>
  <r>
    <s v="EMP1418"/>
    <d v="2025-07-31T00:00:00"/>
    <m/>
    <s v="No"/>
    <n v="21"/>
    <s v="Female"/>
    <s v="Divorced"/>
    <s v="Diploma"/>
    <x v="0"/>
    <s v="Process Associate"/>
    <n v="1"/>
    <s v="Mumbai"/>
    <n v="44000"/>
    <n v="19"/>
    <n v="5.6"/>
    <n v="0.4"/>
    <n v="0"/>
    <n v="4"/>
    <n v="1"/>
    <n v="3"/>
    <s v="No"/>
    <n v="3"/>
    <n v="1"/>
    <m/>
  </r>
  <r>
    <s v="EMP1419"/>
    <d v="2022-04-20T00:00:00"/>
    <m/>
    <s v="No"/>
    <n v="29"/>
    <s v="Female"/>
    <s v="Divorced"/>
    <s v="PhD"/>
    <x v="0"/>
    <s v="Operations Manager"/>
    <n v="2"/>
    <s v="Bengaluru"/>
    <n v="75000"/>
    <n v="3.7"/>
    <n v="3.8"/>
    <n v="3.7"/>
    <n v="3"/>
    <n v="3"/>
    <n v="3"/>
    <n v="2"/>
    <s v="Yes"/>
    <n v="4"/>
    <n v="1"/>
    <m/>
  </r>
  <r>
    <s v="EMP1420"/>
    <d v="2018-04-09T00:00:00"/>
    <m/>
    <s v="No"/>
    <n v="34"/>
    <s v="Female"/>
    <s v="Single"/>
    <s v="PhD"/>
    <x v="6"/>
    <s v="Business Development Executive"/>
    <n v="4"/>
    <s v="Noida"/>
    <n v="123000"/>
    <n v="10.4"/>
    <n v="15.4"/>
    <n v="7.7"/>
    <n v="3.1"/>
    <n v="3"/>
    <n v="3"/>
    <n v="3"/>
    <s v="No"/>
    <n v="3"/>
    <n v="1"/>
    <m/>
  </r>
  <r>
    <s v="EMP1421"/>
    <d v="2020-09-10T00:00:00"/>
    <m/>
    <s v="No"/>
    <n v="26"/>
    <s v="Male"/>
    <s v="Married"/>
    <s v="Diploma"/>
    <x v="2"/>
    <s v="IT Analyst"/>
    <n v="1"/>
    <s v="Noida"/>
    <n v="30000"/>
    <n v="5"/>
    <n v="10.7"/>
    <n v="5.3"/>
    <n v="2.1"/>
    <n v="3"/>
    <n v="2"/>
    <n v="3"/>
    <s v="Yes"/>
    <n v="4"/>
    <n v="1"/>
    <m/>
  </r>
  <r>
    <s v="EMP1422"/>
    <d v="2019-03-17T00:00:00"/>
    <m/>
    <s v="No"/>
    <n v="29"/>
    <s v="Female"/>
    <s v="Married"/>
    <s v="Bachelor's"/>
    <x v="5"/>
    <s v="QA Engineer"/>
    <n v="4"/>
    <s v="Noida"/>
    <n v="111000"/>
    <n v="14"/>
    <n v="10.6"/>
    <n v="6.8"/>
    <n v="4.2"/>
    <n v="4"/>
    <n v="3"/>
    <n v="2"/>
    <s v="No"/>
    <n v="4"/>
    <n v="1"/>
    <m/>
  </r>
  <r>
    <s v="EMP1423"/>
    <d v="2025-08-16T00:00:00"/>
    <m/>
    <s v="No"/>
    <n v="24"/>
    <s v="Female"/>
    <s v="Divorced"/>
    <s v="Master's"/>
    <x v="3"/>
    <s v="Finance Manager"/>
    <n v="1"/>
    <s v="Pune"/>
    <n v="33000"/>
    <n v="9.3000000000000007"/>
    <n v="3.8"/>
    <n v="0.4"/>
    <n v="0"/>
    <n v="3"/>
    <n v="1"/>
    <n v="3"/>
    <s v="No"/>
    <n v="3"/>
    <n v="1"/>
    <m/>
  </r>
  <r>
    <s v="EMP1424"/>
    <d v="2020-07-20T00:00:00"/>
    <m/>
    <s v="No"/>
    <n v="35"/>
    <s v="Female"/>
    <s v="Married"/>
    <s v="PhD"/>
    <x v="5"/>
    <s v="Tech Lead"/>
    <n v="3"/>
    <s v="Chennai"/>
    <n v="77000"/>
    <n v="15.8"/>
    <n v="11.8"/>
    <n v="5.4"/>
    <n v="4.9000000000000004"/>
    <n v="4"/>
    <n v="3"/>
    <n v="2"/>
    <s v="Yes"/>
    <n v="4"/>
    <n v="1"/>
    <m/>
  </r>
  <r>
    <s v="EMP1425"/>
    <d v="2019-09-28T00:00:00"/>
    <m/>
    <s v="No"/>
    <n v="30"/>
    <s v="Male"/>
    <s v="Married"/>
    <s v="PhD"/>
    <x v="0"/>
    <s v="Operations Manager"/>
    <n v="3"/>
    <s v="Pune"/>
    <n v="65000"/>
    <n v="8.6"/>
    <n v="9.6999999999999993"/>
    <n v="6.3"/>
    <n v="1.3"/>
    <n v="3"/>
    <n v="4"/>
    <n v="3"/>
    <s v="No"/>
    <n v="4"/>
    <n v="1"/>
    <m/>
  </r>
  <r>
    <s v="EMP1426"/>
    <d v="2017-09-30T00:00:00"/>
    <m/>
    <s v="No"/>
    <n v="33"/>
    <s v="Non-Binary"/>
    <s v="Married"/>
    <s v="Bachelor's"/>
    <x v="4"/>
    <s v="HR Manager"/>
    <n v="2"/>
    <s v="Noida"/>
    <n v="49000"/>
    <n v="9.1999999999999993"/>
    <n v="15"/>
    <n v="8.3000000000000007"/>
    <n v="4.5"/>
    <n v="3"/>
    <n v="4"/>
    <n v="1"/>
    <s v="Yes"/>
    <n v="4"/>
    <n v="1"/>
    <m/>
  </r>
  <r>
    <s v="EMP1427"/>
    <d v="2024-03-19T00:00:00"/>
    <m/>
    <s v="No"/>
    <n v="31"/>
    <s v="Non-Binary"/>
    <s v="Divorced"/>
    <s v="PhD"/>
    <x v="0"/>
    <s v="Operations Manager"/>
    <n v="3"/>
    <s v="Bengaluru"/>
    <n v="53000"/>
    <n v="12.9"/>
    <n v="8.6"/>
    <n v="1.8"/>
    <n v="0.8"/>
    <n v="3"/>
    <n v="3"/>
    <n v="2"/>
    <s v="Yes"/>
    <n v="4"/>
    <n v="1"/>
    <m/>
  </r>
  <r>
    <s v="EMP1428"/>
    <d v="2019-03-29T00:00:00"/>
    <m/>
    <s v="No"/>
    <n v="28"/>
    <s v="Non-Binary"/>
    <s v="Divorced"/>
    <s v="Master's"/>
    <x v="3"/>
    <s v="Finance Manager"/>
    <n v="2"/>
    <s v="Chennai"/>
    <n v="72000"/>
    <n v="9.3000000000000007"/>
    <n v="14.2"/>
    <n v="6.8"/>
    <n v="4.0999999999999996"/>
    <n v="3"/>
    <n v="4"/>
    <n v="3"/>
    <s v="No"/>
    <n v="5"/>
    <n v="1"/>
    <m/>
  </r>
  <r>
    <s v="EMP1429"/>
    <d v="2019-01-26T00:00:00"/>
    <d v="2025-03-20T00:00:00"/>
    <s v="Yes"/>
    <n v="39"/>
    <s v="Female"/>
    <s v="Single"/>
    <s v="PhD"/>
    <x v="2"/>
    <s v="IT Support Specialist"/>
    <n v="3"/>
    <s v="Noida"/>
    <n v="79000"/>
    <n v="10.6"/>
    <n v="9.5"/>
    <n v="6.1"/>
    <n v="1.9"/>
    <n v="2"/>
    <n v="4"/>
    <n v="2"/>
    <s v="No"/>
    <n v="4"/>
    <n v="1"/>
    <m/>
  </r>
  <r>
    <s v="EMP1430"/>
    <d v="2022-02-05T00:00:00"/>
    <m/>
    <s v="No"/>
    <n v="36"/>
    <s v="Male"/>
    <s v="Divorced"/>
    <s v="Master's"/>
    <x v="5"/>
    <s v="Tech Lead"/>
    <n v="4"/>
    <s v="Hyderabad"/>
    <n v="122000"/>
    <n v="11.2"/>
    <n v="4.0999999999999996"/>
    <n v="3.9"/>
    <n v="2.8"/>
    <n v="3"/>
    <n v="3"/>
    <n v="3"/>
    <s v="Yes"/>
    <n v="4"/>
    <n v="1"/>
    <m/>
  </r>
  <r>
    <s v="EMP1431"/>
    <d v="2022-03-22T00:00:00"/>
    <m/>
    <s v="No"/>
    <n v="30"/>
    <s v="Male"/>
    <s v="Single"/>
    <s v="Diploma"/>
    <x v="6"/>
    <s v="Sales Executive"/>
    <n v="2"/>
    <s v="Hyderabad"/>
    <n v="68000"/>
    <n v="5.9"/>
    <n v="11.7"/>
    <n v="3.8"/>
    <n v="2.2999999999999998"/>
    <n v="4"/>
    <n v="1"/>
    <n v="3"/>
    <s v="No"/>
    <n v="4"/>
    <n v="1"/>
    <m/>
  </r>
  <r>
    <s v="EMP1432"/>
    <d v="2023-01-25T00:00:00"/>
    <m/>
    <s v="No"/>
    <n v="30"/>
    <s v="Non-Binary"/>
    <s v="Divorced"/>
    <s v="Bachelor's"/>
    <x v="4"/>
    <s v="Recruiter"/>
    <n v="5"/>
    <s v="Mumbai"/>
    <n v="136000"/>
    <n v="0.2"/>
    <n v="8.1999999999999993"/>
    <n v="2.9"/>
    <n v="0.7"/>
    <n v="3"/>
    <n v="1"/>
    <n v="2"/>
    <s v="No"/>
    <n v="5"/>
    <n v="1"/>
    <m/>
  </r>
  <r>
    <s v="EMP1433"/>
    <d v="2019-10-30T00:00:00"/>
    <m/>
    <s v="No"/>
    <n v="34"/>
    <s v="Non-Binary"/>
    <s v="Single"/>
    <s v="Bachelor's"/>
    <x v="0"/>
    <s v="Operations Executive"/>
    <n v="2"/>
    <s v="Mumbai"/>
    <n v="49000"/>
    <n v="8.4"/>
    <n v="11.3"/>
    <n v="6.2"/>
    <n v="4"/>
    <n v="3"/>
    <n v="3"/>
    <n v="3"/>
    <s v="No"/>
    <n v="4"/>
    <n v="1"/>
    <m/>
  </r>
  <r>
    <s v="EMP1434"/>
    <d v="2018-11-26T00:00:00"/>
    <m/>
    <s v="No"/>
    <n v="40"/>
    <s v="Female"/>
    <s v="Single"/>
    <s v="Master's"/>
    <x v="0"/>
    <s v="Operations Manager"/>
    <n v="4"/>
    <s v="Mumbai"/>
    <n v="102000"/>
    <n v="6.7"/>
    <n v="11.2"/>
    <n v="7.1"/>
    <n v="2"/>
    <n v="2"/>
    <n v="2"/>
    <n v="3"/>
    <s v="No"/>
    <n v="1"/>
    <n v="1"/>
    <m/>
  </r>
  <r>
    <s v="EMP1435"/>
    <d v="2015-05-29T00:00:00"/>
    <m/>
    <s v="No"/>
    <n v="37"/>
    <s v="Male"/>
    <s v="Divorced"/>
    <s v="Master's"/>
    <x v="0"/>
    <s v="Operations Manager"/>
    <n v="1"/>
    <s v="Chennai"/>
    <n v="44000"/>
    <n v="6.5"/>
    <n v="14.7"/>
    <n v="10.6"/>
    <n v="5.4"/>
    <n v="3"/>
    <n v="4"/>
    <n v="2"/>
    <s v="Yes"/>
    <n v="2"/>
    <n v="1"/>
    <m/>
  </r>
  <r>
    <s v="EMP1436"/>
    <d v="2016-09-08T00:00:00"/>
    <m/>
    <s v="No"/>
    <n v="35"/>
    <s v="Non-Binary"/>
    <s v="Married"/>
    <s v="Master's"/>
    <x v="3"/>
    <s v="Accountant"/>
    <n v="3"/>
    <s v="Noida"/>
    <n v="71000"/>
    <n v="9.1"/>
    <n v="16.899999999999999"/>
    <n v="9.3000000000000007"/>
    <n v="4"/>
    <n v="4"/>
    <n v="1"/>
    <n v="2"/>
    <s v="No"/>
    <n v="3"/>
    <n v="1"/>
    <m/>
  </r>
  <r>
    <s v="EMP1437"/>
    <d v="2025-04-05T00:00:00"/>
    <d v="2025-11-02T00:00:00"/>
    <s v="Yes"/>
    <n v="21"/>
    <s v="Female"/>
    <s v="Married"/>
    <s v="PhD"/>
    <x v="0"/>
    <s v="Process Associate"/>
    <n v="1"/>
    <s v="Pune"/>
    <n v="35000"/>
    <n v="7.5"/>
    <n v="6.1"/>
    <n v="0.6"/>
    <n v="0"/>
    <n v="3"/>
    <n v="4"/>
    <n v="3"/>
    <s v="Yes"/>
    <n v="2"/>
    <n v="1"/>
    <m/>
  </r>
  <r>
    <s v="EMP1438"/>
    <d v="2015-11-12T00:00:00"/>
    <d v="2025-03-31T00:00:00"/>
    <s v="Yes"/>
    <n v="33"/>
    <s v="Male"/>
    <s v="Married"/>
    <s v="PhD"/>
    <x v="5"/>
    <s v="Software Developer"/>
    <n v="3"/>
    <s v="Noida"/>
    <n v="78000"/>
    <n v="8.8000000000000007"/>
    <n v="17.3"/>
    <n v="9.4"/>
    <n v="2.5"/>
    <n v="2"/>
    <n v="3"/>
    <n v="4"/>
    <s v="Yes"/>
    <n v="3"/>
    <n v="1"/>
    <m/>
  </r>
  <r>
    <s v="EMP1439"/>
    <d v="2021-10-17T00:00:00"/>
    <m/>
    <s v="No"/>
    <n v="43"/>
    <s v="Non-Binary"/>
    <s v="Single"/>
    <s v="Diploma"/>
    <x v="0"/>
    <s v="Operations Analyst"/>
    <n v="3"/>
    <s v="Pune"/>
    <n v="60000"/>
    <n v="8.1999999999999993"/>
    <n v="4.3"/>
    <n v="4.2"/>
    <n v="0.8"/>
    <n v="4"/>
    <n v="3"/>
    <n v="3"/>
    <s v="No"/>
    <n v="4"/>
    <n v="1"/>
    <m/>
  </r>
  <r>
    <s v="EMP1440"/>
    <d v="2018-09-20T00:00:00"/>
    <m/>
    <s v="No"/>
    <n v="37"/>
    <s v="Female"/>
    <s v="Married"/>
    <s v="Bachelor's"/>
    <x v="0"/>
    <s v="Operations Manager"/>
    <n v="2"/>
    <s v="Pune"/>
    <n v="47000"/>
    <n v="6.9"/>
    <n v="9.1"/>
    <n v="7.3"/>
    <n v="2.2000000000000002"/>
    <n v="4"/>
    <n v="1"/>
    <n v="3"/>
    <s v="No"/>
    <n v="3"/>
    <n v="1"/>
    <m/>
  </r>
  <r>
    <s v="EMP1441"/>
    <d v="2020-06-13T00:00:00"/>
    <m/>
    <s v="No"/>
    <n v="33"/>
    <s v="Male"/>
    <s v="Divorced"/>
    <s v="PhD"/>
    <x v="4"/>
    <s v="HR Manager"/>
    <n v="3"/>
    <s v="Hyderabad"/>
    <n v="78000"/>
    <n v="5.0999999999999996"/>
    <n v="8.1"/>
    <n v="5.5"/>
    <n v="4.5999999999999996"/>
    <n v="4"/>
    <n v="4"/>
    <n v="3"/>
    <s v="Yes"/>
    <n v="3"/>
    <n v="1"/>
    <m/>
  </r>
  <r>
    <s v="EMP1442"/>
    <d v="2016-02-29T00:00:00"/>
    <m/>
    <s v="No"/>
    <n v="34"/>
    <s v="Non-Binary"/>
    <s v="Divorced"/>
    <s v="Master's"/>
    <x v="4"/>
    <s v="HR Executive"/>
    <n v="3"/>
    <s v="Bengaluru"/>
    <n v="71000"/>
    <n v="11.5"/>
    <n v="10"/>
    <n v="9.8000000000000007"/>
    <n v="1.5"/>
    <n v="4"/>
    <n v="3"/>
    <n v="3"/>
    <s v="No"/>
    <n v="4"/>
    <n v="1"/>
    <m/>
  </r>
  <r>
    <s v="EMP1443"/>
    <d v="2022-10-16T00:00:00"/>
    <m/>
    <s v="No"/>
    <n v="34"/>
    <s v="Female"/>
    <s v="Divorced"/>
    <s v="PhD"/>
    <x v="6"/>
    <s v="Business Development Executive"/>
    <n v="5"/>
    <s v="Hyderabad"/>
    <n v="139000"/>
    <n v="16.600000000000001"/>
    <n v="4.4000000000000004"/>
    <n v="3.2"/>
    <n v="0.6"/>
    <n v="4"/>
    <n v="2"/>
    <n v="3"/>
    <s v="No"/>
    <n v="3"/>
    <n v="1"/>
    <m/>
  </r>
  <r>
    <s v="EMP1444"/>
    <d v="2018-11-24T00:00:00"/>
    <m/>
    <s v="No"/>
    <n v="38"/>
    <s v="Non-Binary"/>
    <s v="Divorced"/>
    <s v="PhD"/>
    <x v="4"/>
    <s v="HR Executive"/>
    <n v="2"/>
    <s v="Pune"/>
    <n v="43000"/>
    <n v="10.199999999999999"/>
    <n v="14.2"/>
    <n v="7.1"/>
    <n v="5.4"/>
    <n v="3"/>
    <n v="2"/>
    <n v="1"/>
    <s v="No"/>
    <n v="3"/>
    <n v="1"/>
    <m/>
  </r>
  <r>
    <s v="EMP1445"/>
    <d v="2024-03-11T00:00:00"/>
    <m/>
    <s v="No"/>
    <n v="36"/>
    <s v="Non-Binary"/>
    <s v="Divorced"/>
    <s v="Master's"/>
    <x v="1"/>
    <s v="Data Engineer"/>
    <n v="3"/>
    <s v="Chennai"/>
    <n v="86000"/>
    <n v="9.1"/>
    <n v="9.4"/>
    <n v="1.8"/>
    <n v="1"/>
    <n v="3"/>
    <n v="3"/>
    <n v="2"/>
    <s v="No"/>
    <n v="3"/>
    <n v="1"/>
    <m/>
  </r>
  <r>
    <s v="EMP1446"/>
    <d v="2024-11-26T00:00:00"/>
    <m/>
    <s v="No"/>
    <n v="24"/>
    <s v="Female"/>
    <s v="Single"/>
    <s v="Diploma"/>
    <x v="0"/>
    <s v="Operations Analyst"/>
    <n v="1"/>
    <s v="Bengaluru"/>
    <n v="25000"/>
    <n v="10.8"/>
    <n v="4.3"/>
    <n v="1.1000000000000001"/>
    <n v="0.6"/>
    <n v="4"/>
    <n v="3"/>
    <n v="3"/>
    <s v="No"/>
    <n v="3"/>
    <n v="1"/>
    <m/>
  </r>
  <r>
    <s v="EMP1447"/>
    <d v="2025-02-16T00:00:00"/>
    <m/>
    <s v="No"/>
    <n v="32"/>
    <s v="Non-Binary"/>
    <s v="Single"/>
    <s v="Master's"/>
    <x v="1"/>
    <s v="Senior Data Analyst"/>
    <n v="3"/>
    <s v="Pune"/>
    <n v="95000"/>
    <n v="8.6"/>
    <n v="7.4"/>
    <n v="0.9"/>
    <n v="0"/>
    <n v="4"/>
    <n v="2"/>
    <n v="3"/>
    <s v="No"/>
    <n v="3"/>
    <n v="1"/>
    <m/>
  </r>
  <r>
    <s v="EMP1448"/>
    <d v="2025-09-05T00:00:00"/>
    <d v="2025-12-16T00:00:00"/>
    <s v="Yes"/>
    <n v="21"/>
    <s v="Male"/>
    <s v="Married"/>
    <s v="Master's"/>
    <x v="3"/>
    <s v="Financial Analyst"/>
    <n v="1"/>
    <s v="Bengaluru"/>
    <n v="36000"/>
    <n v="2.5"/>
    <n v="5.9"/>
    <n v="0.3"/>
    <n v="0"/>
    <n v="3"/>
    <n v="2"/>
    <n v="3"/>
    <s v="No"/>
    <n v="4"/>
    <n v="1"/>
    <m/>
  </r>
  <r>
    <s v="EMP1449"/>
    <d v="2019-02-07T00:00:00"/>
    <m/>
    <s v="No"/>
    <n v="35"/>
    <s v="Male"/>
    <s v="Single"/>
    <s v="PhD"/>
    <x v="2"/>
    <s v="IT Analyst"/>
    <n v="3"/>
    <s v="Noida"/>
    <n v="76000"/>
    <n v="7.9"/>
    <n v="13.4"/>
    <n v="6.9"/>
    <n v="3"/>
    <n v="2"/>
    <n v="2"/>
    <n v="3"/>
    <s v="Yes"/>
    <n v="4"/>
    <n v="1"/>
    <m/>
  </r>
  <r>
    <s v="EMP1450"/>
    <d v="2017-01-06T00:00:00"/>
    <m/>
    <s v="No"/>
    <n v="55"/>
    <s v="Male"/>
    <s v="Married"/>
    <s v="Master's"/>
    <x v="6"/>
    <s v="Business Development Executive"/>
    <n v="2"/>
    <s v="Bengaluru"/>
    <n v="50000"/>
    <n v="11"/>
    <n v="9.1"/>
    <n v="9"/>
    <n v="3.7"/>
    <n v="3"/>
    <n v="3"/>
    <n v="2"/>
    <s v="No"/>
    <n v="3"/>
    <n v="1"/>
    <m/>
  </r>
  <r>
    <s v="EMP1451"/>
    <d v="2020-09-09T00:00:00"/>
    <m/>
    <s v="No"/>
    <n v="35"/>
    <s v="Non-Binary"/>
    <s v="Single"/>
    <s v="Diploma"/>
    <x v="4"/>
    <s v="HR Manager"/>
    <n v="5"/>
    <s v="Mumbai"/>
    <n v="145000"/>
    <n v="7.4"/>
    <n v="9.8000000000000007"/>
    <n v="5.3"/>
    <n v="3.3"/>
    <n v="2"/>
    <n v="2"/>
    <n v="4"/>
    <s v="No"/>
    <n v="5"/>
    <n v="1"/>
    <m/>
  </r>
  <r>
    <s v="EMP1452"/>
    <d v="2024-09-14T00:00:00"/>
    <m/>
    <s v="No"/>
    <n v="41"/>
    <s v="Female"/>
    <s v="Single"/>
    <s v="Diploma"/>
    <x v="4"/>
    <s v="Recruiter"/>
    <n v="4"/>
    <s v="Bengaluru"/>
    <n v="107000"/>
    <n v="0"/>
    <n v="4.9000000000000004"/>
    <n v="1.3"/>
    <n v="0.5"/>
    <n v="2"/>
    <n v="2"/>
    <n v="3"/>
    <s v="No"/>
    <n v="4"/>
    <n v="1"/>
    <m/>
  </r>
  <r>
    <s v="EMP1453"/>
    <d v="2022-02-07T00:00:00"/>
    <m/>
    <s v="No"/>
    <n v="52"/>
    <s v="Male"/>
    <s v="Single"/>
    <s v="Bachelor's"/>
    <x v="6"/>
    <s v="Account Manager"/>
    <n v="3"/>
    <s v="Mumbai"/>
    <n v="75000"/>
    <n v="13.4"/>
    <n v="11.6"/>
    <n v="3.9"/>
    <n v="2.6"/>
    <n v="3"/>
    <n v="3"/>
    <n v="3"/>
    <s v="Yes"/>
    <n v="4"/>
    <n v="1"/>
    <m/>
  </r>
  <r>
    <s v="EMP1454"/>
    <d v="2023-09-19T00:00:00"/>
    <d v="2025-08-03T00:00:00"/>
    <s v="Yes"/>
    <n v="35"/>
    <s v="Female"/>
    <s v="Divorced"/>
    <s v="Bachelor's"/>
    <x v="3"/>
    <s v="Finance Manager"/>
    <n v="2"/>
    <s v="Chennai"/>
    <n v="47000"/>
    <n v="0"/>
    <n v="2.6"/>
    <n v="1.9"/>
    <n v="1.1000000000000001"/>
    <n v="4"/>
    <n v="3"/>
    <n v="4"/>
    <s v="No"/>
    <n v="2"/>
    <n v="1"/>
    <m/>
  </r>
  <r>
    <s v="EMP1455"/>
    <d v="2024-05-28T00:00:00"/>
    <m/>
    <s v="No"/>
    <n v="27"/>
    <s v="Non-Binary"/>
    <s v="Single"/>
    <s v="Diploma"/>
    <x v="1"/>
    <s v="Data Engineer"/>
    <n v="1"/>
    <s v="Mumbai"/>
    <n v="41000"/>
    <n v="4"/>
    <n v="8.1"/>
    <n v="1.6"/>
    <n v="1.4"/>
    <n v="2"/>
    <n v="3"/>
    <n v="4"/>
    <s v="No"/>
    <n v="3"/>
    <n v="1"/>
    <m/>
  </r>
  <r>
    <s v="EMP1456"/>
    <d v="2014-06-26T00:00:00"/>
    <m/>
    <s v="No"/>
    <n v="33"/>
    <s v="Female"/>
    <s v="Single"/>
    <s v="Bachelor's"/>
    <x v="3"/>
    <s v="Financial Analyst"/>
    <n v="2"/>
    <s v="Mumbai"/>
    <n v="57000"/>
    <n v="4.5"/>
    <n v="19.399999999999999"/>
    <n v="11.5"/>
    <n v="5.5"/>
    <n v="2"/>
    <n v="4"/>
    <n v="3"/>
    <s v="No"/>
    <n v="3"/>
    <n v="1"/>
    <m/>
  </r>
  <r>
    <s v="EMP1457"/>
    <d v="2019-09-18T00:00:00"/>
    <d v="2025-12-22T00:00:00"/>
    <s v="Yes"/>
    <n v="29"/>
    <s v="Female"/>
    <s v="Married"/>
    <s v="Master's"/>
    <x v="0"/>
    <s v="Operations Executive"/>
    <n v="5"/>
    <s v="Hyderabad"/>
    <n v="129000"/>
    <n v="8.6"/>
    <n v="8.1999999999999993"/>
    <n v="6.3"/>
    <n v="3.9"/>
    <n v="4"/>
    <n v="4"/>
    <n v="3"/>
    <s v="No"/>
    <n v="2"/>
    <n v="1"/>
    <m/>
  </r>
  <r>
    <s v="EMP1458"/>
    <d v="2021-07-23T00:00:00"/>
    <m/>
    <s v="No"/>
    <n v="34"/>
    <s v="Non-Binary"/>
    <s v="Divorced"/>
    <s v="PhD"/>
    <x v="5"/>
    <s v="Software Developer"/>
    <n v="3"/>
    <s v="Noida"/>
    <n v="99000"/>
    <n v="8.1"/>
    <n v="10.3"/>
    <n v="4.4000000000000004"/>
    <n v="3.6"/>
    <n v="3"/>
    <n v="3"/>
    <n v="4"/>
    <s v="Yes"/>
    <n v="3"/>
    <n v="1"/>
    <m/>
  </r>
  <r>
    <s v="EMP1459"/>
    <d v="2022-11-14T00:00:00"/>
    <m/>
    <s v="No"/>
    <n v="25"/>
    <s v="Male"/>
    <s v="Divorced"/>
    <s v="Diploma"/>
    <x v="6"/>
    <s v="Account Manager"/>
    <n v="1"/>
    <s v="Hyderabad"/>
    <n v="41000"/>
    <n v="9.6999999999999993"/>
    <n v="9.6999999999999993"/>
    <n v="3.1"/>
    <n v="0"/>
    <n v="3"/>
    <n v="3"/>
    <n v="3"/>
    <s v="Yes"/>
    <n v="5"/>
    <n v="1"/>
    <m/>
  </r>
  <r>
    <s v="EMP1460"/>
    <d v="2025-04-28T00:00:00"/>
    <d v="2025-12-26T00:00:00"/>
    <s v="Yes"/>
    <n v="21"/>
    <s v="Female"/>
    <s v="Married"/>
    <s v="Master's"/>
    <x v="6"/>
    <s v="Sales Executive"/>
    <n v="1"/>
    <s v="Noida"/>
    <n v="47000"/>
    <n v="4.0999999999999996"/>
    <n v="5"/>
    <n v="0.7"/>
    <n v="0"/>
    <n v="4"/>
    <n v="4"/>
    <n v="1"/>
    <s v="No"/>
    <n v="3"/>
    <n v="1"/>
    <m/>
  </r>
  <r>
    <s v="EMP1461"/>
    <d v="2021-05-08T00:00:00"/>
    <m/>
    <s v="No"/>
    <n v="36"/>
    <s v="Male"/>
    <s v="Single"/>
    <s v="PhD"/>
    <x v="0"/>
    <s v="Operations Executive"/>
    <n v="2"/>
    <s v="Hyderabad"/>
    <n v="39000"/>
    <n v="3"/>
    <n v="6.9"/>
    <n v="4.5999999999999996"/>
    <n v="4.5"/>
    <n v="3"/>
    <n v="4"/>
    <n v="3"/>
    <s v="No"/>
    <n v="4"/>
    <n v="1"/>
    <m/>
  </r>
  <r>
    <s v="EMP1462"/>
    <d v="2015-02-26T00:00:00"/>
    <m/>
    <s v="No"/>
    <n v="38"/>
    <s v="Male"/>
    <s v="Divorced"/>
    <s v="PhD"/>
    <x v="1"/>
    <s v="Senior Data Analyst"/>
    <n v="1"/>
    <s v="Hyderabad"/>
    <n v="34000"/>
    <n v="20.7"/>
    <n v="17.8"/>
    <n v="10.8"/>
    <n v="4.3"/>
    <n v="3"/>
    <n v="3"/>
    <n v="3"/>
    <s v="No"/>
    <n v="3"/>
    <n v="1"/>
    <m/>
  </r>
  <r>
    <s v="EMP1463"/>
    <d v="2022-05-01T00:00:00"/>
    <m/>
    <s v="No"/>
    <n v="27"/>
    <s v="Male"/>
    <s v="Divorced"/>
    <s v="Master's"/>
    <x v="6"/>
    <s v="Sales Executive"/>
    <n v="1"/>
    <s v="Bengaluru"/>
    <n v="29000"/>
    <n v="10"/>
    <n v="7.1"/>
    <n v="3.7"/>
    <n v="0.2"/>
    <n v="1"/>
    <n v="3"/>
    <n v="3"/>
    <s v="No"/>
    <n v="3"/>
    <n v="1"/>
    <m/>
  </r>
  <r>
    <s v="EMP1464"/>
    <d v="2018-07-03T00:00:00"/>
    <m/>
    <s v="No"/>
    <n v="37"/>
    <s v="Male"/>
    <s v="Married"/>
    <s v="PhD"/>
    <x v="0"/>
    <s v="Operations Executive"/>
    <n v="3"/>
    <s v="Bengaluru"/>
    <n v="63000"/>
    <n v="3.5"/>
    <n v="14.6"/>
    <n v="7.5"/>
    <n v="1.7"/>
    <n v="3"/>
    <n v="2"/>
    <n v="2"/>
    <s v="No"/>
    <n v="4"/>
    <n v="1"/>
    <m/>
  </r>
  <r>
    <s v="EMP1465"/>
    <d v="2025-04-29T00:00:00"/>
    <m/>
    <s v="No"/>
    <n v="21"/>
    <s v="Male"/>
    <s v="Married"/>
    <s v="PhD"/>
    <x v="5"/>
    <s v="QA Engineer"/>
    <n v="1"/>
    <s v="Noida"/>
    <n v="33000"/>
    <n v="7.8"/>
    <n v="7.1"/>
    <n v="0.7"/>
    <n v="0"/>
    <n v="3"/>
    <n v="3"/>
    <n v="2"/>
    <s v="No"/>
    <n v="4"/>
    <n v="1"/>
    <m/>
  </r>
  <r>
    <s v="EMP1466"/>
    <d v="2022-01-12T00:00:00"/>
    <d v="2025-09-02T00:00:00"/>
    <s v="Yes"/>
    <n v="42"/>
    <s v="Male"/>
    <s v="Divorced"/>
    <s v="Master's"/>
    <x v="0"/>
    <s v="Operations Analyst"/>
    <n v="2"/>
    <s v="Noida"/>
    <n v="61000"/>
    <n v="7.7"/>
    <n v="11.3"/>
    <n v="3.6"/>
    <n v="1.3"/>
    <n v="3"/>
    <n v="3"/>
    <n v="3"/>
    <s v="No"/>
    <n v="4"/>
    <n v="1"/>
    <m/>
  </r>
  <r>
    <s v="EMP1467"/>
    <d v="2025-02-23T00:00:00"/>
    <m/>
    <s v="No"/>
    <n v="29"/>
    <s v="Female"/>
    <s v="Married"/>
    <s v="Master's"/>
    <x v="1"/>
    <s v="Data Analyst"/>
    <n v="2"/>
    <s v="Mumbai"/>
    <n v="56000"/>
    <n v="6.4"/>
    <n v="3.6"/>
    <n v="0.9"/>
    <n v="0"/>
    <n v="1"/>
    <n v="3"/>
    <n v="4"/>
    <s v="No"/>
    <n v="3"/>
    <n v="1"/>
    <m/>
  </r>
  <r>
    <s v="EMP1468"/>
    <d v="2019-11-09T00:00:00"/>
    <m/>
    <s v="No"/>
    <n v="28"/>
    <s v="Female"/>
    <s v="Married"/>
    <s v="PhD"/>
    <x v="1"/>
    <s v="BI Analyst"/>
    <n v="2"/>
    <s v="Bengaluru"/>
    <n v="58000"/>
    <n v="6.5"/>
    <n v="6.3"/>
    <n v="6.1"/>
    <n v="4.5"/>
    <n v="1"/>
    <n v="2"/>
    <n v="3"/>
    <s v="No"/>
    <n v="1"/>
    <n v="1"/>
    <m/>
  </r>
  <r>
    <s v="EMP1469"/>
    <d v="2025-02-18T00:00:00"/>
    <m/>
    <s v="No"/>
    <n v="36"/>
    <s v="Non-Binary"/>
    <s v="Divorced"/>
    <s v="Bachelor's"/>
    <x v="1"/>
    <s v="Data Engineer"/>
    <n v="3"/>
    <s v="Noida"/>
    <n v="81000"/>
    <n v="14.1"/>
    <n v="4"/>
    <n v="0.9"/>
    <n v="0"/>
    <n v="1"/>
    <n v="4"/>
    <n v="3"/>
    <s v="No"/>
    <n v="2"/>
    <n v="1"/>
    <m/>
  </r>
  <r>
    <s v="EMP1470"/>
    <d v="2025-04-01T00:00:00"/>
    <d v="2025-07-25T00:00:00"/>
    <s v="Yes"/>
    <n v="22"/>
    <s v="Non-Binary"/>
    <s v="Single"/>
    <s v="Master's"/>
    <x v="0"/>
    <s v="Process Associate"/>
    <n v="1"/>
    <s v="Hyderabad"/>
    <n v="35000"/>
    <n v="5.7"/>
    <n v="5"/>
    <n v="0.3"/>
    <n v="0"/>
    <n v="3"/>
    <n v="4"/>
    <n v="1"/>
    <s v="Yes"/>
    <n v="4"/>
    <n v="1"/>
    <m/>
  </r>
  <r>
    <s v="EMP1471"/>
    <d v="2025-04-10T00:00:00"/>
    <m/>
    <s v="No"/>
    <n v="21"/>
    <s v="Male"/>
    <s v="Divorced"/>
    <s v="Master's"/>
    <x v="1"/>
    <s v="Data Analyst"/>
    <n v="1"/>
    <s v="Mumbai"/>
    <n v="52000"/>
    <n v="11.7"/>
    <n v="4.4000000000000004"/>
    <n v="0.7"/>
    <n v="0"/>
    <n v="3"/>
    <n v="3"/>
    <n v="3"/>
    <s v="No"/>
    <n v="3"/>
    <n v="1"/>
    <m/>
  </r>
  <r>
    <s v="EMP1472"/>
    <d v="2024-01-07T00:00:00"/>
    <m/>
    <s v="No"/>
    <n v="23"/>
    <s v="Female"/>
    <s v="Married"/>
    <s v="Master's"/>
    <x v="5"/>
    <s v="Software Developer"/>
    <n v="1"/>
    <s v="Bengaluru"/>
    <n v="53000"/>
    <n v="6.1"/>
    <n v="5.7"/>
    <n v="2"/>
    <n v="1.8"/>
    <n v="1"/>
    <n v="4"/>
    <n v="4"/>
    <s v="No"/>
    <n v="4"/>
    <n v="1"/>
    <m/>
  </r>
  <r>
    <s v="EMP1473"/>
    <d v="2025-03-06T00:00:00"/>
    <d v="2025-07-28T00:00:00"/>
    <s v="Yes"/>
    <n v="21"/>
    <s v="Non-Binary"/>
    <s v="Divorced"/>
    <s v="PhD"/>
    <x v="6"/>
    <s v="Sales Manager"/>
    <n v="1"/>
    <s v="Hyderabad"/>
    <n v="30000"/>
    <n v="8.1"/>
    <n v="2.2000000000000002"/>
    <n v="0.4"/>
    <n v="0"/>
    <n v="3"/>
    <n v="3"/>
    <n v="3"/>
    <s v="No"/>
    <n v="2"/>
    <n v="1"/>
    <m/>
  </r>
  <r>
    <s v="EMP1474"/>
    <d v="2024-04-09T00:00:00"/>
    <m/>
    <s v="No"/>
    <n v="23"/>
    <s v="Female"/>
    <s v="Single"/>
    <s v="Bachelor's"/>
    <x v="0"/>
    <s v="Operations Manager"/>
    <n v="1"/>
    <s v="Mumbai"/>
    <n v="22000"/>
    <n v="10.8"/>
    <n v="4.4000000000000004"/>
    <n v="1.7"/>
    <n v="1.7"/>
    <n v="4"/>
    <n v="2"/>
    <n v="2"/>
    <s v="No"/>
    <n v="4"/>
    <n v="1"/>
    <m/>
  </r>
  <r>
    <s v="EMP1475"/>
    <d v="2025-08-11T00:00:00"/>
    <d v="2025-12-01T00:00:00"/>
    <s v="Yes"/>
    <n v="22"/>
    <s v="Male"/>
    <s v="Married"/>
    <s v="PhD"/>
    <x v="4"/>
    <s v="HR Manager"/>
    <n v="1"/>
    <s v="Noida"/>
    <n v="42000"/>
    <n v="9.1999999999999993"/>
    <n v="1.1000000000000001"/>
    <n v="0.3"/>
    <n v="0"/>
    <n v="3"/>
    <n v="2"/>
    <n v="3"/>
    <s v="No"/>
    <n v="1"/>
    <n v="1"/>
    <m/>
  </r>
  <r>
    <s v="EMP1476"/>
    <d v="2020-12-12T00:00:00"/>
    <m/>
    <s v="No"/>
    <n v="33"/>
    <s v="Male"/>
    <s v="Married"/>
    <s v="Master's"/>
    <x v="1"/>
    <s v="Data Engineer"/>
    <n v="4"/>
    <s v="Noida"/>
    <n v="106000"/>
    <n v="8.4"/>
    <n v="8"/>
    <n v="5.0999999999999996"/>
    <n v="1.9"/>
    <n v="3"/>
    <n v="2"/>
    <n v="4"/>
    <s v="Yes"/>
    <n v="4"/>
    <n v="1"/>
    <m/>
  </r>
  <r>
    <s v="EMP1477"/>
    <d v="2022-11-12T00:00:00"/>
    <d v="2025-09-27T00:00:00"/>
    <s v="Yes"/>
    <n v="27"/>
    <s v="Male"/>
    <s v="Divorced"/>
    <s v="Diploma"/>
    <x v="0"/>
    <s v="Operations Executive"/>
    <n v="1"/>
    <s v="Hyderabad"/>
    <n v="28000"/>
    <n v="8.3000000000000007"/>
    <n v="6.4"/>
    <n v="2.9"/>
    <n v="0.2"/>
    <n v="3"/>
    <n v="2"/>
    <n v="2"/>
    <s v="No"/>
    <n v="2"/>
    <n v="1"/>
    <m/>
  </r>
  <r>
    <s v="EMP1478"/>
    <d v="2021-04-23T00:00:00"/>
    <m/>
    <s v="No"/>
    <n v="45"/>
    <s v="Female"/>
    <s v="Divorced"/>
    <s v="PhD"/>
    <x v="3"/>
    <s v="Finance Executive"/>
    <n v="1"/>
    <s v="Bengaluru"/>
    <n v="27000"/>
    <n v="11"/>
    <n v="10.1"/>
    <n v="4.7"/>
    <n v="1.5"/>
    <n v="4"/>
    <n v="4"/>
    <n v="4"/>
    <s v="Yes"/>
    <n v="4"/>
    <n v="1"/>
    <m/>
  </r>
  <r>
    <s v="EMP1479"/>
    <d v="2014-10-16T00:00:00"/>
    <m/>
    <s v="No"/>
    <n v="42"/>
    <s v="Female"/>
    <s v="Single"/>
    <s v="Master's"/>
    <x v="4"/>
    <s v="HR Executive"/>
    <n v="3"/>
    <s v="Pune"/>
    <n v="77000"/>
    <n v="8.1"/>
    <n v="17.2"/>
    <n v="11.2"/>
    <n v="1.8"/>
    <n v="3"/>
    <n v="3"/>
    <n v="3"/>
    <s v="No"/>
    <n v="3"/>
    <n v="1"/>
    <m/>
  </r>
  <r>
    <s v="EMP1480"/>
    <d v="2017-11-08T00:00:00"/>
    <d v="2025-12-18T00:00:00"/>
    <s v="Yes"/>
    <n v="39"/>
    <s v="Female"/>
    <s v="Divorced"/>
    <s v="Bachelor's"/>
    <x v="6"/>
    <s v="Business Development Executive"/>
    <n v="2"/>
    <s v="Chennai"/>
    <n v="36000"/>
    <n v="11.6"/>
    <n v="11.9"/>
    <n v="8.1"/>
    <n v="4.5999999999999996"/>
    <n v="3"/>
    <n v="4"/>
    <n v="4"/>
    <s v="No"/>
    <n v="4"/>
    <n v="1"/>
    <m/>
  </r>
  <r>
    <s v="EMP1481"/>
    <d v="2016-04-10T00:00:00"/>
    <d v="2025-07-04T00:00:00"/>
    <s v="Yes"/>
    <n v="42"/>
    <s v="Non-Binary"/>
    <s v="Divorced"/>
    <s v="PhD"/>
    <x v="6"/>
    <s v="Account Manager"/>
    <n v="4"/>
    <s v="Pune"/>
    <n v="112000"/>
    <n v="11.6"/>
    <n v="12.7"/>
    <n v="9.1999999999999993"/>
    <n v="1.5"/>
    <n v="2"/>
    <n v="2"/>
    <n v="4"/>
    <s v="Yes"/>
    <n v="4"/>
    <n v="1"/>
    <m/>
  </r>
  <r>
    <s v="EMP1482"/>
    <d v="2025-07-21T00:00:00"/>
    <m/>
    <s v="No"/>
    <n v="21"/>
    <s v="Female"/>
    <s v="Married"/>
    <s v="PhD"/>
    <x v="2"/>
    <s v="System Administrator"/>
    <n v="1"/>
    <s v="Chennai"/>
    <n v="25000"/>
    <n v="11.7"/>
    <n v="1.9"/>
    <n v="0.4"/>
    <n v="0"/>
    <n v="3"/>
    <n v="2"/>
    <n v="2"/>
    <s v="No"/>
    <n v="2"/>
    <n v="1"/>
    <m/>
  </r>
  <r>
    <s v="EMP1483"/>
    <d v="2020-07-24T00:00:00"/>
    <m/>
    <s v="No"/>
    <n v="41"/>
    <s v="Non-Binary"/>
    <s v="Single"/>
    <s v="Bachelor's"/>
    <x v="2"/>
    <s v="System Administrator"/>
    <n v="2"/>
    <s v="Chennai"/>
    <n v="55000"/>
    <n v="5.0999999999999996"/>
    <n v="7.2"/>
    <n v="5.4"/>
    <n v="2.9"/>
    <n v="3"/>
    <n v="3"/>
    <n v="2"/>
    <s v="No"/>
    <n v="2"/>
    <n v="1"/>
    <m/>
  </r>
  <r>
    <s v="EMP1484"/>
    <d v="2025-09-12T00:00:00"/>
    <m/>
    <s v="No"/>
    <n v="34"/>
    <s v="Male"/>
    <s v="Divorced"/>
    <s v="Master's"/>
    <x v="5"/>
    <s v="QA Engineer"/>
    <n v="3"/>
    <s v="Chennai"/>
    <n v="66000"/>
    <n v="15.7"/>
    <n v="1.7"/>
    <n v="0.3"/>
    <n v="0"/>
    <n v="2"/>
    <n v="2"/>
    <n v="4"/>
    <s v="No"/>
    <n v="3"/>
    <n v="1"/>
    <m/>
  </r>
  <r>
    <s v="EMP1485"/>
    <d v="2021-12-11T00:00:00"/>
    <m/>
    <s v="No"/>
    <n v="42"/>
    <s v="Non-Binary"/>
    <s v="Divorced"/>
    <s v="Bachelor's"/>
    <x v="5"/>
    <s v="Tech Lead"/>
    <n v="2"/>
    <s v="Pune"/>
    <n v="45000"/>
    <n v="14"/>
    <n v="5.0999999999999996"/>
    <n v="4.0999999999999996"/>
    <n v="1.6"/>
    <n v="4"/>
    <n v="4"/>
    <n v="3"/>
    <s v="Yes"/>
    <n v="3"/>
    <n v="1"/>
    <m/>
  </r>
  <r>
    <s v="EMP1486"/>
    <d v="2025-03-29T00:00:00"/>
    <m/>
    <s v="No"/>
    <n v="24"/>
    <s v="Non-Binary"/>
    <s v="Divorced"/>
    <s v="Master's"/>
    <x v="4"/>
    <s v="Recruiter"/>
    <n v="1"/>
    <s v="Pune"/>
    <n v="39000"/>
    <n v="9"/>
    <n v="8.6"/>
    <n v="0.8"/>
    <n v="0"/>
    <n v="4"/>
    <n v="2"/>
    <n v="4"/>
    <s v="Yes"/>
    <n v="3"/>
    <n v="1"/>
    <m/>
  </r>
  <r>
    <s v="EMP1487"/>
    <d v="2023-02-23T00:00:00"/>
    <m/>
    <s v="No"/>
    <n v="36"/>
    <s v="Male"/>
    <s v="Married"/>
    <s v="Bachelor's"/>
    <x v="3"/>
    <s v="Finance Manager"/>
    <n v="3"/>
    <s v="Pune"/>
    <n v="88000"/>
    <n v="6.6"/>
    <n v="8.5"/>
    <n v="2.9"/>
    <n v="0.1"/>
    <n v="3"/>
    <n v="3"/>
    <n v="4"/>
    <s v="No"/>
    <n v="4"/>
    <n v="1"/>
    <m/>
  </r>
  <r>
    <s v="EMP1488"/>
    <d v="2025-08-31T00:00:00"/>
    <m/>
    <s v="No"/>
    <n v="21"/>
    <s v="Male"/>
    <s v="Divorced"/>
    <s v="PhD"/>
    <x v="4"/>
    <s v="HR Analyst"/>
    <n v="1"/>
    <s v="Noida"/>
    <n v="22000"/>
    <n v="9.5"/>
    <n v="1.7"/>
    <n v="0.3"/>
    <n v="0"/>
    <n v="1"/>
    <n v="3"/>
    <n v="3"/>
    <s v="No"/>
    <n v="2"/>
    <n v="1"/>
    <m/>
  </r>
  <r>
    <s v="EMP1489"/>
    <d v="2021-11-18T00:00:00"/>
    <m/>
    <s v="No"/>
    <n v="28"/>
    <s v="Non-Binary"/>
    <s v="Single"/>
    <s v="PhD"/>
    <x v="6"/>
    <s v="Sales Executive"/>
    <n v="2"/>
    <s v="Pune"/>
    <n v="60000"/>
    <n v="11.1"/>
    <n v="10.4"/>
    <n v="4.0999999999999996"/>
    <n v="1.5"/>
    <n v="3"/>
    <n v="2"/>
    <n v="3"/>
    <s v="Yes"/>
    <n v="2"/>
    <n v="1"/>
    <m/>
  </r>
  <r>
    <s v="EMP1490"/>
    <d v="2020-12-18T00:00:00"/>
    <m/>
    <s v="No"/>
    <n v="32"/>
    <s v="Female"/>
    <s v="Divorced"/>
    <s v="Bachelor's"/>
    <x v="5"/>
    <s v="Software Developer"/>
    <n v="2"/>
    <s v="Hyderabad"/>
    <n v="65000"/>
    <n v="7.2"/>
    <n v="11.8"/>
    <n v="5"/>
    <n v="4"/>
    <n v="3"/>
    <n v="3"/>
    <n v="4"/>
    <s v="No"/>
    <n v="3"/>
    <n v="1"/>
    <m/>
  </r>
  <r>
    <s v="EMP1491"/>
    <d v="2023-11-29T00:00:00"/>
    <m/>
    <s v="No"/>
    <n v="27"/>
    <s v="Non-Binary"/>
    <s v="Divorced"/>
    <s v="Diploma"/>
    <x v="4"/>
    <s v="HR Manager"/>
    <n v="1"/>
    <s v="Chennai"/>
    <n v="51000"/>
    <n v="9.1"/>
    <n v="6.3"/>
    <n v="2.1"/>
    <n v="0.5"/>
    <n v="3"/>
    <n v="3"/>
    <n v="4"/>
    <s v="No"/>
    <n v="4"/>
    <n v="1"/>
    <m/>
  </r>
  <r>
    <s v="EMP1492"/>
    <d v="2015-01-03T00:00:00"/>
    <m/>
    <s v="No"/>
    <n v="43"/>
    <s v="Non-Binary"/>
    <s v="Single"/>
    <s v="Master's"/>
    <x v="2"/>
    <s v="IT Support Specialist"/>
    <n v="2"/>
    <m/>
    <n v="53000"/>
    <n v="12.4"/>
    <n v="18.100000000000001"/>
    <n v="11"/>
    <n v="4.9000000000000004"/>
    <n v="1"/>
    <n v="1"/>
    <n v="3"/>
    <s v="No"/>
    <n v="4"/>
    <n v="1"/>
    <m/>
  </r>
  <r>
    <s v="EMP1493"/>
    <d v="2024-03-17T00:00:00"/>
    <m/>
    <s v="No"/>
    <n v="35"/>
    <s v="Non-Binary"/>
    <s v="Divorced"/>
    <s v="Bachelor's"/>
    <x v="2"/>
    <s v="IT Support Lead"/>
    <n v="2"/>
    <s v="Noida"/>
    <n v="46000"/>
    <n v="12.9"/>
    <n v="4.8"/>
    <n v="1.8"/>
    <n v="0.2"/>
    <n v="4"/>
    <n v="2"/>
    <n v="3"/>
    <s v="No"/>
    <n v="4"/>
    <n v="1"/>
    <m/>
  </r>
  <r>
    <s v="EMP1494"/>
    <d v="2022-04-30T00:00:00"/>
    <d v="2025-12-25T00:00:00"/>
    <s v="Yes"/>
    <n v="38"/>
    <s v="Male"/>
    <s v="Single"/>
    <s v="Master's"/>
    <x v="2"/>
    <s v="IT Support Specialist"/>
    <n v="2"/>
    <s v="Chennai"/>
    <n v="32000"/>
    <n v="10.8"/>
    <n v="4.2"/>
    <n v="3.7"/>
    <n v="2.5"/>
    <n v="2"/>
    <n v="3"/>
    <n v="3"/>
    <s v="No"/>
    <n v="5"/>
    <n v="1"/>
    <m/>
  </r>
  <r>
    <s v="EMP1495"/>
    <d v="2022-03-10T00:00:00"/>
    <m/>
    <s v="No"/>
    <n v="45"/>
    <s v="Non-Binary"/>
    <s v="Divorced"/>
    <s v="Master's"/>
    <x v="4"/>
    <s v="HR Analyst"/>
    <n v="4"/>
    <s v="Pune"/>
    <n v="111000"/>
    <n v="10"/>
    <n v="7"/>
    <n v="3.8"/>
    <n v="1.8"/>
    <n v="4"/>
    <n v="3"/>
    <n v="3"/>
    <s v="No"/>
    <n v="4"/>
    <n v="1"/>
    <m/>
  </r>
  <r>
    <s v="EMP1496"/>
    <d v="2022-09-14T00:00:00"/>
    <m/>
    <s v="No"/>
    <n v="26"/>
    <s v="Male"/>
    <s v="Divorced"/>
    <s v="Master's"/>
    <x v="1"/>
    <s v="Data Engineer"/>
    <n v="1"/>
    <s v="Noida"/>
    <n v="54000"/>
    <n v="17"/>
    <n v="7.7"/>
    <n v="3.3"/>
    <n v="2.8"/>
    <n v="3"/>
    <n v="1"/>
    <n v="3"/>
    <s v="No"/>
    <n v="3"/>
    <n v="1"/>
    <m/>
  </r>
  <r>
    <s v="EMP1497"/>
    <d v="2021-05-15T00:00:00"/>
    <m/>
    <s v="No"/>
    <n v="44"/>
    <s v="Non-Binary"/>
    <s v="Married"/>
    <s v="PhD"/>
    <x v="0"/>
    <s v="Operations Manager"/>
    <n v="3"/>
    <s v="Chennai"/>
    <n v="67000"/>
    <n v="5.8"/>
    <n v="8.9"/>
    <n v="4.5999999999999996"/>
    <n v="4"/>
    <n v="4"/>
    <n v="3"/>
    <n v="1"/>
    <s v="No"/>
    <n v="4"/>
    <n v="1"/>
    <m/>
  </r>
  <r>
    <s v="EMP1498"/>
    <d v="2017-10-06T00:00:00"/>
    <m/>
    <s v="No"/>
    <n v="36"/>
    <s v="Male"/>
    <s v="Divorced"/>
    <s v="Master's"/>
    <x v="6"/>
    <s v="Business Development Executive"/>
    <n v="2"/>
    <s v="Mumbai"/>
    <n v="49000"/>
    <n v="11.2"/>
    <n v="15.6"/>
    <n v="8.1999999999999993"/>
    <n v="0.9"/>
    <n v="1"/>
    <n v="3"/>
    <n v="2"/>
    <s v="Yes"/>
    <n v="4"/>
    <n v="1"/>
    <m/>
  </r>
  <r>
    <s v="EMP1499"/>
    <d v="2023-06-02T00:00:00"/>
    <m/>
    <s v="No"/>
    <n v="26"/>
    <s v="Non-Binary"/>
    <s v="Divorced"/>
    <s v="PhD"/>
    <x v="5"/>
    <s v="Tech Lead"/>
    <n v="1"/>
    <s v="Hyderabad"/>
    <n v="42000"/>
    <n v="12.5"/>
    <n v="5.0999999999999996"/>
    <n v="2.6"/>
    <n v="1.2"/>
    <n v="3"/>
    <n v="3"/>
    <n v="4"/>
    <s v="Yes"/>
    <n v="3"/>
    <n v="1"/>
    <m/>
  </r>
  <r>
    <s v="EMP1500"/>
    <d v="2021-07-31T00:00:00"/>
    <m/>
    <s v="No"/>
    <n v="41"/>
    <s v="Female"/>
    <s v="Divorced"/>
    <s v="Master's"/>
    <x v="6"/>
    <s v="Sales Manager"/>
    <n v="4"/>
    <s v="Hyderabad"/>
    <n v="99000"/>
    <n v="10.9"/>
    <n v="6.6"/>
    <n v="4.4000000000000004"/>
    <n v="0"/>
    <n v="2"/>
    <n v="3"/>
    <n v="3"/>
    <s v="No"/>
    <n v="4"/>
    <n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EMP0001"/>
    <d v="2022-06-26T00:00:00"/>
    <x v="0"/>
    <n v="36"/>
    <s v="Non-Binary"/>
    <s v="Divorced"/>
    <s v="Bachelor's"/>
    <x v="0"/>
    <x v="0"/>
    <x v="0"/>
    <s v="Chennai"/>
    <n v="30000"/>
    <n v="11.6"/>
    <n v="10.7"/>
    <n v="3.5"/>
    <n v="0.3"/>
    <x v="0"/>
    <x v="0"/>
    <n v="1"/>
    <x v="0"/>
    <n v="3"/>
    <m/>
    <x v="0"/>
    <x v="0"/>
    <x v="0"/>
    <n v="0"/>
  </r>
  <r>
    <s v="EMP0002"/>
    <d v="2019-05-25T00:00:00"/>
    <x v="0"/>
    <n v="31"/>
    <s v="Male"/>
    <s v="Married"/>
    <s v="Bachelor's"/>
    <x v="1"/>
    <x v="1"/>
    <x v="1"/>
    <s v="Hyderabad"/>
    <n v="59000"/>
    <n v="15.3"/>
    <n v="12.2"/>
    <n v="6.6"/>
    <n v="2"/>
    <x v="1"/>
    <x v="1"/>
    <n v="4"/>
    <x v="1"/>
    <n v="3"/>
    <m/>
    <x v="1"/>
    <x v="1"/>
    <x v="1"/>
    <n v="0"/>
  </r>
  <r>
    <s v="EMP0003"/>
    <d v="2017-11-14T00:00:00"/>
    <x v="0"/>
    <n v="30"/>
    <s v="Non-Binary"/>
    <s v="Single"/>
    <s v="Bachelor's"/>
    <x v="2"/>
    <x v="2"/>
    <x v="2"/>
    <s v="Bengaluru"/>
    <n v="80000"/>
    <n v="7.1"/>
    <n v="11.2"/>
    <n v="8.1"/>
    <n v="3.3"/>
    <x v="2"/>
    <x v="2"/>
    <n v="3"/>
    <x v="1"/>
    <n v="4"/>
    <m/>
    <x v="1"/>
    <x v="2"/>
    <x v="1"/>
    <n v="0"/>
  </r>
  <r>
    <s v="EMP0004"/>
    <d v="2014-03-05T00:00:00"/>
    <x v="0"/>
    <n v="35"/>
    <s v="Non-Binary"/>
    <s v="Divorced"/>
    <s v="Bachelor's"/>
    <x v="0"/>
    <x v="3"/>
    <x v="2"/>
    <s v="Chennai"/>
    <n v="55000"/>
    <n v="2.1"/>
    <n v="15.5"/>
    <n v="11.8"/>
    <n v="5"/>
    <x v="0"/>
    <x v="1"/>
    <n v="3"/>
    <x v="1"/>
    <n v="4"/>
    <m/>
    <x v="1"/>
    <x v="1"/>
    <x v="2"/>
    <n v="0"/>
  </r>
  <r>
    <s v="EMP0005"/>
    <d v="2022-08-28T00:00:00"/>
    <x v="0"/>
    <n v="26"/>
    <s v="Male"/>
    <s v="Single"/>
    <s v="Bachelor's"/>
    <x v="0"/>
    <x v="3"/>
    <x v="0"/>
    <s v="Hyderabad"/>
    <n v="34000"/>
    <n v="5.4"/>
    <n v="10.7"/>
    <n v="3.3"/>
    <n v="2.2999999999999998"/>
    <x v="2"/>
    <x v="1"/>
    <n v="3"/>
    <x v="0"/>
    <n v="4"/>
    <m/>
    <x v="1"/>
    <x v="0"/>
    <x v="0"/>
    <n v="0"/>
  </r>
  <r>
    <s v="EMP0006"/>
    <d v="2015-01-07T00:00:00"/>
    <x v="0"/>
    <n v="43"/>
    <s v="Non-Binary"/>
    <s v="Divorced"/>
    <s v="Diploma"/>
    <x v="3"/>
    <x v="4"/>
    <x v="0"/>
    <s v="Noida"/>
    <n v="33000"/>
    <n v="9.3000000000000007"/>
    <n v="15"/>
    <n v="11"/>
    <n v="5.3"/>
    <x v="2"/>
    <x v="0"/>
    <n v="2"/>
    <x v="1"/>
    <n v="2"/>
    <m/>
    <x v="0"/>
    <x v="0"/>
    <x v="2"/>
    <n v="0"/>
  </r>
  <r>
    <s v="EMP0007"/>
    <d v="2022-03-24T00:00:00"/>
    <x v="0"/>
    <n v="29"/>
    <s v="Female"/>
    <s v="Divorced"/>
    <s v="Bachelor's"/>
    <x v="4"/>
    <x v="5"/>
    <x v="3"/>
    <s v="Mumbai"/>
    <n v="107000"/>
    <n v="4.4000000000000004"/>
    <n v="4.5"/>
    <n v="3.8"/>
    <n v="0.2"/>
    <x v="0"/>
    <x v="1"/>
    <n v="3"/>
    <x v="0"/>
    <n v="4"/>
    <m/>
    <x v="1"/>
    <x v="3"/>
    <x v="0"/>
    <n v="0"/>
  </r>
  <r>
    <s v="EMP0008"/>
    <d v="2017-04-02T00:00:00"/>
    <x v="0"/>
    <n v="29"/>
    <s v="Female"/>
    <s v="Single"/>
    <s v="PhD"/>
    <x v="3"/>
    <x v="6"/>
    <x v="2"/>
    <s v="Bengaluru"/>
    <n v="77000"/>
    <n v="6.6"/>
    <n v="14.2"/>
    <n v="8.6999999999999993"/>
    <n v="3.2"/>
    <x v="1"/>
    <x v="0"/>
    <n v="3"/>
    <x v="1"/>
    <n v="2"/>
    <m/>
    <x v="1"/>
    <x v="4"/>
    <x v="1"/>
    <n v="0"/>
  </r>
  <r>
    <s v="EMP0009"/>
    <d v="2016-10-14T00:00:00"/>
    <x v="0"/>
    <n v="33"/>
    <s v="Non-Binary"/>
    <s v="Single"/>
    <s v="Diploma"/>
    <x v="0"/>
    <x v="7"/>
    <x v="4"/>
    <s v="Mumbai"/>
    <n v="134000"/>
    <n v="12.3"/>
    <n v="15.9"/>
    <n v="9.1999999999999993"/>
    <n v="3"/>
    <x v="3"/>
    <x v="1"/>
    <n v="3"/>
    <x v="1"/>
    <n v="2"/>
    <m/>
    <x v="1"/>
    <x v="3"/>
    <x v="1"/>
    <n v="0"/>
  </r>
  <r>
    <s v="EMP0010"/>
    <d v="2015-06-03T00:00:00"/>
    <x v="1"/>
    <n v="34"/>
    <s v="Male"/>
    <s v="Single"/>
    <s v="PhD"/>
    <x v="5"/>
    <x v="8"/>
    <x v="3"/>
    <s v="Chennai"/>
    <n v="107000"/>
    <n v="3.7"/>
    <n v="18"/>
    <n v="10.4"/>
    <n v="0.5"/>
    <x v="2"/>
    <x v="0"/>
    <n v="2"/>
    <x v="1"/>
    <n v="4"/>
    <d v="2025-10-18T00:00:00"/>
    <x v="1"/>
    <x v="3"/>
    <x v="2"/>
    <n v="1"/>
  </r>
  <r>
    <s v="EMP0011"/>
    <d v="2018-08-09T00:00:00"/>
    <x v="0"/>
    <n v="38"/>
    <s v="Non-Binary"/>
    <s v="Married"/>
    <s v="Bachelor's"/>
    <x v="1"/>
    <x v="9"/>
    <x v="2"/>
    <s v="Pune"/>
    <n v="91000"/>
    <n v="8.5"/>
    <n v="12.9"/>
    <n v="7.4"/>
    <n v="4.3"/>
    <x v="0"/>
    <x v="0"/>
    <n v="3"/>
    <x v="1"/>
    <n v="3"/>
    <m/>
    <x v="0"/>
    <x v="2"/>
    <x v="1"/>
    <n v="0"/>
  </r>
  <r>
    <s v="EMP0012"/>
    <d v="2024-10-15T00:00:00"/>
    <x v="1"/>
    <n v="23"/>
    <s v="Non-Binary"/>
    <s v="Single"/>
    <s v="Diploma"/>
    <x v="1"/>
    <x v="10"/>
    <x v="0"/>
    <s v="Noida"/>
    <n v="33000"/>
    <n v="7.2"/>
    <n v="6"/>
    <n v="0.3"/>
    <n v="0"/>
    <x v="3"/>
    <x v="3"/>
    <n v="1"/>
    <x v="1"/>
    <n v="3"/>
    <d v="2025-02-06T00:00:00"/>
    <x v="2"/>
    <x v="0"/>
    <x v="3"/>
    <n v="1"/>
  </r>
  <r>
    <s v="EMP0013"/>
    <d v="2017-03-28T00:00:00"/>
    <x v="0"/>
    <n v="35"/>
    <s v="Female"/>
    <s v="Married"/>
    <s v="Bachelor's"/>
    <x v="3"/>
    <x v="11"/>
    <x v="2"/>
    <s v="Noida"/>
    <n v="64000"/>
    <n v="10.3"/>
    <n v="12.5"/>
    <n v="8.8000000000000007"/>
    <n v="2.4"/>
    <x v="2"/>
    <x v="1"/>
    <n v="3"/>
    <x v="1"/>
    <n v="3"/>
    <m/>
    <x v="1"/>
    <x v="4"/>
    <x v="1"/>
    <n v="0"/>
  </r>
  <r>
    <s v="EMP0014"/>
    <d v="2020-02-04T00:00:00"/>
    <x v="0"/>
    <n v="28"/>
    <s v="Male"/>
    <s v="Married"/>
    <s v="Bachelor's"/>
    <x v="0"/>
    <x v="0"/>
    <x v="0"/>
    <s v="Bengaluru"/>
    <n v="37000"/>
    <n v="13.1"/>
    <n v="10.199999999999999"/>
    <n v="5.9"/>
    <n v="0.8"/>
    <x v="3"/>
    <x v="1"/>
    <n v="3"/>
    <x v="1"/>
    <n v="5"/>
    <m/>
    <x v="1"/>
    <x v="0"/>
    <x v="0"/>
    <n v="0"/>
  </r>
  <r>
    <s v="EMP0015"/>
    <d v="2019-03-18T00:00:00"/>
    <x v="0"/>
    <n v="27"/>
    <s v="Female"/>
    <s v="Married"/>
    <s v="PhD"/>
    <x v="0"/>
    <x v="0"/>
    <x v="0"/>
    <s v="Hyderabad"/>
    <n v="29000"/>
    <n v="10.3"/>
    <n v="10.7"/>
    <n v="6.8"/>
    <n v="1.3"/>
    <x v="0"/>
    <x v="0"/>
    <n v="1"/>
    <x v="1"/>
    <n v="3"/>
    <m/>
    <x v="1"/>
    <x v="0"/>
    <x v="1"/>
    <n v="0"/>
  </r>
  <r>
    <s v="EMP0016"/>
    <d v="2022-10-28T00:00:00"/>
    <x v="0"/>
    <n v="30"/>
    <s v="Male"/>
    <s v="Single"/>
    <s v="Bachelor's"/>
    <x v="3"/>
    <x v="6"/>
    <x v="1"/>
    <s v="Pune"/>
    <n v="53000"/>
    <n v="4.5999999999999996"/>
    <n v="9.1999999999999993"/>
    <n v="3.2"/>
    <n v="0.2"/>
    <x v="2"/>
    <x v="0"/>
    <n v="3"/>
    <x v="1"/>
    <n v="4"/>
    <m/>
    <x v="1"/>
    <x v="1"/>
    <x v="0"/>
    <n v="0"/>
  </r>
  <r>
    <s v="EMP0017"/>
    <d v="2022-12-13T00:00:00"/>
    <x v="0"/>
    <n v="39"/>
    <s v="Female"/>
    <s v="Single"/>
    <s v="Diploma"/>
    <x v="5"/>
    <x v="8"/>
    <x v="2"/>
    <s v="Pune"/>
    <n v="99000"/>
    <n v="8.6999999999999993"/>
    <n v="7.8"/>
    <n v="3"/>
    <n v="1.9"/>
    <x v="0"/>
    <x v="0"/>
    <n v="3"/>
    <x v="0"/>
    <n v="4"/>
    <m/>
    <x v="0"/>
    <x v="2"/>
    <x v="4"/>
    <n v="0"/>
  </r>
  <r>
    <s v="EMP0018"/>
    <d v="2018-02-23T00:00:00"/>
    <x v="0"/>
    <n v="36"/>
    <s v="Non-Binary"/>
    <s v="Married"/>
    <s v="Master's"/>
    <x v="6"/>
    <x v="12"/>
    <x v="1"/>
    <s v="Hyderabad"/>
    <n v="47000"/>
    <n v="10.4"/>
    <n v="7.9"/>
    <n v="7.9"/>
    <n v="3.7"/>
    <x v="0"/>
    <x v="0"/>
    <n v="2"/>
    <x v="1"/>
    <n v="4"/>
    <m/>
    <x v="0"/>
    <x v="1"/>
    <x v="1"/>
    <n v="0"/>
  </r>
  <r>
    <s v="EMP0019"/>
    <d v="2023-11-09T00:00:00"/>
    <x v="0"/>
    <n v="33"/>
    <s v="Non-Binary"/>
    <s v="Single"/>
    <s v="Master's"/>
    <x v="5"/>
    <x v="13"/>
    <x v="1"/>
    <s v="Hyderabad"/>
    <n v="73000"/>
    <n v="0"/>
    <n v="10"/>
    <n v="2.1"/>
    <n v="1.4"/>
    <x v="2"/>
    <x v="3"/>
    <n v="4"/>
    <x v="1"/>
    <n v="3"/>
    <m/>
    <x v="1"/>
    <x v="4"/>
    <x v="4"/>
    <n v="0"/>
  </r>
  <r>
    <s v="EMP0020"/>
    <d v="2023-11-19T00:00:00"/>
    <x v="0"/>
    <n v="34"/>
    <s v="Male"/>
    <s v="Single"/>
    <s v="PhD"/>
    <x v="5"/>
    <x v="8"/>
    <x v="2"/>
    <s v="Hyderabad"/>
    <n v="84000"/>
    <n v="9.4"/>
    <n v="7.6"/>
    <n v="2.1"/>
    <n v="1.8"/>
    <x v="3"/>
    <x v="0"/>
    <n v="2"/>
    <x v="1"/>
    <n v="5"/>
    <m/>
    <x v="1"/>
    <x v="2"/>
    <x v="4"/>
    <n v="0"/>
  </r>
  <r>
    <s v="EMP0021"/>
    <d v="2024-04-20T00:00:00"/>
    <x v="0"/>
    <n v="31"/>
    <s v="Male"/>
    <s v="Divorced"/>
    <s v="Bachelor's"/>
    <x v="5"/>
    <x v="8"/>
    <x v="1"/>
    <s v="Hyderabad"/>
    <n v="63000"/>
    <n v="14.9"/>
    <n v="7.3"/>
    <n v="1.7"/>
    <n v="1"/>
    <x v="3"/>
    <x v="1"/>
    <n v="4"/>
    <x v="1"/>
    <n v="4"/>
    <m/>
    <x v="1"/>
    <x v="4"/>
    <x v="4"/>
    <n v="0"/>
  </r>
  <r>
    <s v="EMP0022"/>
    <d v="2022-10-27T00:00:00"/>
    <x v="0"/>
    <n v="27"/>
    <s v="Female"/>
    <s v="Divorced"/>
    <s v="PhD"/>
    <x v="4"/>
    <x v="14"/>
    <x v="0"/>
    <s v="Chennai"/>
    <n v="28000"/>
    <n v="12.7"/>
    <n v="11"/>
    <n v="3.2"/>
    <n v="0.1"/>
    <x v="2"/>
    <x v="0"/>
    <n v="3"/>
    <x v="0"/>
    <n v="4"/>
    <m/>
    <x v="1"/>
    <x v="0"/>
    <x v="0"/>
    <n v="0"/>
  </r>
  <r>
    <s v="EMP0023"/>
    <d v="2023-08-23T00:00:00"/>
    <x v="0"/>
    <n v="29"/>
    <s v="Non-Binary"/>
    <s v="Divorced"/>
    <s v="Master's"/>
    <x v="0"/>
    <x v="3"/>
    <x v="3"/>
    <s v="Hyderabad"/>
    <n v="108000"/>
    <n v="9.4"/>
    <n v="5.7"/>
    <n v="2.4"/>
    <n v="0.4"/>
    <x v="0"/>
    <x v="2"/>
    <n v="4"/>
    <x v="0"/>
    <n v="3"/>
    <m/>
    <x v="1"/>
    <x v="3"/>
    <x v="4"/>
    <n v="0"/>
  </r>
  <r>
    <s v="EMP0024"/>
    <d v="2025-05-27T00:00:00"/>
    <x v="0"/>
    <n v="28"/>
    <s v="Female"/>
    <s v="Married"/>
    <s v="Diploma"/>
    <x v="1"/>
    <x v="10"/>
    <x v="1"/>
    <s v="Bengaluru"/>
    <n v="59000"/>
    <n v="7.4"/>
    <n v="3.4"/>
    <n v="0.6"/>
    <n v="0"/>
    <x v="3"/>
    <x v="2"/>
    <n v="2"/>
    <x v="1"/>
    <n v="4"/>
    <m/>
    <x v="1"/>
    <x v="1"/>
    <x v="3"/>
    <n v="0"/>
  </r>
  <r>
    <s v="EMP0025"/>
    <d v="2019-09-28T00:00:00"/>
    <x v="0"/>
    <n v="35"/>
    <s v="Male"/>
    <s v="Single"/>
    <s v="PhD"/>
    <x v="2"/>
    <x v="2"/>
    <x v="1"/>
    <s v="Hyderabad"/>
    <n v="54000"/>
    <n v="9"/>
    <n v="6.5"/>
    <n v="6.3"/>
    <n v="5.3"/>
    <x v="0"/>
    <x v="0"/>
    <n v="3"/>
    <x v="1"/>
    <n v="5"/>
    <m/>
    <x v="1"/>
    <x v="1"/>
    <x v="1"/>
    <n v="0"/>
  </r>
  <r>
    <s v="EMP0026"/>
    <d v="2024-07-10T00:00:00"/>
    <x v="0"/>
    <n v="23"/>
    <s v="Non-Binary"/>
    <s v="Divorced"/>
    <s v="Master's"/>
    <x v="0"/>
    <x v="7"/>
    <x v="0"/>
    <s v="Hyderabad"/>
    <n v="28000"/>
    <n v="7.6"/>
    <n v="3"/>
    <n v="1.5"/>
    <n v="0.1"/>
    <x v="3"/>
    <x v="0"/>
    <n v="3"/>
    <x v="1"/>
    <n v="4"/>
    <m/>
    <x v="2"/>
    <x v="0"/>
    <x v="4"/>
    <n v="0"/>
  </r>
  <r>
    <s v="EMP0027"/>
    <d v="2014-12-05T00:00:00"/>
    <x v="0"/>
    <n v="32"/>
    <s v="Non-Binary"/>
    <s v="Single"/>
    <s v="Master's"/>
    <x v="3"/>
    <x v="15"/>
    <x v="3"/>
    <s v="Mumbai"/>
    <n v="119000"/>
    <n v="16.5"/>
    <n v="18.3"/>
    <n v="11.1"/>
    <n v="3"/>
    <x v="2"/>
    <x v="0"/>
    <n v="3"/>
    <x v="1"/>
    <n v="4"/>
    <m/>
    <x v="1"/>
    <x v="3"/>
    <x v="2"/>
    <n v="0"/>
  </r>
  <r>
    <s v="EMP0028"/>
    <d v="2015-02-20T00:00:00"/>
    <x v="0"/>
    <n v="35"/>
    <s v="Female"/>
    <s v="Married"/>
    <s v="PhD"/>
    <x v="0"/>
    <x v="16"/>
    <x v="2"/>
    <s v="Noida"/>
    <n v="71000"/>
    <n v="1.3"/>
    <n v="10.9"/>
    <n v="10.9"/>
    <n v="1.7"/>
    <x v="2"/>
    <x v="0"/>
    <n v="3"/>
    <x v="1"/>
    <n v="4"/>
    <m/>
    <x v="1"/>
    <x v="4"/>
    <x v="2"/>
    <n v="0"/>
  </r>
  <r>
    <s v="EMP0029"/>
    <d v="2014-06-21T00:00:00"/>
    <x v="0"/>
    <n v="33"/>
    <s v="Female"/>
    <s v="Single"/>
    <s v="Master's"/>
    <x v="1"/>
    <x v="1"/>
    <x v="2"/>
    <s v="Pune"/>
    <n v="112000"/>
    <n v="8.1999999999999993"/>
    <n v="16.8"/>
    <n v="11.5"/>
    <n v="3.7"/>
    <x v="2"/>
    <x v="1"/>
    <n v="4"/>
    <x v="1"/>
    <n v="3"/>
    <m/>
    <x v="1"/>
    <x v="3"/>
    <x v="2"/>
    <n v="0"/>
  </r>
  <r>
    <s v="EMP0030"/>
    <d v="2020-02-21T00:00:00"/>
    <x v="0"/>
    <n v="33"/>
    <s v="Non-Binary"/>
    <s v="Divorced"/>
    <s v="Bachelor's"/>
    <x v="5"/>
    <x v="8"/>
    <x v="1"/>
    <s v="Bengaluru"/>
    <n v="49000"/>
    <n v="13.6"/>
    <n v="10.9"/>
    <n v="5.9"/>
    <n v="1.1000000000000001"/>
    <x v="1"/>
    <x v="0"/>
    <n v="3"/>
    <x v="1"/>
    <n v="3"/>
    <m/>
    <x v="1"/>
    <x v="1"/>
    <x v="0"/>
    <n v="0"/>
  </r>
  <r>
    <s v="EMP0031"/>
    <d v="2016-04-17T00:00:00"/>
    <x v="0"/>
    <n v="39"/>
    <s v="Non-Binary"/>
    <s v="Divorced"/>
    <s v="Diploma"/>
    <x v="2"/>
    <x v="17"/>
    <x v="1"/>
    <s v="Mumbai"/>
    <n v="44000"/>
    <n v="14.6"/>
    <n v="17"/>
    <n v="9.6999999999999993"/>
    <n v="0.7"/>
    <x v="2"/>
    <x v="1"/>
    <n v="3"/>
    <x v="1"/>
    <n v="4"/>
    <m/>
    <x v="0"/>
    <x v="1"/>
    <x v="1"/>
    <n v="0"/>
  </r>
  <r>
    <s v="EMP0032"/>
    <d v="2019-04-17T00:00:00"/>
    <x v="0"/>
    <n v="37"/>
    <s v="Non-Binary"/>
    <s v="Single"/>
    <s v="Diploma"/>
    <x v="4"/>
    <x v="5"/>
    <x v="3"/>
    <s v="Mumbai"/>
    <n v="126000"/>
    <n v="5"/>
    <n v="8.8000000000000007"/>
    <n v="6.7"/>
    <n v="1.5"/>
    <x v="0"/>
    <x v="0"/>
    <n v="4"/>
    <x v="1"/>
    <n v="4"/>
    <m/>
    <x v="0"/>
    <x v="3"/>
    <x v="1"/>
    <n v="0"/>
  </r>
  <r>
    <s v="EMP0033"/>
    <d v="2021-10-09T00:00:00"/>
    <x v="1"/>
    <n v="34"/>
    <s v="Female"/>
    <s v="Single"/>
    <s v="Master's"/>
    <x v="5"/>
    <x v="18"/>
    <x v="1"/>
    <s v="Mumbai"/>
    <n v="55000"/>
    <n v="2.8"/>
    <n v="9.3000000000000007"/>
    <n v="3.8"/>
    <n v="2.7"/>
    <x v="3"/>
    <x v="3"/>
    <n v="3"/>
    <x v="1"/>
    <n v="4"/>
    <d v="2025-07-16T00:00:00"/>
    <x v="1"/>
    <x v="1"/>
    <x v="0"/>
    <n v="1"/>
  </r>
  <r>
    <s v="EMP0034"/>
    <d v="2020-10-25T00:00:00"/>
    <x v="1"/>
    <n v="26"/>
    <s v="Non-Binary"/>
    <s v="Divorced"/>
    <s v="Master's"/>
    <x v="3"/>
    <x v="15"/>
    <x v="0"/>
    <s v="Mumbai"/>
    <n v="39000"/>
    <n v="5.3"/>
    <n v="7.1"/>
    <n v="4.7"/>
    <n v="1.8"/>
    <x v="2"/>
    <x v="2"/>
    <n v="4"/>
    <x v="1"/>
    <n v="4"/>
    <d v="2025-06-30T00:00:00"/>
    <x v="1"/>
    <x v="0"/>
    <x v="0"/>
    <n v="1"/>
  </r>
  <r>
    <s v="EMP0035"/>
    <d v="2025-06-23T00:00:00"/>
    <x v="0"/>
    <n v="28"/>
    <s v="Female"/>
    <s v="Divorced"/>
    <s v="Bachelor's"/>
    <x v="1"/>
    <x v="9"/>
    <x v="1"/>
    <s v="Bengaluru"/>
    <n v="59000"/>
    <n v="12.3"/>
    <n v="1.8"/>
    <n v="0.5"/>
    <n v="0"/>
    <x v="2"/>
    <x v="1"/>
    <n v="3"/>
    <x v="1"/>
    <n v="1"/>
    <m/>
    <x v="1"/>
    <x v="1"/>
    <x v="3"/>
    <n v="0"/>
  </r>
  <r>
    <s v="EMP0036"/>
    <d v="2020-04-19T00:00:00"/>
    <x v="0"/>
    <n v="35"/>
    <s v="Female"/>
    <s v="Single"/>
    <s v="PhD"/>
    <x v="0"/>
    <x v="16"/>
    <x v="1"/>
    <s v="Bengaluru"/>
    <n v="61000"/>
    <n v="2.6"/>
    <n v="8.3000000000000007"/>
    <n v="5.7"/>
    <n v="4.3"/>
    <x v="2"/>
    <x v="0"/>
    <n v="3"/>
    <x v="0"/>
    <n v="4"/>
    <m/>
    <x v="1"/>
    <x v="4"/>
    <x v="0"/>
    <n v="0"/>
  </r>
  <r>
    <s v="EMP0037"/>
    <d v="2021-08-09T00:00:00"/>
    <x v="0"/>
    <n v="35"/>
    <s v="Male"/>
    <s v="Married"/>
    <s v="Bachelor's"/>
    <x v="0"/>
    <x v="0"/>
    <x v="4"/>
    <s v="Chennai"/>
    <n v="151000"/>
    <n v="4.0999999999999996"/>
    <n v="10.4"/>
    <n v="4.4000000000000004"/>
    <n v="4.2"/>
    <x v="0"/>
    <x v="1"/>
    <n v="1"/>
    <x v="1"/>
    <n v="2"/>
    <m/>
    <x v="1"/>
    <x v="3"/>
    <x v="0"/>
    <n v="0"/>
  </r>
  <r>
    <s v="EMP0038"/>
    <d v="2016-09-23T00:00:00"/>
    <x v="0"/>
    <n v="37"/>
    <s v="Female"/>
    <s v="Divorced"/>
    <s v="PhD"/>
    <x v="1"/>
    <x v="1"/>
    <x v="2"/>
    <s v="Mumbai"/>
    <n v="92000"/>
    <n v="10"/>
    <n v="10.199999999999999"/>
    <n v="9.3000000000000007"/>
    <n v="4.9000000000000004"/>
    <x v="2"/>
    <x v="2"/>
    <n v="2"/>
    <x v="0"/>
    <n v="1"/>
    <m/>
    <x v="0"/>
    <x v="2"/>
    <x v="1"/>
    <n v="0"/>
  </r>
  <r>
    <s v="EMP0039"/>
    <d v="2020-05-20T00:00:00"/>
    <x v="0"/>
    <n v="28"/>
    <s v="Female"/>
    <s v="Divorced"/>
    <s v="PhD"/>
    <x v="0"/>
    <x v="3"/>
    <x v="0"/>
    <s v="Noida"/>
    <n v="34000"/>
    <n v="10.199999999999999"/>
    <n v="12.4"/>
    <n v="5.6"/>
    <n v="3.4"/>
    <x v="3"/>
    <x v="1"/>
    <n v="4"/>
    <x v="1"/>
    <n v="4"/>
    <m/>
    <x v="1"/>
    <x v="0"/>
    <x v="0"/>
    <n v="0"/>
  </r>
  <r>
    <s v="EMP0040"/>
    <d v="2021-09-16T00:00:00"/>
    <x v="1"/>
    <n v="46"/>
    <s v="Non-Binary"/>
    <s v="Married"/>
    <s v="PhD"/>
    <x v="6"/>
    <x v="19"/>
    <x v="2"/>
    <s v="Mumbai"/>
    <n v="81000"/>
    <n v="4.2"/>
    <n v="8.9"/>
    <n v="3.8"/>
    <n v="3.1"/>
    <x v="0"/>
    <x v="0"/>
    <n v="3"/>
    <x v="1"/>
    <n v="4"/>
    <d v="2025-07-05T00:00:00"/>
    <x v="3"/>
    <x v="2"/>
    <x v="0"/>
    <n v="1"/>
  </r>
  <r>
    <s v="EMP0041"/>
    <d v="2023-11-12T00:00:00"/>
    <x v="0"/>
    <n v="26"/>
    <s v="Female"/>
    <s v="Married"/>
    <s v="Master's"/>
    <x v="3"/>
    <x v="4"/>
    <x v="0"/>
    <s v="Mumbai"/>
    <n v="42000"/>
    <n v="13.6"/>
    <n v="5.7"/>
    <n v="2.1"/>
    <n v="1.6"/>
    <x v="0"/>
    <x v="0"/>
    <n v="3"/>
    <x v="0"/>
    <n v="3"/>
    <m/>
    <x v="1"/>
    <x v="1"/>
    <x v="4"/>
    <n v="0"/>
  </r>
  <r>
    <s v="EMP0042"/>
    <d v="2021-09-20T00:00:00"/>
    <x v="0"/>
    <n v="40"/>
    <s v="Male"/>
    <s v="Divorced"/>
    <s v="PhD"/>
    <x v="1"/>
    <x v="9"/>
    <x v="2"/>
    <s v="Noida"/>
    <n v="93000"/>
    <n v="12.3"/>
    <n v="4.4000000000000004"/>
    <n v="4.3"/>
    <n v="4.0999999999999996"/>
    <x v="2"/>
    <x v="1"/>
    <n v="3"/>
    <x v="1"/>
    <n v="3"/>
    <m/>
    <x v="0"/>
    <x v="2"/>
    <x v="0"/>
    <n v="0"/>
  </r>
  <r>
    <s v="EMP0043"/>
    <d v="2025-07-08T00:00:00"/>
    <x v="0"/>
    <n v="31"/>
    <s v="Non-Binary"/>
    <s v="Married"/>
    <s v="Diploma"/>
    <x v="0"/>
    <x v="16"/>
    <x v="1"/>
    <s v="Noida"/>
    <n v="43000"/>
    <n v="5.4"/>
    <n v="5.8"/>
    <n v="0.5"/>
    <n v="0"/>
    <x v="2"/>
    <x v="0"/>
    <n v="3"/>
    <x v="1"/>
    <n v="5"/>
    <m/>
    <x v="1"/>
    <x v="1"/>
    <x v="3"/>
    <n v="0"/>
  </r>
  <r>
    <s v="EMP0044"/>
    <d v="2023-01-02T00:00:00"/>
    <x v="0"/>
    <n v="32"/>
    <s v="Non-Binary"/>
    <s v="Divorced"/>
    <s v="Diploma"/>
    <x v="3"/>
    <x v="4"/>
    <x v="1"/>
    <s v="Bengaluru"/>
    <n v="58000"/>
    <n v="10.1"/>
    <n v="10.6"/>
    <n v="3"/>
    <n v="2.1"/>
    <x v="2"/>
    <x v="1"/>
    <n v="3"/>
    <x v="1"/>
    <n v="3"/>
    <m/>
    <x v="1"/>
    <x v="1"/>
    <x v="4"/>
    <n v="0"/>
  </r>
  <r>
    <s v="EMP0045"/>
    <d v="2021-06-24T00:00:00"/>
    <x v="0"/>
    <n v="33"/>
    <s v="Female"/>
    <s v="Single"/>
    <s v="Bachelor's"/>
    <x v="2"/>
    <x v="20"/>
    <x v="1"/>
    <s v="Chennai"/>
    <n v="65000"/>
    <n v="7.9"/>
    <n v="4.9000000000000004"/>
    <n v="4.5"/>
    <n v="0.2"/>
    <x v="2"/>
    <x v="0"/>
    <n v="4"/>
    <x v="1"/>
    <n v="4"/>
    <m/>
    <x v="1"/>
    <x v="4"/>
    <x v="0"/>
    <n v="0"/>
  </r>
  <r>
    <s v="EMP0046"/>
    <d v="2021-09-18T00:00:00"/>
    <x v="0"/>
    <n v="37"/>
    <s v="Male"/>
    <s v="Single"/>
    <s v="Diploma"/>
    <x v="6"/>
    <x v="12"/>
    <x v="2"/>
    <s v="Bengaluru"/>
    <n v="69000"/>
    <n v="4.7"/>
    <n v="5.2"/>
    <n v="4.3"/>
    <n v="0.3"/>
    <x v="2"/>
    <x v="0"/>
    <n v="3"/>
    <x v="1"/>
    <n v="4"/>
    <m/>
    <x v="0"/>
    <x v="4"/>
    <x v="0"/>
    <n v="0"/>
  </r>
  <r>
    <s v="EMP0047"/>
    <d v="2021-03-31T00:00:00"/>
    <x v="0"/>
    <n v="31"/>
    <s v="Non-Binary"/>
    <s v="Divorced"/>
    <s v="Bachelor's"/>
    <x v="1"/>
    <x v="10"/>
    <x v="2"/>
    <s v="Chennai"/>
    <n v="96000"/>
    <n v="10.9"/>
    <n v="7.8"/>
    <n v="4.8"/>
    <n v="4.4000000000000004"/>
    <x v="2"/>
    <x v="0"/>
    <n v="3"/>
    <x v="1"/>
    <n v="3"/>
    <m/>
    <x v="1"/>
    <x v="2"/>
    <x v="0"/>
    <n v="0"/>
  </r>
  <r>
    <s v="EMP0048"/>
    <d v="2019-05-09T00:00:00"/>
    <x v="0"/>
    <n v="27"/>
    <s v="Non-Binary"/>
    <s v="Married"/>
    <s v="Diploma"/>
    <x v="0"/>
    <x v="0"/>
    <x v="0"/>
    <s v="Bengaluru"/>
    <n v="22000"/>
    <n v="7.2"/>
    <n v="7.9"/>
    <n v="6.6"/>
    <n v="1"/>
    <x v="3"/>
    <x v="1"/>
    <n v="1"/>
    <x v="0"/>
    <n v="3"/>
    <m/>
    <x v="1"/>
    <x v="0"/>
    <x v="1"/>
    <n v="0"/>
  </r>
  <r>
    <s v="EMP0049"/>
    <d v="2017-06-23T00:00:00"/>
    <x v="0"/>
    <n v="34"/>
    <s v="Non-Binary"/>
    <s v="Single"/>
    <s v="Master's"/>
    <x v="1"/>
    <x v="9"/>
    <x v="2"/>
    <s v="Hyderabad"/>
    <n v="78000"/>
    <n v="9.6999999999999993"/>
    <n v="14.8"/>
    <n v="8.5"/>
    <n v="3.8"/>
    <x v="2"/>
    <x v="0"/>
    <n v="4"/>
    <x v="1"/>
    <n v="3"/>
    <m/>
    <x v="1"/>
    <x v="4"/>
    <x v="1"/>
    <n v="0"/>
  </r>
  <r>
    <s v="EMP0050"/>
    <d v="2025-03-22T00:00:00"/>
    <x v="0"/>
    <n v="27"/>
    <s v="Female"/>
    <s v="Divorced"/>
    <s v="PhD"/>
    <x v="2"/>
    <x v="20"/>
    <x v="0"/>
    <s v="Mumbai"/>
    <n v="34000"/>
    <n v="9.1999999999999993"/>
    <n v="5.3"/>
    <n v="0.8"/>
    <n v="0"/>
    <x v="2"/>
    <x v="1"/>
    <n v="3"/>
    <x v="0"/>
    <n v="4"/>
    <m/>
    <x v="1"/>
    <x v="0"/>
    <x v="3"/>
    <n v="0"/>
  </r>
  <r>
    <s v="EMP0051"/>
    <d v="2017-02-08T00:00:00"/>
    <x v="0"/>
    <n v="36"/>
    <s v="Female"/>
    <s v="Divorced"/>
    <s v="Bachelor's"/>
    <x v="5"/>
    <x v="8"/>
    <x v="3"/>
    <s v="Pune"/>
    <n v="129000"/>
    <n v="13.3"/>
    <n v="14.3"/>
    <n v="8.9"/>
    <n v="5.2"/>
    <x v="1"/>
    <x v="0"/>
    <n v="1"/>
    <x v="1"/>
    <n v="4"/>
    <m/>
    <x v="0"/>
    <x v="3"/>
    <x v="1"/>
    <n v="0"/>
  </r>
  <r>
    <s v="EMP0052"/>
    <d v="2023-03-25T00:00:00"/>
    <x v="0"/>
    <n v="23"/>
    <s v="Male"/>
    <s v="Married"/>
    <s v="PhD"/>
    <x v="3"/>
    <x v="6"/>
    <x v="0"/>
    <s v="Noida"/>
    <n v="27000"/>
    <n v="11.1"/>
    <n v="6.7"/>
    <n v="2.8"/>
    <n v="0.3"/>
    <x v="2"/>
    <x v="0"/>
    <n v="3"/>
    <x v="0"/>
    <n v="4"/>
    <m/>
    <x v="2"/>
    <x v="0"/>
    <x v="4"/>
    <n v="0"/>
  </r>
  <r>
    <s v="EMP0053"/>
    <d v="2021-01-06T00:00:00"/>
    <x v="1"/>
    <n v="37"/>
    <s v="Non-Binary"/>
    <s v="Divorced"/>
    <s v="PhD"/>
    <x v="3"/>
    <x v="4"/>
    <x v="2"/>
    <s v="Mumbai"/>
    <n v="115000"/>
    <n v="11.3"/>
    <n v="6.9"/>
    <n v="4.3"/>
    <n v="4.2"/>
    <x v="1"/>
    <x v="0"/>
    <n v="3"/>
    <x v="1"/>
    <n v="5"/>
    <d v="2025-05-10T00:00:00"/>
    <x v="0"/>
    <x v="3"/>
    <x v="0"/>
    <n v="1"/>
  </r>
  <r>
    <s v="EMP0054"/>
    <d v="2018-06-01T00:00:00"/>
    <x v="1"/>
    <n v="40"/>
    <s v="Non-Binary"/>
    <s v="Divorced"/>
    <s v="Master's"/>
    <x v="5"/>
    <x v="13"/>
    <x v="2"/>
    <s v="Noida"/>
    <n v="92000"/>
    <n v="7.7"/>
    <n v="11.4"/>
    <n v="7"/>
    <n v="5.6"/>
    <x v="2"/>
    <x v="0"/>
    <n v="3"/>
    <x v="1"/>
    <n v="2"/>
    <d v="2025-05-17T00:00:00"/>
    <x v="0"/>
    <x v="2"/>
    <x v="1"/>
    <n v="1"/>
  </r>
  <r>
    <s v="EMP0055"/>
    <d v="2021-06-13T00:00:00"/>
    <x v="0"/>
    <n v="28"/>
    <s v="Non-Binary"/>
    <s v="Divorced"/>
    <s v="Diploma"/>
    <x v="1"/>
    <x v="9"/>
    <x v="2"/>
    <s v="Mumbai"/>
    <n v="87000"/>
    <n v="7.1"/>
    <n v="8.1999999999999993"/>
    <n v="4.5999999999999996"/>
    <n v="0.5"/>
    <x v="0"/>
    <x v="2"/>
    <n v="3"/>
    <x v="0"/>
    <n v="4"/>
    <m/>
    <x v="1"/>
    <x v="2"/>
    <x v="0"/>
    <n v="0"/>
  </r>
  <r>
    <s v="EMP0056"/>
    <d v="2022-11-06T00:00:00"/>
    <x v="0"/>
    <n v="49"/>
    <s v="Female"/>
    <s v="Married"/>
    <s v="Diploma"/>
    <x v="2"/>
    <x v="17"/>
    <x v="4"/>
    <s v="Bengaluru"/>
    <n v="134000"/>
    <n v="11.7"/>
    <n v="7.2"/>
    <n v="3.2"/>
    <n v="2.8"/>
    <x v="2"/>
    <x v="2"/>
    <n v="3"/>
    <x v="1"/>
    <n v="4"/>
    <m/>
    <x v="3"/>
    <x v="3"/>
    <x v="0"/>
    <n v="0"/>
  </r>
  <r>
    <s v="EMP0057"/>
    <d v="2020-01-28T00:00:00"/>
    <x v="0"/>
    <n v="30"/>
    <s v="Male"/>
    <s v="Divorced"/>
    <s v="Master's"/>
    <x v="6"/>
    <x v="21"/>
    <x v="3"/>
    <s v="Chennai"/>
    <n v="120000"/>
    <n v="9.3000000000000007"/>
    <n v="9.8000000000000007"/>
    <n v="5.9"/>
    <n v="2"/>
    <x v="0"/>
    <x v="2"/>
    <n v="3"/>
    <x v="1"/>
    <n v="5"/>
    <m/>
    <x v="1"/>
    <x v="3"/>
    <x v="0"/>
    <n v="0"/>
  </r>
  <r>
    <s v="EMP0058"/>
    <d v="2022-07-16T00:00:00"/>
    <x v="0"/>
    <n v="28"/>
    <s v="Male"/>
    <s v="Single"/>
    <s v="Diploma"/>
    <x v="3"/>
    <x v="11"/>
    <x v="3"/>
    <s v="Bengaluru"/>
    <n v="121000"/>
    <n v="6.1"/>
    <n v="6.5"/>
    <n v="3.5"/>
    <n v="3.5"/>
    <x v="2"/>
    <x v="2"/>
    <n v="3"/>
    <x v="1"/>
    <n v="2"/>
    <m/>
    <x v="1"/>
    <x v="3"/>
    <x v="0"/>
    <n v="0"/>
  </r>
  <r>
    <s v="EMP0059"/>
    <d v="2015-01-18T00:00:00"/>
    <x v="0"/>
    <n v="33"/>
    <s v="Female"/>
    <s v="Divorced"/>
    <s v="Bachelor's"/>
    <x v="2"/>
    <x v="17"/>
    <x v="0"/>
    <s v="Hyderabad"/>
    <n v="27000"/>
    <n v="17.600000000000001"/>
    <n v="18.7"/>
    <n v="11"/>
    <n v="0.4"/>
    <x v="3"/>
    <x v="2"/>
    <n v="3"/>
    <x v="0"/>
    <n v="4"/>
    <m/>
    <x v="1"/>
    <x v="0"/>
    <x v="2"/>
    <n v="0"/>
  </r>
  <r>
    <s v="EMP0060"/>
    <d v="2025-01-12T00:00:00"/>
    <x v="0"/>
    <n v="21"/>
    <s v="Male"/>
    <s v="Divorced"/>
    <s v="Bachelor's"/>
    <x v="2"/>
    <x v="17"/>
    <x v="0"/>
    <s v="Mumbai"/>
    <n v="35000"/>
    <n v="6.4"/>
    <n v="5.3"/>
    <n v="1"/>
    <n v="0.6"/>
    <x v="0"/>
    <x v="1"/>
    <n v="3"/>
    <x v="1"/>
    <n v="3"/>
    <m/>
    <x v="2"/>
    <x v="0"/>
    <x v="4"/>
    <n v="0"/>
  </r>
  <r>
    <s v="EMP0061"/>
    <d v="2022-09-23T00:00:00"/>
    <x v="1"/>
    <n v="27"/>
    <s v="Male"/>
    <s v="Single"/>
    <s v="Master's"/>
    <x v="5"/>
    <x v="8"/>
    <x v="0"/>
    <s v="Bengaluru"/>
    <n v="37000"/>
    <n v="11"/>
    <n v="4.7"/>
    <n v="2.4"/>
    <n v="0.9"/>
    <x v="0"/>
    <x v="1"/>
    <n v="3"/>
    <x v="1"/>
    <n v="4"/>
    <d v="2025-01-29T00:00:00"/>
    <x v="1"/>
    <x v="0"/>
    <x v="4"/>
    <n v="1"/>
  </r>
  <r>
    <s v="EMP0062"/>
    <d v="2022-10-15T00:00:00"/>
    <x v="1"/>
    <n v="25"/>
    <s v="Female"/>
    <s v="Divorced"/>
    <s v="Master's"/>
    <x v="4"/>
    <x v="5"/>
    <x v="0"/>
    <s v="Bengaluru"/>
    <n v="29000"/>
    <n v="7.1"/>
    <n v="8"/>
    <n v="2.9"/>
    <n v="1.3"/>
    <x v="0"/>
    <x v="0"/>
    <n v="4"/>
    <x v="0"/>
    <n v="3"/>
    <d v="2025-08-25T00:00:00"/>
    <x v="2"/>
    <x v="0"/>
    <x v="4"/>
    <n v="1"/>
  </r>
  <r>
    <s v="EMP0063"/>
    <d v="2022-03-15T00:00:00"/>
    <x v="0"/>
    <n v="45"/>
    <s v="Female"/>
    <s v="Divorced"/>
    <s v="Diploma"/>
    <x v="3"/>
    <x v="4"/>
    <x v="4"/>
    <s v="Noida"/>
    <n v="164000"/>
    <n v="4"/>
    <n v="6.2"/>
    <n v="3.8"/>
    <n v="3.8"/>
    <x v="2"/>
    <x v="2"/>
    <n v="2"/>
    <x v="1"/>
    <n v="3"/>
    <m/>
    <x v="0"/>
    <x v="3"/>
    <x v="0"/>
    <n v="0"/>
  </r>
  <r>
    <s v="EMP0064"/>
    <d v="2017-12-31T00:00:00"/>
    <x v="0"/>
    <n v="48"/>
    <s v="Female"/>
    <s v="Single"/>
    <s v="Diploma"/>
    <x v="6"/>
    <x v="19"/>
    <x v="4"/>
    <s v="Pune"/>
    <n v="163000"/>
    <n v="2.9"/>
    <n v="14"/>
    <n v="8"/>
    <n v="0.3"/>
    <x v="2"/>
    <x v="0"/>
    <n v="3"/>
    <x v="0"/>
    <n v="5"/>
    <m/>
    <x v="3"/>
    <x v="3"/>
    <x v="1"/>
    <n v="0"/>
  </r>
  <r>
    <s v="EMP0065"/>
    <d v="2017-10-09T00:00:00"/>
    <x v="0"/>
    <n v="42"/>
    <s v="Non-Binary"/>
    <s v="Married"/>
    <s v="Master's"/>
    <x v="0"/>
    <x v="3"/>
    <x v="2"/>
    <s v="Bengaluru"/>
    <n v="66000"/>
    <n v="10.8"/>
    <n v="13.3"/>
    <n v="8.1999999999999993"/>
    <n v="5.4"/>
    <x v="2"/>
    <x v="0"/>
    <n v="3"/>
    <x v="1"/>
    <n v="3"/>
    <m/>
    <x v="0"/>
    <x v="4"/>
    <x v="1"/>
    <n v="0"/>
  </r>
  <r>
    <s v="EMP0066"/>
    <d v="2020-09-10T00:00:00"/>
    <x v="0"/>
    <n v="27"/>
    <s v="Female"/>
    <s v="Married"/>
    <s v="Diploma"/>
    <x v="6"/>
    <x v="21"/>
    <x v="0"/>
    <s v="Bengaluru"/>
    <n v="33000"/>
    <n v="0"/>
    <n v="13.1"/>
    <n v="5.3"/>
    <n v="2.8"/>
    <x v="3"/>
    <x v="2"/>
    <n v="4"/>
    <x v="0"/>
    <n v="3"/>
    <m/>
    <x v="1"/>
    <x v="0"/>
    <x v="0"/>
    <n v="0"/>
  </r>
  <r>
    <s v="EMP0067"/>
    <d v="2015-05-12T00:00:00"/>
    <x v="0"/>
    <n v="31"/>
    <s v="Non-Binary"/>
    <s v="Single"/>
    <s v="PhD"/>
    <x v="3"/>
    <x v="15"/>
    <x v="1"/>
    <s v="Hyderabad"/>
    <n v="44000"/>
    <n v="15.5"/>
    <n v="18.399999999999999"/>
    <n v="10.6"/>
    <n v="4.8"/>
    <x v="2"/>
    <x v="0"/>
    <n v="4"/>
    <x v="1"/>
    <n v="1"/>
    <m/>
    <x v="1"/>
    <x v="1"/>
    <x v="2"/>
    <n v="0"/>
  </r>
  <r>
    <s v="EMP0068"/>
    <d v="2017-09-21T00:00:00"/>
    <x v="0"/>
    <n v="30"/>
    <s v="Male"/>
    <s v="Divorced"/>
    <s v="PhD"/>
    <x v="0"/>
    <x v="7"/>
    <x v="2"/>
    <s v="Noida"/>
    <n v="73000"/>
    <n v="14.8"/>
    <n v="8.5"/>
    <n v="8.3000000000000007"/>
    <n v="5.3"/>
    <x v="3"/>
    <x v="0"/>
    <n v="4"/>
    <x v="1"/>
    <n v="3"/>
    <m/>
    <x v="1"/>
    <x v="4"/>
    <x v="1"/>
    <n v="0"/>
  </r>
  <r>
    <s v="EMP0069"/>
    <d v="2025-03-03T00:00:00"/>
    <x v="1"/>
    <n v="41"/>
    <s v="Non-Binary"/>
    <s v="Married"/>
    <s v="Master's"/>
    <x v="6"/>
    <x v="12"/>
    <x v="1"/>
    <s v="Mumbai"/>
    <n v="53000"/>
    <n v="5.0999999999999996"/>
    <n v="7.4"/>
    <n v="0.3"/>
    <n v="0"/>
    <x v="0"/>
    <x v="0"/>
    <n v="3"/>
    <x v="0"/>
    <n v="4"/>
    <d v="2025-07-01T00:00:00"/>
    <x v="0"/>
    <x v="1"/>
    <x v="3"/>
    <n v="1"/>
  </r>
  <r>
    <s v="EMP0070"/>
    <d v="2018-07-01T00:00:00"/>
    <x v="0"/>
    <n v="34"/>
    <s v="Female"/>
    <s v="Divorced"/>
    <s v="Diploma"/>
    <x v="0"/>
    <x v="0"/>
    <x v="3"/>
    <s v="Bengaluru"/>
    <n v="98000"/>
    <n v="9.3000000000000007"/>
    <n v="9.1999999999999993"/>
    <n v="7.5"/>
    <n v="2.7"/>
    <x v="2"/>
    <x v="1"/>
    <n v="3"/>
    <x v="1"/>
    <n v="5"/>
    <m/>
    <x v="1"/>
    <x v="2"/>
    <x v="1"/>
    <n v="0"/>
  </r>
  <r>
    <s v="EMP0071"/>
    <d v="2024-04-09T00:00:00"/>
    <x v="0"/>
    <n v="34"/>
    <s v="Male"/>
    <s v="Divorced"/>
    <s v="Master's"/>
    <x v="3"/>
    <x v="4"/>
    <x v="1"/>
    <s v="Bengaluru"/>
    <n v="61000"/>
    <n v="15.3"/>
    <n v="6.9"/>
    <n v="1.7"/>
    <n v="1"/>
    <x v="2"/>
    <x v="3"/>
    <n v="4"/>
    <x v="1"/>
    <n v="3"/>
    <m/>
    <x v="1"/>
    <x v="4"/>
    <x v="4"/>
    <n v="0"/>
  </r>
  <r>
    <s v="EMP0072"/>
    <d v="2016-03-09T00:00:00"/>
    <x v="0"/>
    <n v="48"/>
    <s v="Male"/>
    <s v="Single"/>
    <s v="Bachelor's"/>
    <x v="2"/>
    <x v="20"/>
    <x v="2"/>
    <s v="Pune"/>
    <n v="58000"/>
    <n v="8.4"/>
    <n v="14.6"/>
    <n v="9.8000000000000007"/>
    <n v="1.7"/>
    <x v="0"/>
    <x v="2"/>
    <n v="4"/>
    <x v="0"/>
    <n v="4"/>
    <m/>
    <x v="3"/>
    <x v="1"/>
    <x v="1"/>
    <n v="0"/>
  </r>
  <r>
    <s v="EMP0073"/>
    <d v="2022-12-01T00:00:00"/>
    <x v="1"/>
    <n v="35"/>
    <s v="Male"/>
    <s v="Married"/>
    <s v="Master's"/>
    <x v="5"/>
    <x v="18"/>
    <x v="2"/>
    <s v="Chennai"/>
    <n v="81000"/>
    <n v="8.1999999999999993"/>
    <n v="6.9"/>
    <n v="2.7"/>
    <n v="2"/>
    <x v="3"/>
    <x v="0"/>
    <n v="4"/>
    <x v="1"/>
    <n v="3"/>
    <d v="2025-08-04T00:00:00"/>
    <x v="1"/>
    <x v="2"/>
    <x v="4"/>
    <n v="1"/>
  </r>
  <r>
    <s v="EMP0074"/>
    <d v="2017-04-25T00:00:00"/>
    <x v="0"/>
    <n v="29"/>
    <s v="Non-Binary"/>
    <s v="Single"/>
    <s v="Bachelor's"/>
    <x v="5"/>
    <x v="18"/>
    <x v="2"/>
    <s v="Pune"/>
    <n v="94000"/>
    <n v="10.4"/>
    <n v="14.2"/>
    <n v="8.6999999999999993"/>
    <n v="2.9"/>
    <x v="2"/>
    <x v="2"/>
    <n v="2"/>
    <x v="0"/>
    <n v="2"/>
    <m/>
    <x v="1"/>
    <x v="2"/>
    <x v="1"/>
    <n v="0"/>
  </r>
  <r>
    <s v="EMP0075"/>
    <d v="2018-09-17T00:00:00"/>
    <x v="0"/>
    <n v="39"/>
    <s v="Male"/>
    <s v="Married"/>
    <s v="PhD"/>
    <x v="6"/>
    <x v="21"/>
    <x v="1"/>
    <s v="Pune"/>
    <n v="56000"/>
    <n v="12.3"/>
    <n v="13.6"/>
    <n v="7.3"/>
    <n v="0.7"/>
    <x v="2"/>
    <x v="0"/>
    <n v="4"/>
    <x v="1"/>
    <n v="4"/>
    <m/>
    <x v="0"/>
    <x v="1"/>
    <x v="1"/>
    <n v="0"/>
  </r>
  <r>
    <s v="EMP0076"/>
    <d v="2020-02-27T00:00:00"/>
    <x v="0"/>
    <n v="27"/>
    <s v="Male"/>
    <s v="Single"/>
    <s v="Bachelor's"/>
    <x v="3"/>
    <x v="4"/>
    <x v="0"/>
    <s v="Mumbai"/>
    <n v="30000"/>
    <n v="12"/>
    <n v="8.3000000000000007"/>
    <n v="5.8"/>
    <n v="1.5"/>
    <x v="2"/>
    <x v="2"/>
    <n v="3"/>
    <x v="1"/>
    <n v="3"/>
    <m/>
    <x v="1"/>
    <x v="0"/>
    <x v="0"/>
    <n v="0"/>
  </r>
  <r>
    <s v="EMP0077"/>
    <d v="2019-03-11T00:00:00"/>
    <x v="0"/>
    <n v="33"/>
    <s v="Non-Binary"/>
    <s v="Single"/>
    <s v="Diploma"/>
    <x v="5"/>
    <x v="18"/>
    <x v="3"/>
    <s v="Chennai"/>
    <n v="125000"/>
    <n v="14.1"/>
    <n v="7.8"/>
    <n v="6.8"/>
    <n v="2.1"/>
    <x v="2"/>
    <x v="0"/>
    <n v="3"/>
    <x v="1"/>
    <n v="4"/>
    <m/>
    <x v="1"/>
    <x v="3"/>
    <x v="1"/>
    <n v="0"/>
  </r>
  <r>
    <s v="EMP0078"/>
    <d v="2019-10-07T00:00:00"/>
    <x v="0"/>
    <n v="37"/>
    <s v="Female"/>
    <s v="Divorced"/>
    <s v="Bachelor's"/>
    <x v="6"/>
    <x v="21"/>
    <x v="1"/>
    <s v="Chennai"/>
    <n v="51000"/>
    <n v="8.1"/>
    <n v="9"/>
    <n v="6.2"/>
    <n v="3.3"/>
    <x v="2"/>
    <x v="1"/>
    <n v="3"/>
    <x v="0"/>
    <n v="3"/>
    <m/>
    <x v="0"/>
    <x v="1"/>
    <x v="1"/>
    <n v="0"/>
  </r>
  <r>
    <s v="EMP0079"/>
    <d v="2022-07-03T00:00:00"/>
    <x v="0"/>
    <n v="39"/>
    <s v="Male"/>
    <s v="Single"/>
    <s v="Master's"/>
    <x v="0"/>
    <x v="7"/>
    <x v="0"/>
    <s v="Mumbai"/>
    <n v="39000"/>
    <n v="14.2"/>
    <n v="4.9000000000000004"/>
    <n v="3.5"/>
    <n v="0.5"/>
    <x v="0"/>
    <x v="0"/>
    <n v="2"/>
    <x v="1"/>
    <n v="4"/>
    <m/>
    <x v="0"/>
    <x v="0"/>
    <x v="0"/>
    <n v="0"/>
  </r>
  <r>
    <s v="EMP0080"/>
    <d v="2021-05-16T00:00:00"/>
    <x v="0"/>
    <n v="38"/>
    <s v="Female"/>
    <s v="Married"/>
    <s v="PhD"/>
    <x v="3"/>
    <x v="6"/>
    <x v="1"/>
    <s v="Mumbai"/>
    <n v="52000"/>
    <n v="10.3"/>
    <n v="5.3"/>
    <n v="4.5999999999999996"/>
    <n v="0.2"/>
    <x v="0"/>
    <x v="1"/>
    <n v="3"/>
    <x v="1"/>
    <n v="4"/>
    <m/>
    <x v="0"/>
    <x v="1"/>
    <x v="0"/>
    <n v="0"/>
  </r>
  <r>
    <s v="EMP0081"/>
    <d v="2023-03-07T00:00:00"/>
    <x v="0"/>
    <n v="34"/>
    <s v="Non-Binary"/>
    <s v="Single"/>
    <s v="Bachelor's"/>
    <x v="4"/>
    <x v="5"/>
    <x v="1"/>
    <s v="Pune"/>
    <n v="56000"/>
    <n v="5.7"/>
    <n v="8.1999999999999993"/>
    <n v="2.8"/>
    <n v="1.7"/>
    <x v="2"/>
    <x v="0"/>
    <n v="3"/>
    <x v="1"/>
    <n v="3"/>
    <m/>
    <x v="1"/>
    <x v="1"/>
    <x v="4"/>
    <n v="0"/>
  </r>
  <r>
    <s v="EMP0082"/>
    <d v="2021-04-29T00:00:00"/>
    <x v="1"/>
    <n v="26"/>
    <s v="Non-Binary"/>
    <s v="Married"/>
    <s v="Bachelor's"/>
    <x v="6"/>
    <x v="22"/>
    <x v="0"/>
    <s v="Mumbai"/>
    <n v="23000"/>
    <n v="13.6"/>
    <n v="10.3"/>
    <n v="4.4000000000000004"/>
    <n v="0.8"/>
    <x v="2"/>
    <x v="0"/>
    <n v="3"/>
    <x v="1"/>
    <n v="3"/>
    <d v="2025-09-12T00:00:00"/>
    <x v="1"/>
    <x v="0"/>
    <x v="0"/>
    <n v="1"/>
  </r>
  <r>
    <s v="EMP0083"/>
    <d v="2020-04-27T00:00:00"/>
    <x v="0"/>
    <n v="37"/>
    <s v="Male"/>
    <s v="Divorced"/>
    <s v="PhD"/>
    <x v="2"/>
    <x v="23"/>
    <x v="1"/>
    <s v="Noida"/>
    <n v="57000"/>
    <n v="9"/>
    <n v="8.9"/>
    <n v="5.7"/>
    <n v="3.6"/>
    <x v="2"/>
    <x v="0"/>
    <n v="3"/>
    <x v="0"/>
    <n v="5"/>
    <m/>
    <x v="0"/>
    <x v="1"/>
    <x v="0"/>
    <n v="0"/>
  </r>
  <r>
    <s v="EMP0084"/>
    <d v="2024-06-18T00:00:00"/>
    <x v="1"/>
    <n v="34"/>
    <s v="Non-Binary"/>
    <s v="Divorced"/>
    <s v="Master's"/>
    <x v="6"/>
    <x v="19"/>
    <x v="1"/>
    <s v="Hyderabad"/>
    <n v="47000"/>
    <n v="12.9"/>
    <n v="6.9"/>
    <n v="1"/>
    <n v="0.2"/>
    <x v="2"/>
    <x v="2"/>
    <n v="2"/>
    <x v="1"/>
    <n v="4"/>
    <d v="2025-06-08T00:00:00"/>
    <x v="1"/>
    <x v="1"/>
    <x v="4"/>
    <n v="1"/>
  </r>
  <r>
    <s v="EMP0085"/>
    <d v="2024-02-13T00:00:00"/>
    <x v="0"/>
    <n v="27"/>
    <s v="Non-Binary"/>
    <s v="Divorced"/>
    <s v="PhD"/>
    <x v="6"/>
    <x v="22"/>
    <x v="0"/>
    <s v="Noida"/>
    <n v="31000"/>
    <n v="10.7"/>
    <n v="8"/>
    <n v="1.9"/>
    <n v="1.2"/>
    <x v="3"/>
    <x v="1"/>
    <n v="4"/>
    <x v="0"/>
    <n v="3"/>
    <m/>
    <x v="1"/>
    <x v="0"/>
    <x v="4"/>
    <n v="0"/>
  </r>
  <r>
    <s v="EMP0086"/>
    <d v="2019-11-29T00:00:00"/>
    <x v="1"/>
    <n v="27"/>
    <s v="Female"/>
    <s v="Married"/>
    <s v="Bachelor's"/>
    <x v="4"/>
    <x v="24"/>
    <x v="0"/>
    <s v="Bengaluru"/>
    <n v="34000"/>
    <n v="10"/>
    <n v="10.8"/>
    <n v="5.7"/>
    <n v="4.5"/>
    <x v="3"/>
    <x v="0"/>
    <n v="3"/>
    <x v="1"/>
    <n v="2"/>
    <d v="2025-08-15T00:00:00"/>
    <x v="1"/>
    <x v="0"/>
    <x v="0"/>
    <n v="1"/>
  </r>
  <r>
    <s v="EMP0087"/>
    <d v="2017-04-26T00:00:00"/>
    <x v="0"/>
    <n v="30"/>
    <s v="Non-Binary"/>
    <s v="Divorced"/>
    <s v="Master's"/>
    <x v="6"/>
    <x v="21"/>
    <x v="0"/>
    <s v="Hyderabad"/>
    <n v="36000"/>
    <n v="3.2"/>
    <n v="12.4"/>
    <n v="8.6999999999999993"/>
    <n v="3.3"/>
    <x v="2"/>
    <x v="2"/>
    <n v="4"/>
    <x v="1"/>
    <n v="3"/>
    <m/>
    <x v="1"/>
    <x v="0"/>
    <x v="1"/>
    <n v="0"/>
  </r>
  <r>
    <s v="EMP0088"/>
    <d v="2018-04-29T00:00:00"/>
    <x v="0"/>
    <n v="28"/>
    <s v="Female"/>
    <s v="Divorced"/>
    <s v="Master's"/>
    <x v="4"/>
    <x v="5"/>
    <x v="2"/>
    <s v="Hyderabad"/>
    <n v="72000"/>
    <n v="10.199999999999999"/>
    <n v="15.5"/>
    <n v="7.7"/>
    <n v="0.5"/>
    <x v="0"/>
    <x v="0"/>
    <n v="1"/>
    <x v="1"/>
    <n v="4"/>
    <m/>
    <x v="1"/>
    <x v="4"/>
    <x v="1"/>
    <n v="0"/>
  </r>
  <r>
    <s v="EMP0089"/>
    <d v="2016-08-21T00:00:00"/>
    <x v="0"/>
    <n v="39"/>
    <s v="Non-Binary"/>
    <s v="Divorced"/>
    <s v="Master's"/>
    <x v="6"/>
    <x v="21"/>
    <x v="1"/>
    <s v="Hyderabad"/>
    <n v="51000"/>
    <n v="8.9"/>
    <n v="12"/>
    <n v="9.4"/>
    <n v="2"/>
    <x v="1"/>
    <x v="0"/>
    <n v="3"/>
    <x v="1"/>
    <n v="3"/>
    <m/>
    <x v="0"/>
    <x v="1"/>
    <x v="1"/>
    <n v="0"/>
  </r>
  <r>
    <s v="EMP0090"/>
    <d v="2022-01-26T00:00:00"/>
    <x v="0"/>
    <n v="33"/>
    <s v="Male"/>
    <s v="Divorced"/>
    <s v="Bachelor's"/>
    <x v="5"/>
    <x v="13"/>
    <x v="3"/>
    <s v="Noida"/>
    <n v="122000"/>
    <n v="10.3"/>
    <n v="9.6"/>
    <n v="3.9"/>
    <n v="0.3"/>
    <x v="2"/>
    <x v="0"/>
    <n v="3"/>
    <x v="1"/>
    <n v="3"/>
    <m/>
    <x v="1"/>
    <x v="3"/>
    <x v="0"/>
    <n v="0"/>
  </r>
  <r>
    <s v="EMP0091"/>
    <d v="2025-06-27T00:00:00"/>
    <x v="0"/>
    <n v="37"/>
    <s v="Male"/>
    <s v="Divorced"/>
    <s v="Bachelor's"/>
    <x v="0"/>
    <x v="16"/>
    <x v="2"/>
    <s v="Noida"/>
    <n v="86000"/>
    <n v="8.6"/>
    <n v="6.6"/>
    <n v="0.5"/>
    <n v="0"/>
    <x v="0"/>
    <x v="2"/>
    <n v="2"/>
    <x v="1"/>
    <n v="3"/>
    <m/>
    <x v="0"/>
    <x v="2"/>
    <x v="3"/>
    <n v="0"/>
  </r>
  <r>
    <s v="EMP0092"/>
    <d v="2023-11-24T00:00:00"/>
    <x v="0"/>
    <n v="38"/>
    <s v="Female"/>
    <s v="Divorced"/>
    <s v="Diploma"/>
    <x v="6"/>
    <x v="22"/>
    <x v="2"/>
    <s v="Noida"/>
    <n v="73000"/>
    <n v="9.9"/>
    <n v="9.3000000000000007"/>
    <n v="2.1"/>
    <n v="1.5"/>
    <x v="2"/>
    <x v="3"/>
    <n v="3"/>
    <x v="0"/>
    <n v="4"/>
    <m/>
    <x v="0"/>
    <x v="4"/>
    <x v="4"/>
    <n v="0"/>
  </r>
  <r>
    <s v="EMP0093"/>
    <d v="2022-11-26T00:00:00"/>
    <x v="0"/>
    <n v="34"/>
    <s v="Female"/>
    <s v="Divorced"/>
    <s v="PhD"/>
    <x v="2"/>
    <x v="17"/>
    <x v="1"/>
    <s v="Pune"/>
    <n v="45000"/>
    <n v="9.1"/>
    <n v="4.5999999999999996"/>
    <n v="3.1"/>
    <n v="2.1"/>
    <x v="4"/>
    <x v="0"/>
    <n v="3"/>
    <x v="1"/>
    <n v="4"/>
    <m/>
    <x v="1"/>
    <x v="1"/>
    <x v="0"/>
    <n v="0"/>
  </r>
  <r>
    <s v="EMP0094"/>
    <d v="2024-01-30T00:00:00"/>
    <x v="0"/>
    <n v="43"/>
    <s v="Male"/>
    <s v="Married"/>
    <s v="PhD"/>
    <x v="2"/>
    <x v="20"/>
    <x v="3"/>
    <s v="Chennai"/>
    <n v="117000"/>
    <n v="17.600000000000001"/>
    <n v="6.4"/>
    <n v="1.9"/>
    <n v="0.2"/>
    <x v="2"/>
    <x v="2"/>
    <n v="4"/>
    <x v="0"/>
    <n v="3"/>
    <m/>
    <x v="0"/>
    <x v="3"/>
    <x v="4"/>
    <n v="0"/>
  </r>
  <r>
    <s v="EMP0095"/>
    <d v="2015-01-18T00:00:00"/>
    <x v="0"/>
    <n v="39"/>
    <s v="Male"/>
    <s v="Single"/>
    <s v="Diploma"/>
    <x v="1"/>
    <x v="1"/>
    <x v="0"/>
    <s v="Bengaluru"/>
    <n v="41000"/>
    <n v="17.8"/>
    <n v="14.3"/>
    <n v="11"/>
    <n v="2.4"/>
    <x v="0"/>
    <x v="0"/>
    <n v="3"/>
    <x v="1"/>
    <n v="2"/>
    <m/>
    <x v="0"/>
    <x v="1"/>
    <x v="2"/>
    <n v="0"/>
  </r>
  <r>
    <s v="EMP0096"/>
    <d v="2020-05-25T00:00:00"/>
    <x v="0"/>
    <n v="27"/>
    <s v="Male"/>
    <s v="Single"/>
    <s v="Diploma"/>
    <x v="2"/>
    <x v="2"/>
    <x v="0"/>
    <s v="Pune"/>
    <n v="28000"/>
    <n v="0.5"/>
    <n v="11.2"/>
    <n v="5.6"/>
    <n v="0.8"/>
    <x v="2"/>
    <x v="0"/>
    <n v="3"/>
    <x v="0"/>
    <n v="1"/>
    <m/>
    <x v="1"/>
    <x v="0"/>
    <x v="0"/>
    <n v="0"/>
  </r>
  <r>
    <s v="EMP0097"/>
    <d v="2020-02-07T00:00:00"/>
    <x v="0"/>
    <n v="28"/>
    <s v="Male"/>
    <s v="Married"/>
    <s v="Bachelor's"/>
    <x v="2"/>
    <x v="20"/>
    <x v="2"/>
    <s v="Noida"/>
    <n v="77000"/>
    <n v="10.4"/>
    <n v="8.3000000000000007"/>
    <n v="5.9"/>
    <n v="0.3"/>
    <x v="3"/>
    <x v="0"/>
    <n v="4"/>
    <x v="1"/>
    <n v="3"/>
    <m/>
    <x v="1"/>
    <x v="4"/>
    <x v="0"/>
    <n v="0"/>
  </r>
  <r>
    <s v="EMP0098"/>
    <d v="2022-04-17T00:00:00"/>
    <x v="0"/>
    <n v="40"/>
    <s v="Non-Binary"/>
    <s v="Divorced"/>
    <s v="Bachelor's"/>
    <x v="4"/>
    <x v="14"/>
    <x v="2"/>
    <s v="Mumbai"/>
    <n v="68000"/>
    <n v="5.4"/>
    <n v="5.2"/>
    <n v="3.7"/>
    <n v="2.5"/>
    <x v="2"/>
    <x v="0"/>
    <n v="3"/>
    <x v="0"/>
    <n v="5"/>
    <m/>
    <x v="0"/>
    <x v="4"/>
    <x v="0"/>
    <n v="0"/>
  </r>
  <r>
    <s v="EMP0099"/>
    <d v="2025-07-16T00:00:00"/>
    <x v="0"/>
    <n v="24"/>
    <s v="Non-Binary"/>
    <s v="Divorced"/>
    <s v="Diploma"/>
    <x v="2"/>
    <x v="17"/>
    <x v="0"/>
    <s v="Pune"/>
    <n v="49000"/>
    <n v="13.7"/>
    <n v="3.3"/>
    <n v="0.5"/>
    <n v="0"/>
    <x v="2"/>
    <x v="1"/>
    <n v="3"/>
    <x v="1"/>
    <n v="2"/>
    <m/>
    <x v="2"/>
    <x v="1"/>
    <x v="3"/>
    <n v="0"/>
  </r>
  <r>
    <s v="EMP0100"/>
    <d v="2025-04-26T00:00:00"/>
    <x v="0"/>
    <n v="21"/>
    <s v="Female"/>
    <s v="Single"/>
    <s v="Diploma"/>
    <x v="5"/>
    <x v="18"/>
    <x v="0"/>
    <s v="Pune"/>
    <n v="50000"/>
    <n v="8.5"/>
    <n v="4.4000000000000004"/>
    <n v="0.7"/>
    <n v="0"/>
    <x v="3"/>
    <x v="0"/>
    <n v="4"/>
    <x v="1"/>
    <n v="2"/>
    <m/>
    <x v="2"/>
    <x v="1"/>
    <x v="3"/>
    <n v="0"/>
  </r>
  <r>
    <s v="EMP0101"/>
    <d v="2024-03-12T00:00:00"/>
    <x v="0"/>
    <n v="22"/>
    <s v="Male"/>
    <s v="Divorced"/>
    <s v="Diploma"/>
    <x v="5"/>
    <x v="13"/>
    <x v="0"/>
    <s v="Hyderabad"/>
    <n v="32000"/>
    <n v="9"/>
    <n v="8.3000000000000007"/>
    <n v="1.8"/>
    <n v="0.9"/>
    <x v="2"/>
    <x v="3"/>
    <n v="3"/>
    <x v="1"/>
    <n v="3"/>
    <m/>
    <x v="2"/>
    <x v="0"/>
    <x v="4"/>
    <n v="0"/>
  </r>
  <r>
    <s v="EMP0102"/>
    <d v="2021-10-27T00:00:00"/>
    <x v="0"/>
    <n v="30"/>
    <s v="Male"/>
    <s v="Divorced"/>
    <s v="PhD"/>
    <x v="5"/>
    <x v="18"/>
    <x v="1"/>
    <s v="Bengaluru"/>
    <n v="65000"/>
    <n v="4.7"/>
    <n v="5.7"/>
    <n v="4.2"/>
    <n v="2.9"/>
    <x v="0"/>
    <x v="0"/>
    <n v="4"/>
    <x v="1"/>
    <n v="3"/>
    <m/>
    <x v="1"/>
    <x v="4"/>
    <x v="0"/>
    <n v="0"/>
  </r>
  <r>
    <s v="EMP0103"/>
    <d v="2021-12-10T00:00:00"/>
    <x v="0"/>
    <n v="34"/>
    <s v="Female"/>
    <s v="Divorced"/>
    <s v="PhD"/>
    <x v="3"/>
    <x v="11"/>
    <x v="2"/>
    <s v="Hyderabad"/>
    <n v="85000"/>
    <n v="11.8"/>
    <n v="8.9"/>
    <n v="4.0999999999999996"/>
    <n v="1.7"/>
    <x v="2"/>
    <x v="0"/>
    <n v="3"/>
    <x v="0"/>
    <n v="1"/>
    <m/>
    <x v="1"/>
    <x v="2"/>
    <x v="0"/>
    <n v="0"/>
  </r>
  <r>
    <s v="EMP0104"/>
    <d v="2025-07-28T00:00:00"/>
    <x v="0"/>
    <n v="22"/>
    <s v="Male"/>
    <s v="Single"/>
    <s v="Bachelor's"/>
    <x v="0"/>
    <x v="0"/>
    <x v="0"/>
    <s v="Pune"/>
    <n v="43000"/>
    <n v="10.3"/>
    <n v="5.9"/>
    <n v="0.4"/>
    <n v="0"/>
    <x v="2"/>
    <x v="1"/>
    <n v="3"/>
    <x v="1"/>
    <n v="4"/>
    <m/>
    <x v="2"/>
    <x v="1"/>
    <x v="3"/>
    <n v="0"/>
  </r>
  <r>
    <s v="EMP0105"/>
    <d v="2014-08-04T00:00:00"/>
    <x v="0"/>
    <n v="44"/>
    <s v="Female"/>
    <s v="Divorced"/>
    <s v="Diploma"/>
    <x v="2"/>
    <x v="2"/>
    <x v="1"/>
    <s v="Pune"/>
    <n v="53000"/>
    <n v="13.7"/>
    <n v="14.4"/>
    <n v="11.4"/>
    <n v="2.7"/>
    <x v="3"/>
    <x v="1"/>
    <n v="2"/>
    <x v="0"/>
    <n v="3"/>
    <m/>
    <x v="0"/>
    <x v="1"/>
    <x v="2"/>
    <n v="0"/>
  </r>
  <r>
    <s v="EMP0106"/>
    <d v="2019-11-11T00:00:00"/>
    <x v="0"/>
    <n v="47"/>
    <s v="Female"/>
    <s v="Single"/>
    <s v="Bachelor's"/>
    <x v="5"/>
    <x v="8"/>
    <x v="2"/>
    <s v="Pune"/>
    <n v="102000"/>
    <n v="8"/>
    <n v="8.1999999999999993"/>
    <n v="6.1"/>
    <n v="2.7"/>
    <x v="2"/>
    <x v="2"/>
    <n v="3"/>
    <x v="1"/>
    <n v="5"/>
    <m/>
    <x v="3"/>
    <x v="3"/>
    <x v="1"/>
    <n v="0"/>
  </r>
  <r>
    <s v="EMP0107"/>
    <d v="2015-03-09T00:00:00"/>
    <x v="0"/>
    <n v="38"/>
    <s v="Female"/>
    <s v="Single"/>
    <s v="Master's"/>
    <x v="2"/>
    <x v="23"/>
    <x v="2"/>
    <s v="Hyderabad"/>
    <n v="88000"/>
    <n v="5.0999999999999996"/>
    <n v="17.600000000000001"/>
    <n v="10.8"/>
    <n v="1.9"/>
    <x v="3"/>
    <x v="0"/>
    <n v="2"/>
    <x v="1"/>
    <n v="4"/>
    <m/>
    <x v="0"/>
    <x v="2"/>
    <x v="2"/>
    <n v="0"/>
  </r>
  <r>
    <s v="EMP0108"/>
    <d v="2023-05-08T00:00:00"/>
    <x v="1"/>
    <n v="40"/>
    <s v="Male"/>
    <s v="Married"/>
    <s v="PhD"/>
    <x v="4"/>
    <x v="14"/>
    <x v="1"/>
    <s v="Noida"/>
    <n v="35000"/>
    <n v="4.3"/>
    <n v="7"/>
    <n v="2.4"/>
    <n v="1.1000000000000001"/>
    <x v="0"/>
    <x v="2"/>
    <n v="2"/>
    <x v="0"/>
    <n v="5"/>
    <d v="2025-10-11T00:00:00"/>
    <x v="0"/>
    <x v="0"/>
    <x v="4"/>
    <n v="1"/>
  </r>
  <r>
    <s v="EMP0109"/>
    <d v="2017-06-21T00:00:00"/>
    <x v="0"/>
    <n v="31"/>
    <s v="Non-Binary"/>
    <s v="Divorced"/>
    <s v="Master's"/>
    <x v="0"/>
    <x v="16"/>
    <x v="2"/>
    <s v="Pune"/>
    <n v="78000"/>
    <n v="15"/>
    <n v="13.7"/>
    <n v="8.5"/>
    <n v="2.7"/>
    <x v="1"/>
    <x v="0"/>
    <n v="3"/>
    <x v="1"/>
    <n v="5"/>
    <m/>
    <x v="1"/>
    <x v="4"/>
    <x v="1"/>
    <n v="0"/>
  </r>
  <r>
    <s v="EMP0110"/>
    <d v="2019-08-22T00:00:00"/>
    <x v="0"/>
    <n v="44"/>
    <s v="Male"/>
    <s v="Divorced"/>
    <s v="Diploma"/>
    <x v="3"/>
    <x v="15"/>
    <x v="3"/>
    <s v="Pune"/>
    <n v="103000"/>
    <n v="2.2000000000000002"/>
    <n v="8.1999999999999993"/>
    <n v="6.4"/>
    <n v="5.7"/>
    <x v="3"/>
    <x v="0"/>
    <n v="3"/>
    <x v="1"/>
    <n v="2"/>
    <m/>
    <x v="0"/>
    <x v="3"/>
    <x v="1"/>
    <n v="0"/>
  </r>
  <r>
    <s v="EMP0111"/>
    <d v="2024-08-10T00:00:00"/>
    <x v="0"/>
    <n v="36"/>
    <s v="Male"/>
    <s v="Single"/>
    <s v="Bachelor's"/>
    <x v="0"/>
    <x v="7"/>
    <x v="2"/>
    <s v="Bengaluru"/>
    <n v="72000"/>
    <n v="0.7"/>
    <n v="2.8"/>
    <n v="1.4"/>
    <n v="0.9"/>
    <x v="2"/>
    <x v="2"/>
    <n v="3"/>
    <x v="1"/>
    <n v="5"/>
    <m/>
    <x v="0"/>
    <x v="4"/>
    <x v="4"/>
    <n v="0"/>
  </r>
  <r>
    <s v="EMP0112"/>
    <d v="2023-04-17T00:00:00"/>
    <x v="0"/>
    <n v="24"/>
    <s v="Non-Binary"/>
    <s v="Married"/>
    <s v="Diploma"/>
    <x v="0"/>
    <x v="7"/>
    <x v="0"/>
    <s v="Mumbai"/>
    <n v="38000"/>
    <n v="10.5"/>
    <n v="6.7"/>
    <n v="2.7"/>
    <n v="1.7"/>
    <x v="2"/>
    <x v="0"/>
    <n v="4"/>
    <x v="1"/>
    <n v="3"/>
    <m/>
    <x v="2"/>
    <x v="0"/>
    <x v="4"/>
    <n v="0"/>
  </r>
  <r>
    <s v="EMP0113"/>
    <d v="2022-01-31T00:00:00"/>
    <x v="0"/>
    <n v="29"/>
    <s v="Female"/>
    <s v="Divorced"/>
    <s v="Bachelor's"/>
    <x v="5"/>
    <x v="8"/>
    <x v="1"/>
    <s v="Hyderabad"/>
    <n v="50000"/>
    <n v="8.6999999999999993"/>
    <n v="10.8"/>
    <n v="3.9"/>
    <n v="1.2"/>
    <x v="2"/>
    <x v="2"/>
    <n v="3"/>
    <x v="1"/>
    <n v="3"/>
    <m/>
    <x v="1"/>
    <x v="1"/>
    <x v="0"/>
    <n v="0"/>
  </r>
  <r>
    <s v="EMP0114"/>
    <d v="2025-01-01T00:00:00"/>
    <x v="1"/>
    <n v="26"/>
    <s v="Non-Binary"/>
    <s v="Divorced"/>
    <s v="Diploma"/>
    <x v="1"/>
    <x v="1"/>
    <x v="0"/>
    <s v="Pune"/>
    <n v="44000"/>
    <n v="6.9"/>
    <n v="7.6"/>
    <n v="0.7"/>
    <n v="0"/>
    <x v="3"/>
    <x v="2"/>
    <n v="4"/>
    <x v="1"/>
    <n v="4"/>
    <d v="2025-09-14T00:00:00"/>
    <x v="1"/>
    <x v="1"/>
    <x v="3"/>
    <n v="1"/>
  </r>
  <r>
    <s v="EMP0115"/>
    <d v="2019-09-05T00:00:00"/>
    <x v="1"/>
    <n v="32"/>
    <s v="Female"/>
    <s v="Divorced"/>
    <s v="PhD"/>
    <x v="2"/>
    <x v="20"/>
    <x v="2"/>
    <s v="Hyderabad"/>
    <n v="66000"/>
    <n v="6.8"/>
    <n v="9.9"/>
    <n v="5.9"/>
    <n v="5.7"/>
    <x v="2"/>
    <x v="4"/>
    <n v="3"/>
    <x v="1"/>
    <n v="2"/>
    <d v="2025-07-21T00:00:00"/>
    <x v="1"/>
    <x v="4"/>
    <x v="0"/>
    <n v="1"/>
  </r>
  <r>
    <s v="EMP0116"/>
    <d v="2020-08-28T00:00:00"/>
    <x v="0"/>
    <n v="47"/>
    <s v="Male"/>
    <s v="Married"/>
    <s v="PhD"/>
    <x v="4"/>
    <x v="25"/>
    <x v="3"/>
    <s v="Chennai"/>
    <n v="106000"/>
    <n v="6.2"/>
    <n v="8.3000000000000007"/>
    <n v="5.3"/>
    <n v="2.1"/>
    <x v="2"/>
    <x v="0"/>
    <n v="2"/>
    <x v="1"/>
    <n v="4"/>
    <m/>
    <x v="3"/>
    <x v="3"/>
    <x v="0"/>
    <n v="0"/>
  </r>
  <r>
    <s v="EMP0117"/>
    <d v="2024-07-27T00:00:00"/>
    <x v="0"/>
    <n v="32"/>
    <s v="Male"/>
    <s v="Single"/>
    <s v="Diploma"/>
    <x v="6"/>
    <x v="19"/>
    <x v="1"/>
    <s v="Mumbai"/>
    <n v="51000"/>
    <n v="11.5"/>
    <n v="4.4000000000000004"/>
    <n v="1.4"/>
    <n v="0.2"/>
    <x v="0"/>
    <x v="0"/>
    <n v="3"/>
    <x v="1"/>
    <n v="1"/>
    <m/>
    <x v="1"/>
    <x v="1"/>
    <x v="4"/>
    <n v="0"/>
  </r>
  <r>
    <s v="EMP0118"/>
    <d v="2017-12-06T00:00:00"/>
    <x v="0"/>
    <n v="29"/>
    <s v="Non-Binary"/>
    <s v="Divorced"/>
    <s v="PhD"/>
    <x v="4"/>
    <x v="5"/>
    <x v="1"/>
    <s v="Noida"/>
    <n v="45000"/>
    <n v="7.9"/>
    <n v="11.2"/>
    <n v="8.1"/>
    <n v="3.7"/>
    <x v="0"/>
    <x v="2"/>
    <n v="3"/>
    <x v="0"/>
    <n v="3"/>
    <m/>
    <x v="1"/>
    <x v="1"/>
    <x v="1"/>
    <n v="0"/>
  </r>
  <r>
    <s v="EMP0119"/>
    <d v="2024-11-22T00:00:00"/>
    <x v="1"/>
    <n v="22"/>
    <s v="Female"/>
    <s v="Married"/>
    <s v="Master's"/>
    <x v="4"/>
    <x v="24"/>
    <x v="0"/>
    <s v="Noida"/>
    <n v="45000"/>
    <n v="15.6"/>
    <n v="5.4"/>
    <n v="0.7"/>
    <n v="0"/>
    <x v="2"/>
    <x v="0"/>
    <n v="3"/>
    <x v="0"/>
    <n v="1"/>
    <d v="2025-08-22T00:00:00"/>
    <x v="2"/>
    <x v="1"/>
    <x v="3"/>
    <n v="1"/>
  </r>
  <r>
    <s v="EMP0120"/>
    <d v="2018-05-05T00:00:00"/>
    <x v="0"/>
    <n v="37"/>
    <s v="Female"/>
    <s v="Married"/>
    <s v="Master's"/>
    <x v="5"/>
    <x v="26"/>
    <x v="1"/>
    <s v="Mumbai"/>
    <n v="62000"/>
    <n v="21.3"/>
    <n v="13.1"/>
    <n v="7.7"/>
    <n v="0.2"/>
    <x v="0"/>
    <x v="2"/>
    <n v="2"/>
    <x v="1"/>
    <n v="1"/>
    <m/>
    <x v="0"/>
    <x v="4"/>
    <x v="1"/>
    <n v="0"/>
  </r>
  <r>
    <s v="EMP0121"/>
    <d v="2016-08-19T00:00:00"/>
    <x v="0"/>
    <n v="32"/>
    <s v="Non-Binary"/>
    <s v="Married"/>
    <s v="Diploma"/>
    <x v="0"/>
    <x v="3"/>
    <x v="1"/>
    <s v="Pune"/>
    <n v="41000"/>
    <n v="2.6"/>
    <n v="9.9"/>
    <n v="9.4"/>
    <n v="0.8"/>
    <x v="0"/>
    <x v="1"/>
    <n v="3"/>
    <x v="1"/>
    <n v="4"/>
    <m/>
    <x v="1"/>
    <x v="1"/>
    <x v="1"/>
    <n v="0"/>
  </r>
  <r>
    <s v="EMP0122"/>
    <d v="2020-06-30T00:00:00"/>
    <x v="0"/>
    <n v="28"/>
    <s v="Female"/>
    <s v="Married"/>
    <s v="Master's"/>
    <x v="3"/>
    <x v="4"/>
    <x v="2"/>
    <s v="Noida"/>
    <n v="67000"/>
    <n v="6.4"/>
    <n v="7.6"/>
    <n v="5.5"/>
    <n v="2.7"/>
    <x v="2"/>
    <x v="2"/>
    <n v="3"/>
    <x v="1"/>
    <n v="3"/>
    <m/>
    <x v="1"/>
    <x v="4"/>
    <x v="0"/>
    <n v="0"/>
  </r>
  <r>
    <s v="EMP0123"/>
    <d v="2021-08-14T00:00:00"/>
    <x v="0"/>
    <n v="45"/>
    <s v="Male"/>
    <s v="Married"/>
    <s v="Bachelor's"/>
    <x v="0"/>
    <x v="16"/>
    <x v="1"/>
    <s v="Hyderabad"/>
    <n v="57000"/>
    <n v="9"/>
    <n v="5.4"/>
    <n v="4.4000000000000004"/>
    <n v="3"/>
    <x v="0"/>
    <x v="0"/>
    <n v="4"/>
    <x v="1"/>
    <n v="4"/>
    <m/>
    <x v="0"/>
    <x v="1"/>
    <x v="0"/>
    <n v="0"/>
  </r>
  <r>
    <s v="EMP0124"/>
    <d v="2020-07-10T00:00:00"/>
    <x v="0"/>
    <n v="34"/>
    <s v="Non-Binary"/>
    <s v="Single"/>
    <s v="Master's"/>
    <x v="0"/>
    <x v="0"/>
    <x v="1"/>
    <s v="Bengaluru"/>
    <n v="42000"/>
    <n v="15.1"/>
    <n v="9.8000000000000007"/>
    <n v="5.5"/>
    <n v="5.0999999999999996"/>
    <x v="2"/>
    <x v="0"/>
    <n v="2"/>
    <x v="0"/>
    <n v="4"/>
    <m/>
    <x v="1"/>
    <x v="1"/>
    <x v="0"/>
    <n v="0"/>
  </r>
  <r>
    <s v="EMP0125"/>
    <d v="2022-01-24T00:00:00"/>
    <x v="0"/>
    <n v="26"/>
    <s v="Female"/>
    <s v="Divorced"/>
    <s v="PhD"/>
    <x v="0"/>
    <x v="3"/>
    <x v="0"/>
    <s v="Mumbai"/>
    <n v="30000"/>
    <n v="5.5"/>
    <n v="4.7"/>
    <n v="3.9"/>
    <n v="3"/>
    <x v="2"/>
    <x v="3"/>
    <n v="3"/>
    <x v="0"/>
    <n v="5"/>
    <m/>
    <x v="1"/>
    <x v="0"/>
    <x v="0"/>
    <n v="0"/>
  </r>
  <r>
    <s v="EMP0126"/>
    <d v="2022-05-04T00:00:00"/>
    <x v="0"/>
    <n v="39"/>
    <s v="Male"/>
    <s v="Married"/>
    <s v="Master's"/>
    <x v="0"/>
    <x v="3"/>
    <x v="2"/>
    <s v="Bengaluru"/>
    <n v="89000"/>
    <n v="3.4"/>
    <n v="8.9"/>
    <n v="3.7"/>
    <n v="0.9"/>
    <x v="1"/>
    <x v="0"/>
    <n v="4"/>
    <x v="1"/>
    <n v="1"/>
    <m/>
    <x v="0"/>
    <x v="2"/>
    <x v="0"/>
    <n v="0"/>
  </r>
  <r>
    <s v="EMP0127"/>
    <d v="2024-04-07T00:00:00"/>
    <x v="0"/>
    <n v="28"/>
    <s v="Female"/>
    <s v="Divorced"/>
    <s v="PhD"/>
    <x v="2"/>
    <x v="17"/>
    <x v="2"/>
    <s v="Pune"/>
    <n v="71000"/>
    <n v="6.6"/>
    <n v="2"/>
    <n v="1.7"/>
    <n v="0.5"/>
    <x v="0"/>
    <x v="0"/>
    <n v="4"/>
    <x v="1"/>
    <n v="3"/>
    <m/>
    <x v="1"/>
    <x v="4"/>
    <x v="4"/>
    <n v="0"/>
  </r>
  <r>
    <s v="EMP0128"/>
    <d v="2016-03-28T00:00:00"/>
    <x v="0"/>
    <n v="33"/>
    <s v="Male"/>
    <s v="Single"/>
    <s v="PhD"/>
    <x v="2"/>
    <x v="17"/>
    <x v="1"/>
    <s v="Mumbai"/>
    <n v="44000"/>
    <n v="10.1"/>
    <n v="15.5"/>
    <n v="9.8000000000000007"/>
    <n v="0.1"/>
    <x v="0"/>
    <x v="0"/>
    <n v="3"/>
    <x v="1"/>
    <n v="4"/>
    <m/>
    <x v="1"/>
    <x v="1"/>
    <x v="1"/>
    <n v="0"/>
  </r>
  <r>
    <s v="EMP0129"/>
    <d v="2018-07-16T00:00:00"/>
    <x v="0"/>
    <n v="31"/>
    <s v="Female"/>
    <s v="Divorced"/>
    <s v="Bachelor's"/>
    <x v="4"/>
    <x v="24"/>
    <x v="0"/>
    <s v="Hyderabad"/>
    <n v="24000"/>
    <n v="6.7"/>
    <n v="9.4"/>
    <n v="7.5"/>
    <n v="1.6"/>
    <x v="3"/>
    <x v="1"/>
    <n v="3"/>
    <x v="0"/>
    <n v="5"/>
    <m/>
    <x v="1"/>
    <x v="0"/>
    <x v="1"/>
    <n v="0"/>
  </r>
  <r>
    <s v="EMP0130"/>
    <d v="2024-12-21T00:00:00"/>
    <x v="0"/>
    <n v="37"/>
    <s v="Female"/>
    <s v="Married"/>
    <s v="Master's"/>
    <x v="0"/>
    <x v="7"/>
    <x v="2"/>
    <s v="Pune"/>
    <n v="63000"/>
    <n v="9.4"/>
    <n v="5"/>
    <n v="1"/>
    <n v="0.9"/>
    <x v="2"/>
    <x v="0"/>
    <n v="3"/>
    <x v="0"/>
    <n v="2"/>
    <m/>
    <x v="0"/>
    <x v="4"/>
    <x v="4"/>
    <n v="0"/>
  </r>
  <r>
    <s v="EMP0131"/>
    <d v="2025-08-05T00:00:00"/>
    <x v="0"/>
    <n v="21"/>
    <s v="Male"/>
    <s v="Divorced"/>
    <s v="Bachelor's"/>
    <x v="1"/>
    <x v="1"/>
    <x v="0"/>
    <s v="Chennai"/>
    <n v="44000"/>
    <n v="6.3"/>
    <n v="4.8"/>
    <n v="0.4"/>
    <n v="0"/>
    <x v="2"/>
    <x v="0"/>
    <n v="3"/>
    <x v="1"/>
    <n v="3"/>
    <m/>
    <x v="2"/>
    <x v="1"/>
    <x v="3"/>
    <n v="0"/>
  </r>
  <r>
    <s v="EMP0132"/>
    <d v="2021-05-10T00:00:00"/>
    <x v="0"/>
    <n v="28"/>
    <s v="Male"/>
    <s v="Divorced"/>
    <s v="PhD"/>
    <x v="3"/>
    <x v="4"/>
    <x v="0"/>
    <s v="Bengaluru"/>
    <n v="22000"/>
    <n v="2.5"/>
    <n v="9.1999999999999993"/>
    <n v="4.5999999999999996"/>
    <n v="0.7"/>
    <x v="2"/>
    <x v="0"/>
    <n v="3"/>
    <x v="0"/>
    <n v="2"/>
    <m/>
    <x v="1"/>
    <x v="0"/>
    <x v="0"/>
    <n v="0"/>
  </r>
  <r>
    <s v="EMP0133"/>
    <d v="2020-05-24T00:00:00"/>
    <x v="1"/>
    <n v="35"/>
    <s v="Male"/>
    <s v="Divorced"/>
    <s v="Bachelor's"/>
    <x v="4"/>
    <x v="5"/>
    <x v="3"/>
    <s v="Bengaluru"/>
    <n v="98000"/>
    <n v="11.6"/>
    <n v="10.6"/>
    <n v="5.3"/>
    <n v="1.6"/>
    <x v="2"/>
    <x v="3"/>
    <n v="2"/>
    <x v="1"/>
    <n v="1"/>
    <d v="2025-08-25T00:00:00"/>
    <x v="1"/>
    <x v="2"/>
    <x v="0"/>
    <n v="1"/>
  </r>
  <r>
    <s v="EMP0134"/>
    <d v="2019-05-15T00:00:00"/>
    <x v="0"/>
    <n v="33"/>
    <s v="Non-Binary"/>
    <s v="Divorced"/>
    <s v="PhD"/>
    <x v="3"/>
    <x v="4"/>
    <x v="2"/>
    <s v="Hyderabad"/>
    <n v="69000"/>
    <n v="6.4"/>
    <n v="10.4"/>
    <n v="6.6"/>
    <n v="1.7"/>
    <x v="0"/>
    <x v="1"/>
    <n v="2"/>
    <x v="0"/>
    <n v="4"/>
    <m/>
    <x v="1"/>
    <x v="4"/>
    <x v="1"/>
    <n v="0"/>
  </r>
  <r>
    <s v="EMP0135"/>
    <d v="2019-11-16T00:00:00"/>
    <x v="0"/>
    <n v="27"/>
    <s v="Non-Binary"/>
    <s v="Married"/>
    <s v="Master's"/>
    <x v="3"/>
    <x v="6"/>
    <x v="0"/>
    <s v="Noida"/>
    <n v="32000"/>
    <n v="13"/>
    <n v="11.4"/>
    <n v="6.1"/>
    <n v="3.2"/>
    <x v="2"/>
    <x v="0"/>
    <n v="3"/>
    <x v="1"/>
    <n v="3"/>
    <m/>
    <x v="1"/>
    <x v="0"/>
    <x v="1"/>
    <n v="0"/>
  </r>
  <r>
    <s v="EMP0136"/>
    <d v="2014-04-02T00:00:00"/>
    <x v="0"/>
    <n v="39"/>
    <s v="Non-Binary"/>
    <s v="Single"/>
    <s v="Bachelor's"/>
    <x v="1"/>
    <x v="10"/>
    <x v="2"/>
    <s v="Noida"/>
    <n v="79000"/>
    <n v="11.1"/>
    <n v="14.8"/>
    <n v="11.7"/>
    <n v="1.4"/>
    <x v="2"/>
    <x v="0"/>
    <n v="2"/>
    <x v="1"/>
    <n v="3"/>
    <m/>
    <x v="0"/>
    <x v="4"/>
    <x v="2"/>
    <n v="0"/>
  </r>
  <r>
    <s v="EMP0137"/>
    <d v="2025-07-13T00:00:00"/>
    <x v="0"/>
    <n v="21"/>
    <s v="Non-Binary"/>
    <s v="Single"/>
    <s v="Bachelor's"/>
    <x v="3"/>
    <x v="15"/>
    <x v="0"/>
    <s v="Pune"/>
    <n v="28000"/>
    <n v="11.3"/>
    <n v="5.8"/>
    <n v="0.5"/>
    <n v="0"/>
    <x v="2"/>
    <x v="1"/>
    <n v="1"/>
    <x v="0"/>
    <n v="3"/>
    <m/>
    <x v="2"/>
    <x v="0"/>
    <x v="3"/>
    <n v="0"/>
  </r>
  <r>
    <s v="EMP0138"/>
    <d v="2014-12-24T00:00:00"/>
    <x v="0"/>
    <n v="36"/>
    <s v="Female"/>
    <s v="Married"/>
    <s v="Diploma"/>
    <x v="4"/>
    <x v="24"/>
    <x v="1"/>
    <s v="Bengaluru"/>
    <n v="45000"/>
    <n v="9.3000000000000007"/>
    <n v="17.600000000000001"/>
    <n v="11"/>
    <n v="1.4"/>
    <x v="2"/>
    <x v="2"/>
    <n v="4"/>
    <x v="1"/>
    <n v="4"/>
    <m/>
    <x v="0"/>
    <x v="1"/>
    <x v="2"/>
    <n v="0"/>
  </r>
  <r>
    <s v="EMP0139"/>
    <d v="2020-09-13T00:00:00"/>
    <x v="0"/>
    <n v="41"/>
    <s v="Female"/>
    <s v="Single"/>
    <s v="PhD"/>
    <x v="4"/>
    <x v="14"/>
    <x v="2"/>
    <s v="Pune"/>
    <n v="76000"/>
    <n v="10.4"/>
    <n v="10.7"/>
    <n v="5.3"/>
    <n v="4.2"/>
    <x v="0"/>
    <x v="0"/>
    <n v="3"/>
    <x v="1"/>
    <n v="2"/>
    <m/>
    <x v="0"/>
    <x v="4"/>
    <x v="0"/>
    <n v="0"/>
  </r>
  <r>
    <s v="EMP0140"/>
    <d v="2018-11-02T00:00:00"/>
    <x v="0"/>
    <n v="30"/>
    <s v="Non-Binary"/>
    <s v="Single"/>
    <s v="PhD"/>
    <x v="2"/>
    <x v="20"/>
    <x v="1"/>
    <s v="Hyderabad"/>
    <n v="48000"/>
    <n v="10.6"/>
    <n v="14.9"/>
    <n v="7.2"/>
    <n v="3.3"/>
    <x v="0"/>
    <x v="1"/>
    <n v="2"/>
    <x v="1"/>
    <n v="3"/>
    <m/>
    <x v="1"/>
    <x v="1"/>
    <x v="1"/>
    <n v="0"/>
  </r>
  <r>
    <s v="EMP0141"/>
    <d v="2021-04-15T00:00:00"/>
    <x v="1"/>
    <n v="35"/>
    <s v="Male"/>
    <s v="Single"/>
    <s v="Master's"/>
    <x v="5"/>
    <x v="13"/>
    <x v="0"/>
    <s v="Noida"/>
    <n v="56000"/>
    <n v="12.5"/>
    <n v="10.3"/>
    <n v="4.5"/>
    <n v="2.5"/>
    <x v="1"/>
    <x v="0"/>
    <n v="4"/>
    <x v="1"/>
    <n v="3"/>
    <d v="2025-10-28T00:00:00"/>
    <x v="1"/>
    <x v="1"/>
    <x v="0"/>
    <n v="1"/>
  </r>
  <r>
    <s v="EMP0142"/>
    <d v="2017-07-24T00:00:00"/>
    <x v="0"/>
    <n v="41"/>
    <s v="Female"/>
    <s v="Divorced"/>
    <s v="PhD"/>
    <x v="5"/>
    <x v="26"/>
    <x v="3"/>
    <s v="Mumbai"/>
    <n v="121000"/>
    <n v="0.8"/>
    <n v="11"/>
    <n v="8.4"/>
    <n v="1.7"/>
    <x v="2"/>
    <x v="0"/>
    <n v="3"/>
    <x v="1"/>
    <n v="3"/>
    <m/>
    <x v="0"/>
    <x v="3"/>
    <x v="1"/>
    <n v="0"/>
  </r>
  <r>
    <s v="EMP0143"/>
    <d v="2025-03-02T00:00:00"/>
    <x v="0"/>
    <n v="21"/>
    <s v="Non-Binary"/>
    <s v="Divorced"/>
    <s v="PhD"/>
    <x v="5"/>
    <x v="26"/>
    <x v="0"/>
    <s v="Hyderabad"/>
    <n v="35000"/>
    <n v="9.1"/>
    <n v="1.2"/>
    <n v="0.8"/>
    <n v="0"/>
    <x v="3"/>
    <x v="2"/>
    <n v="1"/>
    <x v="1"/>
    <n v="4"/>
    <m/>
    <x v="2"/>
    <x v="0"/>
    <x v="3"/>
    <n v="0"/>
  </r>
  <r>
    <s v="EMP0144"/>
    <d v="2021-04-04T00:00:00"/>
    <x v="0"/>
    <n v="35"/>
    <s v="Female"/>
    <s v="Married"/>
    <s v="Master's"/>
    <x v="1"/>
    <x v="27"/>
    <x v="1"/>
    <s v="Noida"/>
    <n v="60000"/>
    <n v="12.3"/>
    <n v="10.199999999999999"/>
    <n v="4.7"/>
    <n v="1.2"/>
    <x v="2"/>
    <x v="2"/>
    <n v="4"/>
    <x v="1"/>
    <n v="4"/>
    <m/>
    <x v="1"/>
    <x v="4"/>
    <x v="0"/>
    <n v="0"/>
  </r>
  <r>
    <s v="EMP0145"/>
    <d v="2017-04-10T00:00:00"/>
    <x v="0"/>
    <n v="35"/>
    <s v="Non-Binary"/>
    <s v="Single"/>
    <s v="Bachelor's"/>
    <x v="2"/>
    <x v="2"/>
    <x v="1"/>
    <s v="Mumbai"/>
    <n v="59000"/>
    <n v="3.1"/>
    <n v="13.9"/>
    <n v="8.6999999999999993"/>
    <n v="0.4"/>
    <x v="0"/>
    <x v="3"/>
    <n v="4"/>
    <x v="1"/>
    <n v="5"/>
    <m/>
    <x v="1"/>
    <x v="1"/>
    <x v="1"/>
    <n v="0"/>
  </r>
  <r>
    <s v="EMP0146"/>
    <d v="2023-12-08T00:00:00"/>
    <x v="1"/>
    <n v="35"/>
    <s v="Non-Binary"/>
    <s v="Married"/>
    <s v="Bachelor's"/>
    <x v="1"/>
    <x v="27"/>
    <x v="0"/>
    <s v="Bengaluru"/>
    <n v="35000"/>
    <n v="11.5"/>
    <n v="7.3"/>
    <n v="2"/>
    <n v="1.2"/>
    <x v="2"/>
    <x v="0"/>
    <n v="3"/>
    <x v="0"/>
    <n v="1"/>
    <d v="2025-11-23T00:00:00"/>
    <x v="1"/>
    <x v="0"/>
    <x v="4"/>
    <n v="1"/>
  </r>
  <r>
    <s v="EMP0147"/>
    <d v="2022-05-07T00:00:00"/>
    <x v="0"/>
    <n v="34"/>
    <s v="Non-Binary"/>
    <s v="Divorced"/>
    <s v="Diploma"/>
    <x v="4"/>
    <x v="24"/>
    <x v="2"/>
    <s v="Hyderabad"/>
    <n v="76000"/>
    <n v="7.2"/>
    <n v="11.2"/>
    <n v="3.7"/>
    <n v="0.7"/>
    <x v="2"/>
    <x v="2"/>
    <n v="3"/>
    <x v="1"/>
    <n v="3"/>
    <m/>
    <x v="1"/>
    <x v="4"/>
    <x v="0"/>
    <n v="0"/>
  </r>
  <r>
    <s v="EMP0148"/>
    <d v="2014-06-23T00:00:00"/>
    <x v="0"/>
    <n v="39"/>
    <s v="Male"/>
    <s v="Single"/>
    <s v="PhD"/>
    <x v="6"/>
    <x v="12"/>
    <x v="0"/>
    <s v="Mumbai"/>
    <n v="26000"/>
    <n v="9.3000000000000007"/>
    <n v="13.9"/>
    <n v="11.5"/>
    <n v="5"/>
    <x v="3"/>
    <x v="1"/>
    <n v="4"/>
    <x v="1"/>
    <n v="4"/>
    <m/>
    <x v="0"/>
    <x v="0"/>
    <x v="2"/>
    <n v="0"/>
  </r>
  <r>
    <s v="EMP0149"/>
    <d v="2025-08-04T00:00:00"/>
    <x v="0"/>
    <n v="36"/>
    <s v="Male"/>
    <s v="Single"/>
    <s v="Master's"/>
    <x v="3"/>
    <x v="6"/>
    <x v="0"/>
    <s v="Noida"/>
    <n v="38000"/>
    <n v="13.2"/>
    <n v="6.7"/>
    <n v="0.4"/>
    <n v="0"/>
    <x v="2"/>
    <x v="2"/>
    <n v="2"/>
    <x v="0"/>
    <n v="4"/>
    <m/>
    <x v="0"/>
    <x v="0"/>
    <x v="3"/>
    <n v="0"/>
  </r>
  <r>
    <s v="EMP0150"/>
    <d v="2015-10-24T00:00:00"/>
    <x v="0"/>
    <n v="31"/>
    <s v="Male"/>
    <s v="Divorced"/>
    <s v="PhD"/>
    <x v="4"/>
    <x v="5"/>
    <x v="1"/>
    <s v="Bengaluru"/>
    <n v="42000"/>
    <n v="7.2"/>
    <n v="15.5"/>
    <n v="10.199999999999999"/>
    <n v="1.1000000000000001"/>
    <x v="2"/>
    <x v="2"/>
    <n v="1"/>
    <x v="1"/>
    <n v="3"/>
    <m/>
    <x v="1"/>
    <x v="1"/>
    <x v="2"/>
    <n v="0"/>
  </r>
  <r>
    <s v="EMP0151"/>
    <d v="2019-01-26T00:00:00"/>
    <x v="0"/>
    <n v="38"/>
    <s v="Non-Binary"/>
    <s v="Married"/>
    <s v="Bachelor's"/>
    <x v="6"/>
    <x v="22"/>
    <x v="2"/>
    <s v="Bengaluru"/>
    <n v="69000"/>
    <n v="12.5"/>
    <n v="10"/>
    <n v="6.9"/>
    <n v="4.4000000000000004"/>
    <x v="2"/>
    <x v="2"/>
    <n v="3"/>
    <x v="1"/>
    <n v="2"/>
    <m/>
    <x v="0"/>
    <x v="4"/>
    <x v="1"/>
    <n v="0"/>
  </r>
  <r>
    <s v="EMP0152"/>
    <d v="2021-09-18T00:00:00"/>
    <x v="0"/>
    <n v="36"/>
    <s v="Female"/>
    <s v="Divorced"/>
    <s v="PhD"/>
    <x v="3"/>
    <x v="11"/>
    <x v="3"/>
    <s v="Mumbai"/>
    <n v="132000"/>
    <n v="5.9"/>
    <n v="10.5"/>
    <n v="4.3"/>
    <n v="0.1"/>
    <x v="0"/>
    <x v="0"/>
    <n v="4"/>
    <x v="1"/>
    <n v="3"/>
    <m/>
    <x v="0"/>
    <x v="3"/>
    <x v="0"/>
    <n v="0"/>
  </r>
  <r>
    <s v="EMP0153"/>
    <d v="2025-08-22T00:00:00"/>
    <x v="0"/>
    <n v="21"/>
    <s v="Female"/>
    <s v="Married"/>
    <s v="Bachelor's"/>
    <x v="1"/>
    <x v="1"/>
    <x v="0"/>
    <s v="Bengaluru"/>
    <n v="53000"/>
    <n v="11.6"/>
    <n v="1"/>
    <n v="0.4"/>
    <n v="0"/>
    <x v="0"/>
    <x v="0"/>
    <n v="3"/>
    <x v="1"/>
    <n v="4"/>
    <m/>
    <x v="2"/>
    <x v="1"/>
    <x v="3"/>
    <n v="0"/>
  </r>
  <r>
    <s v="EMP0154"/>
    <d v="2016-10-16T00:00:00"/>
    <x v="0"/>
    <n v="35"/>
    <s v="Non-Binary"/>
    <s v="Divorced"/>
    <s v="Diploma"/>
    <x v="5"/>
    <x v="18"/>
    <x v="1"/>
    <s v="Mumbai"/>
    <n v="49000"/>
    <n v="18.8"/>
    <n v="13.7"/>
    <n v="9.1999999999999993"/>
    <n v="3.1"/>
    <x v="3"/>
    <x v="1"/>
    <n v="2"/>
    <x v="0"/>
    <n v="4"/>
    <m/>
    <x v="1"/>
    <x v="1"/>
    <x v="1"/>
    <n v="0"/>
  </r>
  <r>
    <s v="EMP0155"/>
    <d v="2016-08-01T00:00:00"/>
    <x v="0"/>
    <n v="34"/>
    <s v="Female"/>
    <s v="Married"/>
    <s v="Master's"/>
    <x v="5"/>
    <x v="18"/>
    <x v="1"/>
    <s v="Bengaluru"/>
    <n v="66000"/>
    <n v="10.9"/>
    <n v="11.4"/>
    <n v="9.4"/>
    <n v="3.1"/>
    <x v="2"/>
    <x v="0"/>
    <n v="2"/>
    <x v="1"/>
    <n v="3"/>
    <m/>
    <x v="1"/>
    <x v="4"/>
    <x v="1"/>
    <n v="0"/>
  </r>
  <r>
    <s v="EMP0156"/>
    <d v="2023-11-08T00:00:00"/>
    <x v="0"/>
    <n v="27"/>
    <s v="Male"/>
    <s v="Married"/>
    <s v="Bachelor's"/>
    <x v="1"/>
    <x v="1"/>
    <x v="0"/>
    <s v="Mumbai"/>
    <n v="43000"/>
    <n v="16.5"/>
    <n v="9.6999999999999993"/>
    <n v="2.1"/>
    <n v="1.5"/>
    <x v="0"/>
    <x v="0"/>
    <n v="3"/>
    <x v="1"/>
    <n v="3"/>
    <m/>
    <x v="1"/>
    <x v="1"/>
    <x v="4"/>
    <n v="0"/>
  </r>
  <r>
    <s v="EMP0157"/>
    <d v="2021-11-05T00:00:00"/>
    <x v="0"/>
    <n v="44"/>
    <s v="Female"/>
    <s v="Single"/>
    <s v="PhD"/>
    <x v="6"/>
    <x v="12"/>
    <x v="3"/>
    <s v="Hyderabad"/>
    <n v="106000"/>
    <n v="5"/>
    <n v="11.9"/>
    <n v="4.2"/>
    <n v="0.6"/>
    <x v="0"/>
    <x v="0"/>
    <n v="4"/>
    <x v="1"/>
    <n v="3"/>
    <m/>
    <x v="0"/>
    <x v="3"/>
    <x v="0"/>
    <n v="0"/>
  </r>
  <r>
    <s v="EMP0158"/>
    <d v="2016-07-20T00:00:00"/>
    <x v="0"/>
    <n v="33"/>
    <s v="Non-Binary"/>
    <s v="Single"/>
    <s v="PhD"/>
    <x v="6"/>
    <x v="12"/>
    <x v="4"/>
    <s v="Noida"/>
    <n v="163000"/>
    <n v="2.2000000000000002"/>
    <n v="12.4"/>
    <n v="9.4"/>
    <n v="5.6"/>
    <x v="2"/>
    <x v="1"/>
    <n v="4"/>
    <x v="1"/>
    <n v="3"/>
    <m/>
    <x v="1"/>
    <x v="3"/>
    <x v="1"/>
    <n v="0"/>
  </r>
  <r>
    <s v="EMP0159"/>
    <d v="2015-12-23T00:00:00"/>
    <x v="0"/>
    <n v="32"/>
    <s v="Female"/>
    <s v="Married"/>
    <s v="Bachelor's"/>
    <x v="1"/>
    <x v="1"/>
    <x v="2"/>
    <s v="Mumbai"/>
    <n v="86000"/>
    <n v="5"/>
    <n v="15.4"/>
    <n v="10"/>
    <n v="0.8"/>
    <x v="0"/>
    <x v="0"/>
    <n v="2"/>
    <x v="0"/>
    <n v="2"/>
    <m/>
    <x v="1"/>
    <x v="2"/>
    <x v="1"/>
    <n v="0"/>
  </r>
  <r>
    <s v="EMP0160"/>
    <d v="2019-06-13T00:00:00"/>
    <x v="0"/>
    <n v="39"/>
    <s v="Male"/>
    <s v="Single"/>
    <s v="Master's"/>
    <x v="4"/>
    <x v="5"/>
    <x v="2"/>
    <s v="Noida"/>
    <n v="74000"/>
    <n v="3.8"/>
    <n v="6.8"/>
    <n v="6.6"/>
    <n v="5.8"/>
    <x v="0"/>
    <x v="0"/>
    <n v="4"/>
    <x v="1"/>
    <n v="4"/>
    <m/>
    <x v="0"/>
    <x v="4"/>
    <x v="1"/>
    <n v="0"/>
  </r>
  <r>
    <s v="EMP0161"/>
    <d v="2019-02-22T00:00:00"/>
    <x v="0"/>
    <n v="31"/>
    <s v="Male"/>
    <s v="Divorced"/>
    <s v="Master's"/>
    <x v="0"/>
    <x v="7"/>
    <x v="1"/>
    <s v="Mumbai"/>
    <n v="65000"/>
    <n v="8"/>
    <n v="14.6"/>
    <n v="6.9"/>
    <n v="2"/>
    <x v="2"/>
    <x v="2"/>
    <n v="2"/>
    <x v="1"/>
    <n v="2"/>
    <m/>
    <x v="1"/>
    <x v="4"/>
    <x v="1"/>
    <n v="0"/>
  </r>
  <r>
    <s v="EMP0162"/>
    <d v="2018-06-06T00:00:00"/>
    <x v="0"/>
    <n v="31"/>
    <s v="Non-Binary"/>
    <s v="Single"/>
    <s v="Diploma"/>
    <x v="6"/>
    <x v="12"/>
    <x v="2"/>
    <s v="Hyderabad"/>
    <n v="74000"/>
    <n v="0"/>
    <n v="11.4"/>
    <n v="7.6"/>
    <n v="1.8"/>
    <x v="3"/>
    <x v="2"/>
    <n v="2"/>
    <x v="1"/>
    <n v="4"/>
    <m/>
    <x v="1"/>
    <x v="4"/>
    <x v="1"/>
    <n v="0"/>
  </r>
  <r>
    <s v="EMP0163"/>
    <d v="2020-02-15T00:00:00"/>
    <x v="0"/>
    <n v="31"/>
    <s v="Female"/>
    <s v="Divorced"/>
    <s v="Bachelor's"/>
    <x v="6"/>
    <x v="12"/>
    <x v="2"/>
    <s v="Noida"/>
    <n v="83000"/>
    <n v="16.399999999999999"/>
    <n v="9.5"/>
    <n v="5.9"/>
    <n v="0.4"/>
    <x v="3"/>
    <x v="3"/>
    <n v="3"/>
    <x v="1"/>
    <n v="1"/>
    <m/>
    <x v="1"/>
    <x v="2"/>
    <x v="0"/>
    <n v="0"/>
  </r>
  <r>
    <s v="EMP0164"/>
    <d v="2017-10-11T00:00:00"/>
    <x v="0"/>
    <n v="31"/>
    <s v="Non-Binary"/>
    <s v="Married"/>
    <s v="PhD"/>
    <x v="2"/>
    <x v="20"/>
    <x v="3"/>
    <s v="Bengaluru"/>
    <n v="98000"/>
    <n v="19.3"/>
    <n v="11.6"/>
    <n v="8.1999999999999993"/>
    <n v="2.8"/>
    <x v="2"/>
    <x v="2"/>
    <n v="3"/>
    <x v="1"/>
    <n v="3"/>
    <m/>
    <x v="1"/>
    <x v="2"/>
    <x v="1"/>
    <n v="0"/>
  </r>
  <r>
    <s v="EMP0165"/>
    <d v="2020-09-03T00:00:00"/>
    <x v="0"/>
    <n v="33"/>
    <s v="Female"/>
    <s v="Married"/>
    <s v="Master's"/>
    <x v="0"/>
    <x v="3"/>
    <x v="1"/>
    <s v="Mumbai"/>
    <n v="49000"/>
    <n v="9.8000000000000007"/>
    <n v="11"/>
    <n v="5.3"/>
    <n v="4.2"/>
    <x v="3"/>
    <x v="0"/>
    <n v="4"/>
    <x v="0"/>
    <n v="4"/>
    <m/>
    <x v="1"/>
    <x v="1"/>
    <x v="0"/>
    <n v="0"/>
  </r>
  <r>
    <s v="EMP0166"/>
    <d v="2021-06-11T00:00:00"/>
    <x v="0"/>
    <n v="29"/>
    <s v="Non-Binary"/>
    <s v="Divorced"/>
    <s v="Diploma"/>
    <x v="5"/>
    <x v="18"/>
    <x v="2"/>
    <s v="Chennai"/>
    <n v="81000"/>
    <n v="8.9"/>
    <n v="7.7"/>
    <n v="4.5999999999999996"/>
    <n v="0.5"/>
    <x v="2"/>
    <x v="0"/>
    <n v="3"/>
    <x v="1"/>
    <n v="3"/>
    <m/>
    <x v="1"/>
    <x v="2"/>
    <x v="0"/>
    <n v="0"/>
  </r>
  <r>
    <s v="EMP0167"/>
    <d v="2023-04-16T00:00:00"/>
    <x v="0"/>
    <n v="28"/>
    <s v="Female"/>
    <s v="Divorced"/>
    <s v="Master's"/>
    <x v="4"/>
    <x v="25"/>
    <x v="2"/>
    <s v="Chennai"/>
    <n v="75000"/>
    <n v="8"/>
    <n v="3.8"/>
    <n v="2.7"/>
    <n v="1"/>
    <x v="3"/>
    <x v="0"/>
    <n v="3"/>
    <x v="0"/>
    <n v="3"/>
    <m/>
    <x v="1"/>
    <x v="4"/>
    <x v="4"/>
    <n v="0"/>
  </r>
  <r>
    <s v="EMP0168"/>
    <d v="2025-07-01T00:00:00"/>
    <x v="0"/>
    <n v="21"/>
    <s v="Non-Binary"/>
    <s v="Divorced"/>
    <s v="PhD"/>
    <x v="1"/>
    <x v="1"/>
    <x v="0"/>
    <s v="Mumbai"/>
    <n v="49000"/>
    <n v="14"/>
    <n v="7.4"/>
    <n v="0.5"/>
    <n v="0"/>
    <x v="0"/>
    <x v="0"/>
    <n v="2"/>
    <x v="0"/>
    <n v="3"/>
    <m/>
    <x v="2"/>
    <x v="1"/>
    <x v="3"/>
    <n v="0"/>
  </r>
  <r>
    <s v="EMP0169"/>
    <d v="2016-09-17T00:00:00"/>
    <x v="1"/>
    <n v="31"/>
    <s v="Non-Binary"/>
    <s v="Married"/>
    <s v="Bachelor's"/>
    <x v="0"/>
    <x v="16"/>
    <x v="1"/>
    <s v="Chennai"/>
    <n v="46000"/>
    <n v="3.4"/>
    <n v="10.9"/>
    <n v="8.6"/>
    <n v="1.6"/>
    <x v="3"/>
    <x v="0"/>
    <n v="2"/>
    <x v="1"/>
    <n v="3"/>
    <d v="2025-04-23T00:00:00"/>
    <x v="1"/>
    <x v="1"/>
    <x v="1"/>
    <n v="1"/>
  </r>
  <r>
    <s v="EMP0170"/>
    <d v="2022-01-21T00:00:00"/>
    <x v="0"/>
    <n v="25"/>
    <s v="Non-Binary"/>
    <s v="Single"/>
    <s v="Diploma"/>
    <x v="5"/>
    <x v="18"/>
    <x v="0"/>
    <s v="Bengaluru"/>
    <n v="54000"/>
    <n v="12.7"/>
    <n v="4.3"/>
    <n v="3.9"/>
    <n v="2.8"/>
    <x v="2"/>
    <x v="0"/>
    <n v="4"/>
    <x v="1"/>
    <n v="2"/>
    <m/>
    <x v="2"/>
    <x v="1"/>
    <x v="0"/>
    <n v="0"/>
  </r>
  <r>
    <s v="EMP0171"/>
    <d v="2016-02-23T00:00:00"/>
    <x v="0"/>
    <n v="38"/>
    <s v="Non-Binary"/>
    <s v="Married"/>
    <s v="Master's"/>
    <x v="3"/>
    <x v="4"/>
    <x v="1"/>
    <s v="Chennai"/>
    <n v="45000"/>
    <n v="6.9"/>
    <n v="11.7"/>
    <n v="9.9"/>
    <n v="4.9000000000000004"/>
    <x v="0"/>
    <x v="0"/>
    <n v="3"/>
    <x v="1"/>
    <n v="4"/>
    <m/>
    <x v="0"/>
    <x v="1"/>
    <x v="1"/>
    <n v="0"/>
  </r>
  <r>
    <s v="EMP0172"/>
    <d v="2022-09-10T00:00:00"/>
    <x v="0"/>
    <n v="24"/>
    <s v="Non-Binary"/>
    <s v="Divorced"/>
    <s v="Bachelor's"/>
    <x v="1"/>
    <x v="27"/>
    <x v="0"/>
    <s v="Pune"/>
    <n v="46000"/>
    <n v="8"/>
    <n v="8.1"/>
    <n v="3.3"/>
    <n v="0.6"/>
    <x v="2"/>
    <x v="2"/>
    <n v="3"/>
    <x v="1"/>
    <n v="4"/>
    <m/>
    <x v="2"/>
    <x v="1"/>
    <x v="0"/>
    <n v="0"/>
  </r>
  <r>
    <s v="EMP0173"/>
    <d v="2014-02-02T00:00:00"/>
    <x v="0"/>
    <n v="38"/>
    <s v="Female"/>
    <s v="Single"/>
    <s v="Diploma"/>
    <x v="2"/>
    <x v="17"/>
    <x v="3"/>
    <s v="Noida"/>
    <n v="112000"/>
    <n v="7.6"/>
    <n v="13.9"/>
    <n v="11.9"/>
    <n v="4.3"/>
    <x v="3"/>
    <x v="2"/>
    <n v="4"/>
    <x v="1"/>
    <n v="4"/>
    <m/>
    <x v="0"/>
    <x v="3"/>
    <x v="2"/>
    <n v="0"/>
  </r>
  <r>
    <s v="EMP0174"/>
    <d v="2023-07-30T00:00:00"/>
    <x v="1"/>
    <n v="25"/>
    <s v="Non-Binary"/>
    <s v="Single"/>
    <s v="Bachelor's"/>
    <x v="3"/>
    <x v="6"/>
    <x v="0"/>
    <s v="Noida"/>
    <n v="41000"/>
    <n v="11.4"/>
    <n v="8.1"/>
    <n v="2.1"/>
    <n v="1.5"/>
    <x v="0"/>
    <x v="2"/>
    <n v="3"/>
    <x v="1"/>
    <n v="3"/>
    <d v="2025-09-21T00:00:00"/>
    <x v="2"/>
    <x v="1"/>
    <x v="4"/>
    <n v="1"/>
  </r>
  <r>
    <s v="EMP0175"/>
    <d v="2016-05-23T00:00:00"/>
    <x v="0"/>
    <n v="35"/>
    <s v="Female"/>
    <s v="Married"/>
    <s v="Bachelor's"/>
    <x v="3"/>
    <x v="4"/>
    <x v="3"/>
    <s v="Bengaluru"/>
    <n v="104000"/>
    <n v="12.7"/>
    <n v="13.6"/>
    <n v="9.6"/>
    <n v="1.9"/>
    <x v="0"/>
    <x v="0"/>
    <n v="3"/>
    <x v="1"/>
    <n v="2"/>
    <m/>
    <x v="1"/>
    <x v="3"/>
    <x v="1"/>
    <n v="0"/>
  </r>
  <r>
    <s v="EMP0176"/>
    <d v="2017-08-12T00:00:00"/>
    <x v="0"/>
    <n v="29"/>
    <s v="Female"/>
    <s v="Single"/>
    <s v="Diploma"/>
    <x v="5"/>
    <x v="26"/>
    <x v="0"/>
    <s v="Hyderabad"/>
    <n v="47000"/>
    <n v="6.2"/>
    <n v="11.8"/>
    <n v="8.4"/>
    <n v="6"/>
    <x v="2"/>
    <x v="2"/>
    <n v="4"/>
    <x v="0"/>
    <n v="3"/>
    <m/>
    <x v="1"/>
    <x v="1"/>
    <x v="1"/>
    <n v="0"/>
  </r>
  <r>
    <s v="EMP0177"/>
    <d v="2024-07-27T00:00:00"/>
    <x v="0"/>
    <n v="22"/>
    <s v="Male"/>
    <s v="Married"/>
    <s v="Bachelor's"/>
    <x v="5"/>
    <x v="18"/>
    <x v="0"/>
    <s v="Pune"/>
    <n v="43000"/>
    <n v="3.9"/>
    <n v="7.2"/>
    <n v="1.4"/>
    <n v="1.1000000000000001"/>
    <x v="1"/>
    <x v="0"/>
    <n v="2"/>
    <x v="1"/>
    <n v="2"/>
    <m/>
    <x v="2"/>
    <x v="1"/>
    <x v="4"/>
    <n v="0"/>
  </r>
  <r>
    <s v="EMP0178"/>
    <d v="2025-05-03T00:00:00"/>
    <x v="0"/>
    <n v="21"/>
    <s v="Male"/>
    <s v="Divorced"/>
    <s v="Bachelor's"/>
    <x v="4"/>
    <x v="14"/>
    <x v="0"/>
    <s v="Bengaluru"/>
    <n v="47000"/>
    <n v="9.8000000000000007"/>
    <n v="1.6"/>
    <n v="0.7"/>
    <n v="0"/>
    <x v="1"/>
    <x v="0"/>
    <n v="3"/>
    <x v="1"/>
    <n v="3"/>
    <m/>
    <x v="2"/>
    <x v="1"/>
    <x v="3"/>
    <n v="0"/>
  </r>
  <r>
    <s v="EMP0179"/>
    <d v="2024-07-04T00:00:00"/>
    <x v="1"/>
    <n v="29"/>
    <s v="Non-Binary"/>
    <s v="Single"/>
    <s v="Master's"/>
    <x v="6"/>
    <x v="21"/>
    <x v="3"/>
    <s v="Mumbai"/>
    <n v="114000"/>
    <n v="8.8000000000000007"/>
    <n v="2.6"/>
    <n v="1.4"/>
    <n v="0.7"/>
    <x v="0"/>
    <x v="3"/>
    <n v="3"/>
    <x v="1"/>
    <n v="3"/>
    <d v="2025-12-13T00:00:00"/>
    <x v="1"/>
    <x v="3"/>
    <x v="4"/>
    <n v="1"/>
  </r>
  <r>
    <s v="EMP0180"/>
    <d v="2024-09-07T00:00:00"/>
    <x v="0"/>
    <n v="34"/>
    <s v="Male"/>
    <s v="Single"/>
    <s v="Diploma"/>
    <x v="4"/>
    <x v="5"/>
    <x v="3"/>
    <s v="Noida"/>
    <n v="107000"/>
    <n v="7.5"/>
    <n v="4.4000000000000004"/>
    <n v="1.3"/>
    <n v="1.3"/>
    <x v="0"/>
    <x v="0"/>
    <n v="2"/>
    <x v="0"/>
    <n v="3"/>
    <m/>
    <x v="1"/>
    <x v="3"/>
    <x v="4"/>
    <n v="0"/>
  </r>
  <r>
    <s v="EMP0181"/>
    <d v="2018-08-07T00:00:00"/>
    <x v="0"/>
    <n v="35"/>
    <s v="Non-Binary"/>
    <s v="Divorced"/>
    <s v="Bachelor's"/>
    <x v="5"/>
    <x v="18"/>
    <x v="1"/>
    <s v="Chennai"/>
    <n v="44000"/>
    <n v="3.6"/>
    <n v="13.7"/>
    <n v="7.4"/>
    <n v="4.8"/>
    <x v="2"/>
    <x v="1"/>
    <n v="3"/>
    <x v="0"/>
    <n v="3"/>
    <m/>
    <x v="1"/>
    <x v="1"/>
    <x v="1"/>
    <n v="0"/>
  </r>
  <r>
    <s v="EMP0182"/>
    <d v="2024-02-27T00:00:00"/>
    <x v="0"/>
    <n v="34"/>
    <s v="Male"/>
    <s v="Single"/>
    <s v="Diploma"/>
    <x v="5"/>
    <x v="18"/>
    <x v="3"/>
    <s v="Pune"/>
    <n v="123000"/>
    <n v="9.1"/>
    <n v="7.3"/>
    <n v="1.8"/>
    <n v="1.4"/>
    <x v="2"/>
    <x v="2"/>
    <n v="4"/>
    <x v="1"/>
    <n v="1"/>
    <m/>
    <x v="1"/>
    <x v="3"/>
    <x v="4"/>
    <n v="0"/>
  </r>
  <r>
    <s v="EMP0183"/>
    <d v="2022-03-28T00:00:00"/>
    <x v="0"/>
    <n v="29"/>
    <s v="Male"/>
    <s v="Married"/>
    <s v="Bachelor's"/>
    <x v="5"/>
    <x v="8"/>
    <x v="3"/>
    <s v="Chennai"/>
    <n v="117000"/>
    <n v="9.8000000000000007"/>
    <n v="7.2"/>
    <n v="3.8"/>
    <n v="1.5"/>
    <x v="2"/>
    <x v="0"/>
    <n v="3"/>
    <x v="1"/>
    <n v="2"/>
    <m/>
    <x v="1"/>
    <x v="3"/>
    <x v="0"/>
    <n v="0"/>
  </r>
  <r>
    <s v="EMP0184"/>
    <d v="2021-02-16T00:00:00"/>
    <x v="0"/>
    <n v="36"/>
    <s v="Male"/>
    <s v="Married"/>
    <s v="Bachelor's"/>
    <x v="1"/>
    <x v="27"/>
    <x v="2"/>
    <s v="Mumbai"/>
    <n v="74000"/>
    <n v="13.1"/>
    <n v="5.4"/>
    <n v="4.9000000000000004"/>
    <n v="3.4"/>
    <x v="0"/>
    <x v="0"/>
    <n v="4"/>
    <x v="1"/>
    <n v="2"/>
    <m/>
    <x v="0"/>
    <x v="4"/>
    <x v="0"/>
    <n v="0"/>
  </r>
  <r>
    <s v="EMP0185"/>
    <d v="2017-01-08T00:00:00"/>
    <x v="0"/>
    <n v="35"/>
    <s v="Non-Binary"/>
    <s v="Married"/>
    <s v="Master's"/>
    <x v="4"/>
    <x v="25"/>
    <x v="1"/>
    <s v="Hyderabad"/>
    <n v="59000"/>
    <n v="15.7"/>
    <n v="14.6"/>
    <n v="9"/>
    <n v="1"/>
    <x v="3"/>
    <x v="2"/>
    <n v="3"/>
    <x v="1"/>
    <n v="4"/>
    <m/>
    <x v="1"/>
    <x v="1"/>
    <x v="1"/>
    <n v="0"/>
  </r>
  <r>
    <s v="EMP0186"/>
    <d v="2025-03-10T00:00:00"/>
    <x v="0"/>
    <n v="21"/>
    <s v="Female"/>
    <s v="Married"/>
    <s v="Diploma"/>
    <x v="1"/>
    <x v="9"/>
    <x v="0"/>
    <s v="Bengaluru"/>
    <n v="28000"/>
    <n v="6.5"/>
    <n v="4.2"/>
    <n v="0.8"/>
    <n v="0"/>
    <x v="0"/>
    <x v="0"/>
    <n v="4"/>
    <x v="0"/>
    <n v="4"/>
    <m/>
    <x v="2"/>
    <x v="0"/>
    <x v="3"/>
    <n v="0"/>
  </r>
  <r>
    <s v="EMP0187"/>
    <d v="2022-09-19T00:00:00"/>
    <x v="0"/>
    <n v="37"/>
    <s v="Female"/>
    <s v="Married"/>
    <s v="PhD"/>
    <x v="3"/>
    <x v="11"/>
    <x v="1"/>
    <s v="Pune"/>
    <n v="48000"/>
    <n v="9.6999999999999993"/>
    <n v="5.0999999999999996"/>
    <n v="3.3"/>
    <n v="1.7"/>
    <x v="2"/>
    <x v="3"/>
    <n v="4"/>
    <x v="0"/>
    <n v="3"/>
    <m/>
    <x v="0"/>
    <x v="1"/>
    <x v="0"/>
    <n v="0"/>
  </r>
  <r>
    <s v="EMP0188"/>
    <d v="2017-10-01T00:00:00"/>
    <x v="0"/>
    <n v="29"/>
    <s v="Non-Binary"/>
    <s v="Divorced"/>
    <s v="Bachelor's"/>
    <x v="1"/>
    <x v="10"/>
    <x v="2"/>
    <s v="Pune"/>
    <n v="77000"/>
    <n v="5.3"/>
    <n v="11.6"/>
    <n v="8.1999999999999993"/>
    <n v="4.3"/>
    <x v="2"/>
    <x v="0"/>
    <n v="2"/>
    <x v="1"/>
    <n v="3"/>
    <m/>
    <x v="1"/>
    <x v="4"/>
    <x v="1"/>
    <n v="0"/>
  </r>
  <r>
    <s v="EMP0189"/>
    <d v="2020-04-06T00:00:00"/>
    <x v="0"/>
    <n v="26"/>
    <s v="Non-Binary"/>
    <s v="Married"/>
    <s v="Master's"/>
    <x v="1"/>
    <x v="10"/>
    <x v="0"/>
    <s v="Mumbai"/>
    <n v="49000"/>
    <n v="5.2"/>
    <n v="12.5"/>
    <n v="5.7"/>
    <n v="1.9"/>
    <x v="2"/>
    <x v="0"/>
    <n v="1"/>
    <x v="0"/>
    <n v="3"/>
    <m/>
    <x v="1"/>
    <x v="1"/>
    <x v="0"/>
    <n v="0"/>
  </r>
  <r>
    <s v="EMP0190"/>
    <d v="2016-08-15T00:00:00"/>
    <x v="0"/>
    <n v="36"/>
    <s v="Non-Binary"/>
    <s v="Single"/>
    <s v="Diploma"/>
    <x v="6"/>
    <x v="12"/>
    <x v="4"/>
    <s v="Bengaluru"/>
    <n v="155000"/>
    <n v="5.6"/>
    <n v="10.6"/>
    <n v="9.4"/>
    <n v="5.6"/>
    <x v="2"/>
    <x v="3"/>
    <n v="3"/>
    <x v="1"/>
    <n v="4"/>
    <m/>
    <x v="0"/>
    <x v="3"/>
    <x v="1"/>
    <n v="0"/>
  </r>
  <r>
    <s v="EMP0191"/>
    <d v="2019-05-17T00:00:00"/>
    <x v="0"/>
    <n v="29"/>
    <s v="Male"/>
    <s v="Divorced"/>
    <s v="PhD"/>
    <x v="2"/>
    <x v="17"/>
    <x v="3"/>
    <s v="Noida"/>
    <n v="109000"/>
    <n v="19.2"/>
    <n v="10.6"/>
    <n v="6.6"/>
    <n v="0.4"/>
    <x v="2"/>
    <x v="2"/>
    <n v="3"/>
    <x v="0"/>
    <n v="2"/>
    <m/>
    <x v="1"/>
    <x v="3"/>
    <x v="1"/>
    <n v="0"/>
  </r>
  <r>
    <s v="EMP0192"/>
    <d v="2024-09-15T00:00:00"/>
    <x v="0"/>
    <n v="41"/>
    <s v="Female"/>
    <s v="Married"/>
    <s v="PhD"/>
    <x v="6"/>
    <x v="12"/>
    <x v="4"/>
    <s v="Noida"/>
    <n v="147000"/>
    <n v="8.9"/>
    <n v="1.9"/>
    <n v="1.3"/>
    <n v="0.7"/>
    <x v="3"/>
    <x v="0"/>
    <n v="4"/>
    <x v="0"/>
    <n v="3"/>
    <m/>
    <x v="0"/>
    <x v="3"/>
    <x v="4"/>
    <n v="0"/>
  </r>
  <r>
    <s v="EMP0193"/>
    <d v="2023-05-03T00:00:00"/>
    <x v="0"/>
    <n v="29"/>
    <s v="Non-Binary"/>
    <s v="Married"/>
    <s v="Master's"/>
    <x v="2"/>
    <x v="2"/>
    <x v="1"/>
    <s v="Mumbai"/>
    <n v="68000"/>
    <n v="11.8"/>
    <n v="7.3"/>
    <n v="2.7"/>
    <n v="0.4"/>
    <x v="3"/>
    <x v="1"/>
    <n v="3"/>
    <x v="0"/>
    <n v="3"/>
    <m/>
    <x v="1"/>
    <x v="4"/>
    <x v="4"/>
    <n v="0"/>
  </r>
  <r>
    <s v="EMP0194"/>
    <d v="2024-04-18T00:00:00"/>
    <x v="0"/>
    <n v="37"/>
    <s v="Male"/>
    <s v="Married"/>
    <s v="PhD"/>
    <x v="6"/>
    <x v="12"/>
    <x v="1"/>
    <s v="Chennai"/>
    <n v="62000"/>
    <n v="11.5"/>
    <n v="7.3"/>
    <n v="1.7"/>
    <n v="0.1"/>
    <x v="2"/>
    <x v="2"/>
    <n v="3"/>
    <x v="0"/>
    <n v="2"/>
    <m/>
    <x v="0"/>
    <x v="4"/>
    <x v="4"/>
    <n v="0"/>
  </r>
  <r>
    <s v="EMP0195"/>
    <d v="2018-01-27T00:00:00"/>
    <x v="0"/>
    <n v="28"/>
    <s v="Male"/>
    <s v="Single"/>
    <s v="Master's"/>
    <x v="5"/>
    <x v="18"/>
    <x v="1"/>
    <s v="Pune"/>
    <n v="57000"/>
    <n v="8.6999999999999993"/>
    <n v="13.9"/>
    <n v="7.9"/>
    <n v="1.5"/>
    <x v="2"/>
    <x v="0"/>
    <n v="4"/>
    <x v="0"/>
    <n v="2"/>
    <m/>
    <x v="1"/>
    <x v="1"/>
    <x v="1"/>
    <n v="0"/>
  </r>
  <r>
    <s v="EMP0196"/>
    <d v="2018-04-29T00:00:00"/>
    <x v="0"/>
    <n v="34"/>
    <s v="Male"/>
    <s v="Single"/>
    <s v="Diploma"/>
    <x v="1"/>
    <x v="1"/>
    <x v="1"/>
    <s v="Bengaluru"/>
    <n v="50000"/>
    <n v="10.5"/>
    <n v="14.2"/>
    <n v="7.7"/>
    <n v="0.1"/>
    <x v="2"/>
    <x v="3"/>
    <n v="4"/>
    <x v="1"/>
    <n v="3"/>
    <m/>
    <x v="1"/>
    <x v="1"/>
    <x v="1"/>
    <n v="0"/>
  </r>
  <r>
    <s v="EMP0197"/>
    <d v="2014-11-21T00:00:00"/>
    <x v="0"/>
    <n v="37"/>
    <s v="Female"/>
    <s v="Single"/>
    <s v="Bachelor's"/>
    <x v="5"/>
    <x v="26"/>
    <x v="0"/>
    <s v="Chennai"/>
    <n v="48000"/>
    <n v="12.3"/>
    <n v="14.2"/>
    <n v="11.1"/>
    <n v="2.6"/>
    <x v="2"/>
    <x v="0"/>
    <n v="4"/>
    <x v="1"/>
    <n v="3"/>
    <m/>
    <x v="0"/>
    <x v="1"/>
    <x v="2"/>
    <n v="0"/>
  </r>
  <r>
    <s v="EMP0198"/>
    <d v="2019-11-12T00:00:00"/>
    <x v="1"/>
    <n v="33"/>
    <s v="Non-Binary"/>
    <s v="Single"/>
    <s v="PhD"/>
    <x v="4"/>
    <x v="14"/>
    <x v="2"/>
    <s v="Noida"/>
    <n v="59000"/>
    <n v="10.7"/>
    <n v="6.8"/>
    <n v="5.7"/>
    <n v="1.1000000000000001"/>
    <x v="2"/>
    <x v="2"/>
    <n v="3"/>
    <x v="1"/>
    <n v="4"/>
    <d v="2025-07-16T00:00:00"/>
    <x v="1"/>
    <x v="1"/>
    <x v="0"/>
    <n v="1"/>
  </r>
  <r>
    <s v="EMP0199"/>
    <d v="2020-01-12T00:00:00"/>
    <x v="0"/>
    <n v="35"/>
    <s v="Male"/>
    <s v="Married"/>
    <s v="Diploma"/>
    <x v="6"/>
    <x v="12"/>
    <x v="2"/>
    <s v="Chennai"/>
    <n v="65000"/>
    <n v="4.7"/>
    <n v="7.4"/>
    <n v="6"/>
    <n v="1.9"/>
    <x v="2"/>
    <x v="1"/>
    <n v="4"/>
    <x v="1"/>
    <n v="4"/>
    <m/>
    <x v="1"/>
    <x v="4"/>
    <x v="0"/>
    <n v="0"/>
  </r>
  <r>
    <s v="EMP0200"/>
    <d v="2018-01-06T00:00:00"/>
    <x v="0"/>
    <n v="33"/>
    <s v="Female"/>
    <s v="Single"/>
    <s v="Master's"/>
    <x v="1"/>
    <x v="27"/>
    <x v="1"/>
    <s v="Pune"/>
    <n v="68000"/>
    <n v="9.1"/>
    <n v="8.4"/>
    <n v="8"/>
    <n v="6"/>
    <x v="0"/>
    <x v="1"/>
    <n v="4"/>
    <x v="0"/>
    <n v="4"/>
    <m/>
    <x v="1"/>
    <x v="4"/>
    <x v="1"/>
    <n v="0"/>
  </r>
  <r>
    <s v="EMP0201"/>
    <d v="2017-07-16T00:00:00"/>
    <x v="0"/>
    <n v="40"/>
    <s v="Female"/>
    <s v="Divorced"/>
    <s v="Diploma"/>
    <x v="4"/>
    <x v="24"/>
    <x v="3"/>
    <s v="Pune"/>
    <n v="101000"/>
    <n v="9.4"/>
    <n v="16"/>
    <n v="8.5"/>
    <n v="3.4"/>
    <x v="1"/>
    <x v="0"/>
    <n v="2"/>
    <x v="1"/>
    <n v="5"/>
    <m/>
    <x v="0"/>
    <x v="3"/>
    <x v="1"/>
    <n v="0"/>
  </r>
  <r>
    <s v="EMP0202"/>
    <d v="2023-06-12T00:00:00"/>
    <x v="1"/>
    <n v="30"/>
    <s v="Female"/>
    <s v="Single"/>
    <s v="Bachelor's"/>
    <x v="3"/>
    <x v="15"/>
    <x v="0"/>
    <s v="Pune"/>
    <n v="32000"/>
    <n v="9.9"/>
    <n v="4"/>
    <n v="2.4"/>
    <n v="0.3"/>
    <x v="2"/>
    <x v="0"/>
    <n v="4"/>
    <x v="0"/>
    <n v="4"/>
    <d v="2025-11-11T00:00:00"/>
    <x v="1"/>
    <x v="0"/>
    <x v="4"/>
    <n v="1"/>
  </r>
  <r>
    <s v="EMP0203"/>
    <d v="2015-10-19T00:00:00"/>
    <x v="0"/>
    <n v="42"/>
    <s v="Male"/>
    <s v="Divorced"/>
    <s v="PhD"/>
    <x v="4"/>
    <x v="14"/>
    <x v="2"/>
    <s v="Noida"/>
    <n v="66000"/>
    <n v="8.3000000000000007"/>
    <n v="17.7"/>
    <n v="10.199999999999999"/>
    <n v="2.4"/>
    <x v="0"/>
    <x v="1"/>
    <n v="3"/>
    <x v="1"/>
    <n v="2"/>
    <m/>
    <x v="0"/>
    <x v="4"/>
    <x v="2"/>
    <n v="0"/>
  </r>
  <r>
    <s v="EMP0204"/>
    <d v="2014-05-14T00:00:00"/>
    <x v="0"/>
    <n v="43"/>
    <s v="Male"/>
    <s v="Single"/>
    <s v="Bachelor's"/>
    <x v="3"/>
    <x v="4"/>
    <x v="1"/>
    <s v="Noida"/>
    <n v="57000"/>
    <n v="13.1"/>
    <n v="13.4"/>
    <n v="11.6"/>
    <n v="3.5"/>
    <x v="0"/>
    <x v="1"/>
    <n v="3"/>
    <x v="1"/>
    <n v="4"/>
    <m/>
    <x v="0"/>
    <x v="1"/>
    <x v="2"/>
    <n v="0"/>
  </r>
  <r>
    <s v="EMP0205"/>
    <d v="2016-09-06T00:00:00"/>
    <x v="0"/>
    <n v="35"/>
    <s v="Female"/>
    <s v="Divorced"/>
    <s v="Bachelor's"/>
    <x v="4"/>
    <x v="5"/>
    <x v="3"/>
    <s v="Pune"/>
    <n v="114000"/>
    <n v="9.3000000000000007"/>
    <n v="15.8"/>
    <n v="9.3000000000000007"/>
    <n v="3.7"/>
    <x v="3"/>
    <x v="0"/>
    <n v="2"/>
    <x v="1"/>
    <n v="3"/>
    <m/>
    <x v="1"/>
    <x v="3"/>
    <x v="1"/>
    <n v="0"/>
  </r>
  <r>
    <s v="EMP0206"/>
    <d v="2017-12-31T00:00:00"/>
    <x v="0"/>
    <n v="29"/>
    <s v="Female"/>
    <s v="Single"/>
    <s v="Bachelor's"/>
    <x v="6"/>
    <x v="21"/>
    <x v="1"/>
    <s v="Bengaluru"/>
    <n v="65000"/>
    <n v="18.2"/>
    <n v="15.1"/>
    <n v="8"/>
    <n v="2.7"/>
    <x v="2"/>
    <x v="0"/>
    <n v="2"/>
    <x v="0"/>
    <n v="2"/>
    <m/>
    <x v="1"/>
    <x v="4"/>
    <x v="1"/>
    <n v="0"/>
  </r>
  <r>
    <s v="EMP0207"/>
    <d v="2016-04-19T00:00:00"/>
    <x v="0"/>
    <n v="30"/>
    <s v="Non-Binary"/>
    <s v="Single"/>
    <s v="Master's"/>
    <x v="3"/>
    <x v="6"/>
    <x v="2"/>
    <s v="Mumbai"/>
    <n v="93000"/>
    <n v="15.3"/>
    <n v="14.1"/>
    <n v="9.6999999999999993"/>
    <n v="0.6"/>
    <x v="2"/>
    <x v="0"/>
    <n v="4"/>
    <x v="1"/>
    <n v="4"/>
    <m/>
    <x v="1"/>
    <x v="2"/>
    <x v="1"/>
    <n v="0"/>
  </r>
  <r>
    <s v="EMP0208"/>
    <d v="2022-08-11T00:00:00"/>
    <x v="0"/>
    <n v="30"/>
    <s v="Non-Binary"/>
    <s v="Divorced"/>
    <s v="PhD"/>
    <x v="5"/>
    <x v="8"/>
    <x v="1"/>
    <s v="Noida"/>
    <n v="57000"/>
    <n v="3.6"/>
    <n v="6.4"/>
    <n v="3.4"/>
    <n v="2.5"/>
    <x v="1"/>
    <x v="0"/>
    <n v="4"/>
    <x v="1"/>
    <n v="2"/>
    <m/>
    <x v="1"/>
    <x v="1"/>
    <x v="0"/>
    <n v="0"/>
  </r>
  <r>
    <s v="EMP0209"/>
    <d v="2020-04-30T00:00:00"/>
    <x v="1"/>
    <n v="26"/>
    <s v="Non-Binary"/>
    <s v="Unkown"/>
    <s v="Diploma"/>
    <x v="5"/>
    <x v="26"/>
    <x v="0"/>
    <s v="Hyderabad"/>
    <n v="31000"/>
    <n v="8.9"/>
    <n v="7.5"/>
    <n v="4.8"/>
    <n v="4.7"/>
    <x v="0"/>
    <x v="0"/>
    <n v="3"/>
    <x v="0"/>
    <n v="5"/>
    <d v="2025-02-21T00:00:00"/>
    <x v="1"/>
    <x v="0"/>
    <x v="0"/>
    <n v="1"/>
  </r>
  <r>
    <s v="EMP0210"/>
    <d v="2019-01-05T00:00:00"/>
    <x v="0"/>
    <n v="44"/>
    <s v="Male"/>
    <s v="Single"/>
    <s v="Master's"/>
    <x v="1"/>
    <x v="10"/>
    <x v="0"/>
    <s v="Noida"/>
    <n v="30000"/>
    <n v="12.9"/>
    <n v="10.4"/>
    <n v="7"/>
    <n v="1.8"/>
    <x v="3"/>
    <x v="0"/>
    <n v="3"/>
    <x v="1"/>
    <n v="3"/>
    <m/>
    <x v="0"/>
    <x v="0"/>
    <x v="1"/>
    <n v="0"/>
  </r>
  <r>
    <s v="EMP0211"/>
    <d v="2024-05-07T00:00:00"/>
    <x v="0"/>
    <n v="33"/>
    <s v="Male"/>
    <s v="Married"/>
    <s v="Bachelor's"/>
    <x v="6"/>
    <x v="19"/>
    <x v="2"/>
    <s v="Hyderabad"/>
    <n v="83000"/>
    <n v="4.5"/>
    <n v="3.8"/>
    <n v="1.7"/>
    <n v="1.1000000000000001"/>
    <x v="2"/>
    <x v="0"/>
    <n v="3"/>
    <x v="1"/>
    <n v="3"/>
    <m/>
    <x v="1"/>
    <x v="2"/>
    <x v="4"/>
    <n v="0"/>
  </r>
  <r>
    <s v="EMP0212"/>
    <d v="2015-11-28T00:00:00"/>
    <x v="0"/>
    <n v="34"/>
    <s v="Male"/>
    <s v="Divorced"/>
    <s v="Bachelor's"/>
    <x v="3"/>
    <x v="6"/>
    <x v="1"/>
    <s v="Mumbai"/>
    <n v="59000"/>
    <n v="10.199999999999999"/>
    <n v="10.9"/>
    <n v="10.1"/>
    <n v="4"/>
    <x v="3"/>
    <x v="2"/>
    <n v="3"/>
    <x v="1"/>
    <n v="4"/>
    <m/>
    <x v="1"/>
    <x v="1"/>
    <x v="2"/>
    <n v="0"/>
  </r>
  <r>
    <s v="EMP0213"/>
    <d v="2019-09-22T00:00:00"/>
    <x v="0"/>
    <n v="29"/>
    <s v="Non-Binary"/>
    <s v="Divorced"/>
    <s v="Master's"/>
    <x v="2"/>
    <x v="17"/>
    <x v="4"/>
    <s v="Bengaluru"/>
    <n v="146000"/>
    <n v="6.5"/>
    <n v="8.6999999999999993"/>
    <n v="6.3"/>
    <n v="2.4"/>
    <x v="2"/>
    <x v="2"/>
    <n v="1"/>
    <x v="1"/>
    <n v="4"/>
    <m/>
    <x v="1"/>
    <x v="3"/>
    <x v="1"/>
    <n v="0"/>
  </r>
  <r>
    <s v="EMP0214"/>
    <d v="2017-02-19T00:00:00"/>
    <x v="0"/>
    <n v="29"/>
    <s v="Non-Binary"/>
    <s v="Married"/>
    <s v="Diploma"/>
    <x v="2"/>
    <x v="17"/>
    <x v="1"/>
    <s v="Noida"/>
    <n v="62000"/>
    <n v="14.7"/>
    <n v="12.2"/>
    <n v="8.9"/>
    <n v="5.9"/>
    <x v="0"/>
    <x v="0"/>
    <n v="4"/>
    <x v="1"/>
    <n v="4"/>
    <m/>
    <x v="1"/>
    <x v="4"/>
    <x v="1"/>
    <n v="0"/>
  </r>
  <r>
    <s v="EMP0215"/>
    <d v="2025-02-12T00:00:00"/>
    <x v="0"/>
    <n v="27"/>
    <s v="Female"/>
    <s v="Single"/>
    <s v="PhD"/>
    <x v="2"/>
    <x v="23"/>
    <x v="0"/>
    <s v="Pune"/>
    <n v="37000"/>
    <n v="6.8"/>
    <n v="5"/>
    <n v="0.9"/>
    <n v="0"/>
    <x v="2"/>
    <x v="3"/>
    <n v="3"/>
    <x v="1"/>
    <n v="4"/>
    <m/>
    <x v="1"/>
    <x v="0"/>
    <x v="3"/>
    <n v="0"/>
  </r>
  <r>
    <s v="EMP0216"/>
    <d v="2019-02-12T00:00:00"/>
    <x v="0"/>
    <n v="34"/>
    <s v="Male"/>
    <s v="Single"/>
    <s v="Diploma"/>
    <x v="1"/>
    <x v="10"/>
    <x v="3"/>
    <s v="Mumbai"/>
    <n v="115000"/>
    <n v="15.2"/>
    <n v="9.6"/>
    <n v="6.9"/>
    <n v="2.5"/>
    <x v="2"/>
    <x v="0"/>
    <n v="3"/>
    <x v="0"/>
    <n v="4"/>
    <m/>
    <x v="1"/>
    <x v="3"/>
    <x v="1"/>
    <n v="0"/>
  </r>
  <r>
    <s v="EMP0217"/>
    <d v="2017-12-17T00:00:00"/>
    <x v="0"/>
    <n v="29"/>
    <s v="Female"/>
    <s v="Married"/>
    <s v="Bachelor's"/>
    <x v="1"/>
    <x v="1"/>
    <x v="0"/>
    <s v="Pune"/>
    <n v="36000"/>
    <n v="10.1"/>
    <n v="15.4"/>
    <n v="8"/>
    <n v="5.4"/>
    <x v="3"/>
    <x v="3"/>
    <n v="4"/>
    <x v="1"/>
    <n v="3"/>
    <m/>
    <x v="1"/>
    <x v="0"/>
    <x v="1"/>
    <n v="0"/>
  </r>
  <r>
    <s v="EMP0218"/>
    <d v="2020-07-07T00:00:00"/>
    <x v="0"/>
    <n v="38"/>
    <s v="Non-Binary"/>
    <s v="Married"/>
    <s v="Bachelor's"/>
    <x v="1"/>
    <x v="9"/>
    <x v="4"/>
    <s v="Chennai"/>
    <n v="197000"/>
    <n v="8.3000000000000007"/>
    <n v="10.6"/>
    <n v="5.5"/>
    <n v="1"/>
    <x v="2"/>
    <x v="1"/>
    <n v="4"/>
    <x v="1"/>
    <n v="4"/>
    <m/>
    <x v="0"/>
    <x v="3"/>
    <x v="0"/>
    <n v="0"/>
  </r>
  <r>
    <s v="EMP0219"/>
    <d v="2025-07-10T00:00:00"/>
    <x v="0"/>
    <n v="23"/>
    <s v="Male"/>
    <s v="Single"/>
    <s v="Bachelor's"/>
    <x v="2"/>
    <x v="20"/>
    <x v="0"/>
    <s v="Mumbai"/>
    <n v="26000"/>
    <n v="8.9"/>
    <n v="4.7"/>
    <n v="0.5"/>
    <n v="0"/>
    <x v="2"/>
    <x v="1"/>
    <n v="4"/>
    <x v="1"/>
    <n v="3"/>
    <m/>
    <x v="2"/>
    <x v="0"/>
    <x v="3"/>
    <n v="0"/>
  </r>
  <r>
    <s v="EMP0220"/>
    <d v="2023-04-26T00:00:00"/>
    <x v="0"/>
    <n v="29"/>
    <s v="Female"/>
    <s v="Divorced"/>
    <s v="Diploma"/>
    <x v="5"/>
    <x v="18"/>
    <x v="2"/>
    <s v="Hyderabad"/>
    <n v="88000"/>
    <n v="8.9"/>
    <n v="3.7"/>
    <n v="2.7"/>
    <n v="0.1"/>
    <x v="2"/>
    <x v="0"/>
    <n v="3"/>
    <x v="1"/>
    <n v="3"/>
    <m/>
    <x v="1"/>
    <x v="2"/>
    <x v="4"/>
    <n v="0"/>
  </r>
  <r>
    <s v="EMP0221"/>
    <d v="2017-08-22T00:00:00"/>
    <x v="0"/>
    <n v="51"/>
    <s v="Female"/>
    <s v="Divorced"/>
    <s v="PhD"/>
    <x v="1"/>
    <x v="9"/>
    <x v="2"/>
    <s v="Chennai"/>
    <n v="85000"/>
    <n v="7"/>
    <n v="12.9"/>
    <n v="8.4"/>
    <n v="5.8"/>
    <x v="2"/>
    <x v="2"/>
    <n v="3"/>
    <x v="1"/>
    <n v="4"/>
    <m/>
    <x v="3"/>
    <x v="2"/>
    <x v="1"/>
    <n v="0"/>
  </r>
  <r>
    <s v="EMP0222"/>
    <d v="2024-02-25T00:00:00"/>
    <x v="0"/>
    <n v="38"/>
    <s v="Female"/>
    <s v="Married"/>
    <s v="PhD"/>
    <x v="5"/>
    <x v="8"/>
    <x v="2"/>
    <s v="Hyderabad"/>
    <n v="103000"/>
    <n v="11.3"/>
    <n v="6.7"/>
    <n v="1.8"/>
    <n v="1.7"/>
    <x v="0"/>
    <x v="0"/>
    <n v="3"/>
    <x v="0"/>
    <n v="3"/>
    <m/>
    <x v="0"/>
    <x v="3"/>
    <x v="4"/>
    <n v="0"/>
  </r>
  <r>
    <s v="EMP0223"/>
    <d v="2019-08-11T00:00:00"/>
    <x v="1"/>
    <n v="37"/>
    <s v="Non-Binary"/>
    <s v="Single"/>
    <s v="PhD"/>
    <x v="1"/>
    <x v="1"/>
    <x v="1"/>
    <s v="Bengaluru"/>
    <n v="72000"/>
    <n v="12.3"/>
    <n v="14.1"/>
    <n v="6.3"/>
    <n v="5"/>
    <x v="2"/>
    <x v="0"/>
    <n v="3"/>
    <x v="1"/>
    <n v="3"/>
    <d v="2025-12-06T00:00:00"/>
    <x v="0"/>
    <x v="4"/>
    <x v="1"/>
    <n v="1"/>
  </r>
  <r>
    <s v="EMP0224"/>
    <d v="2015-08-15T00:00:00"/>
    <x v="0"/>
    <n v="40"/>
    <s v="Non-Binary"/>
    <s v="Married"/>
    <s v="Diploma"/>
    <x v="6"/>
    <x v="21"/>
    <x v="2"/>
    <s v="Noida"/>
    <n v="87000"/>
    <n v="14.5"/>
    <n v="12.8"/>
    <n v="10.4"/>
    <n v="0.9"/>
    <x v="2"/>
    <x v="2"/>
    <n v="4"/>
    <x v="0"/>
    <n v="4"/>
    <m/>
    <x v="0"/>
    <x v="2"/>
    <x v="2"/>
    <n v="0"/>
  </r>
  <r>
    <s v="EMP0225"/>
    <d v="2014-01-11T00:00:00"/>
    <x v="0"/>
    <n v="32"/>
    <s v="Male"/>
    <s v="Divorced"/>
    <s v="PhD"/>
    <x v="1"/>
    <x v="10"/>
    <x v="2"/>
    <s v="Noida"/>
    <n v="91000"/>
    <n v="13.8"/>
    <n v="12.3"/>
    <n v="12"/>
    <n v="4.2"/>
    <x v="2"/>
    <x v="0"/>
    <n v="2"/>
    <x v="0"/>
    <n v="4"/>
    <m/>
    <x v="1"/>
    <x v="2"/>
    <x v="2"/>
    <n v="0"/>
  </r>
  <r>
    <s v="EMP0226"/>
    <d v="2015-11-13T00:00:00"/>
    <x v="1"/>
    <n v="36"/>
    <s v="Female"/>
    <s v="Divorced"/>
    <s v="Bachelor's"/>
    <x v="6"/>
    <x v="21"/>
    <x v="3"/>
    <s v="Pune"/>
    <n v="107000"/>
    <n v="9.1"/>
    <n v="15.2"/>
    <n v="9.3000000000000007"/>
    <n v="4.4000000000000004"/>
    <x v="3"/>
    <x v="0"/>
    <n v="4"/>
    <x v="1"/>
    <n v="5"/>
    <d v="2025-03-07T00:00:00"/>
    <x v="0"/>
    <x v="3"/>
    <x v="1"/>
    <n v="1"/>
  </r>
  <r>
    <s v="EMP0227"/>
    <d v="2022-02-09T00:00:00"/>
    <x v="0"/>
    <n v="34"/>
    <s v="Non-Binary"/>
    <s v="Single"/>
    <s v="PhD"/>
    <x v="6"/>
    <x v="22"/>
    <x v="2"/>
    <s v="Pune"/>
    <n v="77000"/>
    <n v="3.6"/>
    <n v="6.2"/>
    <n v="3.9"/>
    <n v="3.3"/>
    <x v="2"/>
    <x v="0"/>
    <n v="4"/>
    <x v="1"/>
    <n v="4"/>
    <m/>
    <x v="1"/>
    <x v="4"/>
    <x v="0"/>
    <n v="0"/>
  </r>
  <r>
    <s v="EMP0228"/>
    <d v="2021-03-27T00:00:00"/>
    <x v="0"/>
    <n v="38"/>
    <s v="Female"/>
    <s v="Single"/>
    <s v="Diploma"/>
    <x v="4"/>
    <x v="25"/>
    <x v="3"/>
    <s v="Noida"/>
    <n v="125000"/>
    <n v="7.8"/>
    <n v="5.9"/>
    <n v="4.8"/>
    <n v="1"/>
    <x v="1"/>
    <x v="0"/>
    <n v="3"/>
    <x v="1"/>
    <n v="5"/>
    <m/>
    <x v="0"/>
    <x v="3"/>
    <x v="0"/>
    <n v="0"/>
  </r>
  <r>
    <s v="EMP0229"/>
    <d v="2018-04-26T00:00:00"/>
    <x v="1"/>
    <n v="35"/>
    <s v="Male"/>
    <s v="Single"/>
    <s v="PhD"/>
    <x v="1"/>
    <x v="10"/>
    <x v="2"/>
    <s v="Noida"/>
    <n v="104000"/>
    <n v="8.6"/>
    <n v="8.6999999999999993"/>
    <n v="7.1"/>
    <n v="4.5999999999999996"/>
    <x v="2"/>
    <x v="0"/>
    <n v="2"/>
    <x v="0"/>
    <n v="4"/>
    <d v="2025-05-21T00:00:00"/>
    <x v="1"/>
    <x v="3"/>
    <x v="1"/>
    <n v="1"/>
  </r>
  <r>
    <s v="EMP0230"/>
    <d v="2020-02-12T00:00:00"/>
    <x v="0"/>
    <n v="37"/>
    <s v="Male"/>
    <s v="Divorced"/>
    <s v="Master's"/>
    <x v="3"/>
    <x v="6"/>
    <x v="1"/>
    <s v="Pune"/>
    <n v="57000"/>
    <n v="7.2"/>
    <n v="13.5"/>
    <n v="5.9"/>
    <n v="5.3"/>
    <x v="2"/>
    <x v="2"/>
    <n v="3"/>
    <x v="0"/>
    <n v="1"/>
    <m/>
    <x v="0"/>
    <x v="1"/>
    <x v="0"/>
    <n v="0"/>
  </r>
  <r>
    <s v="EMP0231"/>
    <d v="2024-07-01T00:00:00"/>
    <x v="1"/>
    <n v="41"/>
    <s v="Non-Binary"/>
    <s v="Single"/>
    <s v="Diploma"/>
    <x v="0"/>
    <x v="7"/>
    <x v="1"/>
    <s v="Mumbai"/>
    <n v="40000"/>
    <n v="9.5"/>
    <n v="3"/>
    <n v="0.6"/>
    <n v="0"/>
    <x v="2"/>
    <x v="0"/>
    <n v="3"/>
    <x v="1"/>
    <n v="3"/>
    <d v="2025-01-24T00:00:00"/>
    <x v="0"/>
    <x v="1"/>
    <x v="3"/>
    <n v="1"/>
  </r>
  <r>
    <s v="EMP0232"/>
    <d v="2015-02-02T00:00:00"/>
    <x v="0"/>
    <n v="41"/>
    <s v="Non-Binary"/>
    <s v="Divorced"/>
    <s v="Bachelor's"/>
    <x v="6"/>
    <x v="22"/>
    <x v="1"/>
    <s v="Mumbai"/>
    <n v="39000"/>
    <n v="6.8"/>
    <n v="18.8"/>
    <n v="10.9"/>
    <n v="1.3"/>
    <x v="1"/>
    <x v="3"/>
    <n v="3"/>
    <x v="1"/>
    <n v="2"/>
    <m/>
    <x v="0"/>
    <x v="0"/>
    <x v="2"/>
    <n v="0"/>
  </r>
  <r>
    <s v="EMP0233"/>
    <d v="2018-05-30T00:00:00"/>
    <x v="1"/>
    <n v="44"/>
    <s v="Non-Binary"/>
    <s v="Single"/>
    <s v="Master's"/>
    <x v="0"/>
    <x v="7"/>
    <x v="2"/>
    <s v="Noida"/>
    <n v="71000"/>
    <n v="6.8"/>
    <n v="7"/>
    <n v="6.6"/>
    <n v="0.7"/>
    <x v="1"/>
    <x v="0"/>
    <n v="2"/>
    <x v="1"/>
    <n v="3"/>
    <d v="2025-01-11T00:00:00"/>
    <x v="0"/>
    <x v="4"/>
    <x v="1"/>
    <n v="1"/>
  </r>
  <r>
    <s v="EMP0234"/>
    <d v="2024-11-20T00:00:00"/>
    <x v="0"/>
    <n v="23"/>
    <s v="Male"/>
    <s v="Married"/>
    <s v="Bachelor's"/>
    <x v="0"/>
    <x v="0"/>
    <x v="0"/>
    <s v="Bengaluru"/>
    <n v="22000"/>
    <n v="10.8"/>
    <n v="6"/>
    <n v="1.1000000000000001"/>
    <n v="0.2"/>
    <x v="2"/>
    <x v="2"/>
    <n v="2"/>
    <x v="1"/>
    <n v="4"/>
    <m/>
    <x v="2"/>
    <x v="0"/>
    <x v="4"/>
    <n v="0"/>
  </r>
  <r>
    <s v="EMP0235"/>
    <d v="2022-03-25T00:00:00"/>
    <x v="0"/>
    <n v="26"/>
    <s v="Non-Binary"/>
    <s v="Married"/>
    <s v="Diploma"/>
    <x v="3"/>
    <x v="11"/>
    <x v="0"/>
    <s v="Pune"/>
    <n v="41000"/>
    <n v="10"/>
    <n v="6.6"/>
    <n v="3.8"/>
    <n v="1.6"/>
    <x v="0"/>
    <x v="1"/>
    <n v="3"/>
    <x v="1"/>
    <n v="5"/>
    <m/>
    <x v="1"/>
    <x v="1"/>
    <x v="0"/>
    <n v="0"/>
  </r>
  <r>
    <s v="EMP0236"/>
    <d v="2023-03-20T00:00:00"/>
    <x v="0"/>
    <n v="24"/>
    <s v="Female"/>
    <s v="Divorced"/>
    <s v="Master's"/>
    <x v="5"/>
    <x v="8"/>
    <x v="0"/>
    <s v="Mumbai"/>
    <n v="46000"/>
    <n v="11.6"/>
    <n v="4"/>
    <n v="2.8"/>
    <n v="0.3"/>
    <x v="0"/>
    <x v="0"/>
    <n v="3"/>
    <x v="1"/>
    <n v="2"/>
    <m/>
    <x v="2"/>
    <x v="1"/>
    <x v="4"/>
    <n v="0"/>
  </r>
  <r>
    <s v="EMP0237"/>
    <d v="2024-07-13T00:00:00"/>
    <x v="0"/>
    <n v="46"/>
    <s v="Male"/>
    <s v="Single"/>
    <s v="Master's"/>
    <x v="6"/>
    <x v="21"/>
    <x v="2"/>
    <s v="Noida"/>
    <n v="67000"/>
    <n v="2.9"/>
    <n v="7.9"/>
    <n v="1.5"/>
    <n v="0.5"/>
    <x v="1"/>
    <x v="0"/>
    <n v="2"/>
    <x v="0"/>
    <n v="4"/>
    <m/>
    <x v="3"/>
    <x v="4"/>
    <x v="4"/>
    <n v="0"/>
  </r>
  <r>
    <s v="EMP0238"/>
    <d v="2015-03-27T00:00:00"/>
    <x v="0"/>
    <n v="33"/>
    <s v="Female"/>
    <s v="Divorced"/>
    <s v="PhD"/>
    <x v="0"/>
    <x v="3"/>
    <x v="1"/>
    <s v="Mumbai"/>
    <n v="52000"/>
    <n v="8"/>
    <n v="13.7"/>
    <n v="10.8"/>
    <n v="2.1"/>
    <x v="2"/>
    <x v="1"/>
    <n v="3"/>
    <x v="1"/>
    <n v="3"/>
    <m/>
    <x v="1"/>
    <x v="1"/>
    <x v="2"/>
    <n v="0"/>
  </r>
  <r>
    <s v="EMP0239"/>
    <d v="2025-04-13T00:00:00"/>
    <x v="0"/>
    <n v="24"/>
    <s v="Male"/>
    <s v="Divorced"/>
    <s v="PhD"/>
    <x v="0"/>
    <x v="3"/>
    <x v="0"/>
    <s v="Hyderabad"/>
    <n v="44000"/>
    <n v="8.6999999999999993"/>
    <n v="2"/>
    <n v="0.7"/>
    <n v="0"/>
    <x v="1"/>
    <x v="0"/>
    <n v="4"/>
    <x v="1"/>
    <n v="4"/>
    <m/>
    <x v="2"/>
    <x v="1"/>
    <x v="3"/>
    <n v="0"/>
  </r>
  <r>
    <s v="EMP0240"/>
    <d v="2015-05-29T00:00:00"/>
    <x v="0"/>
    <n v="35"/>
    <s v="Male"/>
    <s v="Divorced"/>
    <s v="Master's"/>
    <x v="4"/>
    <x v="25"/>
    <x v="3"/>
    <s v="Noida"/>
    <n v="110000"/>
    <n v="11.3"/>
    <n v="14.5"/>
    <n v="10.6"/>
    <n v="5.3"/>
    <x v="0"/>
    <x v="0"/>
    <n v="2"/>
    <x v="1"/>
    <n v="4"/>
    <m/>
    <x v="1"/>
    <x v="3"/>
    <x v="2"/>
    <n v="0"/>
  </r>
  <r>
    <s v="EMP0241"/>
    <d v="2017-08-25T00:00:00"/>
    <x v="0"/>
    <n v="37"/>
    <s v="Non-Binary"/>
    <s v="Single"/>
    <s v="Bachelor's"/>
    <x v="2"/>
    <x v="2"/>
    <x v="2"/>
    <s v="Noida"/>
    <n v="87000"/>
    <n v="9.8000000000000007"/>
    <n v="12.2"/>
    <n v="8.4"/>
    <n v="4"/>
    <x v="2"/>
    <x v="0"/>
    <n v="2"/>
    <x v="1"/>
    <n v="4"/>
    <m/>
    <x v="0"/>
    <x v="2"/>
    <x v="1"/>
    <n v="0"/>
  </r>
  <r>
    <s v="EMP0242"/>
    <d v="2015-07-13T00:00:00"/>
    <x v="0"/>
    <n v="32"/>
    <s v="Male"/>
    <s v="Single"/>
    <s v="PhD"/>
    <x v="1"/>
    <x v="1"/>
    <x v="3"/>
    <s v="Mumbai"/>
    <n v="142000"/>
    <n v="6.3"/>
    <n v="18.2"/>
    <n v="10.5"/>
    <n v="0.3"/>
    <x v="2"/>
    <x v="1"/>
    <n v="3"/>
    <x v="0"/>
    <n v="3"/>
    <m/>
    <x v="1"/>
    <x v="3"/>
    <x v="2"/>
    <n v="0"/>
  </r>
  <r>
    <s v="EMP0243"/>
    <d v="2019-11-14T00:00:00"/>
    <x v="0"/>
    <n v="33"/>
    <s v="Non-Binary"/>
    <s v="Divorced"/>
    <s v="Diploma"/>
    <x v="2"/>
    <x v="17"/>
    <x v="0"/>
    <s v="Chennai"/>
    <n v="22000"/>
    <n v="9.5"/>
    <n v="6.3"/>
    <n v="6.1"/>
    <n v="2.4"/>
    <x v="0"/>
    <x v="3"/>
    <n v="3"/>
    <x v="1"/>
    <n v="4"/>
    <m/>
    <x v="1"/>
    <x v="0"/>
    <x v="1"/>
    <n v="0"/>
  </r>
  <r>
    <s v="EMP0244"/>
    <d v="2020-05-12T00:00:00"/>
    <x v="0"/>
    <n v="39"/>
    <s v="Female"/>
    <s v="Divorced"/>
    <s v="PhD"/>
    <x v="4"/>
    <x v="14"/>
    <x v="2"/>
    <s v="Bengaluru"/>
    <n v="68000"/>
    <n v="7.2"/>
    <n v="12.4"/>
    <n v="5.6"/>
    <n v="1.9"/>
    <x v="0"/>
    <x v="2"/>
    <n v="3"/>
    <x v="1"/>
    <n v="4"/>
    <m/>
    <x v="0"/>
    <x v="4"/>
    <x v="0"/>
    <n v="0"/>
  </r>
  <r>
    <s v="EMP0245"/>
    <d v="2022-04-04T00:00:00"/>
    <x v="0"/>
    <n v="30"/>
    <s v="Non-Binary"/>
    <s v="Divorced"/>
    <s v="PhD"/>
    <x v="5"/>
    <x v="13"/>
    <x v="0"/>
    <s v="Bengaluru"/>
    <n v="22000"/>
    <n v="2.7"/>
    <n v="6.7"/>
    <n v="3.7"/>
    <n v="0.4"/>
    <x v="0"/>
    <x v="2"/>
    <n v="3"/>
    <x v="1"/>
    <n v="4"/>
    <m/>
    <x v="1"/>
    <x v="0"/>
    <x v="0"/>
    <n v="0"/>
  </r>
  <r>
    <s v="EMP0246"/>
    <d v="2014-10-26T00:00:00"/>
    <x v="0"/>
    <n v="39"/>
    <s v="Non-Binary"/>
    <s v="Single"/>
    <s v="PhD"/>
    <x v="6"/>
    <x v="22"/>
    <x v="1"/>
    <s v="Mumbai"/>
    <n v="57000"/>
    <n v="5.0999999999999996"/>
    <n v="16.899999999999999"/>
    <n v="11.2"/>
    <n v="0.6"/>
    <x v="2"/>
    <x v="0"/>
    <n v="4"/>
    <x v="1"/>
    <n v="4"/>
    <m/>
    <x v="0"/>
    <x v="1"/>
    <x v="2"/>
    <n v="0"/>
  </r>
  <r>
    <s v="EMP0247"/>
    <d v="2025-08-25T00:00:00"/>
    <x v="0"/>
    <n v="33"/>
    <s v="Male"/>
    <s v="Divorced"/>
    <s v="Master's"/>
    <x v="0"/>
    <x v="3"/>
    <x v="4"/>
    <s v="Bengaluru"/>
    <n v="134000"/>
    <n v="15"/>
    <n v="5"/>
    <n v="0.4"/>
    <n v="0"/>
    <x v="2"/>
    <x v="2"/>
    <n v="4"/>
    <x v="1"/>
    <n v="4"/>
    <m/>
    <x v="1"/>
    <x v="3"/>
    <x v="3"/>
    <n v="0"/>
  </r>
  <r>
    <s v="EMP0248"/>
    <d v="2021-08-02T00:00:00"/>
    <x v="0"/>
    <n v="31"/>
    <s v="Female"/>
    <s v="Divorced"/>
    <s v="Diploma"/>
    <x v="3"/>
    <x v="4"/>
    <x v="2"/>
    <s v="Noida"/>
    <n v="80000"/>
    <n v="9.8000000000000007"/>
    <n v="6.6"/>
    <n v="4.4000000000000004"/>
    <n v="4.2"/>
    <x v="0"/>
    <x v="2"/>
    <n v="3"/>
    <x v="1"/>
    <n v="2"/>
    <m/>
    <x v="1"/>
    <x v="2"/>
    <x v="0"/>
    <n v="0"/>
  </r>
  <r>
    <s v="EMP0249"/>
    <d v="2015-09-10T00:00:00"/>
    <x v="0"/>
    <n v="31"/>
    <s v="Male"/>
    <s v="Divorced"/>
    <s v="Diploma"/>
    <x v="4"/>
    <x v="24"/>
    <x v="2"/>
    <s v="Noida"/>
    <n v="67000"/>
    <n v="5"/>
    <n v="12.6"/>
    <n v="10.3"/>
    <n v="2.1"/>
    <x v="3"/>
    <x v="0"/>
    <n v="4"/>
    <x v="1"/>
    <n v="4"/>
    <m/>
    <x v="1"/>
    <x v="4"/>
    <x v="2"/>
    <n v="0"/>
  </r>
  <r>
    <s v="EMP0250"/>
    <d v="2018-11-18T00:00:00"/>
    <x v="0"/>
    <n v="46"/>
    <s v="Male"/>
    <s v="Single"/>
    <s v="PhD"/>
    <x v="5"/>
    <x v="18"/>
    <x v="2"/>
    <s v="Pune"/>
    <n v="92000"/>
    <n v="6.7"/>
    <n v="14.3"/>
    <n v="7.1"/>
    <n v="3.2"/>
    <x v="2"/>
    <x v="2"/>
    <n v="3"/>
    <x v="1"/>
    <n v="1"/>
    <m/>
    <x v="3"/>
    <x v="2"/>
    <x v="1"/>
    <n v="0"/>
  </r>
  <r>
    <s v="EMP0251"/>
    <d v="2016-12-03T00:00:00"/>
    <x v="0"/>
    <n v="43"/>
    <s v="Female"/>
    <s v="Single"/>
    <s v="Master's"/>
    <x v="5"/>
    <x v="8"/>
    <x v="1"/>
    <s v="Noida"/>
    <n v="68000"/>
    <n v="9.1999999999999993"/>
    <n v="15.8"/>
    <n v="9.1"/>
    <n v="4.0999999999999996"/>
    <x v="2"/>
    <x v="0"/>
    <n v="3"/>
    <x v="0"/>
    <n v="1"/>
    <m/>
    <x v="0"/>
    <x v="4"/>
    <x v="1"/>
    <n v="0"/>
  </r>
  <r>
    <s v="EMP0252"/>
    <d v="2016-07-10T00:00:00"/>
    <x v="0"/>
    <n v="38"/>
    <s v="Non-Binary"/>
    <s v="Single"/>
    <s v="Bachelor's"/>
    <x v="0"/>
    <x v="16"/>
    <x v="1"/>
    <s v="Noida"/>
    <n v="53000"/>
    <n v="12.6"/>
    <n v="16.899999999999999"/>
    <n v="9.5"/>
    <n v="2.2999999999999998"/>
    <x v="2"/>
    <x v="2"/>
    <n v="4"/>
    <x v="1"/>
    <n v="3"/>
    <m/>
    <x v="0"/>
    <x v="1"/>
    <x v="1"/>
    <n v="0"/>
  </r>
  <r>
    <s v="EMP0253"/>
    <d v="2016-07-25T00:00:00"/>
    <x v="0"/>
    <n v="40"/>
    <s v="Non-Binary"/>
    <s v="Single"/>
    <s v="Diploma"/>
    <x v="6"/>
    <x v="22"/>
    <x v="2"/>
    <s v="Mumbai"/>
    <n v="72000"/>
    <n v="14.3"/>
    <n v="15.1"/>
    <n v="9.4"/>
    <n v="3.9"/>
    <x v="0"/>
    <x v="2"/>
    <n v="3"/>
    <x v="1"/>
    <n v="4"/>
    <m/>
    <x v="0"/>
    <x v="4"/>
    <x v="1"/>
    <n v="0"/>
  </r>
  <r>
    <s v="EMP0254"/>
    <d v="2023-09-01T00:00:00"/>
    <x v="0"/>
    <n v="48"/>
    <s v="Non-Binary"/>
    <s v="Single"/>
    <s v="Bachelor's"/>
    <x v="1"/>
    <x v="10"/>
    <x v="1"/>
    <s v="Pune"/>
    <n v="55000"/>
    <n v="15.9"/>
    <n v="6.8"/>
    <n v="2.2999999999999998"/>
    <n v="0.3"/>
    <x v="2"/>
    <x v="0"/>
    <n v="2"/>
    <x v="1"/>
    <n v="3"/>
    <m/>
    <x v="3"/>
    <x v="1"/>
    <x v="4"/>
    <n v="0"/>
  </r>
  <r>
    <s v="EMP0255"/>
    <d v="2020-11-19T00:00:00"/>
    <x v="0"/>
    <n v="28"/>
    <s v="Non-Binary"/>
    <s v="Single"/>
    <s v="Master's"/>
    <x v="6"/>
    <x v="19"/>
    <x v="2"/>
    <s v="Mumbai"/>
    <n v="72000"/>
    <n v="7.7"/>
    <n v="9.5"/>
    <n v="5.0999999999999996"/>
    <n v="0.4"/>
    <x v="2"/>
    <x v="0"/>
    <n v="3"/>
    <x v="1"/>
    <n v="5"/>
    <m/>
    <x v="1"/>
    <x v="4"/>
    <x v="0"/>
    <n v="0"/>
  </r>
  <r>
    <s v="EMP0256"/>
    <d v="2023-02-11T00:00:00"/>
    <x v="0"/>
    <n v="37"/>
    <s v="Non-Binary"/>
    <s v="Single"/>
    <s v="Bachelor's"/>
    <x v="4"/>
    <x v="5"/>
    <x v="0"/>
    <s v="Noida"/>
    <n v="27000"/>
    <n v="8.9"/>
    <n v="4.5999999999999996"/>
    <n v="2.9"/>
    <n v="2.2000000000000002"/>
    <x v="2"/>
    <x v="0"/>
    <n v="4"/>
    <x v="0"/>
    <n v="4"/>
    <m/>
    <x v="0"/>
    <x v="0"/>
    <x v="4"/>
    <n v="0"/>
  </r>
  <r>
    <s v="EMP0257"/>
    <d v="2018-03-09T00:00:00"/>
    <x v="1"/>
    <n v="45"/>
    <s v="Male"/>
    <s v="Divorced"/>
    <s v="Diploma"/>
    <x v="6"/>
    <x v="12"/>
    <x v="1"/>
    <s v="Chennai"/>
    <n v="57000"/>
    <n v="9.1999999999999993"/>
    <n v="10.3"/>
    <n v="7.3"/>
    <n v="4.8"/>
    <x v="3"/>
    <x v="1"/>
    <n v="2"/>
    <x v="1"/>
    <n v="4"/>
    <d v="2025-06-14T00:00:00"/>
    <x v="0"/>
    <x v="1"/>
    <x v="1"/>
    <n v="1"/>
  </r>
  <r>
    <s v="EMP0258"/>
    <d v="2022-03-26T00:00:00"/>
    <x v="1"/>
    <n v="37"/>
    <s v="Non-Binary"/>
    <s v="Divorced"/>
    <s v="Master's"/>
    <x v="2"/>
    <x v="17"/>
    <x v="2"/>
    <s v="Noida"/>
    <n v="66000"/>
    <n v="8"/>
    <n v="4.2"/>
    <n v="2.9"/>
    <n v="2.8"/>
    <x v="2"/>
    <x v="0"/>
    <n v="1"/>
    <x v="1"/>
    <n v="2"/>
    <d v="2025-02-19T00:00:00"/>
    <x v="0"/>
    <x v="4"/>
    <x v="4"/>
    <n v="1"/>
  </r>
  <r>
    <s v="EMP0259"/>
    <d v="2016-01-02T00:00:00"/>
    <x v="0"/>
    <n v="36"/>
    <s v="Male"/>
    <s v="Single"/>
    <s v="Bachelor's"/>
    <x v="3"/>
    <x v="15"/>
    <x v="1"/>
    <s v="Bengaluru"/>
    <n v="61000"/>
    <n v="7.1"/>
    <n v="16.5"/>
    <n v="10"/>
    <n v="0.4"/>
    <x v="0"/>
    <x v="0"/>
    <n v="1"/>
    <x v="1"/>
    <n v="4"/>
    <m/>
    <x v="0"/>
    <x v="4"/>
    <x v="1"/>
    <n v="0"/>
  </r>
  <r>
    <s v="EMP0260"/>
    <d v="2023-08-21T00:00:00"/>
    <x v="0"/>
    <n v="24"/>
    <s v="Non-Binary"/>
    <s v="Single"/>
    <s v="Bachelor's"/>
    <x v="1"/>
    <x v="9"/>
    <x v="0"/>
    <s v="Noida"/>
    <n v="26000"/>
    <n v="9.9"/>
    <n v="5.5"/>
    <n v="2.4"/>
    <n v="1.5"/>
    <x v="3"/>
    <x v="0"/>
    <n v="1"/>
    <x v="1"/>
    <n v="4"/>
    <m/>
    <x v="2"/>
    <x v="0"/>
    <x v="4"/>
    <n v="0"/>
  </r>
  <r>
    <s v="EMP0261"/>
    <d v="2024-11-07T00:00:00"/>
    <x v="0"/>
    <n v="45"/>
    <s v="Non-Binary"/>
    <s v="Single"/>
    <s v="PhD"/>
    <x v="4"/>
    <x v="25"/>
    <x v="2"/>
    <s v="Pune"/>
    <n v="69000"/>
    <n v="13.3"/>
    <n v="3.6"/>
    <n v="1.1000000000000001"/>
    <n v="0.1"/>
    <x v="3"/>
    <x v="2"/>
    <n v="3"/>
    <x v="1"/>
    <n v="3"/>
    <m/>
    <x v="0"/>
    <x v="4"/>
    <x v="4"/>
    <n v="0"/>
  </r>
  <r>
    <s v="EMP0262"/>
    <d v="2021-02-15T00:00:00"/>
    <x v="0"/>
    <n v="32"/>
    <s v="Female"/>
    <s v="Single"/>
    <s v="Master's"/>
    <x v="4"/>
    <x v="14"/>
    <x v="1"/>
    <s v="Bengaluru"/>
    <n v="59000"/>
    <n v="11.6"/>
    <n v="6"/>
    <n v="4.9000000000000004"/>
    <n v="3.3"/>
    <x v="2"/>
    <x v="2"/>
    <n v="4"/>
    <x v="1"/>
    <n v="4"/>
    <m/>
    <x v="1"/>
    <x v="1"/>
    <x v="0"/>
    <n v="0"/>
  </r>
  <r>
    <s v="EMP0263"/>
    <d v="2021-02-02T00:00:00"/>
    <x v="0"/>
    <n v="43"/>
    <s v="Male"/>
    <s v="Single"/>
    <s v="Master's"/>
    <x v="5"/>
    <x v="8"/>
    <x v="2"/>
    <s v="Pune"/>
    <n v="99000"/>
    <n v="6.5"/>
    <n v="10.8"/>
    <n v="4.9000000000000004"/>
    <n v="3.6"/>
    <x v="3"/>
    <x v="1"/>
    <n v="4"/>
    <x v="1"/>
    <n v="4"/>
    <m/>
    <x v="0"/>
    <x v="2"/>
    <x v="0"/>
    <n v="0"/>
  </r>
  <r>
    <s v="EMP0264"/>
    <d v="2023-07-31T00:00:00"/>
    <x v="0"/>
    <n v="36"/>
    <s v="Male"/>
    <s v="Married"/>
    <s v="Bachelor's"/>
    <x v="4"/>
    <x v="24"/>
    <x v="1"/>
    <s v="Pune"/>
    <n v="53000"/>
    <n v="6.8"/>
    <n v="9.9"/>
    <n v="2.4"/>
    <n v="2.4"/>
    <x v="0"/>
    <x v="0"/>
    <n v="3"/>
    <x v="1"/>
    <n v="3"/>
    <m/>
    <x v="0"/>
    <x v="1"/>
    <x v="4"/>
    <n v="0"/>
  </r>
  <r>
    <s v="EMP0265"/>
    <d v="2021-07-10T00:00:00"/>
    <x v="0"/>
    <n v="33"/>
    <s v="Non-Binary"/>
    <s v="Divorced"/>
    <s v="Master's"/>
    <x v="0"/>
    <x v="16"/>
    <x v="4"/>
    <s v="Chennai"/>
    <n v="155000"/>
    <n v="11.2"/>
    <n v="5"/>
    <n v="4.5"/>
    <n v="0.9"/>
    <x v="3"/>
    <x v="0"/>
    <n v="3"/>
    <x v="1"/>
    <n v="4"/>
    <m/>
    <x v="1"/>
    <x v="3"/>
    <x v="0"/>
    <n v="0"/>
  </r>
  <r>
    <s v="EMP0266"/>
    <d v="2014-06-26T00:00:00"/>
    <x v="0"/>
    <n v="38"/>
    <s v="Female"/>
    <s v="Married"/>
    <s v="PhD"/>
    <x v="4"/>
    <x v="24"/>
    <x v="3"/>
    <s v="Mumbai"/>
    <n v="80000"/>
    <n v="13.6"/>
    <n v="17.2"/>
    <n v="11.5"/>
    <n v="3.8"/>
    <x v="2"/>
    <x v="0"/>
    <n v="3"/>
    <x v="0"/>
    <n v="4"/>
    <m/>
    <x v="0"/>
    <x v="2"/>
    <x v="2"/>
    <n v="0"/>
  </r>
  <r>
    <s v="EMP0267"/>
    <d v="2024-08-23T00:00:00"/>
    <x v="0"/>
    <n v="30"/>
    <s v="Non-Binary"/>
    <s v="Single"/>
    <s v="Bachelor's"/>
    <x v="6"/>
    <x v="21"/>
    <x v="2"/>
    <s v="Chennai"/>
    <n v="67000"/>
    <n v="3.8"/>
    <n v="8"/>
    <n v="1.4"/>
    <n v="1.2"/>
    <x v="3"/>
    <x v="1"/>
    <n v="3"/>
    <x v="1"/>
    <n v="4"/>
    <m/>
    <x v="1"/>
    <x v="4"/>
    <x v="4"/>
    <n v="0"/>
  </r>
  <r>
    <s v="EMP0268"/>
    <d v="2020-02-01T00:00:00"/>
    <x v="1"/>
    <n v="30"/>
    <s v="Male"/>
    <s v="Divorced"/>
    <s v="Diploma"/>
    <x v="0"/>
    <x v="0"/>
    <x v="3"/>
    <s v="Pune"/>
    <n v="107000"/>
    <n v="8.8000000000000007"/>
    <n v="9.6"/>
    <n v="5.3"/>
    <n v="5.3"/>
    <x v="3"/>
    <x v="0"/>
    <n v="4"/>
    <x v="1"/>
    <n v="3"/>
    <d v="2025-05-14T00:00:00"/>
    <x v="1"/>
    <x v="3"/>
    <x v="0"/>
    <n v="1"/>
  </r>
  <r>
    <s v="EMP0269"/>
    <d v="2019-10-29T00:00:00"/>
    <x v="0"/>
    <n v="34"/>
    <s v="Non-Binary"/>
    <s v="Divorced"/>
    <s v="Master's"/>
    <x v="3"/>
    <x v="15"/>
    <x v="1"/>
    <s v="Noida"/>
    <n v="43000"/>
    <n v="13"/>
    <n v="11.1"/>
    <n v="6.2"/>
    <n v="1"/>
    <x v="0"/>
    <x v="0"/>
    <n v="3"/>
    <x v="1"/>
    <n v="3"/>
    <m/>
    <x v="1"/>
    <x v="1"/>
    <x v="1"/>
    <n v="0"/>
  </r>
  <r>
    <s v="EMP0270"/>
    <d v="2024-02-08T00:00:00"/>
    <x v="1"/>
    <n v="22"/>
    <s v="Female"/>
    <s v="Married"/>
    <s v="Bachelor's"/>
    <x v="0"/>
    <x v="16"/>
    <x v="0"/>
    <s v="Bengaluru"/>
    <n v="28000"/>
    <n v="15"/>
    <n v="4.2"/>
    <n v="1.3"/>
    <n v="0.1"/>
    <x v="0"/>
    <x v="1"/>
    <n v="4"/>
    <x v="0"/>
    <n v="3"/>
    <d v="2025-05-16T00:00:00"/>
    <x v="2"/>
    <x v="0"/>
    <x v="4"/>
    <n v="1"/>
  </r>
  <r>
    <s v="EMP0271"/>
    <d v="2015-05-04T00:00:00"/>
    <x v="0"/>
    <n v="31"/>
    <s v="Male"/>
    <s v="Divorced"/>
    <s v="Diploma"/>
    <x v="0"/>
    <x v="7"/>
    <x v="1"/>
    <s v="Mumbai"/>
    <n v="46000"/>
    <n v="7.7"/>
    <n v="15.3"/>
    <n v="10.7"/>
    <n v="3.4"/>
    <x v="2"/>
    <x v="0"/>
    <n v="3"/>
    <x v="1"/>
    <n v="4"/>
    <m/>
    <x v="1"/>
    <x v="1"/>
    <x v="2"/>
    <n v="0"/>
  </r>
  <r>
    <s v="EMP0272"/>
    <d v="2015-07-20T00:00:00"/>
    <x v="0"/>
    <n v="36"/>
    <s v="Male"/>
    <s v="Single"/>
    <s v="Master's"/>
    <x v="1"/>
    <x v="1"/>
    <x v="1"/>
    <s v="Pune"/>
    <n v="65000"/>
    <n v="13.1"/>
    <n v="14.5"/>
    <n v="10.5"/>
    <n v="0.8"/>
    <x v="2"/>
    <x v="1"/>
    <n v="2"/>
    <x v="1"/>
    <n v="4"/>
    <m/>
    <x v="0"/>
    <x v="4"/>
    <x v="2"/>
    <n v="0"/>
  </r>
  <r>
    <s v="EMP0273"/>
    <d v="2021-04-07T00:00:00"/>
    <x v="0"/>
    <n v="31"/>
    <s v="Male"/>
    <s v="Divorced"/>
    <s v="Master's"/>
    <x v="6"/>
    <x v="19"/>
    <x v="2"/>
    <s v="Pune"/>
    <n v="75000"/>
    <n v="8.6999999999999993"/>
    <n v="8.6"/>
    <n v="4.7"/>
    <n v="2.8"/>
    <x v="3"/>
    <x v="0"/>
    <n v="3"/>
    <x v="1"/>
    <n v="3"/>
    <m/>
    <x v="1"/>
    <x v="4"/>
    <x v="0"/>
    <n v="0"/>
  </r>
  <r>
    <s v="EMP0274"/>
    <d v="2023-12-25T00:00:00"/>
    <x v="0"/>
    <n v="38"/>
    <s v="Female"/>
    <s v="Single"/>
    <s v="Master's"/>
    <x v="0"/>
    <x v="0"/>
    <x v="3"/>
    <s v="Mumbai"/>
    <n v="104000"/>
    <n v="11.9"/>
    <n v="5.3"/>
    <n v="2"/>
    <n v="1.9"/>
    <x v="0"/>
    <x v="0"/>
    <n v="4"/>
    <x v="0"/>
    <n v="4"/>
    <m/>
    <x v="0"/>
    <x v="3"/>
    <x v="4"/>
    <n v="0"/>
  </r>
  <r>
    <s v="EMP0275"/>
    <d v="2023-09-15T00:00:00"/>
    <x v="0"/>
    <n v="34"/>
    <s v="Female"/>
    <s v="Married"/>
    <s v="Bachelor's"/>
    <x v="4"/>
    <x v="5"/>
    <x v="3"/>
    <s v="Pune"/>
    <n v="88000"/>
    <n v="12.7"/>
    <n v="8.9"/>
    <n v="2.2999999999999998"/>
    <n v="0.4"/>
    <x v="2"/>
    <x v="0"/>
    <n v="3"/>
    <x v="1"/>
    <n v="4"/>
    <m/>
    <x v="1"/>
    <x v="2"/>
    <x v="4"/>
    <n v="0"/>
  </r>
  <r>
    <s v="EMP0276"/>
    <d v="2025-07-04T00:00:00"/>
    <x v="0"/>
    <n v="40"/>
    <s v="Non-Binary"/>
    <s v="Divorced"/>
    <s v="Bachelor's"/>
    <x v="3"/>
    <x v="6"/>
    <x v="1"/>
    <s v="Bengaluru"/>
    <n v="29000"/>
    <n v="17.399999999999999"/>
    <n v="7.1"/>
    <n v="0.5"/>
    <n v="0"/>
    <x v="0"/>
    <x v="1"/>
    <n v="4"/>
    <x v="1"/>
    <n v="4"/>
    <m/>
    <x v="0"/>
    <x v="0"/>
    <x v="3"/>
    <n v="0"/>
  </r>
  <r>
    <s v="EMP0277"/>
    <d v="2019-05-23T00:00:00"/>
    <x v="0"/>
    <n v="41"/>
    <s v="Female"/>
    <s v="Married"/>
    <s v="Diploma"/>
    <x v="3"/>
    <x v="11"/>
    <x v="3"/>
    <s v="Chennai"/>
    <n v="106000"/>
    <n v="11.5"/>
    <n v="10.1"/>
    <n v="6.6"/>
    <n v="2.5"/>
    <x v="0"/>
    <x v="2"/>
    <n v="3"/>
    <x v="0"/>
    <n v="3"/>
    <m/>
    <x v="0"/>
    <x v="3"/>
    <x v="1"/>
    <n v="0"/>
  </r>
  <r>
    <s v="EMP0278"/>
    <d v="2023-06-27T00:00:00"/>
    <x v="1"/>
    <n v="29"/>
    <s v="Non-Binary"/>
    <s v="Divorced"/>
    <s v="Bachelor's"/>
    <x v="2"/>
    <x v="23"/>
    <x v="1"/>
    <s v="Chennai"/>
    <n v="69000"/>
    <n v="8.1999999999999993"/>
    <n v="9.4"/>
    <n v="2.4"/>
    <n v="1"/>
    <x v="0"/>
    <x v="1"/>
    <n v="3"/>
    <x v="1"/>
    <n v="4"/>
    <d v="2025-11-03T00:00:00"/>
    <x v="1"/>
    <x v="4"/>
    <x v="4"/>
    <n v="1"/>
  </r>
  <r>
    <s v="EMP0279"/>
    <d v="2017-08-27T00:00:00"/>
    <x v="0"/>
    <n v="39"/>
    <s v="Female"/>
    <s v="Divorced"/>
    <s v="PhD"/>
    <x v="5"/>
    <x v="26"/>
    <x v="2"/>
    <s v="Pune"/>
    <n v="91000"/>
    <n v="9.6"/>
    <n v="13.6"/>
    <n v="8.3000000000000007"/>
    <n v="1.5"/>
    <x v="2"/>
    <x v="2"/>
    <n v="3"/>
    <x v="1"/>
    <n v="3"/>
    <m/>
    <x v="0"/>
    <x v="2"/>
    <x v="1"/>
    <n v="0"/>
  </r>
  <r>
    <s v="EMP0280"/>
    <d v="2019-02-28T00:00:00"/>
    <x v="0"/>
    <n v="50"/>
    <s v="Male"/>
    <s v="Married"/>
    <s v="Master's"/>
    <x v="3"/>
    <x v="6"/>
    <x v="1"/>
    <s v="Bengaluru"/>
    <n v="54000"/>
    <n v="9.8000000000000007"/>
    <n v="13"/>
    <n v="6.8"/>
    <n v="2.4"/>
    <x v="0"/>
    <x v="1"/>
    <n v="4"/>
    <x v="1"/>
    <n v="2"/>
    <m/>
    <x v="3"/>
    <x v="1"/>
    <x v="1"/>
    <n v="0"/>
  </r>
  <r>
    <s v="EMP0281"/>
    <d v="2016-05-01T00:00:00"/>
    <x v="1"/>
    <n v="41"/>
    <s v="Female"/>
    <s v="Single"/>
    <s v="Bachelor's"/>
    <x v="1"/>
    <x v="1"/>
    <x v="2"/>
    <s v="Hyderabad"/>
    <n v="100000"/>
    <n v="11.6"/>
    <n v="16.899999999999999"/>
    <n v="9.1999999999999993"/>
    <n v="0"/>
    <x v="2"/>
    <x v="1"/>
    <n v="2"/>
    <x v="1"/>
    <n v="5"/>
    <d v="2025-07-19T00:00:00"/>
    <x v="0"/>
    <x v="3"/>
    <x v="1"/>
    <n v="1"/>
  </r>
  <r>
    <s v="EMP0282"/>
    <d v="2025-04-05T00:00:00"/>
    <x v="0"/>
    <n v="44"/>
    <s v="Non-Binary"/>
    <s v="Married"/>
    <s v="PhD"/>
    <x v="1"/>
    <x v="9"/>
    <x v="0"/>
    <s v="Bengaluru"/>
    <n v="29000"/>
    <n v="10.199999999999999"/>
    <n v="4.9000000000000004"/>
    <n v="0.7"/>
    <n v="0"/>
    <x v="0"/>
    <x v="0"/>
    <n v="4"/>
    <x v="1"/>
    <n v="4"/>
    <m/>
    <x v="0"/>
    <x v="0"/>
    <x v="3"/>
    <n v="0"/>
  </r>
  <r>
    <s v="EMP0283"/>
    <d v="2016-07-12T00:00:00"/>
    <x v="0"/>
    <n v="33"/>
    <s v="Female"/>
    <s v="Married"/>
    <s v="Diploma"/>
    <x v="1"/>
    <x v="9"/>
    <x v="1"/>
    <s v="Noida"/>
    <n v="65000"/>
    <n v="10.3"/>
    <n v="14.9"/>
    <n v="9.5"/>
    <n v="2.2000000000000002"/>
    <x v="2"/>
    <x v="0"/>
    <n v="4"/>
    <x v="1"/>
    <n v="2"/>
    <m/>
    <x v="1"/>
    <x v="4"/>
    <x v="1"/>
    <n v="0"/>
  </r>
  <r>
    <s v="EMP0284"/>
    <d v="2019-08-23T00:00:00"/>
    <x v="1"/>
    <n v="44"/>
    <s v="Male"/>
    <s v="Divorced"/>
    <s v="Master's"/>
    <x v="3"/>
    <x v="6"/>
    <x v="2"/>
    <s v="Mumbai"/>
    <n v="84000"/>
    <n v="8"/>
    <n v="11.6"/>
    <n v="5.8"/>
    <n v="3.2"/>
    <x v="1"/>
    <x v="0"/>
    <n v="3"/>
    <x v="1"/>
    <n v="4"/>
    <d v="2025-05-26T00:00:00"/>
    <x v="0"/>
    <x v="2"/>
    <x v="0"/>
    <n v="1"/>
  </r>
  <r>
    <s v="EMP0285"/>
    <d v="2020-12-08T00:00:00"/>
    <x v="0"/>
    <n v="41"/>
    <s v="Non-Binary"/>
    <s v="Married"/>
    <s v="PhD"/>
    <x v="3"/>
    <x v="15"/>
    <x v="1"/>
    <s v="Mumbai"/>
    <n v="44000"/>
    <n v="11.4"/>
    <n v="12.6"/>
    <n v="5.0999999999999996"/>
    <n v="4.0999999999999996"/>
    <x v="1"/>
    <x v="2"/>
    <n v="4"/>
    <x v="0"/>
    <n v="4"/>
    <m/>
    <x v="0"/>
    <x v="1"/>
    <x v="0"/>
    <n v="0"/>
  </r>
  <r>
    <s v="EMP0286"/>
    <d v="2017-08-06T00:00:00"/>
    <x v="0"/>
    <n v="31"/>
    <s v="Male"/>
    <s v="Divorced"/>
    <s v="Master's"/>
    <x v="4"/>
    <x v="5"/>
    <x v="2"/>
    <s v="Hyderabad"/>
    <n v="86000"/>
    <n v="8.4"/>
    <n v="13.1"/>
    <n v="8.4"/>
    <n v="0.2"/>
    <x v="2"/>
    <x v="1"/>
    <n v="2"/>
    <x v="1"/>
    <n v="4"/>
    <m/>
    <x v="1"/>
    <x v="2"/>
    <x v="1"/>
    <n v="0"/>
  </r>
  <r>
    <s v="EMP0287"/>
    <d v="2025-08-02T00:00:00"/>
    <x v="1"/>
    <n v="32"/>
    <s v="Male"/>
    <s v="Divorced"/>
    <s v="Diploma"/>
    <x v="3"/>
    <x v="4"/>
    <x v="2"/>
    <s v="Pune"/>
    <n v="80000"/>
    <n v="4.5999999999999996"/>
    <n v="6.4"/>
    <n v="0.4"/>
    <n v="0"/>
    <x v="3"/>
    <x v="0"/>
    <n v="2"/>
    <x v="1"/>
    <n v="3"/>
    <d v="2025-12-26T00:00:00"/>
    <x v="1"/>
    <x v="2"/>
    <x v="3"/>
    <n v="1"/>
  </r>
  <r>
    <s v="EMP0288"/>
    <d v="2023-05-14T00:00:00"/>
    <x v="0"/>
    <n v="44"/>
    <s v="Male"/>
    <s v="Divorced"/>
    <s v="PhD"/>
    <x v="0"/>
    <x v="3"/>
    <x v="2"/>
    <s v="Chennai"/>
    <n v="64000"/>
    <n v="5"/>
    <n v="4.3"/>
    <n v="2.6"/>
    <n v="0.6"/>
    <x v="0"/>
    <x v="0"/>
    <n v="2"/>
    <x v="1"/>
    <n v="2"/>
    <m/>
    <x v="0"/>
    <x v="4"/>
    <x v="4"/>
    <n v="0"/>
  </r>
  <r>
    <s v="EMP0289"/>
    <d v="2022-06-21T00:00:00"/>
    <x v="0"/>
    <n v="29"/>
    <s v="Female"/>
    <s v="Single"/>
    <s v="Master's"/>
    <x v="5"/>
    <x v="8"/>
    <x v="3"/>
    <s v="Bengaluru"/>
    <n v="112000"/>
    <n v="15.6"/>
    <n v="8.1"/>
    <n v="3.5"/>
    <n v="1"/>
    <x v="0"/>
    <x v="1"/>
    <n v="4"/>
    <x v="1"/>
    <n v="3"/>
    <m/>
    <x v="1"/>
    <x v="3"/>
    <x v="0"/>
    <n v="0"/>
  </r>
  <r>
    <s v="EMP0290"/>
    <d v="2021-07-15T00:00:00"/>
    <x v="0"/>
    <n v="28"/>
    <s v="Male"/>
    <s v="Divorced"/>
    <s v="Master's"/>
    <x v="4"/>
    <x v="5"/>
    <x v="2"/>
    <s v="Mumbai"/>
    <n v="94000"/>
    <n v="12.9"/>
    <n v="5.9"/>
    <n v="4.5"/>
    <n v="4.4000000000000004"/>
    <x v="2"/>
    <x v="0"/>
    <n v="3"/>
    <x v="1"/>
    <n v="4"/>
    <m/>
    <x v="1"/>
    <x v="2"/>
    <x v="0"/>
    <n v="0"/>
  </r>
  <r>
    <s v="EMP0291"/>
    <d v="2025-06-22T00:00:00"/>
    <x v="0"/>
    <n v="21"/>
    <s v="Male"/>
    <s v="Married"/>
    <s v="Diploma"/>
    <x v="4"/>
    <x v="25"/>
    <x v="0"/>
    <s v="Hyderabad"/>
    <n v="53000"/>
    <n v="3.4"/>
    <n v="2.4"/>
    <n v="0.5"/>
    <n v="0"/>
    <x v="2"/>
    <x v="0"/>
    <n v="3"/>
    <x v="1"/>
    <n v="3"/>
    <m/>
    <x v="2"/>
    <x v="1"/>
    <x v="3"/>
    <n v="0"/>
  </r>
  <r>
    <s v="EMP0292"/>
    <d v="2023-08-06T00:00:00"/>
    <x v="0"/>
    <n v="40"/>
    <s v="Male"/>
    <s v="Divorced"/>
    <s v="Master's"/>
    <x v="2"/>
    <x v="17"/>
    <x v="1"/>
    <s v="Mumbai"/>
    <n v="74000"/>
    <n v="14.5"/>
    <n v="3.2"/>
    <n v="2.4"/>
    <n v="0.6"/>
    <x v="2"/>
    <x v="1"/>
    <n v="3"/>
    <x v="0"/>
    <n v="3"/>
    <m/>
    <x v="0"/>
    <x v="4"/>
    <x v="4"/>
    <n v="0"/>
  </r>
  <r>
    <s v="EMP0293"/>
    <d v="2019-11-09T00:00:00"/>
    <x v="0"/>
    <n v="37"/>
    <s v="Female"/>
    <s v="Single"/>
    <s v="Master's"/>
    <x v="2"/>
    <x v="23"/>
    <x v="1"/>
    <s v="Bengaluru"/>
    <n v="59000"/>
    <n v="12"/>
    <n v="11.9"/>
    <n v="6.1"/>
    <n v="4.7"/>
    <x v="0"/>
    <x v="0"/>
    <n v="3"/>
    <x v="1"/>
    <n v="4"/>
    <m/>
    <x v="0"/>
    <x v="1"/>
    <x v="1"/>
    <n v="0"/>
  </r>
  <r>
    <s v="EMP0294"/>
    <d v="2018-05-01T00:00:00"/>
    <x v="0"/>
    <n v="34"/>
    <s v="Non-Binary"/>
    <s v="Divorced"/>
    <s v="Master's"/>
    <x v="1"/>
    <x v="9"/>
    <x v="2"/>
    <s v="Chennai"/>
    <n v="89000"/>
    <n v="6"/>
    <n v="12.2"/>
    <n v="7.7"/>
    <n v="5.6"/>
    <x v="2"/>
    <x v="0"/>
    <n v="1"/>
    <x v="1"/>
    <n v="2"/>
    <m/>
    <x v="1"/>
    <x v="2"/>
    <x v="1"/>
    <n v="0"/>
  </r>
  <r>
    <s v="EMP0295"/>
    <d v="2025-01-06T00:00:00"/>
    <x v="0"/>
    <n v="21"/>
    <s v="Male"/>
    <s v="Single"/>
    <s v="Diploma"/>
    <x v="4"/>
    <x v="14"/>
    <x v="0"/>
    <s v="Mumbai"/>
    <n v="31000"/>
    <n v="5"/>
    <n v="7.2"/>
    <n v="1"/>
    <n v="0.4"/>
    <x v="2"/>
    <x v="1"/>
    <n v="3"/>
    <x v="1"/>
    <n v="3"/>
    <m/>
    <x v="2"/>
    <x v="0"/>
    <x v="4"/>
    <n v="0"/>
  </r>
  <r>
    <s v="EMP0296"/>
    <d v="2024-11-12T00:00:00"/>
    <x v="0"/>
    <n v="34"/>
    <s v="Female"/>
    <s v="Divorced"/>
    <s v="PhD"/>
    <x v="0"/>
    <x v="16"/>
    <x v="3"/>
    <s v="Mumbai"/>
    <n v="116000"/>
    <n v="12.7"/>
    <n v="3.5"/>
    <n v="1.1000000000000001"/>
    <n v="0.3"/>
    <x v="3"/>
    <x v="0"/>
    <n v="3"/>
    <x v="0"/>
    <n v="3"/>
    <m/>
    <x v="1"/>
    <x v="3"/>
    <x v="4"/>
    <n v="0"/>
  </r>
  <r>
    <s v="EMP0297"/>
    <d v="2020-10-31T00:00:00"/>
    <x v="0"/>
    <n v="26"/>
    <s v="Female"/>
    <s v="Divorced"/>
    <s v="Bachelor's"/>
    <x v="1"/>
    <x v="27"/>
    <x v="0"/>
    <s v="Bengaluru"/>
    <n v="48000"/>
    <n v="5.0999999999999996"/>
    <n v="11.1"/>
    <n v="5.2"/>
    <n v="3.9"/>
    <x v="3"/>
    <x v="1"/>
    <n v="3"/>
    <x v="0"/>
    <n v="2"/>
    <m/>
    <x v="1"/>
    <x v="1"/>
    <x v="0"/>
    <n v="0"/>
  </r>
  <r>
    <s v="EMP0298"/>
    <d v="2014-01-18T00:00:00"/>
    <x v="1"/>
    <n v="37"/>
    <s v="Male"/>
    <s v="Single"/>
    <s v="Bachelor's"/>
    <x v="2"/>
    <x v="17"/>
    <x v="2"/>
    <s v="Noida"/>
    <n v="66000"/>
    <n v="9.4"/>
    <n v="14"/>
    <n v="11.5"/>
    <n v="1.5"/>
    <x v="2"/>
    <x v="0"/>
    <n v="3"/>
    <x v="0"/>
    <n v="2"/>
    <d v="2025-07-19T00:00:00"/>
    <x v="0"/>
    <x v="4"/>
    <x v="2"/>
    <n v="1"/>
  </r>
  <r>
    <s v="EMP0299"/>
    <d v="2021-08-20T00:00:00"/>
    <x v="0"/>
    <n v="29"/>
    <s v="Non-Binary"/>
    <s v="Divorced"/>
    <s v="PhD"/>
    <x v="6"/>
    <x v="21"/>
    <x v="3"/>
    <s v="Chennai"/>
    <n v="113000"/>
    <n v="2.6"/>
    <n v="5.4"/>
    <n v="4.4000000000000004"/>
    <n v="4.2"/>
    <x v="0"/>
    <x v="0"/>
    <n v="3"/>
    <x v="1"/>
    <n v="3"/>
    <m/>
    <x v="1"/>
    <x v="3"/>
    <x v="0"/>
    <n v="0"/>
  </r>
  <r>
    <s v="EMP0300"/>
    <d v="2020-01-25T00:00:00"/>
    <x v="0"/>
    <n v="33"/>
    <s v="Male"/>
    <s v="Married"/>
    <s v="Diploma"/>
    <x v="0"/>
    <x v="7"/>
    <x v="3"/>
    <s v="Mumbai"/>
    <n v="108000"/>
    <n v="9.9"/>
    <n v="9.1999999999999993"/>
    <n v="5.9"/>
    <n v="0.9"/>
    <x v="3"/>
    <x v="3"/>
    <n v="3"/>
    <x v="0"/>
    <n v="4"/>
    <m/>
    <x v="1"/>
    <x v="3"/>
    <x v="0"/>
    <n v="0"/>
  </r>
  <r>
    <s v="EMP0301"/>
    <d v="2019-12-12T00:00:00"/>
    <x v="0"/>
    <n v="34"/>
    <s v="Non-Binary"/>
    <s v="Married"/>
    <s v="PhD"/>
    <x v="4"/>
    <x v="25"/>
    <x v="2"/>
    <s v="Pune"/>
    <n v="70000"/>
    <n v="9.5"/>
    <n v="12.4"/>
    <n v="6.1"/>
    <n v="3.6"/>
    <x v="2"/>
    <x v="2"/>
    <n v="3"/>
    <x v="1"/>
    <n v="3"/>
    <m/>
    <x v="1"/>
    <x v="4"/>
    <x v="1"/>
    <n v="0"/>
  </r>
  <r>
    <s v="EMP0302"/>
    <d v="2023-02-13T00:00:00"/>
    <x v="0"/>
    <n v="33"/>
    <s v="Non-Binary"/>
    <s v="Married"/>
    <s v="PhD"/>
    <x v="1"/>
    <x v="1"/>
    <x v="3"/>
    <s v="Pune"/>
    <n v="129000"/>
    <m/>
    <n v="9.3000000000000007"/>
    <n v="2.9"/>
    <n v="1.8"/>
    <x v="2"/>
    <x v="0"/>
    <n v="3"/>
    <x v="0"/>
    <n v="4"/>
    <m/>
    <x v="1"/>
    <x v="3"/>
    <x v="4"/>
    <n v="0"/>
  </r>
  <r>
    <s v="EMP0303"/>
    <d v="2025-03-17T00:00:00"/>
    <x v="0"/>
    <n v="23"/>
    <s v="Non-Binary"/>
    <s v="Single"/>
    <s v="Master's"/>
    <x v="2"/>
    <x v="23"/>
    <x v="0"/>
    <s v="Bengaluru"/>
    <n v="49000"/>
    <n v="4"/>
    <n v="3"/>
    <n v="0.8"/>
    <n v="0"/>
    <x v="2"/>
    <x v="1"/>
    <n v="1"/>
    <x v="1"/>
    <n v="1"/>
    <m/>
    <x v="2"/>
    <x v="1"/>
    <x v="3"/>
    <n v="0"/>
  </r>
  <r>
    <s v="EMP0304"/>
    <d v="2022-04-29T00:00:00"/>
    <x v="1"/>
    <n v="28"/>
    <s v="Male"/>
    <s v="Married"/>
    <s v="Bachelor's"/>
    <x v="6"/>
    <x v="21"/>
    <x v="1"/>
    <s v="Pune"/>
    <n v="61000"/>
    <n v="7.8"/>
    <n v="5.7"/>
    <n v="3"/>
    <n v="0.9"/>
    <x v="3"/>
    <x v="2"/>
    <n v="4"/>
    <x v="0"/>
    <n v="3"/>
    <d v="2025-04-22T00:00:00"/>
    <x v="1"/>
    <x v="4"/>
    <x v="4"/>
    <n v="1"/>
  </r>
  <r>
    <s v="EMP0305"/>
    <d v="2025-02-24T00:00:00"/>
    <x v="0"/>
    <n v="28"/>
    <s v="Female"/>
    <s v="Single"/>
    <s v="Bachelor's"/>
    <x v="5"/>
    <x v="18"/>
    <x v="2"/>
    <s v="Pune"/>
    <n v="89000"/>
    <n v="5.7"/>
    <n v="7.4"/>
    <n v="0.8"/>
    <n v="0"/>
    <x v="3"/>
    <x v="1"/>
    <n v="4"/>
    <x v="1"/>
    <n v="3"/>
    <m/>
    <x v="1"/>
    <x v="2"/>
    <x v="3"/>
    <n v="0"/>
  </r>
  <r>
    <s v="EMP0306"/>
    <d v="2023-04-02T00:00:00"/>
    <x v="0"/>
    <n v="25"/>
    <s v="Non-Binary"/>
    <s v="Single"/>
    <s v="Diploma"/>
    <x v="3"/>
    <x v="15"/>
    <x v="0"/>
    <s v="Mumbai"/>
    <n v="38000"/>
    <n v="11.5"/>
    <n v="5.2"/>
    <n v="2.7"/>
    <n v="0.9"/>
    <x v="2"/>
    <x v="0"/>
    <n v="1"/>
    <x v="1"/>
    <n v="5"/>
    <m/>
    <x v="2"/>
    <x v="0"/>
    <x v="4"/>
    <n v="0"/>
  </r>
  <r>
    <s v="EMP0307"/>
    <d v="2015-04-26T00:00:00"/>
    <x v="1"/>
    <n v="32"/>
    <s v="Male"/>
    <s v="Single"/>
    <s v="Bachelor's"/>
    <x v="0"/>
    <x v="7"/>
    <x v="1"/>
    <s v="Chennai"/>
    <n v="48000"/>
    <n v="9.1999999999999993"/>
    <n v="14"/>
    <n v="10.6"/>
    <n v="0.1"/>
    <x v="3"/>
    <x v="2"/>
    <n v="3"/>
    <x v="1"/>
    <n v="3"/>
    <d v="2025-11-21T00:00:00"/>
    <x v="1"/>
    <x v="1"/>
    <x v="2"/>
    <n v="1"/>
  </r>
  <r>
    <s v="EMP0308"/>
    <d v="2023-11-21T00:00:00"/>
    <x v="0"/>
    <n v="40"/>
    <s v="Female"/>
    <s v="Divorced"/>
    <s v="Master's"/>
    <x v="2"/>
    <x v="17"/>
    <x v="2"/>
    <s v="Noida"/>
    <n v="95000"/>
    <n v="6.8"/>
    <n v="7.6"/>
    <n v="2.1"/>
    <n v="0.7"/>
    <x v="3"/>
    <x v="2"/>
    <n v="3"/>
    <x v="1"/>
    <n v="2"/>
    <m/>
    <x v="0"/>
    <x v="2"/>
    <x v="4"/>
    <n v="0"/>
  </r>
  <r>
    <s v="EMP0309"/>
    <d v="2022-12-24T00:00:00"/>
    <x v="0"/>
    <n v="32"/>
    <s v="Male"/>
    <s v="Married"/>
    <s v="Bachelor's"/>
    <x v="4"/>
    <x v="25"/>
    <x v="1"/>
    <s v="Mumbai"/>
    <n v="74000"/>
    <n v="5.8"/>
    <n v="9.5"/>
    <n v="3"/>
    <n v="1.3"/>
    <x v="0"/>
    <x v="1"/>
    <n v="3"/>
    <x v="1"/>
    <n v="3"/>
    <m/>
    <x v="1"/>
    <x v="4"/>
    <x v="4"/>
    <n v="0"/>
  </r>
  <r>
    <s v="EMP0310"/>
    <d v="2019-05-09T00:00:00"/>
    <x v="0"/>
    <n v="45"/>
    <s v="Male"/>
    <s v="Single"/>
    <s v="Master's"/>
    <x v="0"/>
    <x v="16"/>
    <x v="2"/>
    <s v="Mumbai"/>
    <n v="67000"/>
    <n v="11.3"/>
    <n v="9.1999999999999993"/>
    <n v="6.6"/>
    <n v="2.8"/>
    <x v="2"/>
    <x v="2"/>
    <n v="3"/>
    <x v="1"/>
    <n v="4"/>
    <m/>
    <x v="0"/>
    <x v="4"/>
    <x v="1"/>
    <n v="0"/>
  </r>
  <r>
    <s v="EMP0311"/>
    <d v="2021-04-18T00:00:00"/>
    <x v="0"/>
    <n v="30"/>
    <s v="Male"/>
    <s v="Divorced"/>
    <s v="PhD"/>
    <x v="6"/>
    <x v="21"/>
    <x v="2"/>
    <s v="Pune"/>
    <n v="75000"/>
    <n v="6.7"/>
    <n v="11.8"/>
    <n v="4.7"/>
    <n v="2.9"/>
    <x v="2"/>
    <x v="0"/>
    <n v="3"/>
    <x v="1"/>
    <n v="3"/>
    <m/>
    <x v="1"/>
    <x v="4"/>
    <x v="0"/>
    <n v="0"/>
  </r>
  <r>
    <s v="EMP0312"/>
    <d v="2024-07-06T00:00:00"/>
    <x v="0"/>
    <n v="28"/>
    <s v="Male"/>
    <s v="Single"/>
    <s v="Bachelor's"/>
    <x v="4"/>
    <x v="5"/>
    <x v="2"/>
    <s v="Mumbai"/>
    <n v="63000"/>
    <n v="9.1"/>
    <n v="2.2999999999999998"/>
    <n v="1.5"/>
    <n v="1"/>
    <x v="2"/>
    <x v="3"/>
    <n v="4"/>
    <x v="1"/>
    <n v="3"/>
    <m/>
    <x v="1"/>
    <x v="4"/>
    <x v="4"/>
    <n v="0"/>
  </r>
  <r>
    <s v="EMP0313"/>
    <d v="2018-03-11T00:00:00"/>
    <x v="0"/>
    <n v="35"/>
    <s v="Male"/>
    <s v="Divorced"/>
    <s v="PhD"/>
    <x v="1"/>
    <x v="10"/>
    <x v="0"/>
    <s v="Bengaluru"/>
    <n v="25000"/>
    <n v="10.3"/>
    <n v="12.5"/>
    <n v="7.8"/>
    <n v="0.3"/>
    <x v="2"/>
    <x v="1"/>
    <n v="3"/>
    <x v="1"/>
    <n v="1"/>
    <m/>
    <x v="1"/>
    <x v="0"/>
    <x v="1"/>
    <n v="0"/>
  </r>
  <r>
    <s v="EMP0314"/>
    <d v="2025-06-13T00:00:00"/>
    <x v="0"/>
    <n v="21"/>
    <s v="Female"/>
    <s v="Single"/>
    <s v="Master's"/>
    <x v="3"/>
    <x v="15"/>
    <x v="0"/>
    <s v="Chennai"/>
    <n v="38000"/>
    <n v="13.9"/>
    <n v="6.9"/>
    <n v="0.6"/>
    <n v="0"/>
    <x v="0"/>
    <x v="0"/>
    <n v="3"/>
    <x v="1"/>
    <n v="4"/>
    <m/>
    <x v="2"/>
    <x v="0"/>
    <x v="3"/>
    <n v="0"/>
  </r>
  <r>
    <s v="EMP0315"/>
    <d v="2019-06-25T00:00:00"/>
    <x v="0"/>
    <n v="45"/>
    <s v="Non-Binary"/>
    <s v="Divorced"/>
    <s v="Diploma"/>
    <x v="5"/>
    <x v="8"/>
    <x v="2"/>
    <s v="Noida"/>
    <n v="90000"/>
    <n v="6.2"/>
    <n v="11.5"/>
    <n v="6.5"/>
    <n v="1.1000000000000001"/>
    <x v="2"/>
    <x v="2"/>
    <n v="3"/>
    <x v="0"/>
    <n v="2"/>
    <m/>
    <x v="0"/>
    <x v="2"/>
    <x v="1"/>
    <n v="0"/>
  </r>
  <r>
    <s v="EMP0316"/>
    <d v="2023-10-01T00:00:00"/>
    <x v="0"/>
    <n v="37"/>
    <s v="Female"/>
    <s v="Married"/>
    <s v="PhD"/>
    <x v="3"/>
    <x v="6"/>
    <x v="3"/>
    <s v="Noida"/>
    <n v="116000"/>
    <n v="11.2"/>
    <n v="3.5"/>
    <n v="2.2999999999999998"/>
    <n v="2.2999999999999998"/>
    <x v="2"/>
    <x v="0"/>
    <n v="3"/>
    <x v="0"/>
    <n v="3"/>
    <m/>
    <x v="0"/>
    <x v="3"/>
    <x v="4"/>
    <n v="0"/>
  </r>
  <r>
    <s v="EMP0317"/>
    <d v="2019-02-10T00:00:00"/>
    <x v="0"/>
    <n v="34"/>
    <s v="Female"/>
    <s v="Divorced"/>
    <s v="Bachelor's"/>
    <x v="3"/>
    <x v="4"/>
    <x v="2"/>
    <s v="Chennai"/>
    <n v="67000"/>
    <n v="8.6"/>
    <n v="8.9"/>
    <n v="6.9"/>
    <n v="5.8"/>
    <x v="0"/>
    <x v="0"/>
    <n v="3"/>
    <x v="0"/>
    <n v="4"/>
    <m/>
    <x v="1"/>
    <x v="4"/>
    <x v="1"/>
    <n v="0"/>
  </r>
  <r>
    <s v="EMP0318"/>
    <d v="2018-02-13T00:00:00"/>
    <x v="0"/>
    <n v="28"/>
    <s v="Non-Binary"/>
    <s v="Single"/>
    <s v="Bachelor's"/>
    <x v="1"/>
    <x v="9"/>
    <x v="0"/>
    <s v="Bengaluru"/>
    <n v="50000"/>
    <n v="13.4"/>
    <n v="15.4"/>
    <n v="7.9"/>
    <n v="4.9000000000000004"/>
    <x v="2"/>
    <x v="2"/>
    <n v="3"/>
    <x v="0"/>
    <n v="4"/>
    <m/>
    <x v="1"/>
    <x v="1"/>
    <x v="1"/>
    <n v="0"/>
  </r>
  <r>
    <s v="EMP0319"/>
    <d v="2024-12-19T00:00:00"/>
    <x v="0"/>
    <n v="25"/>
    <s v="Male"/>
    <s v="Divorced"/>
    <s v="Diploma"/>
    <x v="3"/>
    <x v="4"/>
    <x v="0"/>
    <s v="Mumbai"/>
    <n v="32000"/>
    <n v="13.9"/>
    <n v="3.1"/>
    <n v="1"/>
    <n v="0.3"/>
    <x v="0"/>
    <x v="0"/>
    <n v="3"/>
    <x v="0"/>
    <n v="3"/>
    <m/>
    <x v="2"/>
    <x v="0"/>
    <x v="4"/>
    <n v="0"/>
  </r>
  <r>
    <s v="EMP0320"/>
    <d v="2017-08-19T00:00:00"/>
    <x v="0"/>
    <n v="49"/>
    <s v="Female"/>
    <s v="Married"/>
    <s v="PhD"/>
    <x v="1"/>
    <x v="1"/>
    <x v="3"/>
    <s v="Mumbai"/>
    <n v="132000"/>
    <n v="9.8000000000000007"/>
    <n v="10.8"/>
    <n v="8.4"/>
    <n v="4.4000000000000004"/>
    <x v="0"/>
    <x v="0"/>
    <n v="2"/>
    <x v="1"/>
    <n v="2"/>
    <m/>
    <x v="3"/>
    <x v="3"/>
    <x v="1"/>
    <n v="0"/>
  </r>
  <r>
    <s v="EMP0321"/>
    <d v="2023-01-18T00:00:00"/>
    <x v="1"/>
    <n v="34"/>
    <s v="Non-Binary"/>
    <s v="Divorced"/>
    <s v="Master's"/>
    <x v="2"/>
    <x v="23"/>
    <x v="3"/>
    <s v="Pune"/>
    <n v="107000"/>
    <n v="11.8"/>
    <n v="5.9"/>
    <n v="2.8"/>
    <n v="0.9"/>
    <x v="2"/>
    <x v="3"/>
    <n v="3"/>
    <x v="1"/>
    <n v="2"/>
    <d v="2025-11-20T00:00:00"/>
    <x v="1"/>
    <x v="3"/>
    <x v="4"/>
    <n v="1"/>
  </r>
  <r>
    <s v="EMP0322"/>
    <d v="2019-03-13T00:00:00"/>
    <x v="1"/>
    <n v="27"/>
    <s v="Male"/>
    <s v="Divorced"/>
    <s v="PhD"/>
    <x v="5"/>
    <x v="26"/>
    <x v="0"/>
    <s v="Hyderabad"/>
    <n v="26000"/>
    <n v="1.7"/>
    <n v="8.6999999999999993"/>
    <n v="6.4"/>
    <n v="2.4"/>
    <x v="2"/>
    <x v="1"/>
    <n v="2"/>
    <x v="1"/>
    <n v="4"/>
    <d v="2025-08-10T00:00:00"/>
    <x v="1"/>
    <x v="0"/>
    <x v="1"/>
    <n v="1"/>
  </r>
  <r>
    <s v="EMP0323"/>
    <d v="2023-05-05T00:00:00"/>
    <x v="1"/>
    <n v="25"/>
    <s v="Non-Binary"/>
    <s v="Single"/>
    <s v="Master's"/>
    <x v="5"/>
    <x v="26"/>
    <x v="0"/>
    <s v="Bengaluru"/>
    <n v="22000"/>
    <n v="10.6"/>
    <n v="4"/>
    <n v="2.4"/>
    <n v="0.9"/>
    <x v="3"/>
    <x v="0"/>
    <n v="3"/>
    <x v="1"/>
    <n v="5"/>
    <d v="2025-10-14T00:00:00"/>
    <x v="2"/>
    <x v="0"/>
    <x v="4"/>
    <n v="1"/>
  </r>
  <r>
    <s v="EMP0324"/>
    <d v="2014-11-21T00:00:00"/>
    <x v="0"/>
    <n v="33"/>
    <s v="Female"/>
    <s v="Divorced"/>
    <s v="PhD"/>
    <x v="6"/>
    <x v="12"/>
    <x v="1"/>
    <s v="Chennai"/>
    <n v="60000"/>
    <n v="9.3000000000000007"/>
    <n v="13.9"/>
    <n v="11.1"/>
    <n v="1.9"/>
    <x v="2"/>
    <x v="0"/>
    <n v="1"/>
    <x v="0"/>
    <n v="3"/>
    <m/>
    <x v="1"/>
    <x v="4"/>
    <x v="2"/>
    <n v="0"/>
  </r>
  <r>
    <s v="EMP0325"/>
    <d v="2016-02-17T00:00:00"/>
    <x v="0"/>
    <n v="39"/>
    <s v="Female"/>
    <s v="Single"/>
    <s v="Diploma"/>
    <x v="1"/>
    <x v="1"/>
    <x v="0"/>
    <s v="Noida"/>
    <n v="37000"/>
    <n v="10.1"/>
    <n v="16.7"/>
    <n v="9.9"/>
    <n v="0.7"/>
    <x v="2"/>
    <x v="3"/>
    <n v="4"/>
    <x v="0"/>
    <n v="5"/>
    <m/>
    <x v="0"/>
    <x v="0"/>
    <x v="1"/>
    <n v="0"/>
  </r>
  <r>
    <s v="EMP0326"/>
    <d v="2022-01-27T00:00:00"/>
    <x v="0"/>
    <n v="28"/>
    <s v="Non-Binary"/>
    <s v="Divorced"/>
    <s v="Bachelor's"/>
    <x v="2"/>
    <x v="23"/>
    <x v="1"/>
    <s v="Mumbai"/>
    <n v="61000"/>
    <n v="8.3000000000000007"/>
    <n v="8.3000000000000007"/>
    <n v="3.9"/>
    <n v="2.9"/>
    <x v="0"/>
    <x v="0"/>
    <n v="3"/>
    <x v="1"/>
    <n v="5"/>
    <m/>
    <x v="1"/>
    <x v="4"/>
    <x v="0"/>
    <n v="0"/>
  </r>
  <r>
    <s v="EMP0327"/>
    <d v="2024-12-30T00:00:00"/>
    <x v="0"/>
    <n v="37"/>
    <s v="Non-Binary"/>
    <s v="Married"/>
    <s v="Bachelor's"/>
    <x v="4"/>
    <x v="25"/>
    <x v="1"/>
    <s v="Bengaluru"/>
    <n v="43000"/>
    <n v="9.1"/>
    <n v="4.7"/>
    <n v="1"/>
    <n v="0.9"/>
    <x v="2"/>
    <x v="3"/>
    <n v="3"/>
    <x v="0"/>
    <n v="4"/>
    <m/>
    <x v="0"/>
    <x v="1"/>
    <x v="4"/>
    <n v="0"/>
  </r>
  <r>
    <s v="EMP0328"/>
    <d v="2021-03-31T00:00:00"/>
    <x v="0"/>
    <n v="41"/>
    <s v="Non-Binary"/>
    <s v="Single"/>
    <s v="Bachelor's"/>
    <x v="6"/>
    <x v="12"/>
    <x v="1"/>
    <s v="Pune"/>
    <n v="57000"/>
    <n v="8.9"/>
    <n v="11.7"/>
    <n v="4.8"/>
    <n v="2.6"/>
    <x v="3"/>
    <x v="1"/>
    <n v="3"/>
    <x v="1"/>
    <n v="3"/>
    <m/>
    <x v="0"/>
    <x v="1"/>
    <x v="0"/>
    <n v="0"/>
  </r>
  <r>
    <s v="EMP0329"/>
    <d v="2021-02-05T00:00:00"/>
    <x v="0"/>
    <n v="43"/>
    <s v="Non-Binary"/>
    <s v="Married"/>
    <s v="PhD"/>
    <x v="4"/>
    <x v="24"/>
    <x v="1"/>
    <s v="Bengaluru"/>
    <n v="56000"/>
    <n v="9"/>
    <n v="9.9"/>
    <n v="4.9000000000000004"/>
    <n v="1.2"/>
    <x v="2"/>
    <x v="2"/>
    <n v="3"/>
    <x v="0"/>
    <n v="4"/>
    <m/>
    <x v="0"/>
    <x v="1"/>
    <x v="0"/>
    <n v="0"/>
  </r>
  <r>
    <s v="EMP0330"/>
    <d v="2024-05-31T00:00:00"/>
    <x v="1"/>
    <n v="26"/>
    <s v="Non-Binary"/>
    <s v="Single"/>
    <s v="PhD"/>
    <x v="4"/>
    <x v="24"/>
    <x v="0"/>
    <s v="Hyderabad"/>
    <n v="29000"/>
    <n v="6.6"/>
    <n v="5.3"/>
    <n v="1.1000000000000001"/>
    <n v="0.7"/>
    <x v="2"/>
    <x v="2"/>
    <n v="3"/>
    <x v="1"/>
    <n v="3"/>
    <d v="2025-07-15T00:00:00"/>
    <x v="1"/>
    <x v="0"/>
    <x v="4"/>
    <n v="1"/>
  </r>
  <r>
    <s v="EMP0331"/>
    <d v="2024-02-28T00:00:00"/>
    <x v="0"/>
    <n v="33"/>
    <s v="Female"/>
    <s v="Single"/>
    <s v="Master's"/>
    <x v="4"/>
    <x v="24"/>
    <x v="1"/>
    <s v="Hyderabad"/>
    <n v="55000"/>
    <n v="8.6999999999999993"/>
    <n v="3.5"/>
    <n v="1.8"/>
    <n v="0.2"/>
    <x v="2"/>
    <x v="0"/>
    <n v="4"/>
    <x v="1"/>
    <n v="5"/>
    <m/>
    <x v="1"/>
    <x v="1"/>
    <x v="4"/>
    <n v="0"/>
  </r>
  <r>
    <s v="EMP0332"/>
    <d v="2015-11-17T00:00:00"/>
    <x v="0"/>
    <n v="33"/>
    <s v="Non-Binary"/>
    <s v="Divorced"/>
    <s v="Diploma"/>
    <x v="5"/>
    <x v="8"/>
    <x v="1"/>
    <s v="Pune"/>
    <n v="42000"/>
    <n v="5.2"/>
    <n v="17.899999999999999"/>
    <n v="10.1"/>
    <n v="5.8"/>
    <x v="1"/>
    <x v="0"/>
    <n v="3"/>
    <x v="0"/>
    <n v="4"/>
    <m/>
    <x v="1"/>
    <x v="1"/>
    <x v="2"/>
    <n v="0"/>
  </r>
  <r>
    <s v="EMP0333"/>
    <d v="2025-03-14T00:00:00"/>
    <x v="0"/>
    <n v="25"/>
    <s v="Female"/>
    <s v="Single"/>
    <s v="PhD"/>
    <x v="2"/>
    <x v="20"/>
    <x v="0"/>
    <s v="Pune"/>
    <n v="38000"/>
    <n v="15.1"/>
    <n v="2.9"/>
    <n v="0.8"/>
    <n v="0"/>
    <x v="0"/>
    <x v="1"/>
    <n v="2"/>
    <x v="0"/>
    <n v="4"/>
    <m/>
    <x v="2"/>
    <x v="0"/>
    <x v="3"/>
    <n v="0"/>
  </r>
  <r>
    <s v="EMP0334"/>
    <d v="2021-04-29T00:00:00"/>
    <x v="0"/>
    <n v="32"/>
    <s v="Female"/>
    <s v="Single"/>
    <s v="Master's"/>
    <x v="4"/>
    <x v="5"/>
    <x v="2"/>
    <s v="Pune"/>
    <n v="87000"/>
    <n v="9.6"/>
    <n v="6.2"/>
    <n v="4.7"/>
    <n v="0.2"/>
    <x v="2"/>
    <x v="2"/>
    <n v="1"/>
    <x v="1"/>
    <n v="3"/>
    <m/>
    <x v="1"/>
    <x v="2"/>
    <x v="0"/>
    <n v="0"/>
  </r>
  <r>
    <s v="EMP0335"/>
    <d v="2017-02-15T00:00:00"/>
    <x v="0"/>
    <n v="29"/>
    <s v="Female"/>
    <s v="Divorced"/>
    <s v="Diploma"/>
    <x v="5"/>
    <x v="13"/>
    <x v="3"/>
    <s v="Mumbai"/>
    <n v="121000"/>
    <n v="7.4"/>
    <n v="12.5"/>
    <n v="8.9"/>
    <n v="1.5"/>
    <x v="2"/>
    <x v="0"/>
    <n v="1"/>
    <x v="1"/>
    <n v="4"/>
    <m/>
    <x v="1"/>
    <x v="3"/>
    <x v="1"/>
    <n v="0"/>
  </r>
  <r>
    <s v="EMP0336"/>
    <d v="2020-06-01T00:00:00"/>
    <x v="0"/>
    <n v="34"/>
    <s v="Non-Binary"/>
    <s v="Single"/>
    <s v="Master's"/>
    <x v="4"/>
    <x v="25"/>
    <x v="2"/>
    <s v="Hyderabad"/>
    <n v="74000"/>
    <n v="10.7"/>
    <n v="9.6999999999999993"/>
    <n v="5.6"/>
    <n v="2.2000000000000002"/>
    <x v="1"/>
    <x v="0"/>
    <n v="3"/>
    <x v="1"/>
    <n v="3"/>
    <m/>
    <x v="1"/>
    <x v="4"/>
    <x v="0"/>
    <n v="0"/>
  </r>
  <r>
    <s v="EMP0337"/>
    <d v="2016-08-25T00:00:00"/>
    <x v="0"/>
    <n v="40"/>
    <s v="Male"/>
    <s v="Divorced"/>
    <s v="Bachelor's"/>
    <x v="3"/>
    <x v="6"/>
    <x v="3"/>
    <s v="Pune"/>
    <n v="102000"/>
    <n v="0"/>
    <n v="16.7"/>
    <n v="9.3000000000000007"/>
    <n v="4.0999999999999996"/>
    <x v="3"/>
    <x v="2"/>
    <n v="3"/>
    <x v="1"/>
    <n v="4"/>
    <m/>
    <x v="0"/>
    <x v="3"/>
    <x v="1"/>
    <n v="0"/>
  </r>
  <r>
    <s v="EMP0338"/>
    <d v="2024-08-21T00:00:00"/>
    <x v="0"/>
    <n v="23"/>
    <s v="Non-Binary"/>
    <s v="Divorced"/>
    <s v="Master's"/>
    <x v="2"/>
    <x v="20"/>
    <x v="0"/>
    <s v="Noida"/>
    <n v="31000"/>
    <n v="4.3"/>
    <n v="8.5"/>
    <n v="1.4"/>
    <n v="1.3"/>
    <x v="1"/>
    <x v="2"/>
    <n v="2"/>
    <x v="1"/>
    <n v="3"/>
    <m/>
    <x v="2"/>
    <x v="0"/>
    <x v="4"/>
    <n v="0"/>
  </r>
  <r>
    <s v="EMP0339"/>
    <d v="2017-06-09T00:00:00"/>
    <x v="0"/>
    <n v="37"/>
    <s v="Male"/>
    <s v="Single"/>
    <s v="Diploma"/>
    <x v="0"/>
    <x v="0"/>
    <x v="0"/>
    <s v="Unkown"/>
    <n v="38000"/>
    <n v="6.7"/>
    <n v="14.4"/>
    <n v="8.6"/>
    <n v="5.9"/>
    <x v="3"/>
    <x v="0"/>
    <n v="2"/>
    <x v="1"/>
    <n v="4"/>
    <m/>
    <x v="0"/>
    <x v="0"/>
    <x v="1"/>
    <n v="0"/>
  </r>
  <r>
    <s v="EMP0340"/>
    <d v="2024-06-10T00:00:00"/>
    <x v="0"/>
    <n v="29"/>
    <s v="Male"/>
    <s v="Single"/>
    <s v="Diploma"/>
    <x v="2"/>
    <x v="20"/>
    <x v="1"/>
    <s v="Bengaluru"/>
    <n v="55000"/>
    <n v="3.1"/>
    <n v="7.4"/>
    <n v="1.6"/>
    <n v="1.5"/>
    <x v="1"/>
    <x v="0"/>
    <n v="2"/>
    <x v="1"/>
    <n v="5"/>
    <m/>
    <x v="1"/>
    <x v="1"/>
    <x v="4"/>
    <n v="0"/>
  </r>
  <r>
    <s v="EMP0341"/>
    <d v="2019-05-05T00:00:00"/>
    <x v="0"/>
    <n v="33"/>
    <s v="Male"/>
    <s v="Divorced"/>
    <s v="Diploma"/>
    <x v="3"/>
    <x v="6"/>
    <x v="3"/>
    <s v="Chennai"/>
    <n v="120000"/>
    <n v="9.5"/>
    <n v="11.4"/>
    <n v="6.7"/>
    <n v="2.9"/>
    <x v="0"/>
    <x v="0"/>
    <n v="2"/>
    <x v="0"/>
    <n v="4"/>
    <m/>
    <x v="1"/>
    <x v="3"/>
    <x v="1"/>
    <n v="0"/>
  </r>
  <r>
    <s v="EMP0342"/>
    <d v="2023-12-19T00:00:00"/>
    <x v="0"/>
    <n v="41"/>
    <s v="Female"/>
    <s v="Single"/>
    <s v="Master's"/>
    <x v="0"/>
    <x v="3"/>
    <x v="0"/>
    <s v="Noida"/>
    <n v="30000"/>
    <n v="8.9"/>
    <n v="7.4"/>
    <n v="2"/>
    <n v="1.7"/>
    <x v="1"/>
    <x v="0"/>
    <n v="4"/>
    <x v="1"/>
    <n v="1"/>
    <m/>
    <x v="0"/>
    <x v="0"/>
    <x v="4"/>
    <n v="0"/>
  </r>
  <r>
    <s v="EMP0343"/>
    <d v="2018-06-07T00:00:00"/>
    <x v="0"/>
    <n v="30"/>
    <s v="Male"/>
    <s v="Married"/>
    <s v="PhD"/>
    <x v="6"/>
    <x v="22"/>
    <x v="4"/>
    <s v="Pune"/>
    <n v="146000"/>
    <n v="8.3000000000000007"/>
    <n v="10.1"/>
    <n v="7.6"/>
    <n v="5.4"/>
    <x v="1"/>
    <x v="2"/>
    <n v="3"/>
    <x v="1"/>
    <n v="4"/>
    <m/>
    <x v="1"/>
    <x v="3"/>
    <x v="1"/>
    <n v="0"/>
  </r>
  <r>
    <s v="EMP0344"/>
    <d v="2024-10-23T00:00:00"/>
    <x v="1"/>
    <n v="23"/>
    <s v="Non-Binary"/>
    <s v="Divorced"/>
    <s v="Diploma"/>
    <x v="5"/>
    <x v="18"/>
    <x v="0"/>
    <s v="Mumbai"/>
    <n v="23000"/>
    <n v="14.9"/>
    <n v="1.1000000000000001"/>
    <n v="0.3"/>
    <n v="0"/>
    <x v="3"/>
    <x v="0"/>
    <n v="4"/>
    <x v="1"/>
    <n v="3"/>
    <d v="2025-01-30T00:00:00"/>
    <x v="2"/>
    <x v="0"/>
    <x v="3"/>
    <n v="1"/>
  </r>
  <r>
    <s v="EMP0345"/>
    <d v="2021-04-09T00:00:00"/>
    <x v="0"/>
    <n v="28"/>
    <s v="Male"/>
    <s v="Divorced"/>
    <s v="Diploma"/>
    <x v="4"/>
    <x v="24"/>
    <x v="1"/>
    <s v="Pune"/>
    <n v="60000"/>
    <n v="6.6"/>
    <n v="8.6999999999999993"/>
    <n v="4.7"/>
    <n v="3.4"/>
    <x v="0"/>
    <x v="0"/>
    <n v="4"/>
    <x v="1"/>
    <n v="5"/>
    <m/>
    <x v="1"/>
    <x v="4"/>
    <x v="0"/>
    <n v="0"/>
  </r>
  <r>
    <s v="EMP0346"/>
    <d v="2018-05-20T00:00:00"/>
    <x v="0"/>
    <n v="38"/>
    <s v="Male"/>
    <s v="Divorced"/>
    <s v="Master's"/>
    <x v="5"/>
    <x v="8"/>
    <x v="0"/>
    <s v="Noida"/>
    <n v="33000"/>
    <n v="17.600000000000001"/>
    <n v="15.6"/>
    <n v="7.6"/>
    <n v="2.5"/>
    <x v="0"/>
    <x v="0"/>
    <n v="3"/>
    <x v="0"/>
    <n v="4"/>
    <m/>
    <x v="0"/>
    <x v="0"/>
    <x v="1"/>
    <n v="0"/>
  </r>
  <r>
    <s v="EMP0347"/>
    <d v="2022-02-06T00:00:00"/>
    <x v="1"/>
    <n v="38"/>
    <s v="Male"/>
    <s v="Married"/>
    <s v="Diploma"/>
    <x v="6"/>
    <x v="21"/>
    <x v="2"/>
    <s v="Noida"/>
    <n v="79000"/>
    <n v="14.2"/>
    <n v="6.5"/>
    <n v="3.9"/>
    <n v="1.5"/>
    <x v="2"/>
    <x v="0"/>
    <n v="4"/>
    <x v="1"/>
    <n v="4"/>
    <d v="2025-12-18T00:00:00"/>
    <x v="0"/>
    <x v="4"/>
    <x v="0"/>
    <n v="1"/>
  </r>
  <r>
    <s v="EMP0348"/>
    <d v="2018-02-23T00:00:00"/>
    <x v="0"/>
    <n v="33"/>
    <s v="Non-Binary"/>
    <s v="Married"/>
    <s v="Diploma"/>
    <x v="3"/>
    <x v="6"/>
    <x v="2"/>
    <s v="Chennai"/>
    <n v="73000"/>
    <n v="10.8"/>
    <n v="12.1"/>
    <n v="7.9"/>
    <n v="2"/>
    <x v="2"/>
    <x v="2"/>
    <n v="3"/>
    <x v="1"/>
    <n v="4"/>
    <m/>
    <x v="1"/>
    <x v="4"/>
    <x v="1"/>
    <n v="0"/>
  </r>
  <r>
    <s v="EMP0349"/>
    <d v="2017-09-06T00:00:00"/>
    <x v="0"/>
    <n v="47"/>
    <s v="Male"/>
    <s v="Divorced"/>
    <s v="PhD"/>
    <x v="4"/>
    <x v="25"/>
    <x v="1"/>
    <s v="Pune"/>
    <n v="52000"/>
    <n v="7.5"/>
    <n v="16.100000000000001"/>
    <n v="8.3000000000000007"/>
    <n v="1.7"/>
    <x v="0"/>
    <x v="4"/>
    <n v="4"/>
    <x v="1"/>
    <n v="4"/>
    <m/>
    <x v="3"/>
    <x v="1"/>
    <x v="1"/>
    <n v="0"/>
  </r>
  <r>
    <s v="EMP0350"/>
    <d v="2022-07-02T00:00:00"/>
    <x v="0"/>
    <n v="24"/>
    <s v="Female"/>
    <s v="Single"/>
    <s v="Diploma"/>
    <x v="4"/>
    <x v="25"/>
    <x v="0"/>
    <s v="Pune"/>
    <n v="23000"/>
    <n v="13.8"/>
    <n v="3.8"/>
    <n v="3.5"/>
    <n v="1.4"/>
    <x v="2"/>
    <x v="0"/>
    <n v="2"/>
    <x v="1"/>
    <n v="3"/>
    <m/>
    <x v="2"/>
    <x v="0"/>
    <x v="0"/>
    <n v="0"/>
  </r>
  <r>
    <s v="EMP0351"/>
    <d v="2021-03-24T00:00:00"/>
    <x v="0"/>
    <n v="26"/>
    <s v="Non-Binary"/>
    <s v="Divorced"/>
    <s v="Diploma"/>
    <x v="5"/>
    <x v="18"/>
    <x v="0"/>
    <s v="Hyderabad"/>
    <n v="43000"/>
    <n v="13.7"/>
    <n v="5"/>
    <n v="4.8"/>
    <n v="2.2999999999999998"/>
    <x v="0"/>
    <x v="0"/>
    <n v="2"/>
    <x v="1"/>
    <n v="5"/>
    <m/>
    <x v="1"/>
    <x v="1"/>
    <x v="0"/>
    <n v="0"/>
  </r>
  <r>
    <s v="EMP0352"/>
    <d v="2014-09-22T00:00:00"/>
    <x v="0"/>
    <n v="40"/>
    <s v="Non-Binary"/>
    <s v="Divorced"/>
    <s v="Bachelor's"/>
    <x v="1"/>
    <x v="10"/>
    <x v="3"/>
    <s v="Hyderabad"/>
    <n v="122000"/>
    <n v="3.3"/>
    <n v="14.9"/>
    <n v="11.3"/>
    <n v="4.3"/>
    <x v="3"/>
    <x v="0"/>
    <n v="1"/>
    <x v="1"/>
    <n v="5"/>
    <m/>
    <x v="0"/>
    <x v="3"/>
    <x v="2"/>
    <n v="0"/>
  </r>
  <r>
    <s v="EMP0353"/>
    <d v="2017-07-03T00:00:00"/>
    <x v="0"/>
    <n v="31"/>
    <s v="Female"/>
    <s v="Divorced"/>
    <s v="Bachelor's"/>
    <x v="3"/>
    <x v="15"/>
    <x v="1"/>
    <s v="Hyderabad"/>
    <n v="53000"/>
    <n v="14.3"/>
    <n v="13.6"/>
    <n v="8.5"/>
    <n v="1.3"/>
    <x v="4"/>
    <x v="1"/>
    <n v="3"/>
    <x v="1"/>
    <n v="4"/>
    <m/>
    <x v="1"/>
    <x v="1"/>
    <x v="1"/>
    <n v="0"/>
  </r>
  <r>
    <s v="EMP0354"/>
    <d v="2025-07-10T00:00:00"/>
    <x v="0"/>
    <n v="36"/>
    <s v="Male"/>
    <s v="Single"/>
    <s v="Bachelor's"/>
    <x v="1"/>
    <x v="27"/>
    <x v="1"/>
    <s v="Hyderabad"/>
    <n v="81000"/>
    <n v="6.4"/>
    <n v="3.3"/>
    <n v="0.5"/>
    <n v="0"/>
    <x v="2"/>
    <x v="1"/>
    <n v="3"/>
    <x v="1"/>
    <n v="3"/>
    <m/>
    <x v="0"/>
    <x v="2"/>
    <x v="3"/>
    <n v="0"/>
  </r>
  <r>
    <s v="EMP0355"/>
    <d v="2025-02-08T00:00:00"/>
    <x v="1"/>
    <n v="33"/>
    <s v="Non-Binary"/>
    <s v="Divorced"/>
    <s v="PhD"/>
    <x v="4"/>
    <x v="24"/>
    <x v="2"/>
    <s v="Chennai"/>
    <n v="76000"/>
    <n v="15.1"/>
    <n v="1.1000000000000001"/>
    <n v="0.7"/>
    <n v="0"/>
    <x v="0"/>
    <x v="1"/>
    <n v="3"/>
    <x v="0"/>
    <n v="4"/>
    <d v="2025-10-22T00:00:00"/>
    <x v="1"/>
    <x v="4"/>
    <x v="3"/>
    <n v="1"/>
  </r>
  <r>
    <s v="EMP0356"/>
    <d v="2023-05-20T00:00:00"/>
    <x v="1"/>
    <n v="37"/>
    <s v="Female"/>
    <s v="Divorced"/>
    <s v="PhD"/>
    <x v="6"/>
    <x v="21"/>
    <x v="1"/>
    <s v="Mumbai"/>
    <n v="62000"/>
    <n v="7.5"/>
    <n v="6.8"/>
    <n v="2.2999999999999998"/>
    <n v="0.2"/>
    <x v="0"/>
    <x v="2"/>
    <n v="3"/>
    <x v="1"/>
    <n v="2"/>
    <d v="2025-08-27T00:00:00"/>
    <x v="0"/>
    <x v="4"/>
    <x v="4"/>
    <n v="1"/>
  </r>
  <r>
    <s v="EMP0357"/>
    <d v="2024-11-18T00:00:00"/>
    <x v="0"/>
    <n v="26"/>
    <s v="Female"/>
    <s v="Single"/>
    <s v="Bachelor's"/>
    <x v="1"/>
    <x v="27"/>
    <x v="0"/>
    <s v="Mumbai"/>
    <n v="22000"/>
    <n v="17.2"/>
    <n v="2.6"/>
    <n v="1.1000000000000001"/>
    <n v="1"/>
    <x v="2"/>
    <x v="0"/>
    <n v="4"/>
    <x v="1"/>
    <n v="3"/>
    <m/>
    <x v="1"/>
    <x v="0"/>
    <x v="4"/>
    <n v="0"/>
  </r>
  <r>
    <s v="EMP0358"/>
    <d v="2016-08-26T00:00:00"/>
    <x v="0"/>
    <n v="31"/>
    <s v="Male"/>
    <s v="Married"/>
    <s v="PhD"/>
    <x v="5"/>
    <x v="18"/>
    <x v="2"/>
    <s v="Mumbai"/>
    <n v="84000"/>
    <n v="10.199999999999999"/>
    <n v="13.4"/>
    <n v="9.3000000000000007"/>
    <n v="2.4"/>
    <x v="2"/>
    <x v="0"/>
    <n v="2"/>
    <x v="1"/>
    <n v="4"/>
    <m/>
    <x v="1"/>
    <x v="2"/>
    <x v="1"/>
    <n v="0"/>
  </r>
  <r>
    <s v="EMP0359"/>
    <d v="2022-11-07T00:00:00"/>
    <x v="1"/>
    <n v="39"/>
    <s v="Non-Binary"/>
    <s v="Divorced"/>
    <s v="Master's"/>
    <x v="4"/>
    <x v="5"/>
    <x v="1"/>
    <s v="Pune"/>
    <n v="45000"/>
    <n v="8.3000000000000007"/>
    <n v="9"/>
    <n v="2.4"/>
    <n v="1.4"/>
    <x v="2"/>
    <x v="2"/>
    <n v="3"/>
    <x v="0"/>
    <n v="4"/>
    <d v="2025-04-17T00:00:00"/>
    <x v="0"/>
    <x v="1"/>
    <x v="4"/>
    <n v="1"/>
  </r>
  <r>
    <s v="EMP0360"/>
    <d v="2018-01-31T00:00:00"/>
    <x v="0"/>
    <n v="31"/>
    <s v="Non-Binary"/>
    <s v="Single"/>
    <s v="PhD"/>
    <x v="0"/>
    <x v="0"/>
    <x v="2"/>
    <s v="Hyderabad"/>
    <n v="86000"/>
    <n v="11"/>
    <n v="10.5"/>
    <n v="7.9"/>
    <n v="0.6"/>
    <x v="3"/>
    <x v="0"/>
    <n v="3"/>
    <x v="1"/>
    <n v="3"/>
    <m/>
    <x v="1"/>
    <x v="2"/>
    <x v="1"/>
    <n v="0"/>
  </r>
  <r>
    <s v="EMP0361"/>
    <d v="2016-02-21T00:00:00"/>
    <x v="0"/>
    <n v="38"/>
    <s v="Non-Binary"/>
    <s v="Married"/>
    <s v="Master's"/>
    <x v="3"/>
    <x v="15"/>
    <x v="0"/>
    <s v="Pune"/>
    <n v="46000"/>
    <n v="9.6999999999999993"/>
    <n v="9.9"/>
    <n v="9.9"/>
    <n v="0.9"/>
    <x v="0"/>
    <x v="1"/>
    <n v="3"/>
    <x v="1"/>
    <n v="3"/>
    <m/>
    <x v="0"/>
    <x v="1"/>
    <x v="1"/>
    <n v="0"/>
  </r>
  <r>
    <s v="EMP0362"/>
    <d v="2016-05-28T00:00:00"/>
    <x v="0"/>
    <n v="36"/>
    <s v="Non-Binary"/>
    <s v="Married"/>
    <s v="Master's"/>
    <x v="0"/>
    <x v="7"/>
    <x v="1"/>
    <s v="Hyderabad"/>
    <n v="44000"/>
    <n v="6.9"/>
    <n v="15.3"/>
    <n v="9.6"/>
    <n v="5.5"/>
    <x v="0"/>
    <x v="2"/>
    <n v="3"/>
    <x v="1"/>
    <n v="4"/>
    <m/>
    <x v="0"/>
    <x v="1"/>
    <x v="1"/>
    <n v="0"/>
  </r>
  <r>
    <s v="EMP0363"/>
    <d v="2014-05-18T00:00:00"/>
    <x v="0"/>
    <n v="42"/>
    <s v="Non-Binary"/>
    <s v="Married"/>
    <s v="PhD"/>
    <x v="5"/>
    <x v="18"/>
    <x v="3"/>
    <s v="Mumbai"/>
    <n v="124000"/>
    <n v="10.199999999999999"/>
    <n v="12.5"/>
    <n v="11.6"/>
    <n v="1.7"/>
    <x v="2"/>
    <x v="3"/>
    <n v="3"/>
    <x v="0"/>
    <n v="4"/>
    <m/>
    <x v="0"/>
    <x v="3"/>
    <x v="2"/>
    <n v="0"/>
  </r>
  <r>
    <s v="EMP0364"/>
    <d v="2017-12-13T00:00:00"/>
    <x v="0"/>
    <n v="35"/>
    <s v="Male"/>
    <s v="Single"/>
    <s v="Bachelor's"/>
    <x v="3"/>
    <x v="6"/>
    <x v="2"/>
    <s v="Noida"/>
    <n v="103000"/>
    <n v="11.3"/>
    <n v="15.4"/>
    <n v="8"/>
    <n v="5"/>
    <x v="3"/>
    <x v="1"/>
    <n v="4"/>
    <x v="1"/>
    <n v="4"/>
    <m/>
    <x v="1"/>
    <x v="3"/>
    <x v="1"/>
    <n v="0"/>
  </r>
  <r>
    <s v="EMP0365"/>
    <d v="2020-01-03T00:00:00"/>
    <x v="1"/>
    <n v="38"/>
    <s v="Non-Binary"/>
    <s v="Single"/>
    <s v="PhD"/>
    <x v="5"/>
    <x v="13"/>
    <x v="2"/>
    <s v="Chennai"/>
    <n v="90000"/>
    <n v="14.2"/>
    <n v="12.3"/>
    <n v="5.9"/>
    <n v="5.0999999999999996"/>
    <x v="0"/>
    <x v="2"/>
    <n v="3"/>
    <x v="1"/>
    <n v="5"/>
    <d v="2025-11-25T00:00:00"/>
    <x v="0"/>
    <x v="2"/>
    <x v="0"/>
    <n v="1"/>
  </r>
  <r>
    <s v="EMP0366"/>
    <d v="2023-01-22T00:00:00"/>
    <x v="0"/>
    <n v="32"/>
    <s v="Male"/>
    <s v="Single"/>
    <s v="PhD"/>
    <x v="3"/>
    <x v="6"/>
    <x v="1"/>
    <s v="Noida"/>
    <n v="44000"/>
    <n v="8.1999999999999993"/>
    <n v="8.8000000000000007"/>
    <n v="2.9"/>
    <n v="2.1"/>
    <x v="1"/>
    <x v="0"/>
    <n v="4"/>
    <x v="1"/>
    <n v="4"/>
    <m/>
    <x v="1"/>
    <x v="1"/>
    <x v="4"/>
    <n v="0"/>
  </r>
  <r>
    <s v="EMP0367"/>
    <d v="2017-05-02T00:00:00"/>
    <x v="0"/>
    <n v="29"/>
    <s v="Non-Binary"/>
    <s v="Single"/>
    <s v="Master's"/>
    <x v="6"/>
    <x v="19"/>
    <x v="2"/>
    <s v="Mumbai"/>
    <n v="82000"/>
    <n v="15.7"/>
    <n v="15.5"/>
    <n v="8.6999999999999993"/>
    <n v="4.5"/>
    <x v="0"/>
    <x v="0"/>
    <n v="3"/>
    <x v="0"/>
    <n v="4"/>
    <m/>
    <x v="1"/>
    <x v="2"/>
    <x v="1"/>
    <n v="0"/>
  </r>
  <r>
    <s v="EMP0368"/>
    <d v="2022-06-27T00:00:00"/>
    <x v="0"/>
    <n v="25"/>
    <s v="Non-Binary"/>
    <s v="Divorced"/>
    <s v="Diploma"/>
    <x v="0"/>
    <x v="0"/>
    <x v="0"/>
    <s v="Mumbai"/>
    <n v="36000"/>
    <n v="13.8"/>
    <n v="10.7"/>
    <n v="3.5"/>
    <n v="1.9"/>
    <x v="2"/>
    <x v="3"/>
    <n v="3"/>
    <x v="1"/>
    <n v="5"/>
    <m/>
    <x v="2"/>
    <x v="0"/>
    <x v="0"/>
    <n v="0"/>
  </r>
  <r>
    <s v="EMP0369"/>
    <d v="2025-04-15T00:00:00"/>
    <x v="0"/>
    <n v="32"/>
    <s v="Female"/>
    <s v="Divorced"/>
    <s v="Bachelor's"/>
    <x v="6"/>
    <x v="21"/>
    <x v="1"/>
    <s v="Hyderabad"/>
    <n v="53000"/>
    <n v="5.9"/>
    <n v="5.2"/>
    <n v="0.7"/>
    <n v="0"/>
    <x v="0"/>
    <x v="0"/>
    <n v="2"/>
    <x v="1"/>
    <n v="2"/>
    <m/>
    <x v="1"/>
    <x v="1"/>
    <x v="3"/>
    <n v="0"/>
  </r>
  <r>
    <s v="EMP0370"/>
    <d v="2024-10-19T00:00:00"/>
    <x v="0"/>
    <n v="32"/>
    <s v="Non-Binary"/>
    <s v="Single"/>
    <s v="PhD"/>
    <x v="3"/>
    <x v="15"/>
    <x v="1"/>
    <s v="Hyderabad"/>
    <n v="59000"/>
    <n v="5.5"/>
    <n v="3.4"/>
    <n v="1.2"/>
    <n v="0.3"/>
    <x v="2"/>
    <x v="2"/>
    <n v="3"/>
    <x v="1"/>
    <n v="5"/>
    <m/>
    <x v="1"/>
    <x v="1"/>
    <x v="4"/>
    <n v="0"/>
  </r>
  <r>
    <s v="EMP0371"/>
    <d v="2017-07-02T00:00:00"/>
    <x v="0"/>
    <n v="38"/>
    <s v="Female"/>
    <s v="Married"/>
    <s v="PhD"/>
    <x v="2"/>
    <x v="20"/>
    <x v="1"/>
    <s v="Pune"/>
    <n v="48000"/>
    <n v="15.9"/>
    <n v="11.2"/>
    <n v="8.5"/>
    <n v="0.5"/>
    <x v="0"/>
    <x v="1"/>
    <n v="4"/>
    <x v="1"/>
    <n v="2"/>
    <m/>
    <x v="0"/>
    <x v="1"/>
    <x v="1"/>
    <n v="0"/>
  </r>
  <r>
    <s v="EMP0372"/>
    <d v="2023-09-29T00:00:00"/>
    <x v="1"/>
    <n v="35"/>
    <s v="Non-Binary"/>
    <s v="Divorced"/>
    <s v="Master's"/>
    <x v="0"/>
    <x v="16"/>
    <x v="2"/>
    <s v="Mumbai"/>
    <n v="80000"/>
    <n v="3.3"/>
    <n v="7.7"/>
    <n v="1.6"/>
    <n v="0.2"/>
    <x v="0"/>
    <x v="1"/>
    <n v="3"/>
    <x v="1"/>
    <n v="3"/>
    <d v="2025-05-16T00:00:00"/>
    <x v="1"/>
    <x v="2"/>
    <x v="4"/>
    <n v="1"/>
  </r>
  <r>
    <s v="EMP0373"/>
    <d v="2024-11-22T00:00:00"/>
    <x v="1"/>
    <n v="22"/>
    <s v="Non-Binary"/>
    <s v="Divorced"/>
    <s v="Diploma"/>
    <x v="0"/>
    <x v="16"/>
    <x v="0"/>
    <s v="Mumbai"/>
    <n v="43000"/>
    <n v="6.8"/>
    <n v="3.8"/>
    <n v="0.8"/>
    <n v="0"/>
    <x v="0"/>
    <x v="0"/>
    <n v="4"/>
    <x v="0"/>
    <n v="2"/>
    <d v="2025-09-07T00:00:00"/>
    <x v="2"/>
    <x v="1"/>
    <x v="3"/>
    <n v="1"/>
  </r>
  <r>
    <s v="EMP0374"/>
    <d v="2023-05-18T00:00:00"/>
    <x v="0"/>
    <n v="29"/>
    <s v="Female"/>
    <s v="Divorced"/>
    <s v="Master's"/>
    <x v="4"/>
    <x v="24"/>
    <x v="1"/>
    <s v="Hyderabad"/>
    <n v="52000"/>
    <n v="15.2"/>
    <n v="8.8000000000000007"/>
    <n v="2.6"/>
    <n v="1.9"/>
    <x v="2"/>
    <x v="0"/>
    <n v="3"/>
    <x v="0"/>
    <n v="3"/>
    <m/>
    <x v="1"/>
    <x v="1"/>
    <x v="4"/>
    <n v="0"/>
  </r>
  <r>
    <s v="EMP0375"/>
    <d v="2015-12-21T00:00:00"/>
    <x v="1"/>
    <n v="47"/>
    <s v="Male"/>
    <s v="Divorced"/>
    <s v="Master's"/>
    <x v="4"/>
    <x v="25"/>
    <x v="2"/>
    <s v="Chennai"/>
    <n v="84000"/>
    <n v="13.1"/>
    <n v="12.5"/>
    <n v="9.6999999999999993"/>
    <n v="4.4000000000000004"/>
    <x v="3"/>
    <x v="0"/>
    <n v="1"/>
    <x v="0"/>
    <n v="4"/>
    <d v="2025-08-17T00:00:00"/>
    <x v="3"/>
    <x v="2"/>
    <x v="1"/>
    <n v="1"/>
  </r>
  <r>
    <s v="EMP0376"/>
    <d v="2024-04-18T00:00:00"/>
    <x v="0"/>
    <n v="38"/>
    <s v="Female"/>
    <s v="Married"/>
    <s v="PhD"/>
    <x v="0"/>
    <x v="0"/>
    <x v="2"/>
    <s v="Noida"/>
    <n v="67000"/>
    <n v="5.7"/>
    <n v="8.9"/>
    <n v="1.7"/>
    <n v="1"/>
    <x v="3"/>
    <x v="2"/>
    <n v="4"/>
    <x v="1"/>
    <n v="4"/>
    <m/>
    <x v="0"/>
    <x v="4"/>
    <x v="4"/>
    <n v="0"/>
  </r>
  <r>
    <s v="EMP0377"/>
    <d v="2022-06-20T00:00:00"/>
    <x v="0"/>
    <n v="32"/>
    <s v="Female"/>
    <s v="Single"/>
    <s v="Diploma"/>
    <x v="5"/>
    <x v="26"/>
    <x v="3"/>
    <s v="Hyderabad"/>
    <n v="120000"/>
    <n v="11.8"/>
    <n v="6.1"/>
    <n v="3.5"/>
    <n v="0.6"/>
    <x v="0"/>
    <x v="1"/>
    <n v="4"/>
    <x v="1"/>
    <n v="3"/>
    <m/>
    <x v="1"/>
    <x v="3"/>
    <x v="0"/>
    <n v="0"/>
  </r>
  <r>
    <s v="EMP0378"/>
    <d v="2014-03-29T00:00:00"/>
    <x v="0"/>
    <n v="34"/>
    <s v="Female"/>
    <s v="Divorced"/>
    <s v="Diploma"/>
    <x v="1"/>
    <x v="1"/>
    <x v="0"/>
    <s v="Bengaluru"/>
    <n v="52000"/>
    <n v="4.4000000000000004"/>
    <n v="12.6"/>
    <n v="11.8"/>
    <n v="3.2"/>
    <x v="2"/>
    <x v="0"/>
    <n v="3"/>
    <x v="0"/>
    <n v="2"/>
    <m/>
    <x v="1"/>
    <x v="1"/>
    <x v="2"/>
    <n v="0"/>
  </r>
  <r>
    <s v="EMP0379"/>
    <d v="2020-02-06T00:00:00"/>
    <x v="0"/>
    <n v="28"/>
    <s v="Female"/>
    <s v="Married"/>
    <s v="Bachelor's"/>
    <x v="5"/>
    <x v="8"/>
    <x v="0"/>
    <s v="Chennai"/>
    <n v="22000"/>
    <n v="8.6999999999999993"/>
    <n v="11.1"/>
    <n v="5.9"/>
    <n v="0"/>
    <x v="1"/>
    <x v="3"/>
    <n v="3"/>
    <x v="1"/>
    <n v="2"/>
    <m/>
    <x v="1"/>
    <x v="0"/>
    <x v="0"/>
    <n v="0"/>
  </r>
  <r>
    <s v="EMP0380"/>
    <d v="2020-12-22T00:00:00"/>
    <x v="1"/>
    <n v="44"/>
    <s v="Female"/>
    <s v="Married"/>
    <s v="Diploma"/>
    <x v="0"/>
    <x v="16"/>
    <x v="2"/>
    <s v="Mumbai"/>
    <n v="78000"/>
    <n v="4.9000000000000004"/>
    <n v="4.4000000000000004"/>
    <n v="4.3"/>
    <n v="4.0999999999999996"/>
    <x v="0"/>
    <x v="2"/>
    <n v="3"/>
    <x v="1"/>
    <n v="4"/>
    <d v="2025-04-26T00:00:00"/>
    <x v="0"/>
    <x v="4"/>
    <x v="0"/>
    <n v="1"/>
  </r>
  <r>
    <s v="EMP0381"/>
    <d v="2015-09-19T00:00:00"/>
    <x v="0"/>
    <n v="42"/>
    <s v="Female"/>
    <s v="Divorced"/>
    <s v="PhD"/>
    <x v="5"/>
    <x v="8"/>
    <x v="1"/>
    <s v="Bengaluru"/>
    <n v="65000"/>
    <n v="8.1"/>
    <n v="12.6"/>
    <n v="10.3"/>
    <n v="1.2"/>
    <x v="0"/>
    <x v="0"/>
    <n v="4"/>
    <x v="1"/>
    <n v="4"/>
    <m/>
    <x v="0"/>
    <x v="4"/>
    <x v="2"/>
    <n v="0"/>
  </r>
  <r>
    <s v="EMP0382"/>
    <d v="2017-02-11T00:00:00"/>
    <x v="1"/>
    <n v="30"/>
    <s v="Female"/>
    <s v="Married"/>
    <s v="PhD"/>
    <x v="0"/>
    <x v="7"/>
    <x v="2"/>
    <s v="Bengaluru"/>
    <n v="82000"/>
    <n v="16.5"/>
    <n v="13.7"/>
    <n v="7.9"/>
    <n v="3.6"/>
    <x v="3"/>
    <x v="0"/>
    <n v="2"/>
    <x v="1"/>
    <n v="4"/>
    <d v="2025-01-13T00:00:00"/>
    <x v="1"/>
    <x v="2"/>
    <x v="1"/>
    <n v="1"/>
  </r>
  <r>
    <s v="EMP0383"/>
    <d v="2018-01-22T00:00:00"/>
    <x v="0"/>
    <n v="30"/>
    <s v="Non-Binary"/>
    <s v="Single"/>
    <s v="Bachelor's"/>
    <x v="5"/>
    <x v="18"/>
    <x v="0"/>
    <s v="Bengaluru"/>
    <n v="28000"/>
    <n v="9.6"/>
    <n v="13.3"/>
    <n v="7.9"/>
    <n v="2.8"/>
    <x v="3"/>
    <x v="0"/>
    <n v="4"/>
    <x v="0"/>
    <n v="2"/>
    <m/>
    <x v="1"/>
    <x v="0"/>
    <x v="1"/>
    <n v="0"/>
  </r>
  <r>
    <s v="EMP0384"/>
    <d v="2025-06-23T00:00:00"/>
    <x v="0"/>
    <n v="35"/>
    <s v="Male"/>
    <s v="Married"/>
    <s v="Master's"/>
    <x v="0"/>
    <x v="3"/>
    <x v="2"/>
    <s v="Chennai"/>
    <n v="71000"/>
    <n v="7.1"/>
    <n v="5.7"/>
    <n v="0.5"/>
    <n v="0"/>
    <x v="2"/>
    <x v="0"/>
    <n v="4"/>
    <x v="1"/>
    <n v="4"/>
    <m/>
    <x v="1"/>
    <x v="4"/>
    <x v="3"/>
    <n v="0"/>
  </r>
  <r>
    <s v="EMP0385"/>
    <d v="2018-09-27T00:00:00"/>
    <x v="0"/>
    <n v="37"/>
    <s v="Non-Binary"/>
    <s v="Divorced"/>
    <s v="Master's"/>
    <x v="5"/>
    <x v="8"/>
    <x v="1"/>
    <s v="Hyderabad"/>
    <n v="55000"/>
    <n v="4.3"/>
    <n v="10"/>
    <n v="7.3"/>
    <n v="5"/>
    <x v="1"/>
    <x v="0"/>
    <n v="3"/>
    <x v="1"/>
    <n v="2"/>
    <m/>
    <x v="0"/>
    <x v="1"/>
    <x v="1"/>
    <n v="0"/>
  </r>
  <r>
    <s v="EMP0386"/>
    <d v="2018-10-05T00:00:00"/>
    <x v="1"/>
    <n v="33"/>
    <s v="Male"/>
    <s v="Single"/>
    <s v="PhD"/>
    <x v="2"/>
    <x v="20"/>
    <x v="2"/>
    <s v="Pune"/>
    <n v="91000"/>
    <n v="15.6"/>
    <n v="8.1999999999999993"/>
    <n v="6.8"/>
    <n v="2.2000000000000002"/>
    <x v="3"/>
    <x v="1"/>
    <n v="2"/>
    <x v="1"/>
    <n v="4"/>
    <d v="2025-08-01T00:00:00"/>
    <x v="1"/>
    <x v="2"/>
    <x v="1"/>
    <n v="1"/>
  </r>
  <r>
    <s v="EMP0387"/>
    <d v="2025-08-21T00:00:00"/>
    <x v="0"/>
    <n v="29"/>
    <s v="Male"/>
    <s v="Divorced"/>
    <s v="Diploma"/>
    <x v="5"/>
    <x v="26"/>
    <x v="0"/>
    <s v="Chennai"/>
    <n v="42000"/>
    <n v="5"/>
    <n v="2.6"/>
    <n v="0.4"/>
    <n v="0"/>
    <x v="2"/>
    <x v="2"/>
    <n v="3"/>
    <x v="1"/>
    <n v="2"/>
    <m/>
    <x v="1"/>
    <x v="1"/>
    <x v="3"/>
    <n v="0"/>
  </r>
  <r>
    <s v="EMP0388"/>
    <d v="2023-08-29T00:00:00"/>
    <x v="0"/>
    <n v="38"/>
    <s v="Non-Binary"/>
    <s v="Single"/>
    <s v="Master's"/>
    <x v="3"/>
    <x v="6"/>
    <x v="1"/>
    <s v="Bengaluru"/>
    <n v="66000"/>
    <n v="8.6"/>
    <n v="7.2"/>
    <n v="2.2999999999999998"/>
    <n v="0.2"/>
    <x v="2"/>
    <x v="2"/>
    <n v="3"/>
    <x v="1"/>
    <n v="3"/>
    <m/>
    <x v="0"/>
    <x v="4"/>
    <x v="4"/>
    <n v="0"/>
  </r>
  <r>
    <s v="EMP0389"/>
    <d v="2021-07-21T00:00:00"/>
    <x v="0"/>
    <n v="27"/>
    <s v="Male"/>
    <s v="Unkown"/>
    <s v="PhD"/>
    <x v="4"/>
    <x v="25"/>
    <x v="0"/>
    <s v="Mumbai"/>
    <n v="25000"/>
    <n v="8.1"/>
    <n v="8.1999999999999993"/>
    <n v="4.4000000000000004"/>
    <n v="2.8"/>
    <x v="0"/>
    <x v="1"/>
    <n v="1"/>
    <x v="1"/>
    <n v="2"/>
    <m/>
    <x v="1"/>
    <x v="0"/>
    <x v="0"/>
    <n v="0"/>
  </r>
  <r>
    <s v="EMP0390"/>
    <d v="2025-03-13T00:00:00"/>
    <x v="0"/>
    <n v="39"/>
    <s v="Non-Binary"/>
    <s v="Single"/>
    <s v="Master's"/>
    <x v="1"/>
    <x v="27"/>
    <x v="2"/>
    <s v="Bengaluru"/>
    <n v="82000"/>
    <n v="15"/>
    <n v="3.5"/>
    <n v="0.8"/>
    <n v="0"/>
    <x v="2"/>
    <x v="2"/>
    <n v="1"/>
    <x v="1"/>
    <n v="4"/>
    <m/>
    <x v="0"/>
    <x v="2"/>
    <x v="3"/>
    <n v="0"/>
  </r>
  <r>
    <s v="EMP0391"/>
    <d v="2022-12-12T00:00:00"/>
    <x v="0"/>
    <n v="33"/>
    <s v="Male"/>
    <s v="Divorced"/>
    <s v="PhD"/>
    <x v="3"/>
    <x v="15"/>
    <x v="0"/>
    <s v="Pune"/>
    <n v="28000"/>
    <n v="0"/>
    <n v="9"/>
    <n v="3.1"/>
    <n v="2.8"/>
    <x v="2"/>
    <x v="1"/>
    <n v="2"/>
    <x v="1"/>
    <n v="3"/>
    <m/>
    <x v="1"/>
    <x v="0"/>
    <x v="0"/>
    <n v="0"/>
  </r>
  <r>
    <s v="EMP0392"/>
    <d v="2018-11-09T00:00:00"/>
    <x v="0"/>
    <n v="38"/>
    <s v="Female"/>
    <s v="Married"/>
    <s v="Master's"/>
    <x v="3"/>
    <x v="11"/>
    <x v="0"/>
    <s v="Hyderabad"/>
    <n v="32000"/>
    <n v="9.3000000000000007"/>
    <n v="12"/>
    <n v="7.1"/>
    <n v="1.1000000000000001"/>
    <x v="2"/>
    <x v="0"/>
    <n v="3"/>
    <x v="0"/>
    <n v="3"/>
    <m/>
    <x v="0"/>
    <x v="0"/>
    <x v="1"/>
    <n v="0"/>
  </r>
  <r>
    <s v="EMP0393"/>
    <d v="2024-07-10T00:00:00"/>
    <x v="0"/>
    <n v="22"/>
    <s v="Non-Binary"/>
    <s v="Divorced"/>
    <s v="Master's"/>
    <x v="1"/>
    <x v="10"/>
    <x v="0"/>
    <s v="Chennai"/>
    <n v="34000"/>
    <n v="12.2"/>
    <n v="5.0999999999999996"/>
    <n v="1.5"/>
    <n v="0.3"/>
    <x v="3"/>
    <x v="0"/>
    <n v="4"/>
    <x v="0"/>
    <n v="4"/>
    <m/>
    <x v="2"/>
    <x v="0"/>
    <x v="4"/>
    <n v="0"/>
  </r>
  <r>
    <s v="EMP0394"/>
    <d v="2015-09-04T00:00:00"/>
    <x v="0"/>
    <n v="35"/>
    <s v="Female"/>
    <s v="Married"/>
    <s v="Master's"/>
    <x v="4"/>
    <x v="14"/>
    <x v="0"/>
    <s v="Chennai"/>
    <n v="22000"/>
    <n v="10.9"/>
    <n v="17"/>
    <n v="10.3"/>
    <n v="1.7"/>
    <x v="0"/>
    <x v="0"/>
    <n v="3"/>
    <x v="1"/>
    <n v="3"/>
    <m/>
    <x v="1"/>
    <x v="0"/>
    <x v="2"/>
    <n v="0"/>
  </r>
  <r>
    <s v="EMP0395"/>
    <d v="2024-12-28T00:00:00"/>
    <x v="0"/>
    <n v="22"/>
    <s v="Male"/>
    <s v="Married"/>
    <s v="PhD"/>
    <x v="1"/>
    <x v="10"/>
    <x v="0"/>
    <s v="Pune"/>
    <n v="50000"/>
    <n v="6.1"/>
    <n v="5"/>
    <n v="1"/>
    <n v="0.4"/>
    <x v="0"/>
    <x v="0"/>
    <n v="4"/>
    <x v="0"/>
    <n v="4"/>
    <m/>
    <x v="2"/>
    <x v="1"/>
    <x v="4"/>
    <n v="0"/>
  </r>
  <r>
    <s v="EMP0396"/>
    <d v="2020-12-10T00:00:00"/>
    <x v="0"/>
    <n v="34"/>
    <s v="Non-Binary"/>
    <s v="Divorced"/>
    <s v="Bachelor's"/>
    <x v="5"/>
    <x v="8"/>
    <x v="2"/>
    <s v="Mumbai"/>
    <n v="97000"/>
    <n v="4.9000000000000004"/>
    <n v="13"/>
    <n v="5.0999999999999996"/>
    <n v="0.1"/>
    <x v="2"/>
    <x v="0"/>
    <n v="2"/>
    <x v="0"/>
    <n v="3"/>
    <m/>
    <x v="1"/>
    <x v="2"/>
    <x v="0"/>
    <n v="0"/>
  </r>
  <r>
    <s v="EMP0397"/>
    <d v="2020-12-16T00:00:00"/>
    <x v="0"/>
    <n v="36"/>
    <s v="Male"/>
    <s v="Married"/>
    <s v="PhD"/>
    <x v="3"/>
    <x v="11"/>
    <x v="3"/>
    <s v="Hyderabad"/>
    <n v="121000"/>
    <n v="9.6999999999999993"/>
    <n v="10.1"/>
    <n v="5"/>
    <n v="4.3"/>
    <x v="2"/>
    <x v="1"/>
    <n v="4"/>
    <x v="1"/>
    <n v="3"/>
    <m/>
    <x v="0"/>
    <x v="3"/>
    <x v="0"/>
    <n v="0"/>
  </r>
  <r>
    <s v="EMP0398"/>
    <d v="2020-06-03T00:00:00"/>
    <x v="0"/>
    <n v="27"/>
    <s v="Female"/>
    <s v="Married"/>
    <s v="Bachelor's"/>
    <x v="0"/>
    <x v="3"/>
    <x v="0"/>
    <s v="Hyderabad"/>
    <n v="32000"/>
    <n v="4.7"/>
    <n v="6"/>
    <n v="5.6"/>
    <n v="5.3"/>
    <x v="0"/>
    <x v="0"/>
    <n v="4"/>
    <x v="0"/>
    <n v="2"/>
    <m/>
    <x v="1"/>
    <x v="0"/>
    <x v="0"/>
    <n v="0"/>
  </r>
  <r>
    <s v="EMP0399"/>
    <d v="2017-06-15T00:00:00"/>
    <x v="1"/>
    <n v="36"/>
    <s v="Non-Binary"/>
    <s v="Single"/>
    <s v="Master's"/>
    <x v="6"/>
    <x v="22"/>
    <x v="2"/>
    <s v="Hyderabad"/>
    <n v="85000"/>
    <n v="0"/>
    <n v="9.9"/>
    <n v="8"/>
    <n v="0.7"/>
    <x v="0"/>
    <x v="0"/>
    <n v="4"/>
    <x v="1"/>
    <n v="4"/>
    <d v="2025-06-21T00:00:00"/>
    <x v="0"/>
    <x v="2"/>
    <x v="1"/>
    <n v="1"/>
  </r>
  <r>
    <s v="EMP0400"/>
    <d v="2020-10-02T00:00:00"/>
    <x v="0"/>
    <n v="37"/>
    <s v="Female"/>
    <s v="Married"/>
    <s v="Diploma"/>
    <x v="6"/>
    <x v="21"/>
    <x v="2"/>
    <s v="Noida"/>
    <n v="95000"/>
    <n v="9.1"/>
    <n v="9.3000000000000007"/>
    <n v="5.2"/>
    <n v="4.3"/>
    <x v="2"/>
    <x v="0"/>
    <n v="3"/>
    <x v="0"/>
    <n v="4"/>
    <m/>
    <x v="0"/>
    <x v="2"/>
    <x v="0"/>
    <n v="0"/>
  </r>
  <r>
    <s v="EMP0401"/>
    <d v="2015-05-11T00:00:00"/>
    <x v="0"/>
    <n v="32"/>
    <s v="Male"/>
    <s v="Single"/>
    <s v="Bachelor's"/>
    <x v="0"/>
    <x v="0"/>
    <x v="1"/>
    <s v="Hyderabad"/>
    <n v="62000"/>
    <n v="6.4"/>
    <n v="18.3"/>
    <n v="10.6"/>
    <n v="0.5"/>
    <x v="2"/>
    <x v="1"/>
    <n v="2"/>
    <x v="0"/>
    <n v="2"/>
    <m/>
    <x v="1"/>
    <x v="4"/>
    <x v="2"/>
    <n v="0"/>
  </r>
  <r>
    <s v="EMP0402"/>
    <d v="2021-08-16T00:00:00"/>
    <x v="0"/>
    <n v="30"/>
    <s v="Non-Binary"/>
    <s v="Married"/>
    <s v="Diploma"/>
    <x v="3"/>
    <x v="11"/>
    <x v="2"/>
    <s v="Mumbai"/>
    <n v="71000"/>
    <n v="9.5"/>
    <n v="4.5999999999999996"/>
    <n v="4.4000000000000004"/>
    <n v="3.5"/>
    <x v="1"/>
    <x v="2"/>
    <n v="3"/>
    <x v="1"/>
    <n v="3"/>
    <m/>
    <x v="1"/>
    <x v="4"/>
    <x v="0"/>
    <n v="0"/>
  </r>
  <r>
    <s v="EMP0403"/>
    <d v="2019-01-24T00:00:00"/>
    <x v="0"/>
    <n v="35"/>
    <s v="Female"/>
    <s v="Married"/>
    <s v="Master's"/>
    <x v="4"/>
    <x v="5"/>
    <x v="2"/>
    <s v="Chennai"/>
    <n v="71000"/>
    <n v="7.8"/>
    <n v="8.6999999999999993"/>
    <n v="6.9"/>
    <n v="2.2000000000000002"/>
    <x v="2"/>
    <x v="0"/>
    <n v="4"/>
    <x v="1"/>
    <n v="2"/>
    <m/>
    <x v="1"/>
    <x v="4"/>
    <x v="1"/>
    <n v="0"/>
  </r>
  <r>
    <s v="EMP0404"/>
    <d v="2023-08-26T00:00:00"/>
    <x v="0"/>
    <n v="39"/>
    <s v="Female"/>
    <s v="Single"/>
    <s v="Master's"/>
    <x v="1"/>
    <x v="9"/>
    <x v="1"/>
    <s v="Unkown"/>
    <n v="61000"/>
    <n v="8.3000000000000007"/>
    <n v="3.6"/>
    <n v="2.2999999999999998"/>
    <n v="0.3"/>
    <x v="0"/>
    <x v="2"/>
    <n v="3"/>
    <x v="1"/>
    <n v="3"/>
    <m/>
    <x v="0"/>
    <x v="4"/>
    <x v="4"/>
    <n v="0"/>
  </r>
  <r>
    <s v="EMP0405"/>
    <d v="2014-04-04T00:00:00"/>
    <x v="0"/>
    <n v="35"/>
    <s v="Female"/>
    <s v="Unkown"/>
    <s v="Master's"/>
    <x v="0"/>
    <x v="0"/>
    <x v="2"/>
    <s v="Bengaluru"/>
    <n v="65000"/>
    <n v="7.3"/>
    <n v="16"/>
    <n v="11.7"/>
    <n v="0.7"/>
    <x v="2"/>
    <x v="3"/>
    <n v="4"/>
    <x v="0"/>
    <n v="4"/>
    <m/>
    <x v="1"/>
    <x v="4"/>
    <x v="2"/>
    <n v="0"/>
  </r>
  <r>
    <s v="EMP0406"/>
    <d v="2022-03-30T00:00:00"/>
    <x v="0"/>
    <n v="34"/>
    <s v="Female"/>
    <s v="Divorced"/>
    <s v="Bachelor's"/>
    <x v="0"/>
    <x v="7"/>
    <x v="2"/>
    <s v="Noida"/>
    <n v="59000"/>
    <n v="12.7"/>
    <n v="11.7"/>
    <n v="3.8"/>
    <n v="2.5"/>
    <x v="0"/>
    <x v="2"/>
    <n v="3"/>
    <x v="1"/>
    <n v="5"/>
    <m/>
    <x v="1"/>
    <x v="1"/>
    <x v="0"/>
    <n v="0"/>
  </r>
  <r>
    <s v="EMP0407"/>
    <d v="2019-04-03T00:00:00"/>
    <x v="0"/>
    <n v="46"/>
    <s v="Male"/>
    <s v="Married"/>
    <s v="Master's"/>
    <x v="3"/>
    <x v="15"/>
    <x v="1"/>
    <s v="Bengaluru"/>
    <n v="65000"/>
    <n v="7.2"/>
    <n v="10.3"/>
    <n v="6.7"/>
    <n v="0.6"/>
    <x v="2"/>
    <x v="3"/>
    <n v="3"/>
    <x v="1"/>
    <n v="4"/>
    <m/>
    <x v="3"/>
    <x v="4"/>
    <x v="1"/>
    <n v="0"/>
  </r>
  <r>
    <s v="EMP0408"/>
    <d v="2014-07-01T00:00:00"/>
    <x v="0"/>
    <n v="33"/>
    <s v="Non-Binary"/>
    <s v="Married"/>
    <s v="Diploma"/>
    <x v="5"/>
    <x v="26"/>
    <x v="2"/>
    <s v="Mumbai"/>
    <n v="94000"/>
    <n v="10.9"/>
    <n v="16.3"/>
    <n v="11.5"/>
    <n v="3.1"/>
    <x v="2"/>
    <x v="3"/>
    <n v="3"/>
    <x v="1"/>
    <n v="3"/>
    <m/>
    <x v="1"/>
    <x v="2"/>
    <x v="2"/>
    <n v="0"/>
  </r>
  <r>
    <s v="EMP0409"/>
    <d v="2022-12-30T00:00:00"/>
    <x v="1"/>
    <n v="28"/>
    <s v="Female"/>
    <s v="Divorced"/>
    <s v="PhD"/>
    <x v="6"/>
    <x v="19"/>
    <x v="1"/>
    <s v="Pune"/>
    <n v="62000"/>
    <n v="7.7"/>
    <n v="8.6"/>
    <n v="2.6"/>
    <n v="1.1000000000000001"/>
    <x v="0"/>
    <x v="0"/>
    <n v="2"/>
    <x v="1"/>
    <n v="4"/>
    <d v="2025-08-16T00:00:00"/>
    <x v="1"/>
    <x v="4"/>
    <x v="4"/>
    <n v="1"/>
  </r>
  <r>
    <s v="EMP0410"/>
    <d v="2024-11-18T00:00:00"/>
    <x v="0"/>
    <n v="26"/>
    <s v="Non-Binary"/>
    <s v="Married"/>
    <s v="PhD"/>
    <x v="2"/>
    <x v="23"/>
    <x v="0"/>
    <s v="Pune"/>
    <n v="37000"/>
    <n v="17.3"/>
    <n v="3.8"/>
    <n v="1.1000000000000001"/>
    <n v="1"/>
    <x v="0"/>
    <x v="0"/>
    <n v="3"/>
    <x v="1"/>
    <n v="1"/>
    <m/>
    <x v="1"/>
    <x v="0"/>
    <x v="4"/>
    <n v="0"/>
  </r>
  <r>
    <s v="EMP0411"/>
    <d v="2016-11-11T00:00:00"/>
    <x v="0"/>
    <n v="33"/>
    <s v="Non-Binary"/>
    <s v="Divorced"/>
    <s v="PhD"/>
    <x v="4"/>
    <x v="5"/>
    <x v="2"/>
    <s v="Pune"/>
    <n v="86000"/>
    <n v="8.6999999999999993"/>
    <n v="13.6"/>
    <n v="9.1"/>
    <n v="0.3"/>
    <x v="3"/>
    <x v="2"/>
    <n v="4"/>
    <x v="0"/>
    <n v="3"/>
    <m/>
    <x v="1"/>
    <x v="2"/>
    <x v="1"/>
    <n v="0"/>
  </r>
  <r>
    <s v="EMP0412"/>
    <d v="2024-10-27T00:00:00"/>
    <x v="0"/>
    <n v="26"/>
    <s v="Non-Binary"/>
    <s v="Single"/>
    <s v="Bachelor's"/>
    <x v="5"/>
    <x v="8"/>
    <x v="0"/>
    <s v="Bengaluru"/>
    <n v="42000"/>
    <n v="8.3000000000000007"/>
    <n v="2.2000000000000002"/>
    <n v="1.2"/>
    <n v="0.8"/>
    <x v="2"/>
    <x v="0"/>
    <n v="2"/>
    <x v="1"/>
    <n v="5"/>
    <m/>
    <x v="1"/>
    <x v="1"/>
    <x v="4"/>
    <n v="0"/>
  </r>
  <r>
    <s v="EMP0413"/>
    <d v="2014-05-06T00:00:00"/>
    <x v="0"/>
    <n v="41"/>
    <s v="Female"/>
    <s v="Divorced"/>
    <s v="Bachelor's"/>
    <x v="2"/>
    <x v="2"/>
    <x v="2"/>
    <s v="Hyderabad"/>
    <n v="99000"/>
    <n v="11.3"/>
    <n v="15.1"/>
    <n v="11.7"/>
    <n v="1.5"/>
    <x v="2"/>
    <x v="0"/>
    <n v="4"/>
    <x v="1"/>
    <n v="4"/>
    <m/>
    <x v="0"/>
    <x v="2"/>
    <x v="2"/>
    <n v="0"/>
  </r>
  <r>
    <s v="EMP0414"/>
    <d v="2020-04-22T00:00:00"/>
    <x v="1"/>
    <n v="34"/>
    <s v="Male"/>
    <s v="Divorced"/>
    <s v="Master's"/>
    <x v="1"/>
    <x v="10"/>
    <x v="1"/>
    <s v="Noida"/>
    <n v="58000"/>
    <n v="10.4"/>
    <n v="8.6"/>
    <n v="5.2"/>
    <n v="4.7"/>
    <x v="2"/>
    <x v="0"/>
    <n v="3"/>
    <x v="1"/>
    <n v="4"/>
    <d v="2025-07-04T00:00:00"/>
    <x v="1"/>
    <x v="1"/>
    <x v="0"/>
    <n v="1"/>
  </r>
  <r>
    <s v="EMP0415"/>
    <d v="2023-09-30T00:00:00"/>
    <x v="0"/>
    <n v="34"/>
    <s v="Female"/>
    <s v="Single"/>
    <s v="Bachelor's"/>
    <x v="1"/>
    <x v="10"/>
    <x v="2"/>
    <s v="Pune"/>
    <n v="101000"/>
    <n v="5"/>
    <n v="8.6999999999999993"/>
    <n v="2.2999999999999998"/>
    <n v="0.6"/>
    <x v="2"/>
    <x v="0"/>
    <n v="3"/>
    <x v="1"/>
    <n v="4"/>
    <m/>
    <x v="1"/>
    <x v="3"/>
    <x v="4"/>
    <n v="0"/>
  </r>
  <r>
    <s v="EMP0416"/>
    <d v="2020-01-11T00:00:00"/>
    <x v="1"/>
    <n v="42"/>
    <s v="Non-Binary"/>
    <s v="Divorced"/>
    <s v="Bachelor's"/>
    <x v="4"/>
    <x v="24"/>
    <x v="1"/>
    <s v="Mumbai"/>
    <n v="50000"/>
    <n v="0.5"/>
    <n v="9.1999999999999993"/>
    <n v="5.2"/>
    <n v="4.3"/>
    <x v="0"/>
    <x v="2"/>
    <n v="3"/>
    <x v="1"/>
    <n v="4"/>
    <d v="2025-03-21T00:00:00"/>
    <x v="0"/>
    <x v="1"/>
    <x v="0"/>
    <n v="1"/>
  </r>
  <r>
    <s v="EMP0417"/>
    <d v="2024-03-01T00:00:00"/>
    <x v="0"/>
    <n v="42"/>
    <s v="Male"/>
    <s v="Divorced"/>
    <s v="Diploma"/>
    <x v="3"/>
    <x v="15"/>
    <x v="1"/>
    <s v="Bengaluru"/>
    <n v="55000"/>
    <n v="5"/>
    <n v="2.9"/>
    <n v="1.8"/>
    <n v="0.8"/>
    <x v="2"/>
    <x v="2"/>
    <n v="3"/>
    <x v="0"/>
    <n v="5"/>
    <m/>
    <x v="0"/>
    <x v="1"/>
    <x v="4"/>
    <n v="0"/>
  </r>
  <r>
    <s v="EMP0418"/>
    <d v="2015-09-04T00:00:00"/>
    <x v="1"/>
    <n v="39"/>
    <s v="Female"/>
    <s v="Married"/>
    <s v="Bachelor's"/>
    <x v="0"/>
    <x v="0"/>
    <x v="1"/>
    <s v="Pune"/>
    <n v="54000"/>
    <n v="8"/>
    <n v="17.399999999999999"/>
    <n v="9.5"/>
    <n v="2.5"/>
    <x v="3"/>
    <x v="2"/>
    <n v="2"/>
    <x v="0"/>
    <n v="1"/>
    <d v="2025-03-08T00:00:00"/>
    <x v="0"/>
    <x v="1"/>
    <x v="1"/>
    <n v="1"/>
  </r>
  <r>
    <s v="EMP0419"/>
    <d v="2020-09-20T00:00:00"/>
    <x v="0"/>
    <n v="30"/>
    <s v="Male"/>
    <s v="Divorced"/>
    <s v="Master's"/>
    <x v="5"/>
    <x v="8"/>
    <x v="2"/>
    <s v="Pune"/>
    <n v="78000"/>
    <n v="15.5"/>
    <n v="5.8"/>
    <n v="5.3"/>
    <n v="3.5"/>
    <x v="3"/>
    <x v="2"/>
    <n v="4"/>
    <x v="0"/>
    <n v="5"/>
    <m/>
    <x v="1"/>
    <x v="4"/>
    <x v="0"/>
    <n v="0"/>
  </r>
  <r>
    <s v="EMP0420"/>
    <d v="2023-12-31T00:00:00"/>
    <x v="0"/>
    <n v="42"/>
    <s v="Male"/>
    <s v="Single"/>
    <s v="Bachelor's"/>
    <x v="0"/>
    <x v="7"/>
    <x v="0"/>
    <s v="Chennai"/>
    <n v="45000"/>
    <n v="13"/>
    <n v="4.8"/>
    <n v="2"/>
    <n v="1.7"/>
    <x v="2"/>
    <x v="2"/>
    <n v="3"/>
    <x v="1"/>
    <n v="3"/>
    <m/>
    <x v="0"/>
    <x v="1"/>
    <x v="4"/>
    <n v="0"/>
  </r>
  <r>
    <s v="EMP0421"/>
    <d v="2023-09-10T00:00:00"/>
    <x v="0"/>
    <n v="36"/>
    <s v="Male"/>
    <s v="Married"/>
    <s v="Bachelor's"/>
    <x v="1"/>
    <x v="27"/>
    <x v="4"/>
    <s v="Pune"/>
    <n v="179000"/>
    <n v="5.4"/>
    <n v="9.6999999999999993"/>
    <n v="2.2999999999999998"/>
    <n v="2.1"/>
    <x v="1"/>
    <x v="2"/>
    <n v="3"/>
    <x v="1"/>
    <n v="4"/>
    <m/>
    <x v="0"/>
    <x v="3"/>
    <x v="4"/>
    <n v="0"/>
  </r>
  <r>
    <s v="EMP0422"/>
    <d v="2021-02-01T00:00:00"/>
    <x v="0"/>
    <n v="25"/>
    <s v="Female"/>
    <s v="Divorced"/>
    <s v="Diploma"/>
    <x v="2"/>
    <x v="2"/>
    <x v="0"/>
    <s v="Chennai"/>
    <n v="44000"/>
    <n v="7.1"/>
    <n v="11"/>
    <n v="4.9000000000000004"/>
    <n v="1.5"/>
    <x v="2"/>
    <x v="0"/>
    <n v="3"/>
    <x v="1"/>
    <n v="3"/>
    <m/>
    <x v="2"/>
    <x v="1"/>
    <x v="0"/>
    <n v="0"/>
  </r>
  <r>
    <s v="EMP0423"/>
    <d v="2019-12-04T00:00:00"/>
    <x v="0"/>
    <n v="35"/>
    <s v="Female"/>
    <s v="Single"/>
    <s v="Bachelor's"/>
    <x v="0"/>
    <x v="0"/>
    <x v="0"/>
    <s v="Mumbai"/>
    <n v="29000"/>
    <n v="11.3"/>
    <n v="11.6"/>
    <n v="6.1"/>
    <n v="5"/>
    <x v="2"/>
    <x v="1"/>
    <n v="3"/>
    <x v="1"/>
    <n v="5"/>
    <m/>
    <x v="1"/>
    <x v="0"/>
    <x v="1"/>
    <n v="0"/>
  </r>
  <r>
    <s v="EMP0424"/>
    <d v="2014-01-06T00:00:00"/>
    <x v="0"/>
    <n v="39"/>
    <s v="Male"/>
    <s v="Divorced"/>
    <s v="Master's"/>
    <x v="0"/>
    <x v="7"/>
    <x v="1"/>
    <s v="Bengaluru"/>
    <n v="37000"/>
    <n v="9.5"/>
    <n v="17.3"/>
    <n v="12"/>
    <n v="0.5"/>
    <x v="3"/>
    <x v="1"/>
    <n v="3"/>
    <x v="1"/>
    <n v="4"/>
    <m/>
    <x v="0"/>
    <x v="0"/>
    <x v="2"/>
    <n v="0"/>
  </r>
  <r>
    <s v="EMP0425"/>
    <d v="2023-10-09T00:00:00"/>
    <x v="1"/>
    <n v="26"/>
    <s v="Non-Binary"/>
    <s v="Married"/>
    <s v="Diploma"/>
    <x v="6"/>
    <x v="22"/>
    <x v="0"/>
    <s v="Mumbai"/>
    <n v="28000"/>
    <n v="11.1"/>
    <n v="7.6"/>
    <n v="1.8"/>
    <n v="0.5"/>
    <x v="0"/>
    <x v="0"/>
    <n v="3"/>
    <x v="1"/>
    <n v="3"/>
    <d v="2025-08-06T00:00:00"/>
    <x v="1"/>
    <x v="0"/>
    <x v="4"/>
    <n v="1"/>
  </r>
  <r>
    <s v="EMP0426"/>
    <d v="2019-09-19T00:00:00"/>
    <x v="1"/>
    <n v="35"/>
    <s v="Male"/>
    <s v="Married"/>
    <s v="Bachelor's"/>
    <x v="0"/>
    <x v="16"/>
    <x v="4"/>
    <s v="Pune"/>
    <n v="148000"/>
    <n v="11.5"/>
    <n v="9.9"/>
    <n v="6"/>
    <n v="3.8"/>
    <x v="2"/>
    <x v="1"/>
    <n v="2"/>
    <x v="0"/>
    <n v="2"/>
    <d v="2025-09-08T00:00:00"/>
    <x v="1"/>
    <x v="3"/>
    <x v="0"/>
    <n v="1"/>
  </r>
  <r>
    <s v="EMP0427"/>
    <d v="2018-06-04T00:00:00"/>
    <x v="0"/>
    <n v="36"/>
    <s v="Female"/>
    <s v="Divorced"/>
    <s v="Diploma"/>
    <x v="3"/>
    <x v="4"/>
    <x v="1"/>
    <s v="Chennai"/>
    <n v="53000"/>
    <n v="11.7"/>
    <n v="13.7"/>
    <n v="7.6"/>
    <n v="4.8"/>
    <x v="1"/>
    <x v="1"/>
    <n v="3"/>
    <x v="0"/>
    <n v="3"/>
    <m/>
    <x v="0"/>
    <x v="1"/>
    <x v="1"/>
    <n v="0"/>
  </r>
  <r>
    <s v="EMP0428"/>
    <d v="2025-05-01T00:00:00"/>
    <x v="0"/>
    <n v="32"/>
    <s v="Female"/>
    <s v="Divorced"/>
    <s v="Master's"/>
    <x v="4"/>
    <x v="25"/>
    <x v="4"/>
    <s v="Mumbai"/>
    <n v="138000"/>
    <n v="13.4"/>
    <n v="3.2"/>
    <n v="0.7"/>
    <n v="0"/>
    <x v="0"/>
    <x v="0"/>
    <n v="1"/>
    <x v="1"/>
    <n v="4"/>
    <m/>
    <x v="1"/>
    <x v="3"/>
    <x v="3"/>
    <n v="0"/>
  </r>
  <r>
    <s v="EMP0429"/>
    <d v="2025-06-25T00:00:00"/>
    <x v="0"/>
    <n v="21"/>
    <s v="Male"/>
    <s v="Divorced"/>
    <s v="Bachelor's"/>
    <x v="3"/>
    <x v="11"/>
    <x v="0"/>
    <s v="Mumbai"/>
    <n v="43000"/>
    <n v="6.9"/>
    <n v="4.4000000000000004"/>
    <n v="0.5"/>
    <n v="0"/>
    <x v="0"/>
    <x v="0"/>
    <n v="3"/>
    <x v="1"/>
    <n v="4"/>
    <m/>
    <x v="2"/>
    <x v="1"/>
    <x v="3"/>
    <n v="0"/>
  </r>
  <r>
    <s v="EMP0430"/>
    <d v="2021-04-12T00:00:00"/>
    <x v="0"/>
    <n v="35"/>
    <s v="Non-Binary"/>
    <s v="Single"/>
    <s v="Diploma"/>
    <x v="6"/>
    <x v="12"/>
    <x v="2"/>
    <s v="Mumbai"/>
    <n v="79000"/>
    <n v="11.8"/>
    <n v="5.2"/>
    <n v="4.7"/>
    <n v="2.8"/>
    <x v="0"/>
    <x v="1"/>
    <n v="3"/>
    <x v="1"/>
    <n v="4"/>
    <m/>
    <x v="1"/>
    <x v="4"/>
    <x v="0"/>
    <n v="0"/>
  </r>
  <r>
    <s v="EMP0431"/>
    <d v="2021-07-09T00:00:00"/>
    <x v="0"/>
    <n v="37"/>
    <s v="Female"/>
    <s v="Single"/>
    <s v="Bachelor's"/>
    <x v="5"/>
    <x v="26"/>
    <x v="1"/>
    <s v="Chennai"/>
    <n v="57000"/>
    <n v="12"/>
    <n v="9.6999999999999993"/>
    <n v="4.5"/>
    <n v="2.7"/>
    <x v="2"/>
    <x v="2"/>
    <n v="2"/>
    <x v="1"/>
    <n v="3"/>
    <m/>
    <x v="0"/>
    <x v="1"/>
    <x v="0"/>
    <n v="0"/>
  </r>
  <r>
    <s v="EMP0432"/>
    <d v="2023-01-27T00:00:00"/>
    <x v="0"/>
    <n v="26"/>
    <s v="Female"/>
    <s v="Married"/>
    <s v="Bachelor's"/>
    <x v="6"/>
    <x v="19"/>
    <x v="0"/>
    <s v="Mumbai"/>
    <n v="43000"/>
    <n v="6.9"/>
    <n v="5.0999999999999996"/>
    <n v="2.9"/>
    <n v="2"/>
    <x v="2"/>
    <x v="0"/>
    <n v="4"/>
    <x v="1"/>
    <n v="3"/>
    <m/>
    <x v="1"/>
    <x v="1"/>
    <x v="4"/>
    <n v="0"/>
  </r>
  <r>
    <s v="EMP0433"/>
    <d v="2019-10-26T00:00:00"/>
    <x v="0"/>
    <n v="36"/>
    <s v="Non-Binary"/>
    <s v="Single"/>
    <s v="Diploma"/>
    <x v="5"/>
    <x v="13"/>
    <x v="1"/>
    <s v="Hyderabad"/>
    <n v="76000"/>
    <n v="8.1"/>
    <n v="9.1"/>
    <n v="6.2"/>
    <n v="2.6"/>
    <x v="2"/>
    <x v="0"/>
    <n v="4"/>
    <x v="1"/>
    <n v="4"/>
    <m/>
    <x v="0"/>
    <x v="4"/>
    <x v="1"/>
    <n v="0"/>
  </r>
  <r>
    <s v="EMP0434"/>
    <d v="2020-12-30T00:00:00"/>
    <x v="1"/>
    <n v="33"/>
    <s v="Male"/>
    <s v="Married"/>
    <s v="Bachelor's"/>
    <x v="5"/>
    <x v="18"/>
    <x v="4"/>
    <s v="Noida"/>
    <n v="170000"/>
    <n v="12.2"/>
    <n v="5.6"/>
    <n v="4.8"/>
    <n v="1.6"/>
    <x v="0"/>
    <x v="3"/>
    <n v="4"/>
    <x v="0"/>
    <n v="3"/>
    <d v="2025-10-24T00:00:00"/>
    <x v="1"/>
    <x v="3"/>
    <x v="0"/>
    <n v="1"/>
  </r>
  <r>
    <s v="EMP0435"/>
    <d v="2022-10-28T00:00:00"/>
    <x v="0"/>
    <n v="26"/>
    <s v="Male"/>
    <s v="Divorced"/>
    <s v="Master's"/>
    <x v="2"/>
    <x v="2"/>
    <x v="0"/>
    <s v="Chennai"/>
    <n v="23000"/>
    <n v="12.8"/>
    <n v="6.5"/>
    <n v="3.2"/>
    <n v="0.8"/>
    <x v="2"/>
    <x v="0"/>
    <n v="3"/>
    <x v="1"/>
    <n v="4"/>
    <m/>
    <x v="1"/>
    <x v="0"/>
    <x v="0"/>
    <n v="0"/>
  </r>
  <r>
    <s v="EMP0436"/>
    <d v="2016-01-23T00:00:00"/>
    <x v="0"/>
    <n v="32"/>
    <s v="Male"/>
    <s v="Divorced"/>
    <s v="Master's"/>
    <x v="3"/>
    <x v="11"/>
    <x v="2"/>
    <s v="Hyderabad"/>
    <n v="78000"/>
    <n v="9.3000000000000007"/>
    <n v="16.399999999999999"/>
    <n v="9.9"/>
    <n v="5.0999999999999996"/>
    <x v="2"/>
    <x v="2"/>
    <n v="4"/>
    <x v="1"/>
    <n v="4"/>
    <m/>
    <x v="1"/>
    <x v="4"/>
    <x v="1"/>
    <n v="0"/>
  </r>
  <r>
    <s v="EMP0437"/>
    <d v="2024-02-03T00:00:00"/>
    <x v="0"/>
    <n v="27"/>
    <s v="Female"/>
    <s v="Married"/>
    <s v="Master's"/>
    <x v="3"/>
    <x v="11"/>
    <x v="0"/>
    <s v="Hyderabad"/>
    <n v="37000"/>
    <n v="12.9"/>
    <n v="5.2"/>
    <n v="1.9"/>
    <n v="1.6"/>
    <x v="0"/>
    <x v="2"/>
    <n v="3"/>
    <x v="1"/>
    <n v="4"/>
    <m/>
    <x v="1"/>
    <x v="0"/>
    <x v="4"/>
    <n v="0"/>
  </r>
  <r>
    <s v="EMP0438"/>
    <d v="2024-05-16T00:00:00"/>
    <x v="0"/>
    <n v="34"/>
    <s v="Male"/>
    <s v="Married"/>
    <s v="Master's"/>
    <x v="0"/>
    <x v="3"/>
    <x v="1"/>
    <s v="Bengaluru"/>
    <n v="59000"/>
    <n v="0"/>
    <n v="5.3"/>
    <n v="1.6"/>
    <n v="0.9"/>
    <x v="3"/>
    <x v="0"/>
    <n v="3"/>
    <x v="0"/>
    <n v="1"/>
    <m/>
    <x v="1"/>
    <x v="1"/>
    <x v="4"/>
    <n v="0"/>
  </r>
  <r>
    <s v="EMP0439"/>
    <d v="2024-05-06T00:00:00"/>
    <x v="0"/>
    <n v="28"/>
    <s v="Female"/>
    <s v="Married"/>
    <s v="Bachelor's"/>
    <x v="6"/>
    <x v="21"/>
    <x v="2"/>
    <s v="Mumbai"/>
    <n v="60000"/>
    <n v="11"/>
    <n v="1.8"/>
    <n v="1.7"/>
    <n v="1.5"/>
    <x v="0"/>
    <x v="1"/>
    <n v="3"/>
    <x v="1"/>
    <n v="4"/>
    <m/>
    <x v="1"/>
    <x v="4"/>
    <x v="4"/>
    <n v="0"/>
  </r>
  <r>
    <s v="EMP0440"/>
    <d v="2019-01-08T00:00:00"/>
    <x v="0"/>
    <n v="32"/>
    <s v="Non-Binary"/>
    <s v="Single"/>
    <s v="Diploma"/>
    <x v="2"/>
    <x v="20"/>
    <x v="1"/>
    <s v="Hyderabad"/>
    <n v="60000"/>
    <n v="15.4"/>
    <n v="11.6"/>
    <n v="7"/>
    <n v="4.7"/>
    <x v="3"/>
    <x v="0"/>
    <n v="3"/>
    <x v="1"/>
    <n v="2"/>
    <m/>
    <x v="1"/>
    <x v="4"/>
    <x v="1"/>
    <n v="0"/>
  </r>
  <r>
    <s v="EMP0441"/>
    <d v="2016-12-30T00:00:00"/>
    <x v="1"/>
    <n v="44"/>
    <s v="Female"/>
    <s v="Divorced"/>
    <s v="Bachelor's"/>
    <x v="2"/>
    <x v="17"/>
    <x v="3"/>
    <s v="Hyderabad"/>
    <n v="115000"/>
    <n v="9.3000000000000007"/>
    <n v="16.100000000000001"/>
    <n v="8.3000000000000007"/>
    <n v="2.6"/>
    <x v="3"/>
    <x v="0"/>
    <n v="3"/>
    <x v="1"/>
    <n v="3"/>
    <d v="2025-04-20T00:00:00"/>
    <x v="0"/>
    <x v="3"/>
    <x v="1"/>
    <n v="1"/>
  </r>
  <r>
    <s v="EMP0442"/>
    <d v="2023-01-24T00:00:00"/>
    <x v="1"/>
    <n v="31"/>
    <s v="Non-Binary"/>
    <s v="Unkown"/>
    <s v="Bachelor's"/>
    <x v="4"/>
    <x v="5"/>
    <x v="2"/>
    <s v="Noida"/>
    <n v="66000"/>
    <n v="17.7"/>
    <n v="8.3000000000000007"/>
    <n v="2.6"/>
    <n v="2.1"/>
    <x v="0"/>
    <x v="3"/>
    <n v="4"/>
    <x v="0"/>
    <n v="4"/>
    <d v="2025-09-01T00:00:00"/>
    <x v="1"/>
    <x v="4"/>
    <x v="4"/>
    <n v="1"/>
  </r>
  <r>
    <s v="EMP0443"/>
    <d v="2021-03-14T00:00:00"/>
    <x v="0"/>
    <n v="34"/>
    <s v="Female"/>
    <s v="Married"/>
    <s v="Diploma"/>
    <x v="2"/>
    <x v="20"/>
    <x v="1"/>
    <s v="Bengaluru"/>
    <n v="57000"/>
    <n v="9.1999999999999993"/>
    <n v="10.3"/>
    <n v="4.8"/>
    <n v="2.6"/>
    <x v="2"/>
    <x v="1"/>
    <n v="3"/>
    <x v="1"/>
    <n v="1"/>
    <m/>
    <x v="1"/>
    <x v="1"/>
    <x v="0"/>
    <n v="0"/>
  </r>
  <r>
    <s v="EMP0444"/>
    <d v="2018-03-23T00:00:00"/>
    <x v="0"/>
    <n v="29"/>
    <s v="Female"/>
    <s v="Married"/>
    <s v="PhD"/>
    <x v="2"/>
    <x v="20"/>
    <x v="1"/>
    <s v="Hyderabad"/>
    <n v="53000"/>
    <n v="6"/>
    <n v="14.3"/>
    <n v="7.8"/>
    <n v="3.9"/>
    <x v="2"/>
    <x v="2"/>
    <n v="3"/>
    <x v="0"/>
    <n v="2"/>
    <m/>
    <x v="1"/>
    <x v="1"/>
    <x v="1"/>
    <n v="0"/>
  </r>
  <r>
    <s v="EMP0445"/>
    <d v="2018-07-25T00:00:00"/>
    <x v="0"/>
    <n v="29"/>
    <s v="Male"/>
    <s v="Single"/>
    <s v="Master's"/>
    <x v="0"/>
    <x v="16"/>
    <x v="3"/>
    <s v="Noida"/>
    <n v="103000"/>
    <n v="7.3"/>
    <n v="10.3"/>
    <n v="7.4"/>
    <n v="3.6"/>
    <x v="2"/>
    <x v="2"/>
    <n v="3"/>
    <x v="1"/>
    <n v="3"/>
    <m/>
    <x v="1"/>
    <x v="3"/>
    <x v="1"/>
    <n v="0"/>
  </r>
  <r>
    <s v="EMP0446"/>
    <d v="2025-09-10T00:00:00"/>
    <x v="0"/>
    <n v="23"/>
    <s v="Male"/>
    <s v="Divorced"/>
    <s v="PhD"/>
    <x v="3"/>
    <x v="11"/>
    <x v="0"/>
    <s v="Hyderabad"/>
    <n v="34000"/>
    <n v="3"/>
    <n v="1.2"/>
    <n v="0.3"/>
    <n v="0"/>
    <x v="2"/>
    <x v="0"/>
    <n v="4"/>
    <x v="0"/>
    <n v="4"/>
    <m/>
    <x v="2"/>
    <x v="0"/>
    <x v="3"/>
    <n v="0"/>
  </r>
  <r>
    <s v="EMP0447"/>
    <d v="2024-02-20T00:00:00"/>
    <x v="0"/>
    <n v="34"/>
    <s v="Non-Binary"/>
    <s v="Single"/>
    <s v="Bachelor's"/>
    <x v="3"/>
    <x v="6"/>
    <x v="3"/>
    <s v="Bengaluru"/>
    <n v="102000"/>
    <n v="7.8"/>
    <n v="4.0999999999999996"/>
    <n v="1.9"/>
    <n v="0.2"/>
    <x v="2"/>
    <x v="0"/>
    <n v="3"/>
    <x v="0"/>
    <n v="3"/>
    <m/>
    <x v="1"/>
    <x v="3"/>
    <x v="4"/>
    <n v="0"/>
  </r>
  <r>
    <s v="EMP0448"/>
    <d v="2014-04-21T00:00:00"/>
    <x v="0"/>
    <n v="35"/>
    <s v="Non-Binary"/>
    <s v="Single"/>
    <s v="Bachelor's"/>
    <x v="4"/>
    <x v="14"/>
    <x v="3"/>
    <s v="Noida"/>
    <n v="118000"/>
    <n v="1.5"/>
    <n v="14.9"/>
    <n v="11.7"/>
    <n v="2.6"/>
    <x v="2"/>
    <x v="0"/>
    <n v="2"/>
    <x v="0"/>
    <n v="3"/>
    <m/>
    <x v="1"/>
    <x v="3"/>
    <x v="2"/>
    <n v="0"/>
  </r>
  <r>
    <s v="EMP0449"/>
    <d v="2014-11-03T00:00:00"/>
    <x v="0"/>
    <n v="32"/>
    <s v="Female"/>
    <s v="Single"/>
    <s v="PhD"/>
    <x v="4"/>
    <x v="5"/>
    <x v="2"/>
    <s v="Pune"/>
    <n v="80000"/>
    <n v="9.9"/>
    <n v="12.8"/>
    <n v="11.2"/>
    <n v="5.7"/>
    <x v="2"/>
    <x v="2"/>
    <n v="3"/>
    <x v="1"/>
    <n v="4"/>
    <m/>
    <x v="1"/>
    <x v="2"/>
    <x v="2"/>
    <n v="0"/>
  </r>
  <r>
    <s v="EMP0450"/>
    <d v="2022-09-03T00:00:00"/>
    <x v="0"/>
    <n v="31"/>
    <s v="Female"/>
    <s v="Divorced"/>
    <s v="PhD"/>
    <x v="4"/>
    <x v="14"/>
    <x v="4"/>
    <s v="Bengaluru"/>
    <n v="140000"/>
    <n v="13.3"/>
    <n v="4.5"/>
    <n v="3.3"/>
    <n v="1"/>
    <x v="2"/>
    <x v="0"/>
    <n v="3"/>
    <x v="1"/>
    <n v="5"/>
    <m/>
    <x v="1"/>
    <x v="3"/>
    <x v="0"/>
    <n v="0"/>
  </r>
  <r>
    <s v="EMP0451"/>
    <d v="2021-12-02T00:00:00"/>
    <x v="0"/>
    <n v="46"/>
    <s v="Female"/>
    <s v="Single"/>
    <s v="PhD"/>
    <x v="5"/>
    <x v="26"/>
    <x v="1"/>
    <s v="Hyderabad"/>
    <n v="59000"/>
    <n v="6.2"/>
    <n v="9.6999999999999993"/>
    <n v="4.0999999999999996"/>
    <n v="3"/>
    <x v="4"/>
    <x v="0"/>
    <n v="2"/>
    <x v="1"/>
    <n v="2"/>
    <m/>
    <x v="3"/>
    <x v="1"/>
    <x v="0"/>
    <n v="0"/>
  </r>
  <r>
    <s v="EMP0452"/>
    <d v="2025-09-12T00:00:00"/>
    <x v="0"/>
    <n v="21"/>
    <s v="Male"/>
    <s v="Divorced"/>
    <s v="PhD"/>
    <x v="4"/>
    <x v="25"/>
    <x v="0"/>
    <s v="Hyderabad"/>
    <n v="22000"/>
    <n v="10.1"/>
    <n v="5.7"/>
    <n v="0.3"/>
    <n v="0"/>
    <x v="2"/>
    <x v="2"/>
    <n v="1"/>
    <x v="1"/>
    <n v="3"/>
    <m/>
    <x v="2"/>
    <x v="0"/>
    <x v="3"/>
    <n v="0"/>
  </r>
  <r>
    <s v="EMP0453"/>
    <d v="2025-07-19T00:00:00"/>
    <x v="0"/>
    <n v="22"/>
    <s v="Female"/>
    <s v="Married"/>
    <s v="Diploma"/>
    <x v="3"/>
    <x v="11"/>
    <x v="0"/>
    <s v="Hyderabad"/>
    <n v="43000"/>
    <n v="7.1"/>
    <n v="3"/>
    <n v="0.5"/>
    <n v="0"/>
    <x v="2"/>
    <x v="0"/>
    <n v="4"/>
    <x v="1"/>
    <n v="3"/>
    <m/>
    <x v="2"/>
    <x v="1"/>
    <x v="3"/>
    <n v="0"/>
  </r>
  <r>
    <s v="EMP0454"/>
    <d v="2020-08-08T00:00:00"/>
    <x v="0"/>
    <n v="44"/>
    <s v="Male"/>
    <s v="Single"/>
    <s v="Bachelor's"/>
    <x v="4"/>
    <x v="24"/>
    <x v="2"/>
    <s v="Pune"/>
    <n v="82000"/>
    <n v="7.9"/>
    <n v="13"/>
    <n v="5.4"/>
    <n v="3"/>
    <x v="0"/>
    <x v="2"/>
    <n v="3"/>
    <x v="0"/>
    <n v="3"/>
    <m/>
    <x v="0"/>
    <x v="2"/>
    <x v="0"/>
    <n v="0"/>
  </r>
  <r>
    <s v="EMP0455"/>
    <d v="2025-05-16T00:00:00"/>
    <x v="1"/>
    <n v="21"/>
    <s v="Non-Binary"/>
    <s v="Single"/>
    <s v="Bachelor's"/>
    <x v="1"/>
    <x v="10"/>
    <x v="0"/>
    <s v="Unkown"/>
    <n v="33000"/>
    <n v="8.1999999999999993"/>
    <n v="0.8"/>
    <n v="0.5"/>
    <n v="0"/>
    <x v="2"/>
    <x v="0"/>
    <n v="3"/>
    <x v="0"/>
    <n v="3"/>
    <d v="2025-11-18T00:00:00"/>
    <x v="2"/>
    <x v="0"/>
    <x v="3"/>
    <n v="1"/>
  </r>
  <r>
    <s v="EMP0456"/>
    <d v="2023-08-03T00:00:00"/>
    <x v="0"/>
    <n v="32"/>
    <s v="Non-Binary"/>
    <s v="Single"/>
    <s v="PhD"/>
    <x v="5"/>
    <x v="13"/>
    <x v="3"/>
    <s v="Bengaluru"/>
    <n v="125000"/>
    <n v="8.1"/>
    <n v="9.5"/>
    <n v="2.4"/>
    <n v="1.4"/>
    <x v="2"/>
    <x v="0"/>
    <n v="4"/>
    <x v="0"/>
    <n v="4"/>
    <m/>
    <x v="1"/>
    <x v="3"/>
    <x v="4"/>
    <n v="0"/>
  </r>
  <r>
    <s v="EMP0457"/>
    <d v="2015-04-27T00:00:00"/>
    <x v="0"/>
    <n v="34"/>
    <s v="Male"/>
    <s v="Married"/>
    <s v="PhD"/>
    <x v="1"/>
    <x v="1"/>
    <x v="2"/>
    <s v="Mumbai"/>
    <n v="94000"/>
    <n v="4.5999999999999996"/>
    <n v="13.8"/>
    <n v="10.7"/>
    <n v="3.5"/>
    <x v="2"/>
    <x v="2"/>
    <n v="4"/>
    <x v="0"/>
    <n v="2"/>
    <m/>
    <x v="1"/>
    <x v="2"/>
    <x v="2"/>
    <n v="0"/>
  </r>
  <r>
    <s v="EMP0458"/>
    <d v="2025-08-19T00:00:00"/>
    <x v="0"/>
    <n v="32"/>
    <s v="Male"/>
    <s v="Single"/>
    <s v="Diploma"/>
    <x v="0"/>
    <x v="7"/>
    <x v="2"/>
    <s v="Hyderabad"/>
    <n v="72000"/>
    <n v="11.8"/>
    <n v="3"/>
    <n v="0.4"/>
    <n v="0"/>
    <x v="2"/>
    <x v="0"/>
    <n v="4"/>
    <x v="1"/>
    <n v="4"/>
    <m/>
    <x v="1"/>
    <x v="4"/>
    <x v="3"/>
    <n v="0"/>
  </r>
  <r>
    <s v="EMP0459"/>
    <d v="2019-04-20T00:00:00"/>
    <x v="0"/>
    <n v="40"/>
    <s v="Female"/>
    <s v="Married"/>
    <s v="Diploma"/>
    <x v="2"/>
    <x v="23"/>
    <x v="2"/>
    <s v="Noida"/>
    <n v="78000"/>
    <n v="6.6"/>
    <n v="8.6"/>
    <n v="6.7"/>
    <n v="4.5999999999999996"/>
    <x v="3"/>
    <x v="0"/>
    <n v="1"/>
    <x v="1"/>
    <n v="3"/>
    <m/>
    <x v="0"/>
    <x v="4"/>
    <x v="1"/>
    <n v="0"/>
  </r>
  <r>
    <s v="EMP0460"/>
    <d v="2025-02-18T00:00:00"/>
    <x v="0"/>
    <n v="25"/>
    <s v="Non-Binary"/>
    <s v="Single"/>
    <s v="PhD"/>
    <x v="2"/>
    <x v="20"/>
    <x v="0"/>
    <s v="Mumbai"/>
    <n v="34000"/>
    <n v="8.9"/>
    <n v="3.3"/>
    <n v="0.9"/>
    <n v="0"/>
    <x v="2"/>
    <x v="1"/>
    <n v="3"/>
    <x v="1"/>
    <n v="4"/>
    <m/>
    <x v="2"/>
    <x v="0"/>
    <x v="3"/>
    <n v="0"/>
  </r>
  <r>
    <s v="EMP0461"/>
    <d v="2018-09-04T00:00:00"/>
    <x v="0"/>
    <n v="32"/>
    <s v="Non-Binary"/>
    <s v="Single"/>
    <s v="Master's"/>
    <x v="3"/>
    <x v="6"/>
    <x v="1"/>
    <s v="Mumbai"/>
    <n v="38000"/>
    <n v="6.8"/>
    <n v="8.8000000000000007"/>
    <n v="7.3"/>
    <n v="3.8"/>
    <x v="2"/>
    <x v="1"/>
    <n v="3"/>
    <x v="0"/>
    <n v="5"/>
    <m/>
    <x v="1"/>
    <x v="0"/>
    <x v="1"/>
    <n v="0"/>
  </r>
  <r>
    <s v="EMP0462"/>
    <d v="2020-08-01T00:00:00"/>
    <x v="0"/>
    <n v="34"/>
    <s v="Male"/>
    <s v="Divorced"/>
    <s v="Bachelor's"/>
    <x v="4"/>
    <x v="25"/>
    <x v="1"/>
    <s v="Bengaluru"/>
    <n v="41000"/>
    <n v="14.1"/>
    <n v="6.4"/>
    <n v="5.4"/>
    <n v="4.9000000000000004"/>
    <x v="2"/>
    <x v="2"/>
    <n v="3"/>
    <x v="1"/>
    <n v="3"/>
    <m/>
    <x v="1"/>
    <x v="1"/>
    <x v="0"/>
    <n v="0"/>
  </r>
  <r>
    <s v="EMP0463"/>
    <d v="2020-11-13T00:00:00"/>
    <x v="0"/>
    <n v="40"/>
    <s v="Female"/>
    <s v="Single"/>
    <s v="Master's"/>
    <x v="4"/>
    <x v="25"/>
    <x v="2"/>
    <s v="Mumbai"/>
    <n v="77000"/>
    <n v="6.4"/>
    <n v="8"/>
    <n v="5.0999999999999996"/>
    <n v="3"/>
    <x v="2"/>
    <x v="2"/>
    <n v="1"/>
    <x v="1"/>
    <n v="4"/>
    <m/>
    <x v="0"/>
    <x v="4"/>
    <x v="0"/>
    <n v="0"/>
  </r>
  <r>
    <s v="EMP0464"/>
    <d v="2023-09-29T00:00:00"/>
    <x v="0"/>
    <n v="25"/>
    <s v="Male"/>
    <s v="Single"/>
    <s v="Master's"/>
    <x v="5"/>
    <x v="8"/>
    <x v="0"/>
    <s v="Bengaluru"/>
    <n v="46000"/>
    <n v="13"/>
    <n v="8.3000000000000007"/>
    <n v="2.2999999999999998"/>
    <n v="1"/>
    <x v="2"/>
    <x v="2"/>
    <n v="3"/>
    <x v="1"/>
    <n v="5"/>
    <m/>
    <x v="2"/>
    <x v="1"/>
    <x v="4"/>
    <n v="0"/>
  </r>
  <r>
    <s v="EMP0465"/>
    <d v="2024-06-16T00:00:00"/>
    <x v="1"/>
    <n v="43"/>
    <s v="Non-Binary"/>
    <s v="Married"/>
    <s v="Diploma"/>
    <x v="0"/>
    <x v="7"/>
    <x v="3"/>
    <s v="Chennai"/>
    <n v="101000"/>
    <n v="10.199999999999999"/>
    <n v="6"/>
    <n v="0.8"/>
    <n v="0"/>
    <x v="1"/>
    <x v="0"/>
    <n v="3"/>
    <x v="1"/>
    <n v="4"/>
    <d v="2025-03-29T00:00:00"/>
    <x v="0"/>
    <x v="3"/>
    <x v="3"/>
    <n v="1"/>
  </r>
  <r>
    <s v="EMP0466"/>
    <d v="2014-06-07T00:00:00"/>
    <x v="1"/>
    <n v="32"/>
    <s v="Male"/>
    <s v="Married"/>
    <s v="Master's"/>
    <x v="2"/>
    <x v="2"/>
    <x v="2"/>
    <s v="Noida"/>
    <n v="82000"/>
    <n v="12.2"/>
    <n v="10.9"/>
    <n v="10.8"/>
    <n v="0.7"/>
    <x v="0"/>
    <x v="3"/>
    <n v="4"/>
    <x v="1"/>
    <n v="4"/>
    <d v="2025-03-11T00:00:00"/>
    <x v="1"/>
    <x v="2"/>
    <x v="2"/>
    <n v="1"/>
  </r>
  <r>
    <s v="EMP0467"/>
    <d v="2015-08-30T00:00:00"/>
    <x v="0"/>
    <n v="42"/>
    <s v="Female"/>
    <s v="Married"/>
    <s v="PhD"/>
    <x v="1"/>
    <x v="1"/>
    <x v="3"/>
    <s v="Bengaluru"/>
    <n v="114000"/>
    <n v="13.1"/>
    <n v="11.5"/>
    <n v="10.3"/>
    <n v="2.5"/>
    <x v="3"/>
    <x v="1"/>
    <n v="4"/>
    <x v="1"/>
    <n v="4"/>
    <m/>
    <x v="0"/>
    <x v="3"/>
    <x v="2"/>
    <n v="0"/>
  </r>
  <r>
    <s v="EMP0468"/>
    <d v="2022-12-13T00:00:00"/>
    <x v="0"/>
    <n v="25"/>
    <s v="Female"/>
    <s v="Divorced"/>
    <s v="Diploma"/>
    <x v="2"/>
    <x v="17"/>
    <x v="0"/>
    <s v="Bengaluru"/>
    <n v="29000"/>
    <n v="4.5999999999999996"/>
    <n v="3.5"/>
    <n v="3"/>
    <n v="0"/>
    <x v="2"/>
    <x v="0"/>
    <n v="3"/>
    <x v="0"/>
    <n v="5"/>
    <m/>
    <x v="2"/>
    <x v="0"/>
    <x v="4"/>
    <n v="0"/>
  </r>
  <r>
    <s v="EMP0469"/>
    <d v="2019-05-18T00:00:00"/>
    <x v="0"/>
    <n v="31"/>
    <s v="Male"/>
    <s v="Married"/>
    <s v="PhD"/>
    <x v="3"/>
    <x v="6"/>
    <x v="2"/>
    <s v="Mumbai"/>
    <n v="87000"/>
    <n v="14.2"/>
    <n v="10.5"/>
    <n v="6.6"/>
    <n v="4.3"/>
    <x v="2"/>
    <x v="0"/>
    <n v="3"/>
    <x v="1"/>
    <n v="3"/>
    <m/>
    <x v="1"/>
    <x v="2"/>
    <x v="1"/>
    <n v="0"/>
  </r>
  <r>
    <s v="EMP0470"/>
    <d v="2020-01-30T00:00:00"/>
    <x v="0"/>
    <n v="29"/>
    <s v="Non-Binary"/>
    <s v="Married"/>
    <s v="PhD"/>
    <x v="5"/>
    <x v="26"/>
    <x v="2"/>
    <s v="Pune"/>
    <n v="85000"/>
    <n v="2.2999999999999998"/>
    <n v="11.7"/>
    <n v="5.9"/>
    <n v="2.8"/>
    <x v="2"/>
    <x v="0"/>
    <n v="3"/>
    <x v="1"/>
    <n v="4"/>
    <m/>
    <x v="1"/>
    <x v="2"/>
    <x v="0"/>
    <n v="0"/>
  </r>
  <r>
    <s v="EMP0471"/>
    <d v="2015-12-15T00:00:00"/>
    <x v="0"/>
    <n v="40"/>
    <s v="Non-Binary"/>
    <s v="Married"/>
    <s v="Master's"/>
    <x v="6"/>
    <x v="12"/>
    <x v="4"/>
    <s v="Pune"/>
    <n v="168000"/>
    <n v="4.0999999999999996"/>
    <n v="16.399999999999999"/>
    <n v="10"/>
    <n v="5.0999999999999996"/>
    <x v="0"/>
    <x v="0"/>
    <n v="3"/>
    <x v="1"/>
    <n v="4"/>
    <m/>
    <x v="0"/>
    <x v="3"/>
    <x v="1"/>
    <n v="0"/>
  </r>
  <r>
    <s v="EMP0472"/>
    <d v="2024-07-09T00:00:00"/>
    <x v="0"/>
    <n v="33"/>
    <s v="Male"/>
    <s v="Single"/>
    <s v="Bachelor's"/>
    <x v="1"/>
    <x v="27"/>
    <x v="2"/>
    <s v="Bengaluru"/>
    <n v="92000"/>
    <n v="5.8"/>
    <n v="3.2"/>
    <n v="1.5"/>
    <n v="0.1"/>
    <x v="0"/>
    <x v="3"/>
    <n v="4"/>
    <x v="1"/>
    <n v="3"/>
    <m/>
    <x v="1"/>
    <x v="2"/>
    <x v="4"/>
    <n v="0"/>
  </r>
  <r>
    <s v="EMP0473"/>
    <d v="2023-07-03T00:00:00"/>
    <x v="0"/>
    <n v="30"/>
    <s v="Non-Binary"/>
    <s v="Divorced"/>
    <s v="Bachelor's"/>
    <x v="6"/>
    <x v="12"/>
    <x v="1"/>
    <s v="Noida"/>
    <n v="53000"/>
    <n v="11.2"/>
    <n v="8.8000000000000007"/>
    <n v="2.5"/>
    <n v="1.9"/>
    <x v="2"/>
    <x v="2"/>
    <n v="3"/>
    <x v="1"/>
    <n v="5"/>
    <m/>
    <x v="1"/>
    <x v="1"/>
    <x v="4"/>
    <n v="0"/>
  </r>
  <r>
    <s v="EMP0474"/>
    <d v="2016-05-12T00:00:00"/>
    <x v="0"/>
    <n v="30"/>
    <s v="Male"/>
    <s v="Divorced"/>
    <s v="Bachelor's"/>
    <x v="5"/>
    <x v="26"/>
    <x v="2"/>
    <s v="Pune"/>
    <n v="85000"/>
    <n v="8.6"/>
    <n v="14.5"/>
    <n v="9.6"/>
    <n v="5.2"/>
    <x v="0"/>
    <x v="1"/>
    <n v="3"/>
    <x v="1"/>
    <n v="3"/>
    <m/>
    <x v="1"/>
    <x v="2"/>
    <x v="1"/>
    <n v="0"/>
  </r>
  <r>
    <s v="EMP0475"/>
    <d v="2018-02-14T00:00:00"/>
    <x v="0"/>
    <n v="31"/>
    <s v="Female"/>
    <s v="Single"/>
    <s v="Master's"/>
    <x v="6"/>
    <x v="22"/>
    <x v="2"/>
    <s v="Mumbai"/>
    <n v="91000"/>
    <n v="11.2"/>
    <n v="9.1"/>
    <n v="7.9"/>
    <n v="2.2000000000000002"/>
    <x v="2"/>
    <x v="2"/>
    <n v="2"/>
    <x v="1"/>
    <n v="3"/>
    <m/>
    <x v="1"/>
    <x v="2"/>
    <x v="1"/>
    <n v="0"/>
  </r>
  <r>
    <s v="EMP0476"/>
    <d v="2024-09-14T00:00:00"/>
    <x v="0"/>
    <n v="38"/>
    <s v="Female"/>
    <s v="Married"/>
    <s v="PhD"/>
    <x v="6"/>
    <x v="21"/>
    <x v="2"/>
    <s v="Mumbai"/>
    <n v="74000"/>
    <n v="13.7"/>
    <n v="6.6"/>
    <n v="1.3"/>
    <n v="0.2"/>
    <x v="0"/>
    <x v="2"/>
    <n v="3"/>
    <x v="1"/>
    <n v="3"/>
    <m/>
    <x v="0"/>
    <x v="4"/>
    <x v="4"/>
    <n v="0"/>
  </r>
  <r>
    <s v="EMP0477"/>
    <d v="2020-07-10T00:00:00"/>
    <x v="0"/>
    <n v="32"/>
    <s v="Female"/>
    <s v="Single"/>
    <s v="Master's"/>
    <x v="2"/>
    <x v="2"/>
    <x v="3"/>
    <s v="Chennai"/>
    <n v="112000"/>
    <n v="2.7"/>
    <n v="6"/>
    <n v="5.5"/>
    <n v="1.9"/>
    <x v="2"/>
    <x v="0"/>
    <n v="4"/>
    <x v="1"/>
    <n v="3"/>
    <m/>
    <x v="1"/>
    <x v="3"/>
    <x v="0"/>
    <n v="0"/>
  </r>
  <r>
    <s v="EMP0478"/>
    <d v="2023-09-24T00:00:00"/>
    <x v="0"/>
    <n v="25"/>
    <s v="Non-Binary"/>
    <s v="Single"/>
    <s v="PhD"/>
    <x v="5"/>
    <x v="18"/>
    <x v="0"/>
    <s v="Mumbai"/>
    <n v="39000"/>
    <n v="15.9"/>
    <n v="8"/>
    <n v="2.2999999999999998"/>
    <n v="0.7"/>
    <x v="2"/>
    <x v="0"/>
    <n v="4"/>
    <x v="1"/>
    <n v="5"/>
    <m/>
    <x v="2"/>
    <x v="0"/>
    <x v="4"/>
    <n v="0"/>
  </r>
  <r>
    <s v="EMP0479"/>
    <d v="2018-05-25T00:00:00"/>
    <x v="0"/>
    <n v="37"/>
    <s v="Non-Binary"/>
    <s v="Married"/>
    <s v="PhD"/>
    <x v="0"/>
    <x v="3"/>
    <x v="3"/>
    <s v="Noida"/>
    <n v="108000"/>
    <n v="1.8"/>
    <n v="14.1"/>
    <n v="7.6"/>
    <n v="3.9"/>
    <x v="2"/>
    <x v="2"/>
    <n v="4"/>
    <x v="1"/>
    <n v="2"/>
    <m/>
    <x v="0"/>
    <x v="3"/>
    <x v="1"/>
    <n v="0"/>
  </r>
  <r>
    <s v="EMP0480"/>
    <d v="2022-03-19T00:00:00"/>
    <x v="0"/>
    <n v="27"/>
    <s v="Non-Binary"/>
    <s v="Divorced"/>
    <s v="Diploma"/>
    <x v="0"/>
    <x v="3"/>
    <x v="0"/>
    <s v="Pune"/>
    <n v="26000"/>
    <n v="8.3000000000000007"/>
    <n v="6.3"/>
    <n v="3.8"/>
    <n v="1.3"/>
    <x v="3"/>
    <x v="0"/>
    <n v="1"/>
    <x v="1"/>
    <n v="5"/>
    <m/>
    <x v="1"/>
    <x v="0"/>
    <x v="0"/>
    <n v="0"/>
  </r>
  <r>
    <s v="EMP0481"/>
    <d v="2025-03-11T00:00:00"/>
    <x v="1"/>
    <n v="21"/>
    <s v="Female"/>
    <s v="Married"/>
    <s v="Bachelor's"/>
    <x v="2"/>
    <x v="2"/>
    <x v="0"/>
    <s v="Mumbai"/>
    <n v="40000"/>
    <n v="4.7"/>
    <n v="2.5"/>
    <n v="0.4"/>
    <n v="0"/>
    <x v="3"/>
    <x v="1"/>
    <n v="3"/>
    <x v="1"/>
    <n v="5"/>
    <d v="2025-08-13T00:00:00"/>
    <x v="2"/>
    <x v="1"/>
    <x v="3"/>
    <n v="1"/>
  </r>
  <r>
    <s v="EMP0482"/>
    <d v="2014-02-17T00:00:00"/>
    <x v="0"/>
    <n v="48"/>
    <s v="Non-Binary"/>
    <s v="Divorced"/>
    <s v="Master's"/>
    <x v="6"/>
    <x v="22"/>
    <x v="3"/>
    <s v="Noida"/>
    <n v="102000"/>
    <n v="0"/>
    <n v="16.100000000000001"/>
    <n v="11.9"/>
    <n v="3.6"/>
    <x v="0"/>
    <x v="0"/>
    <n v="3"/>
    <x v="1"/>
    <n v="4"/>
    <m/>
    <x v="3"/>
    <x v="3"/>
    <x v="2"/>
    <n v="0"/>
  </r>
  <r>
    <s v="EMP0483"/>
    <d v="2019-08-29T00:00:00"/>
    <x v="0"/>
    <n v="41"/>
    <s v="Male"/>
    <s v="Married"/>
    <s v="Master's"/>
    <x v="3"/>
    <x v="11"/>
    <x v="1"/>
    <s v="Mumbai"/>
    <n v="73000"/>
    <n v="4.0999999999999996"/>
    <n v="7.5"/>
    <n v="6.3"/>
    <n v="2.6"/>
    <x v="0"/>
    <x v="0"/>
    <n v="2"/>
    <x v="0"/>
    <n v="3"/>
    <m/>
    <x v="0"/>
    <x v="4"/>
    <x v="1"/>
    <n v="0"/>
  </r>
  <r>
    <s v="EMP0484"/>
    <d v="2021-10-17T00:00:00"/>
    <x v="0"/>
    <n v="30"/>
    <s v="Non-Binary"/>
    <s v="Married"/>
    <s v="Master's"/>
    <x v="5"/>
    <x v="18"/>
    <x v="2"/>
    <s v="Pune"/>
    <n v="85000"/>
    <n v="19.600000000000001"/>
    <n v="8.9"/>
    <n v="4.2"/>
    <n v="2.7"/>
    <x v="0"/>
    <x v="2"/>
    <n v="3"/>
    <x v="1"/>
    <n v="5"/>
    <m/>
    <x v="1"/>
    <x v="2"/>
    <x v="0"/>
    <n v="0"/>
  </r>
  <r>
    <s v="EMP0485"/>
    <d v="2020-05-06T00:00:00"/>
    <x v="0"/>
    <n v="35"/>
    <s v="Male"/>
    <s v="Divorced"/>
    <s v="PhD"/>
    <x v="4"/>
    <x v="14"/>
    <x v="2"/>
    <s v="Bengaluru"/>
    <n v="78000"/>
    <n v="13.3"/>
    <n v="11.2"/>
    <n v="5.7"/>
    <n v="2.6"/>
    <x v="2"/>
    <x v="3"/>
    <n v="2"/>
    <x v="1"/>
    <n v="4"/>
    <m/>
    <x v="1"/>
    <x v="4"/>
    <x v="0"/>
    <n v="0"/>
  </r>
  <r>
    <s v="EMP0486"/>
    <d v="2025-03-25T00:00:00"/>
    <x v="0"/>
    <n v="35"/>
    <s v="Male"/>
    <s v="Married"/>
    <s v="Diploma"/>
    <x v="5"/>
    <x v="18"/>
    <x v="2"/>
    <s v="Pune"/>
    <n v="83000"/>
    <n v="10.1"/>
    <n v="3.2"/>
    <n v="0.8"/>
    <n v="0"/>
    <x v="2"/>
    <x v="2"/>
    <n v="2"/>
    <x v="0"/>
    <n v="4"/>
    <m/>
    <x v="1"/>
    <x v="2"/>
    <x v="3"/>
    <n v="0"/>
  </r>
  <r>
    <s v="EMP0487"/>
    <d v="2019-04-18T00:00:00"/>
    <x v="0"/>
    <n v="37"/>
    <s v="Non-Binary"/>
    <s v="Single"/>
    <s v="Master's"/>
    <x v="1"/>
    <x v="1"/>
    <x v="0"/>
    <s v="Chennai"/>
    <n v="36000"/>
    <n v="10.5"/>
    <n v="9.1999999999999993"/>
    <n v="6.7"/>
    <n v="2.7"/>
    <x v="1"/>
    <x v="0"/>
    <n v="3"/>
    <x v="0"/>
    <n v="4"/>
    <m/>
    <x v="0"/>
    <x v="0"/>
    <x v="1"/>
    <n v="0"/>
  </r>
  <r>
    <s v="EMP0488"/>
    <d v="2017-11-23T00:00:00"/>
    <x v="1"/>
    <n v="41"/>
    <s v="Non-Binary"/>
    <s v="Married"/>
    <s v="Diploma"/>
    <x v="0"/>
    <x v="16"/>
    <x v="2"/>
    <s v="Noida"/>
    <n v="72000"/>
    <n v="1.9"/>
    <n v="13.3"/>
    <n v="8"/>
    <n v="2.5"/>
    <x v="2"/>
    <x v="1"/>
    <n v="3"/>
    <x v="0"/>
    <n v="4"/>
    <d v="2025-11-16T00:00:00"/>
    <x v="0"/>
    <x v="4"/>
    <x v="1"/>
    <n v="1"/>
  </r>
  <r>
    <s v="EMP0489"/>
    <d v="2020-12-17T00:00:00"/>
    <x v="0"/>
    <n v="27"/>
    <s v="Non-Binary"/>
    <s v="Single"/>
    <s v="Master's"/>
    <x v="5"/>
    <x v="13"/>
    <x v="0"/>
    <s v="Mumbai"/>
    <n v="32000"/>
    <n v="6.6"/>
    <n v="9.5"/>
    <n v="5"/>
    <n v="0.6"/>
    <x v="0"/>
    <x v="0"/>
    <n v="2"/>
    <x v="1"/>
    <n v="4"/>
    <m/>
    <x v="1"/>
    <x v="0"/>
    <x v="0"/>
    <n v="0"/>
  </r>
  <r>
    <s v="EMP0490"/>
    <d v="2025-08-13T00:00:00"/>
    <x v="1"/>
    <n v="21"/>
    <s v="Non-Binary"/>
    <s v="Married"/>
    <s v="PhD"/>
    <x v="4"/>
    <x v="25"/>
    <x v="0"/>
    <s v="Chennai"/>
    <n v="60000"/>
    <n v="13.2"/>
    <n v="2.2000000000000002"/>
    <n v="0.2"/>
    <n v="0"/>
    <x v="3"/>
    <x v="2"/>
    <n v="3"/>
    <x v="1"/>
    <n v="4"/>
    <d v="2025-11-07T00:00:00"/>
    <x v="2"/>
    <x v="4"/>
    <x v="3"/>
    <n v="1"/>
  </r>
  <r>
    <s v="EMP0491"/>
    <d v="2025-06-06T00:00:00"/>
    <x v="0"/>
    <n v="33"/>
    <s v="Male"/>
    <s v="Single"/>
    <s v="Diploma"/>
    <x v="5"/>
    <x v="26"/>
    <x v="3"/>
    <s v="Bengaluru"/>
    <n v="127000"/>
    <n v="11.1"/>
    <n v="3.1"/>
    <n v="0.6"/>
    <n v="0"/>
    <x v="2"/>
    <x v="1"/>
    <n v="2"/>
    <x v="1"/>
    <n v="2"/>
    <m/>
    <x v="1"/>
    <x v="3"/>
    <x v="3"/>
    <n v="0"/>
  </r>
  <r>
    <s v="EMP0492"/>
    <d v="2017-10-05T00:00:00"/>
    <x v="0"/>
    <n v="37"/>
    <s v="Female"/>
    <s v="Married"/>
    <s v="Bachelor's"/>
    <x v="1"/>
    <x v="9"/>
    <x v="4"/>
    <s v="Bengaluru"/>
    <n v="180000"/>
    <n v="8.1999999999999993"/>
    <n v="13.9"/>
    <n v="8.1999999999999993"/>
    <n v="1.8"/>
    <x v="0"/>
    <x v="1"/>
    <n v="2"/>
    <x v="0"/>
    <n v="5"/>
    <m/>
    <x v="0"/>
    <x v="3"/>
    <x v="1"/>
    <n v="0"/>
  </r>
  <r>
    <s v="EMP0493"/>
    <d v="2018-11-05T00:00:00"/>
    <x v="0"/>
    <n v="32"/>
    <s v="Female"/>
    <s v="Divorced"/>
    <s v="Master's"/>
    <x v="1"/>
    <x v="27"/>
    <x v="2"/>
    <s v="Bengaluru"/>
    <n v="100000"/>
    <n v="11.4"/>
    <n v="8.1"/>
    <n v="7.2"/>
    <n v="0.4"/>
    <x v="0"/>
    <x v="0"/>
    <n v="3"/>
    <x v="1"/>
    <n v="3"/>
    <m/>
    <x v="1"/>
    <x v="3"/>
    <x v="1"/>
    <n v="0"/>
  </r>
  <r>
    <s v="EMP0494"/>
    <d v="2019-03-18T00:00:00"/>
    <x v="0"/>
    <n v="38"/>
    <s v="Male"/>
    <s v="Single"/>
    <s v="PhD"/>
    <x v="6"/>
    <x v="19"/>
    <x v="1"/>
    <s v="Chennai"/>
    <n v="55000"/>
    <n v="8.9"/>
    <n v="7.5"/>
    <n v="6.8"/>
    <n v="3.8"/>
    <x v="2"/>
    <x v="1"/>
    <n v="4"/>
    <x v="1"/>
    <n v="3"/>
    <m/>
    <x v="0"/>
    <x v="1"/>
    <x v="1"/>
    <n v="0"/>
  </r>
  <r>
    <s v="EMP0495"/>
    <d v="2020-04-06T00:00:00"/>
    <x v="0"/>
    <n v="41"/>
    <s v="Female"/>
    <s v="Married"/>
    <s v="Master's"/>
    <x v="3"/>
    <x v="15"/>
    <x v="0"/>
    <s v="Chennai"/>
    <n v="44000"/>
    <n v="5.9"/>
    <n v="5.7"/>
    <n v="5.7"/>
    <n v="5.3"/>
    <x v="2"/>
    <x v="0"/>
    <n v="3"/>
    <x v="1"/>
    <n v="4"/>
    <m/>
    <x v="0"/>
    <x v="1"/>
    <x v="0"/>
    <n v="0"/>
  </r>
  <r>
    <s v="EMP0496"/>
    <d v="2025-06-10T00:00:00"/>
    <x v="0"/>
    <n v="26"/>
    <s v="Female"/>
    <s v="Single"/>
    <s v="Diploma"/>
    <x v="2"/>
    <x v="2"/>
    <x v="0"/>
    <s v="Noida"/>
    <n v="22000"/>
    <n v="6.5"/>
    <n v="3.7"/>
    <n v="0.6"/>
    <n v="0"/>
    <x v="2"/>
    <x v="1"/>
    <n v="3"/>
    <x v="1"/>
    <n v="3"/>
    <m/>
    <x v="1"/>
    <x v="0"/>
    <x v="3"/>
    <n v="0"/>
  </r>
  <r>
    <s v="EMP0497"/>
    <d v="2017-06-02T00:00:00"/>
    <x v="0"/>
    <n v="40"/>
    <s v="Male"/>
    <s v="Divorced"/>
    <s v="PhD"/>
    <x v="6"/>
    <x v="21"/>
    <x v="4"/>
    <s v="Bengaluru"/>
    <n v="158000"/>
    <n v="11.9"/>
    <n v="10.3"/>
    <n v="8.6"/>
    <n v="5.8"/>
    <x v="2"/>
    <x v="0"/>
    <n v="4"/>
    <x v="0"/>
    <n v="2"/>
    <m/>
    <x v="0"/>
    <x v="3"/>
    <x v="1"/>
    <n v="0"/>
  </r>
  <r>
    <s v="EMP0498"/>
    <d v="2017-11-29T00:00:00"/>
    <x v="0"/>
    <n v="29"/>
    <s v="Non-Binary"/>
    <s v="Married"/>
    <s v="Bachelor's"/>
    <x v="5"/>
    <x v="13"/>
    <x v="1"/>
    <s v="Hyderabad"/>
    <n v="63000"/>
    <n v="12.2"/>
    <n v="14.4"/>
    <n v="8.1"/>
    <n v="3.9"/>
    <x v="0"/>
    <x v="1"/>
    <n v="1"/>
    <x v="1"/>
    <n v="4"/>
    <m/>
    <x v="1"/>
    <x v="4"/>
    <x v="1"/>
    <n v="0"/>
  </r>
  <r>
    <s v="EMP0499"/>
    <d v="2021-07-06T00:00:00"/>
    <x v="0"/>
    <n v="41"/>
    <s v="Male"/>
    <s v="Married"/>
    <s v="Diploma"/>
    <x v="2"/>
    <x v="17"/>
    <x v="3"/>
    <s v="Pune"/>
    <n v="114000"/>
    <n v="10.4"/>
    <n v="4.5999999999999996"/>
    <n v="4.5"/>
    <n v="2.1"/>
    <x v="0"/>
    <x v="2"/>
    <n v="3"/>
    <x v="0"/>
    <n v="3"/>
    <m/>
    <x v="0"/>
    <x v="3"/>
    <x v="0"/>
    <n v="0"/>
  </r>
  <r>
    <s v="EMP0500"/>
    <d v="2023-02-11T00:00:00"/>
    <x v="1"/>
    <n v="33"/>
    <s v="Female"/>
    <s v="Unkown"/>
    <s v="Diploma"/>
    <x v="5"/>
    <x v="18"/>
    <x v="3"/>
    <s v="Chennai"/>
    <n v="116000"/>
    <n v="8.3000000000000007"/>
    <n v="9.8000000000000007"/>
    <n v="2.6"/>
    <n v="1.8"/>
    <x v="0"/>
    <x v="1"/>
    <n v="2"/>
    <x v="1"/>
    <n v="4"/>
    <d v="2025-09-10T00:00:00"/>
    <x v="1"/>
    <x v="3"/>
    <x v="4"/>
    <n v="1"/>
  </r>
  <r>
    <s v="EMP0501"/>
    <d v="2024-03-17T00:00:00"/>
    <x v="0"/>
    <n v="28"/>
    <s v="Male"/>
    <s v="Divorced"/>
    <s v="Diploma"/>
    <x v="4"/>
    <x v="5"/>
    <x v="1"/>
    <s v="Pune"/>
    <n v="49000"/>
    <n v="5.8"/>
    <n v="3.2"/>
    <n v="1.8"/>
    <n v="1.1000000000000001"/>
    <x v="2"/>
    <x v="2"/>
    <n v="2"/>
    <x v="1"/>
    <n v="5"/>
    <m/>
    <x v="1"/>
    <x v="1"/>
    <x v="4"/>
    <n v="0"/>
  </r>
  <r>
    <s v="EMP0502"/>
    <d v="2025-01-02T00:00:00"/>
    <x v="0"/>
    <n v="21"/>
    <s v="Male"/>
    <s v="Married"/>
    <s v="PhD"/>
    <x v="2"/>
    <x v="23"/>
    <x v="0"/>
    <s v="Mumbai"/>
    <n v="35000"/>
    <n v="9"/>
    <n v="5.5"/>
    <n v="1"/>
    <n v="0.5"/>
    <x v="2"/>
    <x v="2"/>
    <n v="3"/>
    <x v="1"/>
    <n v="5"/>
    <m/>
    <x v="2"/>
    <x v="0"/>
    <x v="4"/>
    <n v="0"/>
  </r>
  <r>
    <s v="EMP0503"/>
    <d v="2020-03-29T00:00:00"/>
    <x v="0"/>
    <n v="38"/>
    <s v="Male"/>
    <s v="Married"/>
    <s v="Bachelor's"/>
    <x v="6"/>
    <x v="19"/>
    <x v="2"/>
    <s v="Chennai"/>
    <n v="85000"/>
    <n v="2.6"/>
    <n v="7.6"/>
    <n v="5.8"/>
    <n v="1.6"/>
    <x v="0"/>
    <x v="0"/>
    <n v="3"/>
    <x v="1"/>
    <n v="1"/>
    <m/>
    <x v="0"/>
    <x v="2"/>
    <x v="0"/>
    <n v="0"/>
  </r>
  <r>
    <s v="EMP0504"/>
    <d v="2023-12-18T00:00:00"/>
    <x v="0"/>
    <n v="28"/>
    <s v="Female"/>
    <s v="Single"/>
    <s v="Diploma"/>
    <x v="2"/>
    <x v="23"/>
    <x v="4"/>
    <s v="Hyderabad"/>
    <n v="142000"/>
    <n v="12.3"/>
    <n v="3.6"/>
    <n v="2"/>
    <n v="0.7"/>
    <x v="0"/>
    <x v="3"/>
    <n v="3"/>
    <x v="1"/>
    <n v="1"/>
    <m/>
    <x v="1"/>
    <x v="3"/>
    <x v="4"/>
    <n v="0"/>
  </r>
  <r>
    <s v="EMP0505"/>
    <d v="2015-06-11T00:00:00"/>
    <x v="0"/>
    <n v="31"/>
    <s v="Female"/>
    <s v="Divorced"/>
    <s v="Bachelor's"/>
    <x v="1"/>
    <x v="10"/>
    <x v="2"/>
    <s v="Bengaluru"/>
    <n v="72000"/>
    <n v="11.5"/>
    <n v="12.5"/>
    <n v="10.6"/>
    <n v="0.4"/>
    <x v="0"/>
    <x v="0"/>
    <n v="3"/>
    <x v="1"/>
    <n v="2"/>
    <m/>
    <x v="1"/>
    <x v="4"/>
    <x v="2"/>
    <n v="0"/>
  </r>
  <r>
    <s v="EMP0506"/>
    <d v="2015-04-15T00:00:00"/>
    <x v="1"/>
    <n v="33"/>
    <s v="Male"/>
    <s v="Married"/>
    <s v="PhD"/>
    <x v="5"/>
    <x v="8"/>
    <x v="1"/>
    <s v="Mumbai"/>
    <n v="62000"/>
    <n v="14.4"/>
    <n v="10.8"/>
    <n v="10.3"/>
    <n v="3.7"/>
    <x v="0"/>
    <x v="0"/>
    <n v="2"/>
    <x v="1"/>
    <n v="2"/>
    <d v="2025-08-15T00:00:00"/>
    <x v="1"/>
    <x v="4"/>
    <x v="2"/>
    <n v="1"/>
  </r>
  <r>
    <s v="EMP0507"/>
    <d v="2025-07-15T00:00:00"/>
    <x v="1"/>
    <n v="21"/>
    <s v="Non-Binary"/>
    <s v="Single"/>
    <s v="PhD"/>
    <x v="5"/>
    <x v="26"/>
    <x v="0"/>
    <s v="Chennai"/>
    <n v="39000"/>
    <n v="16.2"/>
    <n v="4"/>
    <n v="0.3"/>
    <n v="0"/>
    <x v="2"/>
    <x v="0"/>
    <n v="2"/>
    <x v="1"/>
    <n v="4"/>
    <d v="2025-11-01T00:00:00"/>
    <x v="2"/>
    <x v="0"/>
    <x v="3"/>
    <n v="1"/>
  </r>
  <r>
    <s v="EMP0508"/>
    <d v="2025-07-22T00:00:00"/>
    <x v="0"/>
    <n v="34"/>
    <s v="Non-Binary"/>
    <s v="Married"/>
    <s v="Master's"/>
    <x v="6"/>
    <x v="22"/>
    <x v="1"/>
    <s v="Pune"/>
    <n v="48000"/>
    <n v="12.2"/>
    <n v="7.7"/>
    <n v="0.4"/>
    <n v="0"/>
    <x v="2"/>
    <x v="0"/>
    <n v="3"/>
    <x v="1"/>
    <n v="3"/>
    <m/>
    <x v="1"/>
    <x v="1"/>
    <x v="3"/>
    <n v="0"/>
  </r>
  <r>
    <s v="EMP0509"/>
    <d v="2022-01-20T00:00:00"/>
    <x v="0"/>
    <n v="36"/>
    <s v="Female"/>
    <s v="Married"/>
    <s v="Diploma"/>
    <x v="1"/>
    <x v="10"/>
    <x v="0"/>
    <s v="Bengaluru"/>
    <n v="44000"/>
    <n v="13.2"/>
    <n v="6.4"/>
    <n v="3.9"/>
    <n v="3.5"/>
    <x v="0"/>
    <x v="2"/>
    <n v="2"/>
    <x v="1"/>
    <n v="3"/>
    <m/>
    <x v="0"/>
    <x v="1"/>
    <x v="0"/>
    <n v="0"/>
  </r>
  <r>
    <s v="EMP0510"/>
    <d v="2019-10-08T00:00:00"/>
    <x v="0"/>
    <n v="36"/>
    <s v="Non-Binary"/>
    <s v="Married"/>
    <s v="PhD"/>
    <x v="4"/>
    <x v="14"/>
    <x v="0"/>
    <s v="Chennai"/>
    <n v="28000"/>
    <n v="8.9"/>
    <n v="7.8"/>
    <n v="6.2"/>
    <n v="1.2"/>
    <x v="0"/>
    <x v="2"/>
    <n v="4"/>
    <x v="1"/>
    <n v="3"/>
    <m/>
    <x v="0"/>
    <x v="0"/>
    <x v="1"/>
    <n v="0"/>
  </r>
  <r>
    <s v="EMP0511"/>
    <d v="2021-05-05T00:00:00"/>
    <x v="0"/>
    <n v="28"/>
    <s v="Non-Binary"/>
    <s v="Single"/>
    <s v="Master's"/>
    <x v="0"/>
    <x v="7"/>
    <x v="3"/>
    <s v="Mumbai"/>
    <n v="100000"/>
    <n v="6.9"/>
    <n v="5.5"/>
    <n v="4.7"/>
    <n v="4.0999999999999996"/>
    <x v="2"/>
    <x v="2"/>
    <n v="3"/>
    <x v="1"/>
    <n v="5"/>
    <m/>
    <x v="1"/>
    <x v="3"/>
    <x v="0"/>
    <n v="0"/>
  </r>
  <r>
    <s v="EMP0512"/>
    <d v="2024-02-06T00:00:00"/>
    <x v="0"/>
    <n v="27"/>
    <s v="Male"/>
    <s v="Married"/>
    <s v="Bachelor's"/>
    <x v="4"/>
    <x v="14"/>
    <x v="0"/>
    <s v="Chennai"/>
    <n v="42000"/>
    <n v="9"/>
    <n v="7.8"/>
    <n v="1.9"/>
    <n v="0.4"/>
    <x v="0"/>
    <x v="1"/>
    <n v="4"/>
    <x v="1"/>
    <n v="3"/>
    <m/>
    <x v="1"/>
    <x v="1"/>
    <x v="4"/>
    <n v="0"/>
  </r>
  <r>
    <s v="EMP0513"/>
    <d v="2023-08-15T00:00:00"/>
    <x v="1"/>
    <n v="31"/>
    <s v="Non-Binary"/>
    <s v="Single"/>
    <s v="Master's"/>
    <x v="5"/>
    <x v="13"/>
    <x v="1"/>
    <s v="Pune"/>
    <n v="61000"/>
    <n v="12.3"/>
    <n v="3"/>
    <n v="1.4"/>
    <n v="0.4"/>
    <x v="0"/>
    <x v="1"/>
    <n v="3"/>
    <x v="1"/>
    <n v="3"/>
    <d v="2025-01-16T00:00:00"/>
    <x v="1"/>
    <x v="4"/>
    <x v="4"/>
    <n v="1"/>
  </r>
  <r>
    <s v="EMP0514"/>
    <d v="2018-09-09T00:00:00"/>
    <x v="0"/>
    <n v="28"/>
    <s v="Female"/>
    <s v="Divorced"/>
    <s v="Master's"/>
    <x v="5"/>
    <x v="13"/>
    <x v="3"/>
    <s v="Chennai"/>
    <n v="121000"/>
    <n v="3.6"/>
    <n v="13.6"/>
    <n v="7.3"/>
    <n v="0.7"/>
    <x v="2"/>
    <x v="2"/>
    <n v="3"/>
    <x v="0"/>
    <n v="3"/>
    <m/>
    <x v="1"/>
    <x v="3"/>
    <x v="1"/>
    <n v="0"/>
  </r>
  <r>
    <s v="EMP0515"/>
    <d v="2025-01-24T00:00:00"/>
    <x v="0"/>
    <n v="30"/>
    <s v="Male"/>
    <s v="Single"/>
    <s v="Master's"/>
    <x v="2"/>
    <x v="17"/>
    <x v="3"/>
    <s v="Chennai"/>
    <n v="116000"/>
    <n v="10.1"/>
    <n v="2.5"/>
    <n v="0.9"/>
    <n v="0"/>
    <x v="0"/>
    <x v="0"/>
    <n v="3"/>
    <x v="0"/>
    <n v="5"/>
    <m/>
    <x v="1"/>
    <x v="3"/>
    <x v="3"/>
    <n v="0"/>
  </r>
  <r>
    <s v="EMP0516"/>
    <d v="2025-01-28T00:00:00"/>
    <x v="0"/>
    <n v="39"/>
    <s v="Non-Binary"/>
    <s v="Divorced"/>
    <s v="Bachelor's"/>
    <x v="6"/>
    <x v="22"/>
    <x v="1"/>
    <s v="Pune"/>
    <n v="52000"/>
    <n v="10.6"/>
    <n v="8.6999999999999993"/>
    <n v="0.9"/>
    <n v="0"/>
    <x v="0"/>
    <x v="1"/>
    <n v="2"/>
    <x v="1"/>
    <n v="3"/>
    <m/>
    <x v="0"/>
    <x v="1"/>
    <x v="3"/>
    <n v="0"/>
  </r>
  <r>
    <s v="EMP0517"/>
    <d v="2018-02-25T00:00:00"/>
    <x v="0"/>
    <n v="35"/>
    <s v="Female"/>
    <s v="Divorced"/>
    <s v="PhD"/>
    <x v="4"/>
    <x v="5"/>
    <x v="2"/>
    <s v="Noida"/>
    <n v="68000"/>
    <n v="0"/>
    <n v="10.4"/>
    <n v="7.8"/>
    <n v="2.2000000000000002"/>
    <x v="2"/>
    <x v="0"/>
    <n v="3"/>
    <x v="1"/>
    <n v="3"/>
    <m/>
    <x v="1"/>
    <x v="4"/>
    <x v="1"/>
    <n v="0"/>
  </r>
  <r>
    <s v="EMP0518"/>
    <d v="2015-03-26T00:00:00"/>
    <x v="0"/>
    <n v="43"/>
    <s v="Male"/>
    <s v="Single"/>
    <s v="Bachelor's"/>
    <x v="2"/>
    <x v="23"/>
    <x v="1"/>
    <s v="Hyderabad"/>
    <n v="60000"/>
    <n v="12.9"/>
    <n v="14.2"/>
    <n v="10.8"/>
    <n v="2.2999999999999998"/>
    <x v="3"/>
    <x v="1"/>
    <n v="4"/>
    <x v="1"/>
    <n v="3"/>
    <m/>
    <x v="0"/>
    <x v="4"/>
    <x v="2"/>
    <n v="0"/>
  </r>
  <r>
    <s v="EMP0519"/>
    <d v="2025-03-21T00:00:00"/>
    <x v="0"/>
    <n v="34"/>
    <s v="Female"/>
    <s v="Single"/>
    <s v="Diploma"/>
    <x v="3"/>
    <x v="4"/>
    <x v="1"/>
    <s v="Noida"/>
    <n v="57000"/>
    <n v="6.5"/>
    <n v="4.2"/>
    <n v="0.8"/>
    <n v="0"/>
    <x v="2"/>
    <x v="0"/>
    <n v="3"/>
    <x v="1"/>
    <n v="1"/>
    <m/>
    <x v="1"/>
    <x v="1"/>
    <x v="3"/>
    <n v="0"/>
  </r>
  <r>
    <s v="EMP0520"/>
    <d v="2022-04-03T00:00:00"/>
    <x v="1"/>
    <n v="37"/>
    <s v="Male"/>
    <s v="Divorced"/>
    <s v="Diploma"/>
    <x v="5"/>
    <x v="18"/>
    <x v="3"/>
    <s v="Hyderabad"/>
    <n v="135000"/>
    <n v="8.4"/>
    <n v="10.5"/>
    <n v="3.1"/>
    <n v="0.3"/>
    <x v="2"/>
    <x v="1"/>
    <n v="1"/>
    <x v="1"/>
    <n v="3"/>
    <d v="2025-05-22T00:00:00"/>
    <x v="0"/>
    <x v="3"/>
    <x v="0"/>
    <n v="1"/>
  </r>
  <r>
    <s v="EMP0521"/>
    <d v="2018-08-20T00:00:00"/>
    <x v="0"/>
    <n v="33"/>
    <s v="Female"/>
    <s v="Married"/>
    <s v="Bachelor's"/>
    <x v="6"/>
    <x v="21"/>
    <x v="1"/>
    <s v="Mumbai"/>
    <n v="58000"/>
    <n v="3.2"/>
    <n v="11.7"/>
    <n v="7.4"/>
    <n v="1.6"/>
    <x v="0"/>
    <x v="2"/>
    <n v="3"/>
    <x v="0"/>
    <n v="3"/>
    <m/>
    <x v="1"/>
    <x v="1"/>
    <x v="1"/>
    <n v="0"/>
  </r>
  <r>
    <s v="EMP0522"/>
    <d v="2023-09-21T00:00:00"/>
    <x v="0"/>
    <n v="29"/>
    <s v="Male"/>
    <s v="Married"/>
    <s v="Master's"/>
    <x v="0"/>
    <x v="3"/>
    <x v="3"/>
    <s v="Mumbai"/>
    <n v="93000"/>
    <n v="7"/>
    <n v="7"/>
    <n v="2.2999999999999998"/>
    <n v="1.3"/>
    <x v="3"/>
    <x v="0"/>
    <n v="4"/>
    <x v="1"/>
    <n v="3"/>
    <m/>
    <x v="1"/>
    <x v="2"/>
    <x v="4"/>
    <n v="0"/>
  </r>
  <r>
    <s v="EMP0523"/>
    <d v="2021-05-03T00:00:00"/>
    <x v="0"/>
    <n v="30"/>
    <s v="Female"/>
    <s v="Single"/>
    <s v="PhD"/>
    <x v="2"/>
    <x v="17"/>
    <x v="1"/>
    <s v="Mumbai"/>
    <n v="65000"/>
    <n v="10.3"/>
    <n v="5.7"/>
    <n v="4.7"/>
    <n v="4.4000000000000004"/>
    <x v="2"/>
    <x v="3"/>
    <n v="4"/>
    <x v="1"/>
    <n v="4"/>
    <m/>
    <x v="1"/>
    <x v="4"/>
    <x v="0"/>
    <n v="0"/>
  </r>
  <r>
    <s v="EMP0524"/>
    <d v="2017-08-15T00:00:00"/>
    <x v="0"/>
    <n v="37"/>
    <s v="Non-Binary"/>
    <s v="Divorced"/>
    <s v="PhD"/>
    <x v="0"/>
    <x v="16"/>
    <x v="2"/>
    <s v="Mumbai"/>
    <n v="62000"/>
    <n v="13.2"/>
    <n v="8.6"/>
    <n v="8.4"/>
    <n v="0.8"/>
    <x v="2"/>
    <x v="2"/>
    <n v="4"/>
    <x v="1"/>
    <n v="4"/>
    <m/>
    <x v="0"/>
    <x v="4"/>
    <x v="1"/>
    <n v="0"/>
  </r>
  <r>
    <s v="EMP0525"/>
    <d v="2021-03-07T00:00:00"/>
    <x v="0"/>
    <n v="38"/>
    <s v="Non-Binary"/>
    <s v="Divorced"/>
    <s v="PhD"/>
    <x v="1"/>
    <x v="1"/>
    <x v="0"/>
    <s v="Bengaluru"/>
    <n v="30000"/>
    <n v="2.8"/>
    <n v="9.9"/>
    <n v="4.8"/>
    <n v="1.5"/>
    <x v="2"/>
    <x v="1"/>
    <n v="3"/>
    <x v="1"/>
    <n v="3"/>
    <m/>
    <x v="0"/>
    <x v="0"/>
    <x v="0"/>
    <n v="0"/>
  </r>
  <r>
    <s v="EMP0526"/>
    <d v="2014-06-08T00:00:00"/>
    <x v="0"/>
    <n v="36"/>
    <s v="Female"/>
    <s v="Married"/>
    <s v="Master's"/>
    <x v="1"/>
    <x v="27"/>
    <x v="0"/>
    <s v="Bengaluru"/>
    <n v="31000"/>
    <n v="5.5"/>
    <n v="12.1"/>
    <n v="11.6"/>
    <n v="0.3"/>
    <x v="3"/>
    <x v="0"/>
    <n v="2"/>
    <x v="1"/>
    <n v="4"/>
    <m/>
    <x v="0"/>
    <x v="0"/>
    <x v="2"/>
    <n v="0"/>
  </r>
  <r>
    <s v="EMP0527"/>
    <d v="2023-06-15T00:00:00"/>
    <x v="0"/>
    <n v="25"/>
    <s v="Non-Binary"/>
    <s v="Divorced"/>
    <s v="Diploma"/>
    <x v="1"/>
    <x v="1"/>
    <x v="0"/>
    <s v="Chennai"/>
    <n v="54000"/>
    <n v="5.4"/>
    <n v="3.6"/>
    <n v="2.5"/>
    <n v="0.5"/>
    <x v="0"/>
    <x v="0"/>
    <n v="3"/>
    <x v="0"/>
    <n v="3"/>
    <m/>
    <x v="2"/>
    <x v="1"/>
    <x v="4"/>
    <n v="0"/>
  </r>
  <r>
    <s v="EMP0528"/>
    <d v="2025-08-15T00:00:00"/>
    <x v="0"/>
    <n v="31"/>
    <s v="Non-Binary"/>
    <s v="Single"/>
    <s v="Bachelor's"/>
    <x v="1"/>
    <x v="1"/>
    <x v="1"/>
    <s v="Hyderabad"/>
    <n v="67000"/>
    <n v="6.8"/>
    <n v="6.8"/>
    <n v="0.4"/>
    <n v="0"/>
    <x v="1"/>
    <x v="2"/>
    <n v="4"/>
    <x v="0"/>
    <n v="3"/>
    <m/>
    <x v="1"/>
    <x v="4"/>
    <x v="3"/>
    <n v="0"/>
  </r>
  <r>
    <s v="EMP0529"/>
    <d v="2015-11-04T00:00:00"/>
    <x v="0"/>
    <n v="33"/>
    <s v="Female"/>
    <s v="Divorced"/>
    <s v="Master's"/>
    <x v="0"/>
    <x v="16"/>
    <x v="1"/>
    <s v="Noida"/>
    <n v="40000"/>
    <n v="12"/>
    <n v="17"/>
    <n v="10.199999999999999"/>
    <n v="2.5"/>
    <x v="2"/>
    <x v="1"/>
    <n v="3"/>
    <x v="1"/>
    <n v="3"/>
    <m/>
    <x v="1"/>
    <x v="1"/>
    <x v="2"/>
    <n v="0"/>
  </r>
  <r>
    <s v="EMP0530"/>
    <d v="2015-08-01T00:00:00"/>
    <x v="0"/>
    <n v="31"/>
    <s v="Male"/>
    <s v="Married"/>
    <s v="PhD"/>
    <x v="4"/>
    <x v="25"/>
    <x v="1"/>
    <s v="Chennai"/>
    <n v="42000"/>
    <n v="0"/>
    <n v="15.4"/>
    <n v="10.4"/>
    <n v="1.8"/>
    <x v="0"/>
    <x v="2"/>
    <n v="3"/>
    <x v="0"/>
    <n v="4"/>
    <m/>
    <x v="1"/>
    <x v="1"/>
    <x v="2"/>
    <n v="0"/>
  </r>
  <r>
    <s v="EMP0531"/>
    <d v="2024-06-20T00:00:00"/>
    <x v="0"/>
    <n v="50"/>
    <s v="Non-Binary"/>
    <s v="Married"/>
    <s v="PhD"/>
    <x v="5"/>
    <x v="18"/>
    <x v="0"/>
    <s v="Hyderabad"/>
    <n v="45000"/>
    <n v="8.9"/>
    <n v="3.6"/>
    <n v="1.5"/>
    <n v="0.8"/>
    <x v="2"/>
    <x v="0"/>
    <n v="2"/>
    <x v="1"/>
    <n v="4"/>
    <m/>
    <x v="3"/>
    <x v="1"/>
    <x v="4"/>
    <n v="0"/>
  </r>
  <r>
    <s v="EMP0532"/>
    <d v="2021-01-22T00:00:00"/>
    <x v="0"/>
    <n v="33"/>
    <s v="Male"/>
    <s v="Divorced"/>
    <s v="PhD"/>
    <x v="0"/>
    <x v="16"/>
    <x v="3"/>
    <s v="Pune"/>
    <n v="108000"/>
    <n v="4.3"/>
    <n v="7.6"/>
    <n v="4.9000000000000004"/>
    <n v="3.7"/>
    <x v="3"/>
    <x v="0"/>
    <n v="2"/>
    <x v="0"/>
    <n v="4"/>
    <m/>
    <x v="1"/>
    <x v="3"/>
    <x v="0"/>
    <n v="0"/>
  </r>
  <r>
    <s v="EMP0533"/>
    <d v="2023-09-15T00:00:00"/>
    <x v="1"/>
    <n v="38"/>
    <s v="Male"/>
    <s v="Married"/>
    <s v="Diploma"/>
    <x v="3"/>
    <x v="4"/>
    <x v="3"/>
    <s v="Pune"/>
    <n v="121000"/>
    <n v="10.8"/>
    <n v="6.6"/>
    <n v="2.2999999999999998"/>
    <n v="0.9"/>
    <x v="3"/>
    <x v="1"/>
    <n v="4"/>
    <x v="0"/>
    <n v="4"/>
    <m/>
    <x v="0"/>
    <x v="3"/>
    <x v="4"/>
    <n v="1"/>
  </r>
  <r>
    <s v="EMP0534"/>
    <d v="2019-06-22T00:00:00"/>
    <x v="0"/>
    <n v="38"/>
    <s v="Female"/>
    <s v="Single"/>
    <s v="Bachelor's"/>
    <x v="1"/>
    <x v="10"/>
    <x v="3"/>
    <s v="Bengaluru"/>
    <n v="134000"/>
    <n v="7.6"/>
    <n v="10.7"/>
    <n v="6.5"/>
    <n v="4"/>
    <x v="1"/>
    <x v="0"/>
    <n v="2"/>
    <x v="1"/>
    <n v="4"/>
    <m/>
    <x v="0"/>
    <x v="3"/>
    <x v="1"/>
    <n v="0"/>
  </r>
  <r>
    <s v="EMP0535"/>
    <d v="2014-11-01T00:00:00"/>
    <x v="1"/>
    <n v="34"/>
    <s v="Male"/>
    <s v="Divorced"/>
    <s v="Master's"/>
    <x v="2"/>
    <x v="17"/>
    <x v="2"/>
    <s v="Noida"/>
    <n v="89000"/>
    <n v="4"/>
    <n v="11"/>
    <n v="10.8"/>
    <n v="0.1"/>
    <x v="3"/>
    <x v="2"/>
    <n v="3"/>
    <x v="1"/>
    <n v="2"/>
    <d v="2025-08-04T00:00:00"/>
    <x v="1"/>
    <x v="2"/>
    <x v="2"/>
    <n v="1"/>
  </r>
  <r>
    <s v="EMP0536"/>
    <d v="2024-06-10T00:00:00"/>
    <x v="0"/>
    <n v="34"/>
    <s v="Female"/>
    <s v="Married"/>
    <s v="Master's"/>
    <x v="1"/>
    <x v="10"/>
    <x v="1"/>
    <s v="Bengaluru"/>
    <n v="62000"/>
    <n v="9.6999999999999993"/>
    <n v="3.2"/>
    <n v="1.6"/>
    <n v="0.9"/>
    <x v="2"/>
    <x v="2"/>
    <n v="2"/>
    <x v="1"/>
    <n v="3"/>
    <m/>
    <x v="1"/>
    <x v="4"/>
    <x v="4"/>
    <n v="0"/>
  </r>
  <r>
    <s v="EMP0537"/>
    <d v="2023-06-04T00:00:00"/>
    <x v="0"/>
    <n v="31"/>
    <s v="Female"/>
    <s v="Single"/>
    <s v="Master's"/>
    <x v="3"/>
    <x v="4"/>
    <x v="0"/>
    <s v="Hyderabad"/>
    <n v="48000"/>
    <n v="2.6"/>
    <n v="7.6"/>
    <n v="2.6"/>
    <n v="0.1"/>
    <x v="2"/>
    <x v="2"/>
    <n v="3"/>
    <x v="0"/>
    <n v="4"/>
    <m/>
    <x v="1"/>
    <x v="1"/>
    <x v="4"/>
    <n v="0"/>
  </r>
  <r>
    <s v="EMP0538"/>
    <d v="2017-07-21T00:00:00"/>
    <x v="0"/>
    <n v="32"/>
    <s v="Female"/>
    <s v="Single"/>
    <s v="Diploma"/>
    <x v="5"/>
    <x v="18"/>
    <x v="4"/>
    <s v="Bengaluru"/>
    <n v="158000"/>
    <n v="8.3000000000000007"/>
    <n v="11.1"/>
    <n v="8.4"/>
    <n v="3.8"/>
    <x v="0"/>
    <x v="2"/>
    <n v="3"/>
    <x v="1"/>
    <n v="4"/>
    <m/>
    <x v="1"/>
    <x v="3"/>
    <x v="1"/>
    <n v="0"/>
  </r>
  <r>
    <s v="EMP0539"/>
    <d v="2018-03-16T00:00:00"/>
    <x v="0"/>
    <n v="33"/>
    <s v="Male"/>
    <s v="Divorced"/>
    <s v="Bachelor's"/>
    <x v="4"/>
    <x v="5"/>
    <x v="1"/>
    <s v="Bengaluru"/>
    <n v="53000"/>
    <n v="4"/>
    <n v="9.6999999999999993"/>
    <n v="7.8"/>
    <n v="3.7"/>
    <x v="2"/>
    <x v="2"/>
    <n v="3"/>
    <x v="0"/>
    <n v="4"/>
    <m/>
    <x v="1"/>
    <x v="1"/>
    <x v="1"/>
    <n v="0"/>
  </r>
  <r>
    <s v="EMP0540"/>
    <d v="2023-09-28T00:00:00"/>
    <x v="0"/>
    <n v="30"/>
    <s v="Female"/>
    <s v="Divorced"/>
    <s v="Bachelor's"/>
    <x v="1"/>
    <x v="9"/>
    <x v="2"/>
    <s v="Chennai"/>
    <n v="87000"/>
    <n v="14.1"/>
    <n v="8.1"/>
    <n v="2.2999999999999998"/>
    <n v="2.2999999999999998"/>
    <x v="2"/>
    <x v="0"/>
    <n v="4"/>
    <x v="1"/>
    <n v="2"/>
    <m/>
    <x v="1"/>
    <x v="2"/>
    <x v="4"/>
    <n v="0"/>
  </r>
  <r>
    <s v="EMP0541"/>
    <d v="2022-08-27T00:00:00"/>
    <x v="0"/>
    <n v="25"/>
    <s v="Male"/>
    <s v="Divorced"/>
    <s v="Master's"/>
    <x v="2"/>
    <x v="17"/>
    <x v="0"/>
    <s v="Chennai"/>
    <n v="35000"/>
    <n v="11"/>
    <n v="6"/>
    <n v="3.3"/>
    <n v="0.8"/>
    <x v="1"/>
    <x v="0"/>
    <n v="4"/>
    <x v="1"/>
    <n v="4"/>
    <m/>
    <x v="2"/>
    <x v="0"/>
    <x v="0"/>
    <n v="0"/>
  </r>
  <r>
    <s v="EMP0542"/>
    <d v="2023-07-22T00:00:00"/>
    <x v="0"/>
    <n v="44"/>
    <s v="Male"/>
    <s v="Divorced"/>
    <s v="Master's"/>
    <x v="2"/>
    <x v="17"/>
    <x v="2"/>
    <s v="Pune"/>
    <n v="66000"/>
    <n v="5.8"/>
    <n v="10.1"/>
    <n v="2.4"/>
    <n v="0.1"/>
    <x v="1"/>
    <x v="2"/>
    <n v="4"/>
    <x v="1"/>
    <n v="2"/>
    <m/>
    <x v="0"/>
    <x v="4"/>
    <x v="4"/>
    <n v="0"/>
  </r>
  <r>
    <s v="EMP0543"/>
    <d v="2020-09-14T00:00:00"/>
    <x v="0"/>
    <n v="31"/>
    <s v="Female"/>
    <s v="Single"/>
    <s v="Diploma"/>
    <x v="4"/>
    <x v="25"/>
    <x v="1"/>
    <s v="Mumbai"/>
    <n v="55000"/>
    <n v="12.9"/>
    <n v="10.1"/>
    <n v="5.3"/>
    <n v="1.6"/>
    <x v="3"/>
    <x v="0"/>
    <n v="4"/>
    <x v="0"/>
    <n v="3"/>
    <m/>
    <x v="1"/>
    <x v="1"/>
    <x v="0"/>
    <n v="0"/>
  </r>
  <r>
    <s v="EMP0544"/>
    <d v="2021-03-06T00:00:00"/>
    <x v="0"/>
    <n v="31"/>
    <s v="Female"/>
    <s v="Divorced"/>
    <s v="Master's"/>
    <x v="3"/>
    <x v="11"/>
    <x v="2"/>
    <s v="Chennai"/>
    <n v="81000"/>
    <n v="5.7"/>
    <n v="12.5"/>
    <n v="4.8"/>
    <n v="2.2999999999999998"/>
    <x v="2"/>
    <x v="2"/>
    <n v="3"/>
    <x v="1"/>
    <n v="2"/>
    <m/>
    <x v="1"/>
    <x v="2"/>
    <x v="0"/>
    <n v="0"/>
  </r>
  <r>
    <s v="EMP0545"/>
    <d v="2025-04-06T00:00:00"/>
    <x v="0"/>
    <n v="22"/>
    <s v="Male"/>
    <s v="Single"/>
    <s v="Bachelor's"/>
    <x v="0"/>
    <x v="3"/>
    <x v="0"/>
    <s v="Chennai"/>
    <n v="33000"/>
    <n v="17.100000000000001"/>
    <n v="5.6"/>
    <n v="0.7"/>
    <n v="0"/>
    <x v="2"/>
    <x v="1"/>
    <n v="3"/>
    <x v="1"/>
    <n v="2"/>
    <m/>
    <x v="2"/>
    <x v="0"/>
    <x v="3"/>
    <n v="0"/>
  </r>
  <r>
    <s v="EMP0546"/>
    <d v="2014-11-14T00:00:00"/>
    <x v="0"/>
    <n v="32"/>
    <s v="Male"/>
    <s v="Married"/>
    <s v="Master's"/>
    <x v="0"/>
    <x v="7"/>
    <x v="2"/>
    <s v="Pune"/>
    <n v="69000"/>
    <n v="8.3000000000000007"/>
    <n v="15"/>
    <n v="11.1"/>
    <n v="3.8"/>
    <x v="0"/>
    <x v="0"/>
    <n v="3"/>
    <x v="1"/>
    <n v="1"/>
    <m/>
    <x v="1"/>
    <x v="4"/>
    <x v="2"/>
    <n v="0"/>
  </r>
  <r>
    <s v="EMP0547"/>
    <d v="2025-01-11T00:00:00"/>
    <x v="0"/>
    <n v="21"/>
    <s v="Female"/>
    <s v="Divorced"/>
    <s v="Master's"/>
    <x v="2"/>
    <x v="17"/>
    <x v="0"/>
    <s v="Pune"/>
    <n v="47000"/>
    <n v="3.3"/>
    <n v="6.6"/>
    <n v="1"/>
    <n v="0.6"/>
    <x v="0"/>
    <x v="0"/>
    <n v="1"/>
    <x v="1"/>
    <n v="3"/>
    <m/>
    <x v="2"/>
    <x v="1"/>
    <x v="4"/>
    <n v="0"/>
  </r>
  <r>
    <s v="EMP0548"/>
    <d v="2022-03-12T00:00:00"/>
    <x v="0"/>
    <n v="30"/>
    <s v="Non-Binary"/>
    <s v="Divorced"/>
    <s v="Master's"/>
    <x v="3"/>
    <x v="15"/>
    <x v="3"/>
    <s v="Bengaluru"/>
    <n v="120000"/>
    <n v="2.6"/>
    <n v="5"/>
    <n v="3.8"/>
    <n v="2.2999999999999998"/>
    <x v="1"/>
    <x v="2"/>
    <n v="2"/>
    <x v="1"/>
    <n v="3"/>
    <m/>
    <x v="1"/>
    <x v="3"/>
    <x v="0"/>
    <n v="0"/>
  </r>
  <r>
    <s v="EMP0549"/>
    <d v="2014-12-22T00:00:00"/>
    <x v="0"/>
    <n v="47"/>
    <s v="Female"/>
    <s v="Divorced"/>
    <s v="PhD"/>
    <x v="5"/>
    <x v="8"/>
    <x v="2"/>
    <s v="Chennai"/>
    <n v="74000"/>
    <n v="9.8000000000000007"/>
    <n v="15.2"/>
    <n v="11"/>
    <n v="1.1000000000000001"/>
    <x v="2"/>
    <x v="0"/>
    <n v="4"/>
    <x v="1"/>
    <n v="3"/>
    <m/>
    <x v="3"/>
    <x v="4"/>
    <x v="2"/>
    <n v="0"/>
  </r>
  <r>
    <s v="EMP0550"/>
    <d v="2014-11-20T00:00:00"/>
    <x v="0"/>
    <n v="36"/>
    <s v="Non-Binary"/>
    <s v="Married"/>
    <s v="Bachelor's"/>
    <x v="6"/>
    <x v="12"/>
    <x v="2"/>
    <s v="Pune"/>
    <n v="77000"/>
    <n v="6.4"/>
    <n v="17.5"/>
    <n v="11.1"/>
    <n v="4.9000000000000004"/>
    <x v="3"/>
    <x v="0"/>
    <n v="2"/>
    <x v="1"/>
    <n v="4"/>
    <m/>
    <x v="0"/>
    <x v="4"/>
    <x v="2"/>
    <n v="0"/>
  </r>
  <r>
    <s v="EMP0551"/>
    <d v="2024-11-18T00:00:00"/>
    <x v="0"/>
    <n v="46"/>
    <s v="Male"/>
    <s v="Divorced"/>
    <s v="Bachelor's"/>
    <x v="2"/>
    <x v="17"/>
    <x v="0"/>
    <s v="Mumbai"/>
    <n v="31000"/>
    <n v="11.9"/>
    <n v="7"/>
    <n v="1.1000000000000001"/>
    <n v="0.2"/>
    <x v="2"/>
    <x v="0"/>
    <n v="3"/>
    <x v="1"/>
    <n v="3"/>
    <m/>
    <x v="3"/>
    <x v="0"/>
    <x v="4"/>
    <n v="0"/>
  </r>
  <r>
    <s v="EMP0552"/>
    <d v="2024-08-22T00:00:00"/>
    <x v="0"/>
    <n v="26"/>
    <s v="Non-Binary"/>
    <s v="Single"/>
    <s v="Bachelor's"/>
    <x v="4"/>
    <x v="14"/>
    <x v="0"/>
    <s v="Hyderabad"/>
    <n v="36000"/>
    <n v="14.9"/>
    <n v="3.4"/>
    <n v="1.4"/>
    <n v="1.3"/>
    <x v="3"/>
    <x v="0"/>
    <n v="3"/>
    <x v="0"/>
    <n v="4"/>
    <m/>
    <x v="1"/>
    <x v="0"/>
    <x v="4"/>
    <n v="0"/>
  </r>
  <r>
    <s v="EMP0553"/>
    <d v="2025-01-05T00:00:00"/>
    <x v="0"/>
    <n v="31"/>
    <s v="Male"/>
    <s v="Single"/>
    <s v="Master's"/>
    <x v="5"/>
    <x v="26"/>
    <x v="1"/>
    <s v="Chennai"/>
    <n v="59000"/>
    <n v="4"/>
    <n v="7.1"/>
    <n v="1"/>
    <n v="0"/>
    <x v="3"/>
    <x v="0"/>
    <n v="4"/>
    <x v="0"/>
    <n v="4"/>
    <m/>
    <x v="1"/>
    <x v="1"/>
    <x v="4"/>
    <n v="0"/>
  </r>
  <r>
    <s v="EMP0554"/>
    <d v="2019-08-13T00:00:00"/>
    <x v="0"/>
    <n v="39"/>
    <s v="Female"/>
    <s v="Single"/>
    <s v="Diploma"/>
    <x v="2"/>
    <x v="23"/>
    <x v="1"/>
    <s v="Noida"/>
    <n v="48000"/>
    <n v="7.1"/>
    <n v="12.4"/>
    <n v="6.4"/>
    <n v="3.6"/>
    <x v="2"/>
    <x v="0"/>
    <n v="3"/>
    <x v="1"/>
    <n v="3"/>
    <m/>
    <x v="0"/>
    <x v="1"/>
    <x v="1"/>
    <n v="0"/>
  </r>
  <r>
    <s v="EMP0555"/>
    <d v="2016-03-28T00:00:00"/>
    <x v="1"/>
    <n v="30"/>
    <s v="Non-Binary"/>
    <s v="Married"/>
    <s v="Master's"/>
    <x v="3"/>
    <x v="6"/>
    <x v="2"/>
    <s v="Hyderabad"/>
    <n v="79000"/>
    <n v="17.399999999999999"/>
    <n v="13"/>
    <n v="9.6999999999999993"/>
    <n v="5"/>
    <x v="0"/>
    <x v="2"/>
    <n v="1"/>
    <x v="1"/>
    <n v="2"/>
    <d v="2025-12-24T00:00:00"/>
    <x v="1"/>
    <x v="4"/>
    <x v="1"/>
    <n v="1"/>
  </r>
  <r>
    <s v="EMP0556"/>
    <d v="2019-04-19T00:00:00"/>
    <x v="0"/>
    <n v="30"/>
    <s v="Non-Binary"/>
    <s v="Married"/>
    <s v="Master's"/>
    <x v="3"/>
    <x v="6"/>
    <x v="2"/>
    <s v="Chennai"/>
    <n v="74000"/>
    <n v="12"/>
    <n v="9.3000000000000007"/>
    <n v="6.7"/>
    <n v="3.8"/>
    <x v="2"/>
    <x v="2"/>
    <n v="4"/>
    <x v="0"/>
    <n v="4"/>
    <m/>
    <x v="1"/>
    <x v="4"/>
    <x v="1"/>
    <n v="0"/>
  </r>
  <r>
    <s v="EMP0557"/>
    <d v="2019-08-03T00:00:00"/>
    <x v="0"/>
    <n v="28"/>
    <s v="Non-Binary"/>
    <s v="Single"/>
    <s v="Master's"/>
    <x v="3"/>
    <x v="6"/>
    <x v="2"/>
    <s v="Chennai"/>
    <n v="92000"/>
    <n v="14.7"/>
    <n v="10.199999999999999"/>
    <n v="6.4"/>
    <n v="4"/>
    <x v="0"/>
    <x v="0"/>
    <n v="2"/>
    <x v="1"/>
    <n v="3"/>
    <m/>
    <x v="1"/>
    <x v="2"/>
    <x v="1"/>
    <n v="0"/>
  </r>
  <r>
    <s v="EMP0558"/>
    <d v="2025-08-11T00:00:00"/>
    <x v="0"/>
    <n v="21"/>
    <s v="Non-Binary"/>
    <s v="Divorced"/>
    <s v="Master's"/>
    <x v="4"/>
    <x v="25"/>
    <x v="0"/>
    <s v="Pune"/>
    <n v="41000"/>
    <n v="6.3"/>
    <n v="4.8"/>
    <n v="0.4"/>
    <n v="0"/>
    <x v="2"/>
    <x v="1"/>
    <n v="3"/>
    <x v="1"/>
    <n v="2"/>
    <m/>
    <x v="2"/>
    <x v="1"/>
    <x v="3"/>
    <n v="0"/>
  </r>
  <r>
    <s v="EMP0559"/>
    <d v="2025-03-04T00:00:00"/>
    <x v="0"/>
    <n v="21"/>
    <s v="Male"/>
    <s v="Divorced"/>
    <s v="Diploma"/>
    <x v="1"/>
    <x v="27"/>
    <x v="0"/>
    <s v="Noida"/>
    <n v="47000"/>
    <n v="4.2"/>
    <n v="6.6"/>
    <n v="0.8"/>
    <n v="0"/>
    <x v="3"/>
    <x v="2"/>
    <n v="4"/>
    <x v="1"/>
    <n v="4"/>
    <m/>
    <x v="2"/>
    <x v="1"/>
    <x v="3"/>
    <n v="0"/>
  </r>
  <r>
    <s v="EMP0560"/>
    <d v="2014-11-27T00:00:00"/>
    <x v="0"/>
    <n v="33"/>
    <s v="Female"/>
    <s v="Married"/>
    <s v="PhD"/>
    <x v="3"/>
    <x v="15"/>
    <x v="2"/>
    <s v="Noida"/>
    <n v="71000"/>
    <n v="7.4"/>
    <n v="13.8"/>
    <n v="11.1"/>
    <n v="1.3"/>
    <x v="2"/>
    <x v="0"/>
    <n v="4"/>
    <x v="1"/>
    <n v="2"/>
    <m/>
    <x v="1"/>
    <x v="4"/>
    <x v="2"/>
    <n v="0"/>
  </r>
  <r>
    <s v="EMP0561"/>
    <d v="2023-02-01T00:00:00"/>
    <x v="1"/>
    <n v="34"/>
    <s v="Female"/>
    <s v="Divorced"/>
    <s v="Bachelor's"/>
    <x v="0"/>
    <x v="16"/>
    <x v="3"/>
    <s v="Hyderabad"/>
    <n v="109000"/>
    <n v="16.899999999999999"/>
    <n v="10.199999999999999"/>
    <n v="2.7"/>
    <n v="2"/>
    <x v="3"/>
    <x v="1"/>
    <n v="3"/>
    <x v="0"/>
    <n v="4"/>
    <d v="2025-10-31T00:00:00"/>
    <x v="1"/>
    <x v="3"/>
    <x v="4"/>
    <n v="1"/>
  </r>
  <r>
    <s v="EMP0562"/>
    <d v="2014-03-28T00:00:00"/>
    <x v="0"/>
    <n v="44"/>
    <s v="Non-Binary"/>
    <s v="Married"/>
    <s v="Diploma"/>
    <x v="5"/>
    <x v="13"/>
    <x v="3"/>
    <s v="Pune"/>
    <n v="125000"/>
    <n v="5.4"/>
    <n v="18.100000000000001"/>
    <n v="11.8"/>
    <n v="3.1"/>
    <x v="2"/>
    <x v="0"/>
    <n v="2"/>
    <x v="1"/>
    <n v="3"/>
    <m/>
    <x v="0"/>
    <x v="3"/>
    <x v="2"/>
    <n v="0"/>
  </r>
  <r>
    <s v="EMP0563"/>
    <d v="2019-11-08T00:00:00"/>
    <x v="0"/>
    <n v="32"/>
    <s v="Non-Binary"/>
    <s v="Single"/>
    <s v="Diploma"/>
    <x v="2"/>
    <x v="2"/>
    <x v="3"/>
    <s v="Noida"/>
    <n v="116000"/>
    <n v="8.5"/>
    <n v="11.5"/>
    <n v="6.1"/>
    <n v="4.8"/>
    <x v="2"/>
    <x v="0"/>
    <n v="3"/>
    <x v="1"/>
    <n v="3"/>
    <m/>
    <x v="1"/>
    <x v="3"/>
    <x v="1"/>
    <n v="0"/>
  </r>
  <r>
    <s v="EMP0564"/>
    <d v="2023-12-31T00:00:00"/>
    <x v="0"/>
    <n v="23"/>
    <s v="Male"/>
    <s v="Divorced"/>
    <s v="Bachelor's"/>
    <x v="4"/>
    <x v="5"/>
    <x v="0"/>
    <s v="Pune"/>
    <n v="32000"/>
    <n v="4"/>
    <n v="2.5"/>
    <n v="2"/>
    <n v="1.6"/>
    <x v="2"/>
    <x v="1"/>
    <n v="3"/>
    <x v="0"/>
    <n v="4"/>
    <m/>
    <x v="2"/>
    <x v="0"/>
    <x v="4"/>
    <n v="0"/>
  </r>
  <r>
    <s v="EMP0565"/>
    <d v="2022-03-15T00:00:00"/>
    <x v="0"/>
    <n v="39"/>
    <s v="Female"/>
    <s v="Married"/>
    <s v="Bachelor's"/>
    <x v="2"/>
    <x v="17"/>
    <x v="2"/>
    <s v="Chennai"/>
    <n v="71000"/>
    <n v="0"/>
    <n v="4"/>
    <n v="3.8"/>
    <n v="1.5"/>
    <x v="0"/>
    <x v="0"/>
    <n v="3"/>
    <x v="1"/>
    <n v="3"/>
    <m/>
    <x v="0"/>
    <x v="4"/>
    <x v="0"/>
    <n v="0"/>
  </r>
  <r>
    <s v="EMP0566"/>
    <d v="2014-11-25T00:00:00"/>
    <x v="1"/>
    <n v="36"/>
    <s v="Female"/>
    <s v="Divorced"/>
    <s v="Master's"/>
    <x v="0"/>
    <x v="7"/>
    <x v="1"/>
    <s v="Chennai"/>
    <n v="53000"/>
    <n v="13.9"/>
    <n v="16.600000000000001"/>
    <n v="10.6"/>
    <n v="3.5"/>
    <x v="2"/>
    <x v="2"/>
    <n v="4"/>
    <x v="1"/>
    <n v="4"/>
    <d v="2025-06-15T00:00:00"/>
    <x v="0"/>
    <x v="1"/>
    <x v="2"/>
    <n v="1"/>
  </r>
  <r>
    <s v="EMP0567"/>
    <d v="2022-04-18T00:00:00"/>
    <x v="0"/>
    <n v="38"/>
    <s v="Male"/>
    <s v="Married"/>
    <s v="PhD"/>
    <x v="1"/>
    <x v="1"/>
    <x v="2"/>
    <s v="Noida"/>
    <n v="100000"/>
    <n v="1.9"/>
    <n v="9.6"/>
    <n v="3.7"/>
    <n v="0"/>
    <x v="3"/>
    <x v="0"/>
    <n v="3"/>
    <x v="0"/>
    <n v="4"/>
    <m/>
    <x v="0"/>
    <x v="3"/>
    <x v="0"/>
    <n v="0"/>
  </r>
  <r>
    <s v="EMP0568"/>
    <d v="2024-11-12T00:00:00"/>
    <x v="1"/>
    <n v="29"/>
    <s v="Male"/>
    <s v="Single"/>
    <s v="Master's"/>
    <x v="2"/>
    <x v="20"/>
    <x v="3"/>
    <s v="Mumbai"/>
    <n v="107000"/>
    <n v="10.4"/>
    <n v="6.1"/>
    <n v="0.9"/>
    <n v="0"/>
    <x v="3"/>
    <x v="2"/>
    <n v="3"/>
    <x v="1"/>
    <n v="3"/>
    <d v="2025-10-01T00:00:00"/>
    <x v="1"/>
    <x v="3"/>
    <x v="3"/>
    <n v="1"/>
  </r>
  <r>
    <s v="EMP0569"/>
    <d v="2018-05-08T00:00:00"/>
    <x v="0"/>
    <n v="28"/>
    <s v="Female"/>
    <s v="Divorced"/>
    <s v="PhD"/>
    <x v="3"/>
    <x v="4"/>
    <x v="2"/>
    <s v="Hyderabad"/>
    <n v="80000"/>
    <n v="4.7"/>
    <n v="14"/>
    <n v="7.6"/>
    <n v="4"/>
    <x v="2"/>
    <x v="2"/>
    <n v="4"/>
    <x v="1"/>
    <n v="4"/>
    <m/>
    <x v="1"/>
    <x v="2"/>
    <x v="1"/>
    <n v="0"/>
  </r>
  <r>
    <s v="EMP0570"/>
    <d v="2024-04-09T00:00:00"/>
    <x v="0"/>
    <n v="38"/>
    <s v="Non-Binary"/>
    <s v="Single"/>
    <s v="PhD"/>
    <x v="5"/>
    <x v="8"/>
    <x v="1"/>
    <s v="Mumbai"/>
    <n v="49000"/>
    <n v="11.7"/>
    <n v="6.4"/>
    <n v="1.7"/>
    <n v="1.7"/>
    <x v="0"/>
    <x v="0"/>
    <n v="3"/>
    <x v="1"/>
    <n v="2"/>
    <m/>
    <x v="0"/>
    <x v="1"/>
    <x v="4"/>
    <n v="0"/>
  </r>
  <r>
    <s v="EMP0571"/>
    <d v="2025-06-29T00:00:00"/>
    <x v="0"/>
    <n v="21"/>
    <s v="Non-Binary"/>
    <s v="Divorced"/>
    <s v="PhD"/>
    <x v="0"/>
    <x v="16"/>
    <x v="0"/>
    <s v="Bengaluru"/>
    <n v="25000"/>
    <n v="13.8"/>
    <n v="7.4"/>
    <n v="0.5"/>
    <n v="0"/>
    <x v="2"/>
    <x v="0"/>
    <n v="3"/>
    <x v="0"/>
    <n v="3"/>
    <m/>
    <x v="2"/>
    <x v="0"/>
    <x v="3"/>
    <n v="0"/>
  </r>
  <r>
    <s v="EMP0572"/>
    <d v="2023-09-09T00:00:00"/>
    <x v="0"/>
    <n v="30"/>
    <s v="Non-Binary"/>
    <s v="Single"/>
    <s v="Master's"/>
    <x v="4"/>
    <x v="25"/>
    <x v="2"/>
    <s v="Bengaluru"/>
    <n v="78000"/>
    <n v="12.1"/>
    <n v="7.9"/>
    <n v="2.2999999999999998"/>
    <n v="0"/>
    <x v="3"/>
    <x v="0"/>
    <n v="3"/>
    <x v="1"/>
    <n v="1"/>
    <m/>
    <x v="1"/>
    <x v="4"/>
    <x v="4"/>
    <n v="0"/>
  </r>
  <r>
    <s v="EMP0573"/>
    <d v="2025-05-25T00:00:00"/>
    <x v="0"/>
    <n v="29"/>
    <s v="Non-Binary"/>
    <s v="Married"/>
    <s v="PhD"/>
    <x v="4"/>
    <x v="24"/>
    <x v="3"/>
    <s v="Pune"/>
    <n v="119000"/>
    <n v="16"/>
    <n v="5"/>
    <n v="0.6"/>
    <n v="0"/>
    <x v="2"/>
    <x v="2"/>
    <n v="1"/>
    <x v="1"/>
    <n v="3"/>
    <m/>
    <x v="1"/>
    <x v="3"/>
    <x v="3"/>
    <n v="0"/>
  </r>
  <r>
    <s v="EMP0574"/>
    <d v="2019-08-02T00:00:00"/>
    <x v="0"/>
    <n v="34"/>
    <s v="Female"/>
    <s v="Single"/>
    <s v="Master's"/>
    <x v="4"/>
    <x v="5"/>
    <x v="2"/>
    <s v="Chennai"/>
    <n v="66000"/>
    <n v="5.7"/>
    <n v="8.1"/>
    <n v="6.4"/>
    <n v="0.6"/>
    <x v="2"/>
    <x v="2"/>
    <n v="2"/>
    <x v="1"/>
    <n v="3"/>
    <m/>
    <x v="1"/>
    <x v="4"/>
    <x v="1"/>
    <n v="0"/>
  </r>
  <r>
    <s v="EMP0575"/>
    <d v="2022-06-15T00:00:00"/>
    <x v="0"/>
    <n v="36"/>
    <s v="Non-Binary"/>
    <s v="Married"/>
    <s v="Master's"/>
    <x v="4"/>
    <x v="14"/>
    <x v="2"/>
    <s v="Chennai"/>
    <n v="86000"/>
    <n v="11.6"/>
    <n v="5.6"/>
    <n v="3.5"/>
    <n v="2.2999999999999998"/>
    <x v="2"/>
    <x v="1"/>
    <n v="3"/>
    <x v="1"/>
    <n v="5"/>
    <m/>
    <x v="0"/>
    <x v="2"/>
    <x v="0"/>
    <n v="0"/>
  </r>
  <r>
    <s v="EMP0576"/>
    <d v="2022-07-20T00:00:00"/>
    <x v="0"/>
    <n v="40"/>
    <s v="Female"/>
    <s v="Married"/>
    <s v="PhD"/>
    <x v="1"/>
    <x v="10"/>
    <x v="2"/>
    <s v="Bengaluru"/>
    <n v="81000"/>
    <n v="7.5"/>
    <n v="8"/>
    <n v="3.4"/>
    <n v="2.2000000000000002"/>
    <x v="2"/>
    <x v="0"/>
    <n v="2"/>
    <x v="1"/>
    <n v="4"/>
    <m/>
    <x v="0"/>
    <x v="2"/>
    <x v="0"/>
    <n v="0"/>
  </r>
  <r>
    <s v="EMP0577"/>
    <d v="2024-03-29T00:00:00"/>
    <x v="1"/>
    <n v="47"/>
    <s v="Female"/>
    <s v="Single"/>
    <s v="Bachelor's"/>
    <x v="4"/>
    <x v="14"/>
    <x v="0"/>
    <s v="Mumbai"/>
    <n v="60000"/>
    <n v="11.4"/>
    <n v="2.4"/>
    <n v="1.7"/>
    <n v="1.5"/>
    <x v="2"/>
    <x v="2"/>
    <n v="2"/>
    <x v="0"/>
    <n v="4"/>
    <d v="2025-11-24T00:00:00"/>
    <x v="3"/>
    <x v="4"/>
    <x v="4"/>
    <n v="1"/>
  </r>
  <r>
    <s v="EMP0578"/>
    <d v="2016-07-17T00:00:00"/>
    <x v="0"/>
    <n v="37"/>
    <s v="Female"/>
    <s v="Divorced"/>
    <s v="Diploma"/>
    <x v="1"/>
    <x v="1"/>
    <x v="4"/>
    <s v="Chennai"/>
    <n v="187000"/>
    <n v="7.7"/>
    <n v="14.2"/>
    <n v="9.5"/>
    <n v="4.8"/>
    <x v="2"/>
    <x v="1"/>
    <n v="3"/>
    <x v="0"/>
    <n v="4"/>
    <m/>
    <x v="0"/>
    <x v="3"/>
    <x v="1"/>
    <n v="0"/>
  </r>
  <r>
    <s v="EMP0579"/>
    <d v="2014-08-17T00:00:00"/>
    <x v="0"/>
    <n v="35"/>
    <s v="Male"/>
    <s v="Married"/>
    <s v="Bachelor's"/>
    <x v="5"/>
    <x v="8"/>
    <x v="1"/>
    <s v="Noida"/>
    <n v="64000"/>
    <n v="11.7"/>
    <n v="19.100000000000001"/>
    <n v="11.4"/>
    <n v="3.2"/>
    <x v="2"/>
    <x v="0"/>
    <n v="4"/>
    <x v="1"/>
    <n v="3"/>
    <m/>
    <x v="1"/>
    <x v="4"/>
    <x v="2"/>
    <n v="0"/>
  </r>
  <r>
    <s v="EMP0580"/>
    <d v="2024-01-12T00:00:00"/>
    <x v="0"/>
    <n v="39"/>
    <s v="Female"/>
    <s v="Single"/>
    <s v="PhD"/>
    <x v="4"/>
    <x v="14"/>
    <x v="2"/>
    <s v="Hyderabad"/>
    <n v="68000"/>
    <n v="6.8"/>
    <n v="7.1"/>
    <n v="2"/>
    <n v="0.7"/>
    <x v="2"/>
    <x v="2"/>
    <n v="3"/>
    <x v="1"/>
    <n v="3"/>
    <m/>
    <x v="0"/>
    <x v="4"/>
    <x v="4"/>
    <n v="0"/>
  </r>
  <r>
    <s v="EMP0581"/>
    <d v="2022-06-22T00:00:00"/>
    <x v="0"/>
    <n v="36"/>
    <s v="Female"/>
    <s v="Single"/>
    <s v="Bachelor's"/>
    <x v="2"/>
    <x v="17"/>
    <x v="2"/>
    <s v="Bengaluru"/>
    <n v="82000"/>
    <n v="10.8"/>
    <n v="10"/>
    <n v="3.5"/>
    <n v="1.1000000000000001"/>
    <x v="0"/>
    <x v="2"/>
    <n v="4"/>
    <x v="1"/>
    <n v="3"/>
    <m/>
    <x v="0"/>
    <x v="2"/>
    <x v="0"/>
    <n v="0"/>
  </r>
  <r>
    <s v="EMP0582"/>
    <d v="2023-10-08T00:00:00"/>
    <x v="0"/>
    <n v="33"/>
    <s v="Non-Binary"/>
    <s v="Single"/>
    <s v="PhD"/>
    <x v="0"/>
    <x v="3"/>
    <x v="3"/>
    <s v="Mumbai"/>
    <n v="110000"/>
    <n v="4.5999999999999996"/>
    <n v="6.2"/>
    <n v="2.2000000000000002"/>
    <n v="1.9"/>
    <x v="0"/>
    <x v="2"/>
    <n v="3"/>
    <x v="0"/>
    <n v="3"/>
    <m/>
    <x v="1"/>
    <x v="3"/>
    <x v="4"/>
    <n v="0"/>
  </r>
  <r>
    <s v="EMP0583"/>
    <d v="2018-06-28T00:00:00"/>
    <x v="0"/>
    <n v="38"/>
    <s v="Non-Binary"/>
    <s v="Divorced"/>
    <s v="Bachelor's"/>
    <x v="4"/>
    <x v="25"/>
    <x v="1"/>
    <s v="Chennai"/>
    <n v="58000"/>
    <n v="7.8"/>
    <n v="13.1"/>
    <n v="7.5"/>
    <n v="4.5"/>
    <x v="0"/>
    <x v="1"/>
    <n v="3"/>
    <x v="1"/>
    <n v="5"/>
    <m/>
    <x v="0"/>
    <x v="1"/>
    <x v="1"/>
    <n v="0"/>
  </r>
  <r>
    <s v="EMP0584"/>
    <d v="2024-07-21T00:00:00"/>
    <x v="1"/>
    <n v="22"/>
    <s v="Male"/>
    <s v="Married"/>
    <s v="Bachelor's"/>
    <x v="3"/>
    <x v="11"/>
    <x v="0"/>
    <s v="Hyderabad"/>
    <n v="32000"/>
    <n v="12.6"/>
    <n v="3.5"/>
    <n v="0.6"/>
    <n v="0"/>
    <x v="2"/>
    <x v="0"/>
    <n v="1"/>
    <x v="1"/>
    <n v="3"/>
    <d v="2025-02-08T00:00:00"/>
    <x v="2"/>
    <x v="0"/>
    <x v="3"/>
    <n v="1"/>
  </r>
  <r>
    <s v="EMP0585"/>
    <d v="2015-09-30T00:00:00"/>
    <x v="0"/>
    <n v="37"/>
    <s v="Non-Binary"/>
    <s v="Divorced"/>
    <s v="Bachelor's"/>
    <x v="0"/>
    <x v="3"/>
    <x v="3"/>
    <s v="Mumbai"/>
    <n v="104000"/>
    <n v="9"/>
    <n v="12.4"/>
    <n v="10.3"/>
    <n v="0"/>
    <x v="2"/>
    <x v="0"/>
    <n v="3"/>
    <x v="1"/>
    <n v="5"/>
    <m/>
    <x v="0"/>
    <x v="3"/>
    <x v="2"/>
    <n v="0"/>
  </r>
  <r>
    <s v="EMP0586"/>
    <d v="2025-08-19T00:00:00"/>
    <x v="1"/>
    <n v="38"/>
    <s v="Male"/>
    <s v="Divorced"/>
    <s v="Master's"/>
    <x v="4"/>
    <x v="5"/>
    <x v="0"/>
    <s v="Mumbai"/>
    <n v="36000"/>
    <n v="11"/>
    <n v="7.4"/>
    <n v="0.3"/>
    <n v="0"/>
    <x v="2"/>
    <x v="0"/>
    <n v="2"/>
    <x v="1"/>
    <n v="3"/>
    <d v="2025-12-01T00:00:00"/>
    <x v="0"/>
    <x v="0"/>
    <x v="3"/>
    <n v="1"/>
  </r>
  <r>
    <s v="EMP0587"/>
    <d v="2025-09-11T00:00:00"/>
    <x v="0"/>
    <n v="21"/>
    <s v="Female"/>
    <s v="Divorced"/>
    <s v="PhD"/>
    <x v="5"/>
    <x v="26"/>
    <x v="0"/>
    <s v="Unkown"/>
    <n v="48000"/>
    <n v="7.1"/>
    <n v="3.3"/>
    <n v="0.3"/>
    <n v="0"/>
    <x v="2"/>
    <x v="2"/>
    <n v="3"/>
    <x v="1"/>
    <n v="3"/>
    <m/>
    <x v="2"/>
    <x v="1"/>
    <x v="3"/>
    <n v="0"/>
  </r>
  <r>
    <s v="EMP0588"/>
    <d v="2025-08-19T00:00:00"/>
    <x v="1"/>
    <n v="38"/>
    <s v="Male"/>
    <s v="Married"/>
    <s v="Diploma"/>
    <x v="1"/>
    <x v="9"/>
    <x v="2"/>
    <s v="Bengaluru"/>
    <n v="86000"/>
    <n v="13.2"/>
    <n v="0.6"/>
    <n v="0.3"/>
    <n v="0"/>
    <x v="2"/>
    <x v="2"/>
    <n v="4"/>
    <x v="1"/>
    <n v="2"/>
    <d v="2025-11-23T00:00:00"/>
    <x v="0"/>
    <x v="2"/>
    <x v="3"/>
    <n v="1"/>
  </r>
  <r>
    <s v="EMP0589"/>
    <d v="2016-05-05T00:00:00"/>
    <x v="0"/>
    <n v="38"/>
    <s v="Male"/>
    <s v="Single"/>
    <s v="Bachelor's"/>
    <x v="3"/>
    <x v="6"/>
    <x v="2"/>
    <s v="Pune"/>
    <n v="68000"/>
    <n v="13.8"/>
    <n v="16.7"/>
    <n v="9.6999999999999993"/>
    <n v="3"/>
    <x v="2"/>
    <x v="2"/>
    <n v="4"/>
    <x v="1"/>
    <n v="3"/>
    <m/>
    <x v="0"/>
    <x v="4"/>
    <x v="1"/>
    <n v="0"/>
  </r>
  <r>
    <s v="EMP0590"/>
    <d v="2018-04-04T00:00:00"/>
    <x v="0"/>
    <n v="30"/>
    <s v="Female"/>
    <s v="Single"/>
    <s v="Master's"/>
    <x v="1"/>
    <x v="9"/>
    <x v="2"/>
    <s v="Noida"/>
    <n v="91000"/>
    <n v="1.9"/>
    <n v="15.6"/>
    <n v="7.7"/>
    <n v="4.4000000000000004"/>
    <x v="2"/>
    <x v="0"/>
    <n v="3"/>
    <x v="0"/>
    <n v="3"/>
    <m/>
    <x v="1"/>
    <x v="2"/>
    <x v="1"/>
    <n v="0"/>
  </r>
  <r>
    <s v="EMP0591"/>
    <d v="2024-04-12T00:00:00"/>
    <x v="0"/>
    <n v="26"/>
    <s v="Non-Binary"/>
    <s v="Divorced"/>
    <s v="Master's"/>
    <x v="4"/>
    <x v="14"/>
    <x v="0"/>
    <s v="Pune"/>
    <n v="22000"/>
    <n v="2.9"/>
    <n v="3.7"/>
    <n v="1.7"/>
    <n v="1.4"/>
    <x v="0"/>
    <x v="1"/>
    <n v="3"/>
    <x v="1"/>
    <n v="4"/>
    <m/>
    <x v="1"/>
    <x v="0"/>
    <x v="4"/>
    <n v="0"/>
  </r>
  <r>
    <s v="EMP0592"/>
    <d v="2024-07-20T00:00:00"/>
    <x v="0"/>
    <n v="29"/>
    <s v="Female"/>
    <s v="Divorced"/>
    <s v="Master's"/>
    <x v="2"/>
    <x v="20"/>
    <x v="1"/>
    <s v="Pune"/>
    <n v="66000"/>
    <n v="6.9"/>
    <n v="4.9000000000000004"/>
    <n v="1.4"/>
    <n v="0.9"/>
    <x v="0"/>
    <x v="1"/>
    <n v="1"/>
    <x v="0"/>
    <n v="3"/>
    <m/>
    <x v="1"/>
    <x v="4"/>
    <x v="4"/>
    <n v="0"/>
  </r>
  <r>
    <s v="EMP0593"/>
    <d v="2023-06-13T00:00:00"/>
    <x v="0"/>
    <n v="25"/>
    <s v="Male"/>
    <s v="Single"/>
    <s v="Bachelor's"/>
    <x v="6"/>
    <x v="12"/>
    <x v="0"/>
    <s v="Bengaluru"/>
    <n v="45000"/>
    <n v="8.4"/>
    <n v="4.7"/>
    <n v="2.6"/>
    <n v="0.7"/>
    <x v="2"/>
    <x v="0"/>
    <n v="3"/>
    <x v="1"/>
    <n v="3"/>
    <m/>
    <x v="2"/>
    <x v="1"/>
    <x v="4"/>
    <n v="0"/>
  </r>
  <r>
    <s v="EMP0594"/>
    <d v="2020-03-06T00:00:00"/>
    <x v="0"/>
    <n v="34"/>
    <s v="Non-Binary"/>
    <s v="Single"/>
    <s v="Diploma"/>
    <x v="5"/>
    <x v="18"/>
    <x v="1"/>
    <s v="Hyderabad"/>
    <n v="64000"/>
    <n v="13.5"/>
    <n v="13.4"/>
    <n v="5.8"/>
    <n v="2.1"/>
    <x v="3"/>
    <x v="0"/>
    <n v="2"/>
    <x v="1"/>
    <n v="1"/>
    <m/>
    <x v="1"/>
    <x v="4"/>
    <x v="0"/>
    <n v="0"/>
  </r>
  <r>
    <s v="EMP0595"/>
    <d v="2019-12-27T00:00:00"/>
    <x v="0"/>
    <n v="30"/>
    <s v="Male"/>
    <s v="Divorced"/>
    <s v="Master's"/>
    <x v="0"/>
    <x v="7"/>
    <x v="2"/>
    <s v="Pune"/>
    <n v="60000"/>
    <n v="7.3"/>
    <n v="10.7"/>
    <n v="6"/>
    <n v="0.5"/>
    <x v="3"/>
    <x v="1"/>
    <n v="3"/>
    <x v="1"/>
    <n v="4"/>
    <m/>
    <x v="1"/>
    <x v="4"/>
    <x v="0"/>
    <n v="0"/>
  </r>
  <r>
    <s v="EMP0596"/>
    <d v="2020-06-04T00:00:00"/>
    <x v="0"/>
    <n v="26"/>
    <s v="Male"/>
    <s v="Married"/>
    <s v="Diploma"/>
    <x v="0"/>
    <x v="16"/>
    <x v="0"/>
    <s v="Chennai"/>
    <n v="23000"/>
    <n v="10.4"/>
    <n v="11.4"/>
    <n v="5.6"/>
    <n v="5.5"/>
    <x v="2"/>
    <x v="1"/>
    <n v="3"/>
    <x v="0"/>
    <n v="1"/>
    <m/>
    <x v="1"/>
    <x v="0"/>
    <x v="0"/>
    <n v="0"/>
  </r>
  <r>
    <s v="EMP0597"/>
    <d v="2017-04-22T00:00:00"/>
    <x v="0"/>
    <n v="33"/>
    <s v="Male"/>
    <s v="Married"/>
    <s v="Bachelor's"/>
    <x v="6"/>
    <x v="21"/>
    <x v="1"/>
    <s v="Chennai"/>
    <n v="46000"/>
    <n v="8.1"/>
    <n v="16.100000000000001"/>
    <n v="8.6999999999999993"/>
    <n v="3"/>
    <x v="1"/>
    <x v="3"/>
    <n v="3"/>
    <x v="1"/>
    <n v="4"/>
    <m/>
    <x v="1"/>
    <x v="1"/>
    <x v="1"/>
    <n v="0"/>
  </r>
  <r>
    <s v="EMP0598"/>
    <d v="2021-01-18T00:00:00"/>
    <x v="0"/>
    <n v="39"/>
    <s v="Female"/>
    <s v="Single"/>
    <s v="Master's"/>
    <x v="5"/>
    <x v="13"/>
    <x v="2"/>
    <s v="Bengaluru"/>
    <n v="96000"/>
    <n v="1.6"/>
    <n v="6.3"/>
    <n v="5"/>
    <n v="3.8"/>
    <x v="0"/>
    <x v="4"/>
    <n v="4"/>
    <x v="1"/>
    <n v="3"/>
    <m/>
    <x v="0"/>
    <x v="2"/>
    <x v="0"/>
    <n v="0"/>
  </r>
  <r>
    <s v="EMP0599"/>
    <d v="2024-02-07T00:00:00"/>
    <x v="0"/>
    <n v="23"/>
    <s v="Female"/>
    <s v="Divorced"/>
    <s v="Bachelor's"/>
    <x v="1"/>
    <x v="27"/>
    <x v="0"/>
    <s v="Pune"/>
    <n v="33000"/>
    <n v="8.6999999999999993"/>
    <n v="5.9"/>
    <n v="1.9"/>
    <n v="1.4"/>
    <x v="0"/>
    <x v="0"/>
    <n v="4"/>
    <x v="0"/>
    <n v="3"/>
    <m/>
    <x v="2"/>
    <x v="0"/>
    <x v="4"/>
    <n v="0"/>
  </r>
  <r>
    <s v="EMP0600"/>
    <d v="2022-02-15T00:00:00"/>
    <x v="0"/>
    <n v="27"/>
    <s v="Male"/>
    <s v="Divorced"/>
    <s v="Bachelor's"/>
    <x v="1"/>
    <x v="10"/>
    <x v="0"/>
    <s v="Bengaluru"/>
    <n v="30000"/>
    <n v="9.8000000000000007"/>
    <n v="6.1"/>
    <n v="3.9"/>
    <n v="0.5"/>
    <x v="2"/>
    <x v="2"/>
    <n v="1"/>
    <x v="1"/>
    <n v="5"/>
    <m/>
    <x v="1"/>
    <x v="0"/>
    <x v="0"/>
    <n v="0"/>
  </r>
  <r>
    <s v="EMP0601"/>
    <d v="2018-03-20T00:00:00"/>
    <x v="0"/>
    <n v="28"/>
    <s v="Non-Binary"/>
    <s v="Single"/>
    <s v="Diploma"/>
    <x v="0"/>
    <x v="7"/>
    <x v="2"/>
    <s v="Pune"/>
    <n v="74000"/>
    <n v="6.8"/>
    <n v="9.9"/>
    <n v="7.8"/>
    <n v="0.8"/>
    <x v="0"/>
    <x v="2"/>
    <n v="3"/>
    <x v="1"/>
    <n v="5"/>
    <m/>
    <x v="1"/>
    <x v="4"/>
    <x v="1"/>
    <n v="0"/>
  </r>
  <r>
    <s v="EMP0602"/>
    <d v="2014-05-02T00:00:00"/>
    <x v="0"/>
    <n v="45"/>
    <s v="Non-Binary"/>
    <s v="Divorced"/>
    <s v="Master's"/>
    <x v="0"/>
    <x v="7"/>
    <x v="1"/>
    <s v="Mumbai"/>
    <n v="62000"/>
    <n v="3.8"/>
    <n v="17.899999999999999"/>
    <n v="11.7"/>
    <n v="0.6"/>
    <x v="0"/>
    <x v="2"/>
    <n v="3"/>
    <x v="1"/>
    <n v="4"/>
    <m/>
    <x v="0"/>
    <x v="4"/>
    <x v="2"/>
    <n v="0"/>
  </r>
  <r>
    <s v="EMP0603"/>
    <d v="2018-11-23T00:00:00"/>
    <x v="0"/>
    <n v="39"/>
    <s v="Male"/>
    <s v="Married"/>
    <s v="Master's"/>
    <x v="1"/>
    <x v="9"/>
    <x v="1"/>
    <s v="Pune"/>
    <n v="51000"/>
    <n v="12.3"/>
    <n v="9"/>
    <n v="7.1"/>
    <n v="4.4000000000000004"/>
    <x v="0"/>
    <x v="0"/>
    <n v="4"/>
    <x v="1"/>
    <n v="2"/>
    <m/>
    <x v="0"/>
    <x v="1"/>
    <x v="1"/>
    <n v="0"/>
  </r>
  <r>
    <s v="EMP0604"/>
    <d v="2021-04-07T00:00:00"/>
    <x v="0"/>
    <n v="25"/>
    <s v="Female"/>
    <s v="Single"/>
    <s v="PhD"/>
    <x v="1"/>
    <x v="1"/>
    <x v="0"/>
    <s v="Noida"/>
    <n v="31000"/>
    <n v="13.1"/>
    <n v="11.8"/>
    <n v="4.7"/>
    <n v="3.8"/>
    <x v="2"/>
    <x v="0"/>
    <n v="2"/>
    <x v="0"/>
    <n v="2"/>
    <m/>
    <x v="2"/>
    <x v="0"/>
    <x v="0"/>
    <n v="0"/>
  </r>
  <r>
    <s v="EMP0605"/>
    <d v="2024-02-04T00:00:00"/>
    <x v="1"/>
    <n v="37"/>
    <s v="Male"/>
    <s v="Single"/>
    <s v="Diploma"/>
    <x v="3"/>
    <x v="15"/>
    <x v="2"/>
    <s v="Pune"/>
    <n v="83000"/>
    <n v="10.6"/>
    <n v="1.6"/>
    <n v="1.4"/>
    <n v="1.2"/>
    <x v="1"/>
    <x v="2"/>
    <n v="3"/>
    <x v="1"/>
    <n v="1"/>
    <d v="2025-07-16T00:00:00"/>
    <x v="0"/>
    <x v="2"/>
    <x v="4"/>
    <n v="1"/>
  </r>
  <r>
    <s v="EMP0606"/>
    <d v="2025-08-04T00:00:00"/>
    <x v="0"/>
    <n v="40"/>
    <s v="Male"/>
    <s v="Married"/>
    <s v="Diploma"/>
    <x v="0"/>
    <x v="0"/>
    <x v="2"/>
    <s v="Mumbai"/>
    <n v="83000"/>
    <n v="8.1"/>
    <n v="7.2"/>
    <n v="0.4"/>
    <n v="0"/>
    <x v="2"/>
    <x v="1"/>
    <n v="3"/>
    <x v="1"/>
    <n v="5"/>
    <m/>
    <x v="0"/>
    <x v="2"/>
    <x v="3"/>
    <n v="0"/>
  </r>
  <r>
    <s v="EMP0607"/>
    <d v="2025-08-09T00:00:00"/>
    <x v="1"/>
    <n v="22"/>
    <s v="Male"/>
    <s v="Single"/>
    <s v="Master's"/>
    <x v="1"/>
    <x v="27"/>
    <x v="0"/>
    <s v="Mumbai"/>
    <n v="44000"/>
    <n v="11.3"/>
    <n v="1"/>
    <n v="0.2"/>
    <n v="0"/>
    <x v="2"/>
    <x v="0"/>
    <n v="4"/>
    <x v="1"/>
    <n v="2"/>
    <d v="2025-10-13T00:00:00"/>
    <x v="2"/>
    <x v="1"/>
    <x v="3"/>
    <n v="1"/>
  </r>
  <r>
    <s v="EMP0608"/>
    <d v="2022-05-06T00:00:00"/>
    <x v="0"/>
    <n v="41"/>
    <s v="Female"/>
    <s v="Married"/>
    <s v="Bachelor's"/>
    <x v="3"/>
    <x v="11"/>
    <x v="1"/>
    <s v="Chennai"/>
    <n v="52000"/>
    <n v="11.3"/>
    <n v="9.4"/>
    <n v="3.7"/>
    <n v="3.3"/>
    <x v="2"/>
    <x v="0"/>
    <n v="4"/>
    <x v="1"/>
    <n v="3"/>
    <m/>
    <x v="0"/>
    <x v="1"/>
    <x v="0"/>
    <n v="0"/>
  </r>
  <r>
    <s v="EMP0609"/>
    <d v="2014-11-18T00:00:00"/>
    <x v="1"/>
    <n v="33"/>
    <s v="Female"/>
    <s v="Divorced"/>
    <s v="Diploma"/>
    <x v="6"/>
    <x v="19"/>
    <x v="1"/>
    <s v="Hyderabad"/>
    <n v="51000"/>
    <n v="9.9"/>
    <n v="15"/>
    <n v="10.7"/>
    <n v="3.6"/>
    <x v="1"/>
    <x v="0"/>
    <n v="2"/>
    <x v="0"/>
    <n v="4"/>
    <d v="2025-08-08T00:00:00"/>
    <x v="1"/>
    <x v="1"/>
    <x v="2"/>
    <n v="1"/>
  </r>
  <r>
    <s v="EMP0610"/>
    <d v="2017-12-16T00:00:00"/>
    <x v="0"/>
    <n v="32"/>
    <s v="Female"/>
    <s v="Single"/>
    <s v="PhD"/>
    <x v="5"/>
    <x v="18"/>
    <x v="3"/>
    <s v="Mumbai"/>
    <n v="132000"/>
    <n v="7.3"/>
    <n v="8.6999999999999993"/>
    <n v="8"/>
    <n v="0"/>
    <x v="0"/>
    <x v="2"/>
    <n v="2"/>
    <x v="1"/>
    <n v="4"/>
    <m/>
    <x v="1"/>
    <x v="3"/>
    <x v="1"/>
    <n v="0"/>
  </r>
  <r>
    <s v="EMP0611"/>
    <d v="2024-05-17T00:00:00"/>
    <x v="0"/>
    <n v="45"/>
    <s v="Female"/>
    <s v="Divorced"/>
    <s v="PhD"/>
    <x v="0"/>
    <x v="16"/>
    <x v="3"/>
    <s v="Chennai"/>
    <n v="116000"/>
    <n v="3.8"/>
    <n v="4.2"/>
    <n v="1.6"/>
    <n v="0.2"/>
    <x v="2"/>
    <x v="2"/>
    <n v="3"/>
    <x v="1"/>
    <n v="3"/>
    <m/>
    <x v="0"/>
    <x v="3"/>
    <x v="4"/>
    <n v="0"/>
  </r>
  <r>
    <s v="EMP0612"/>
    <d v="2017-06-27T00:00:00"/>
    <x v="0"/>
    <n v="29"/>
    <s v="Non-Binary"/>
    <s v="Married"/>
    <s v="Master's"/>
    <x v="2"/>
    <x v="2"/>
    <x v="1"/>
    <s v="Noida"/>
    <n v="54000"/>
    <n v="10.199999999999999"/>
    <n v="12.8"/>
    <n v="8.5"/>
    <n v="3"/>
    <x v="2"/>
    <x v="0"/>
    <n v="2"/>
    <x v="1"/>
    <n v="2"/>
    <m/>
    <x v="1"/>
    <x v="1"/>
    <x v="1"/>
    <n v="0"/>
  </r>
  <r>
    <s v="EMP0613"/>
    <d v="2024-02-19T00:00:00"/>
    <x v="0"/>
    <n v="28"/>
    <s v="Male"/>
    <s v="Married"/>
    <s v="PhD"/>
    <x v="5"/>
    <x v="13"/>
    <x v="1"/>
    <s v="Pune"/>
    <n v="53000"/>
    <n v="5.3"/>
    <n v="2.9"/>
    <n v="1.9"/>
    <n v="0.2"/>
    <x v="2"/>
    <x v="2"/>
    <n v="3"/>
    <x v="1"/>
    <n v="4"/>
    <m/>
    <x v="1"/>
    <x v="1"/>
    <x v="4"/>
    <n v="0"/>
  </r>
  <r>
    <s v="EMP0614"/>
    <d v="2016-01-06T00:00:00"/>
    <x v="0"/>
    <n v="33"/>
    <s v="Non-Binary"/>
    <s v="Single"/>
    <s v="Bachelor's"/>
    <x v="2"/>
    <x v="17"/>
    <x v="1"/>
    <s v="Mumbai"/>
    <n v="45000"/>
    <n v="11.7"/>
    <n v="15.6"/>
    <n v="10"/>
    <n v="2.2999999999999998"/>
    <x v="3"/>
    <x v="3"/>
    <n v="4"/>
    <x v="0"/>
    <n v="3"/>
    <m/>
    <x v="1"/>
    <x v="1"/>
    <x v="1"/>
    <n v="0"/>
  </r>
  <r>
    <s v="EMP0615"/>
    <d v="2022-07-10T00:00:00"/>
    <x v="0"/>
    <n v="29"/>
    <s v="Non-Binary"/>
    <s v="Married"/>
    <s v="PhD"/>
    <x v="2"/>
    <x v="20"/>
    <x v="0"/>
    <s v="Mumbai"/>
    <n v="35000"/>
    <n v="11"/>
    <n v="10"/>
    <n v="3.5"/>
    <n v="0.5"/>
    <x v="1"/>
    <x v="1"/>
    <n v="3"/>
    <x v="0"/>
    <n v="4"/>
    <m/>
    <x v="1"/>
    <x v="0"/>
    <x v="0"/>
    <n v="0"/>
  </r>
  <r>
    <s v="EMP0616"/>
    <d v="2018-02-26T00:00:00"/>
    <x v="1"/>
    <n v="34"/>
    <s v="Non-Binary"/>
    <s v="Married"/>
    <s v="Diploma"/>
    <x v="0"/>
    <x v="7"/>
    <x v="1"/>
    <s v="Chennai"/>
    <n v="56000"/>
    <n v="10.9"/>
    <n v="8"/>
    <n v="7.7"/>
    <n v="4.5"/>
    <x v="3"/>
    <x v="0"/>
    <n v="1"/>
    <x v="0"/>
    <n v="4"/>
    <d v="2025-11-25T00:00:00"/>
    <x v="1"/>
    <x v="1"/>
    <x v="1"/>
    <n v="1"/>
  </r>
  <r>
    <s v="EMP0617"/>
    <d v="2020-09-28T00:00:00"/>
    <x v="0"/>
    <n v="39"/>
    <s v="Male"/>
    <s v="Divorced"/>
    <s v="Bachelor's"/>
    <x v="4"/>
    <x v="24"/>
    <x v="2"/>
    <s v="Noida"/>
    <n v="82000"/>
    <n v="5.9"/>
    <n v="13.1"/>
    <n v="5.3"/>
    <n v="0.7"/>
    <x v="0"/>
    <x v="1"/>
    <n v="3"/>
    <x v="0"/>
    <n v="3"/>
    <m/>
    <x v="0"/>
    <x v="2"/>
    <x v="0"/>
    <n v="0"/>
  </r>
  <r>
    <s v="EMP0618"/>
    <d v="2018-03-11T00:00:00"/>
    <x v="0"/>
    <n v="38"/>
    <s v="Female"/>
    <s v="Unkown"/>
    <s v="Master's"/>
    <x v="3"/>
    <x v="6"/>
    <x v="1"/>
    <s v="Hyderabad"/>
    <n v="53000"/>
    <n v="13.3"/>
    <n v="13"/>
    <n v="7.8"/>
    <n v="1.2"/>
    <x v="3"/>
    <x v="1"/>
    <n v="2"/>
    <x v="1"/>
    <n v="4"/>
    <m/>
    <x v="0"/>
    <x v="1"/>
    <x v="1"/>
    <n v="0"/>
  </r>
  <r>
    <s v="EMP0619"/>
    <d v="2025-04-06T00:00:00"/>
    <x v="0"/>
    <n v="27"/>
    <s v="Non-Binary"/>
    <s v="Single"/>
    <s v="PhD"/>
    <x v="1"/>
    <x v="10"/>
    <x v="0"/>
    <s v="Bengaluru"/>
    <n v="27000"/>
    <n v="10.199999999999999"/>
    <n v="5.2"/>
    <n v="0.7"/>
    <n v="0"/>
    <x v="0"/>
    <x v="3"/>
    <n v="3"/>
    <x v="1"/>
    <n v="5"/>
    <m/>
    <x v="1"/>
    <x v="0"/>
    <x v="3"/>
    <n v="0"/>
  </r>
  <r>
    <s v="EMP0620"/>
    <d v="2022-05-26T00:00:00"/>
    <x v="0"/>
    <n v="31"/>
    <s v="Non-Binary"/>
    <s v="Single"/>
    <s v="Diploma"/>
    <x v="5"/>
    <x v="18"/>
    <x v="0"/>
    <s v="Mumbai"/>
    <n v="51000"/>
    <n v="3.6"/>
    <n v="7.6"/>
    <n v="3.6"/>
    <n v="1.1000000000000001"/>
    <x v="0"/>
    <x v="0"/>
    <n v="3"/>
    <x v="1"/>
    <n v="2"/>
    <m/>
    <x v="1"/>
    <x v="1"/>
    <x v="0"/>
    <n v="0"/>
  </r>
  <r>
    <s v="EMP0621"/>
    <d v="2018-12-16T00:00:00"/>
    <x v="0"/>
    <n v="29"/>
    <s v="Non-Binary"/>
    <s v="Single"/>
    <s v="Master's"/>
    <x v="0"/>
    <x v="0"/>
    <x v="2"/>
    <s v="Pune"/>
    <n v="87000"/>
    <n v="17"/>
    <n v="14"/>
    <n v="7"/>
    <n v="0.2"/>
    <x v="0"/>
    <x v="1"/>
    <n v="3"/>
    <x v="0"/>
    <n v="2"/>
    <m/>
    <x v="1"/>
    <x v="2"/>
    <x v="1"/>
    <n v="0"/>
  </r>
  <r>
    <s v="EMP0622"/>
    <d v="2024-04-19T00:00:00"/>
    <x v="0"/>
    <n v="29"/>
    <s v="Female"/>
    <s v="Divorced"/>
    <s v="PhD"/>
    <x v="2"/>
    <x v="20"/>
    <x v="2"/>
    <s v="Bengaluru"/>
    <n v="83000"/>
    <n v="7.5"/>
    <n v="6.9"/>
    <n v="1.7"/>
    <n v="1.6"/>
    <x v="2"/>
    <x v="0"/>
    <n v="4"/>
    <x v="1"/>
    <n v="3"/>
    <m/>
    <x v="1"/>
    <x v="2"/>
    <x v="4"/>
    <n v="0"/>
  </r>
  <r>
    <s v="EMP0623"/>
    <d v="2014-01-13T00:00:00"/>
    <x v="0"/>
    <n v="33"/>
    <s v="Male"/>
    <s v="Married"/>
    <s v="Bachelor's"/>
    <x v="0"/>
    <x v="16"/>
    <x v="1"/>
    <s v="Mumbai"/>
    <n v="32000"/>
    <n v="8.9"/>
    <n v="19.899999999999999"/>
    <n v="12"/>
    <n v="0.6"/>
    <x v="0"/>
    <x v="3"/>
    <n v="4"/>
    <x v="1"/>
    <n v="3"/>
    <m/>
    <x v="1"/>
    <x v="0"/>
    <x v="2"/>
    <n v="0"/>
  </r>
  <r>
    <s v="EMP0624"/>
    <d v="2024-02-19T00:00:00"/>
    <x v="1"/>
    <n v="30"/>
    <s v="Female"/>
    <s v="Divorced"/>
    <s v="Master's"/>
    <x v="6"/>
    <x v="22"/>
    <x v="3"/>
    <s v="Bengaluru"/>
    <n v="123000"/>
    <n v="4"/>
    <n v="6.8"/>
    <n v="1.1000000000000001"/>
    <n v="0.5"/>
    <x v="2"/>
    <x v="2"/>
    <n v="4"/>
    <x v="1"/>
    <n v="4"/>
    <d v="2025-04-02T00:00:00"/>
    <x v="1"/>
    <x v="3"/>
    <x v="4"/>
    <n v="1"/>
  </r>
  <r>
    <s v="EMP0625"/>
    <d v="2016-07-05T00:00:00"/>
    <x v="0"/>
    <n v="31"/>
    <s v="Non-Binary"/>
    <s v="Married"/>
    <s v="PhD"/>
    <x v="4"/>
    <x v="5"/>
    <x v="0"/>
    <s v="Hyderabad"/>
    <n v="30000"/>
    <n v="12.2"/>
    <n v="10.5"/>
    <n v="9.5"/>
    <n v="2.2000000000000002"/>
    <x v="0"/>
    <x v="2"/>
    <n v="4"/>
    <x v="1"/>
    <n v="3"/>
    <m/>
    <x v="1"/>
    <x v="0"/>
    <x v="1"/>
    <n v="0"/>
  </r>
  <r>
    <s v="EMP0626"/>
    <d v="2018-03-02T00:00:00"/>
    <x v="0"/>
    <n v="37"/>
    <s v="Male"/>
    <s v="Single"/>
    <s v="PhD"/>
    <x v="0"/>
    <x v="0"/>
    <x v="2"/>
    <s v="Mumbai"/>
    <n v="81000"/>
    <n v="7.7"/>
    <n v="7.9"/>
    <n v="7.8"/>
    <n v="5.0999999999999996"/>
    <x v="3"/>
    <x v="0"/>
    <n v="2"/>
    <x v="1"/>
    <n v="3"/>
    <m/>
    <x v="0"/>
    <x v="2"/>
    <x v="1"/>
    <n v="0"/>
  </r>
  <r>
    <s v="EMP0627"/>
    <d v="2024-01-23T00:00:00"/>
    <x v="0"/>
    <n v="25"/>
    <s v="Female"/>
    <s v="Single"/>
    <s v="PhD"/>
    <x v="0"/>
    <x v="0"/>
    <x v="0"/>
    <s v="Hyderabad"/>
    <n v="24000"/>
    <n v="20.8"/>
    <n v="2.8"/>
    <n v="1.9"/>
    <n v="0.3"/>
    <x v="2"/>
    <x v="1"/>
    <n v="4"/>
    <x v="1"/>
    <n v="3"/>
    <m/>
    <x v="2"/>
    <x v="0"/>
    <x v="4"/>
    <n v="0"/>
  </r>
  <r>
    <s v="EMP0628"/>
    <d v="2024-06-07T00:00:00"/>
    <x v="0"/>
    <n v="24"/>
    <s v="Male"/>
    <s v="Married"/>
    <s v="Bachelor's"/>
    <x v="5"/>
    <x v="18"/>
    <x v="0"/>
    <s v="Chennai"/>
    <n v="26000"/>
    <n v="10.9"/>
    <n v="2.5"/>
    <n v="1.6"/>
    <n v="0.7"/>
    <x v="3"/>
    <x v="0"/>
    <n v="4"/>
    <x v="1"/>
    <n v="2"/>
    <m/>
    <x v="2"/>
    <x v="0"/>
    <x v="4"/>
    <n v="0"/>
  </r>
  <r>
    <s v="EMP0629"/>
    <d v="2016-03-29T00:00:00"/>
    <x v="0"/>
    <n v="37"/>
    <s v="Male"/>
    <s v="Single"/>
    <s v="Master's"/>
    <x v="2"/>
    <x v="17"/>
    <x v="0"/>
    <s v="Bengaluru"/>
    <n v="31000"/>
    <n v="8.5"/>
    <n v="11.4"/>
    <n v="9.8000000000000007"/>
    <n v="0.1"/>
    <x v="0"/>
    <x v="2"/>
    <n v="3"/>
    <x v="1"/>
    <n v="3"/>
    <m/>
    <x v="0"/>
    <x v="0"/>
    <x v="1"/>
    <n v="0"/>
  </r>
  <r>
    <s v="EMP0630"/>
    <d v="2015-06-24T00:00:00"/>
    <x v="0"/>
    <n v="34"/>
    <s v="Female"/>
    <s v="Single"/>
    <s v="Master's"/>
    <x v="6"/>
    <x v="12"/>
    <x v="0"/>
    <s v="Hyderabad"/>
    <n v="22000"/>
    <n v="8.1"/>
    <n v="17.7"/>
    <n v="10.5"/>
    <n v="1.1000000000000001"/>
    <x v="2"/>
    <x v="3"/>
    <n v="4"/>
    <x v="1"/>
    <n v="3"/>
    <m/>
    <x v="1"/>
    <x v="0"/>
    <x v="2"/>
    <n v="0"/>
  </r>
  <r>
    <s v="EMP0631"/>
    <d v="2017-08-22T00:00:00"/>
    <x v="0"/>
    <n v="34"/>
    <s v="Male"/>
    <s v="Divorced"/>
    <s v="Master's"/>
    <x v="3"/>
    <x v="6"/>
    <x v="2"/>
    <s v="Hyderabad"/>
    <n v="107000"/>
    <n v="10.5"/>
    <n v="13.9"/>
    <n v="8.4"/>
    <n v="2.2999999999999998"/>
    <x v="2"/>
    <x v="3"/>
    <n v="4"/>
    <x v="0"/>
    <n v="4"/>
    <m/>
    <x v="1"/>
    <x v="3"/>
    <x v="1"/>
    <n v="0"/>
  </r>
  <r>
    <s v="EMP0632"/>
    <d v="2015-03-19T00:00:00"/>
    <x v="0"/>
    <n v="39"/>
    <s v="Male"/>
    <s v="Divorced"/>
    <s v="PhD"/>
    <x v="0"/>
    <x v="7"/>
    <x v="0"/>
    <s v="Noida"/>
    <n v="36000"/>
    <n v="10.7"/>
    <n v="17.100000000000001"/>
    <n v="10.8"/>
    <n v="4"/>
    <x v="2"/>
    <x v="0"/>
    <n v="3"/>
    <x v="1"/>
    <n v="5"/>
    <m/>
    <x v="0"/>
    <x v="0"/>
    <x v="2"/>
    <n v="0"/>
  </r>
  <r>
    <s v="EMP0633"/>
    <d v="2016-12-22T00:00:00"/>
    <x v="0"/>
    <n v="47"/>
    <s v="Male"/>
    <s v="Married"/>
    <s v="Diploma"/>
    <x v="4"/>
    <x v="25"/>
    <x v="0"/>
    <s v="Bengaluru"/>
    <n v="22000"/>
    <n v="10.9"/>
    <n v="13.8"/>
    <n v="9"/>
    <n v="1.3"/>
    <x v="2"/>
    <x v="1"/>
    <n v="2"/>
    <x v="0"/>
    <n v="4"/>
    <m/>
    <x v="3"/>
    <x v="0"/>
    <x v="1"/>
    <n v="0"/>
  </r>
  <r>
    <s v="EMP0634"/>
    <d v="2015-07-20T00:00:00"/>
    <x v="0"/>
    <n v="37"/>
    <s v="Male"/>
    <s v="Single"/>
    <s v="PhD"/>
    <x v="6"/>
    <x v="21"/>
    <x v="2"/>
    <s v="Mumbai"/>
    <n v="69000"/>
    <n v="7.3"/>
    <n v="13.7"/>
    <n v="10.5"/>
    <n v="2.1"/>
    <x v="2"/>
    <x v="0"/>
    <n v="3"/>
    <x v="1"/>
    <n v="4"/>
    <m/>
    <x v="0"/>
    <x v="4"/>
    <x v="2"/>
    <n v="0"/>
  </r>
  <r>
    <s v="EMP0635"/>
    <d v="2023-10-19T00:00:00"/>
    <x v="0"/>
    <n v="40"/>
    <s v="Male"/>
    <s v="Single"/>
    <s v="Bachelor's"/>
    <x v="6"/>
    <x v="22"/>
    <x v="2"/>
    <s v="Bengaluru"/>
    <n v="85000"/>
    <n v="4"/>
    <n v="7.6"/>
    <n v="2.2000000000000002"/>
    <n v="1.4"/>
    <x v="2"/>
    <x v="0"/>
    <n v="4"/>
    <x v="1"/>
    <n v="5"/>
    <m/>
    <x v="0"/>
    <x v="2"/>
    <x v="4"/>
    <n v="0"/>
  </r>
  <r>
    <s v="EMP0636"/>
    <d v="2022-07-14T00:00:00"/>
    <x v="0"/>
    <n v="28"/>
    <s v="Female"/>
    <s v="Single"/>
    <s v="Master's"/>
    <x v="0"/>
    <x v="0"/>
    <x v="2"/>
    <s v="Mumbai"/>
    <n v="61000"/>
    <m/>
    <n v="4.3"/>
    <n v="3.5"/>
    <n v="1.6"/>
    <x v="0"/>
    <x v="0"/>
    <n v="1"/>
    <x v="1"/>
    <n v="3"/>
    <m/>
    <x v="1"/>
    <x v="4"/>
    <x v="0"/>
    <n v="0"/>
  </r>
  <r>
    <s v="EMP0637"/>
    <d v="2015-09-06T00:00:00"/>
    <x v="0"/>
    <n v="50"/>
    <s v="Female"/>
    <s v="Single"/>
    <s v="Diploma"/>
    <x v="4"/>
    <x v="5"/>
    <x v="1"/>
    <s v="Hyderabad"/>
    <n v="54000"/>
    <n v="3.5"/>
    <n v="14"/>
    <n v="10.3"/>
    <n v="5.4"/>
    <x v="2"/>
    <x v="0"/>
    <n v="4"/>
    <x v="1"/>
    <n v="3"/>
    <m/>
    <x v="3"/>
    <x v="1"/>
    <x v="2"/>
    <n v="0"/>
  </r>
  <r>
    <s v="EMP0638"/>
    <d v="2015-02-20T00:00:00"/>
    <x v="1"/>
    <n v="40"/>
    <s v="Non-Binary"/>
    <s v="Divorced"/>
    <s v="Diploma"/>
    <x v="0"/>
    <x v="7"/>
    <x v="1"/>
    <s v="Hyderabad"/>
    <n v="68000"/>
    <n v="2.7"/>
    <n v="10.7"/>
    <n v="10.4"/>
    <n v="0.2"/>
    <x v="2"/>
    <x v="2"/>
    <n v="4"/>
    <x v="1"/>
    <n v="3"/>
    <d v="2025-08-01T00:00:00"/>
    <x v="0"/>
    <x v="4"/>
    <x v="2"/>
    <n v="1"/>
  </r>
  <r>
    <s v="EMP0639"/>
    <d v="2014-04-24T00:00:00"/>
    <x v="0"/>
    <n v="46"/>
    <s v="Male"/>
    <s v="Married"/>
    <s v="Diploma"/>
    <x v="1"/>
    <x v="1"/>
    <x v="1"/>
    <s v="Chennai"/>
    <n v="65000"/>
    <n v="5.5"/>
    <n v="18.100000000000001"/>
    <n v="11.7"/>
    <n v="3.5"/>
    <x v="2"/>
    <x v="1"/>
    <n v="3"/>
    <x v="0"/>
    <n v="5"/>
    <m/>
    <x v="3"/>
    <x v="4"/>
    <x v="2"/>
    <n v="0"/>
  </r>
  <r>
    <s v="EMP0640"/>
    <d v="2025-07-16T00:00:00"/>
    <x v="1"/>
    <n v="21"/>
    <s v="Female"/>
    <s v="Single"/>
    <s v="Bachelor's"/>
    <x v="1"/>
    <x v="1"/>
    <x v="0"/>
    <s v="Bengaluru"/>
    <n v="39000"/>
    <n v="10.3"/>
    <n v="6.6"/>
    <n v="0.4"/>
    <n v="0"/>
    <x v="3"/>
    <x v="0"/>
    <n v="3"/>
    <x v="1"/>
    <n v="4"/>
    <d v="2025-11-26T00:00:00"/>
    <x v="2"/>
    <x v="0"/>
    <x v="3"/>
    <n v="1"/>
  </r>
  <r>
    <s v="EMP0641"/>
    <d v="2025-08-20T00:00:00"/>
    <x v="0"/>
    <n v="26"/>
    <s v="Female"/>
    <s v="Divorced"/>
    <s v="Diploma"/>
    <x v="5"/>
    <x v="26"/>
    <x v="0"/>
    <s v="Pune"/>
    <n v="39000"/>
    <n v="5.3"/>
    <n v="4.7"/>
    <n v="0.4"/>
    <n v="0"/>
    <x v="3"/>
    <x v="0"/>
    <n v="1"/>
    <x v="1"/>
    <n v="4"/>
    <m/>
    <x v="1"/>
    <x v="0"/>
    <x v="3"/>
    <n v="0"/>
  </r>
  <r>
    <s v="EMP0642"/>
    <d v="2023-09-17T00:00:00"/>
    <x v="0"/>
    <n v="27"/>
    <s v="Non-Binary"/>
    <s v="Single"/>
    <s v="Bachelor's"/>
    <x v="1"/>
    <x v="27"/>
    <x v="0"/>
    <s v="Bengaluru"/>
    <n v="36000"/>
    <n v="5"/>
    <n v="8.6"/>
    <n v="2.2999999999999998"/>
    <n v="1.8"/>
    <x v="3"/>
    <x v="4"/>
    <n v="3"/>
    <x v="1"/>
    <n v="5"/>
    <m/>
    <x v="1"/>
    <x v="0"/>
    <x v="4"/>
    <n v="0"/>
  </r>
  <r>
    <s v="EMP0643"/>
    <d v="2022-05-25T00:00:00"/>
    <x v="0"/>
    <n v="39"/>
    <s v="Male"/>
    <s v="Married"/>
    <s v="Bachelor's"/>
    <x v="3"/>
    <x v="15"/>
    <x v="1"/>
    <s v="Pune"/>
    <n v="53000"/>
    <n v="9.1999999999999993"/>
    <n v="6.5"/>
    <n v="3.6"/>
    <n v="3"/>
    <x v="3"/>
    <x v="0"/>
    <n v="3"/>
    <x v="1"/>
    <n v="1"/>
    <m/>
    <x v="0"/>
    <x v="1"/>
    <x v="0"/>
    <n v="0"/>
  </r>
  <r>
    <s v="EMP0644"/>
    <d v="2022-05-06T00:00:00"/>
    <x v="0"/>
    <n v="31"/>
    <s v="Female"/>
    <s v="Married"/>
    <s v="PhD"/>
    <x v="0"/>
    <x v="16"/>
    <x v="1"/>
    <s v="Chennai"/>
    <n v="49000"/>
    <n v="19.5"/>
    <n v="3.7"/>
    <n v="3.7"/>
    <n v="0.7"/>
    <x v="0"/>
    <x v="0"/>
    <n v="3"/>
    <x v="1"/>
    <n v="1"/>
    <m/>
    <x v="1"/>
    <x v="1"/>
    <x v="0"/>
    <n v="0"/>
  </r>
  <r>
    <s v="EMP0645"/>
    <d v="2017-01-08T00:00:00"/>
    <x v="1"/>
    <n v="43"/>
    <s v="Male"/>
    <s v="Married"/>
    <s v="Master's"/>
    <x v="4"/>
    <x v="25"/>
    <x v="1"/>
    <s v="Pune"/>
    <n v="60000"/>
    <n v="10.1"/>
    <n v="12.2"/>
    <n v="8"/>
    <n v="4.5999999999999996"/>
    <x v="3"/>
    <x v="1"/>
    <n v="3"/>
    <x v="1"/>
    <n v="5"/>
    <d v="2025-01-12T00:00:00"/>
    <x v="0"/>
    <x v="4"/>
    <x v="1"/>
    <n v="1"/>
  </r>
  <r>
    <s v="EMP0646"/>
    <d v="2020-01-25T00:00:00"/>
    <x v="0"/>
    <n v="36"/>
    <s v="Male"/>
    <s v="Married"/>
    <s v="Master's"/>
    <x v="5"/>
    <x v="13"/>
    <x v="1"/>
    <s v="Pune"/>
    <n v="63000"/>
    <n v="8.8000000000000007"/>
    <n v="8.3000000000000007"/>
    <n v="5.9"/>
    <n v="4.4000000000000004"/>
    <x v="2"/>
    <x v="0"/>
    <n v="3"/>
    <x v="1"/>
    <n v="3"/>
    <m/>
    <x v="0"/>
    <x v="4"/>
    <x v="0"/>
    <n v="0"/>
  </r>
  <r>
    <s v="EMP0647"/>
    <d v="2024-06-30T00:00:00"/>
    <x v="0"/>
    <n v="41"/>
    <s v="Female"/>
    <s v="Married"/>
    <s v="Bachelor's"/>
    <x v="0"/>
    <x v="7"/>
    <x v="4"/>
    <s v="Chennai"/>
    <n v="138000"/>
    <n v="3.7"/>
    <n v="3.1"/>
    <n v="1.5"/>
    <n v="1.1000000000000001"/>
    <x v="2"/>
    <x v="0"/>
    <n v="3"/>
    <x v="1"/>
    <n v="4"/>
    <m/>
    <x v="0"/>
    <x v="3"/>
    <x v="4"/>
    <n v="0"/>
  </r>
  <r>
    <s v="EMP0648"/>
    <d v="2024-05-12T00:00:00"/>
    <x v="0"/>
    <n v="27"/>
    <s v="Non-Binary"/>
    <s v="Divorced"/>
    <s v="Diploma"/>
    <x v="3"/>
    <x v="6"/>
    <x v="0"/>
    <s v="Mumbai"/>
    <n v="34000"/>
    <n v="13.9"/>
    <n v="5.2"/>
    <n v="1.6"/>
    <n v="1.4"/>
    <x v="0"/>
    <x v="2"/>
    <n v="2"/>
    <x v="1"/>
    <n v="3"/>
    <m/>
    <x v="1"/>
    <x v="0"/>
    <x v="4"/>
    <n v="0"/>
  </r>
  <r>
    <s v="EMP0649"/>
    <d v="2021-12-04T00:00:00"/>
    <x v="1"/>
    <n v="33"/>
    <s v="Non-Binary"/>
    <s v="Married"/>
    <s v="Master's"/>
    <x v="5"/>
    <x v="8"/>
    <x v="1"/>
    <s v="Mumbai"/>
    <n v="60000"/>
    <n v="12.4"/>
    <n v="7"/>
    <n v="4"/>
    <n v="0.6"/>
    <x v="2"/>
    <x v="0"/>
    <n v="1"/>
    <x v="1"/>
    <n v="4"/>
    <d v="2025-12-03T00:00:00"/>
    <x v="1"/>
    <x v="4"/>
    <x v="0"/>
    <n v="1"/>
  </r>
  <r>
    <s v="EMP0650"/>
    <d v="2020-10-24T00:00:00"/>
    <x v="0"/>
    <n v="29"/>
    <s v="Male"/>
    <s v="Divorced"/>
    <s v="PhD"/>
    <x v="4"/>
    <x v="24"/>
    <x v="3"/>
    <s v="Noida"/>
    <n v="108000"/>
    <n v="13.8"/>
    <n v="6"/>
    <n v="5.2"/>
    <n v="1.4"/>
    <x v="2"/>
    <x v="0"/>
    <n v="4"/>
    <x v="1"/>
    <n v="4"/>
    <m/>
    <x v="1"/>
    <x v="3"/>
    <x v="0"/>
    <n v="0"/>
  </r>
  <r>
    <s v="EMP0651"/>
    <d v="2025-06-24T00:00:00"/>
    <x v="0"/>
    <n v="21"/>
    <s v="Female"/>
    <s v="Divorced"/>
    <s v="PhD"/>
    <x v="2"/>
    <x v="17"/>
    <x v="0"/>
    <s v="Pune"/>
    <n v="38000"/>
    <n v="6.5"/>
    <n v="4.5"/>
    <n v="0.5"/>
    <n v="0"/>
    <x v="3"/>
    <x v="0"/>
    <n v="2"/>
    <x v="1"/>
    <n v="3"/>
    <m/>
    <x v="2"/>
    <x v="0"/>
    <x v="3"/>
    <n v="0"/>
  </r>
  <r>
    <s v="EMP0652"/>
    <d v="2020-02-07T00:00:00"/>
    <x v="0"/>
    <n v="29"/>
    <s v="Male"/>
    <s v="Married"/>
    <s v="Bachelor's"/>
    <x v="4"/>
    <x v="25"/>
    <x v="1"/>
    <s v="Bengaluru"/>
    <n v="49000"/>
    <n v="6.6"/>
    <n v="8.1999999999999993"/>
    <n v="5.9"/>
    <n v="5"/>
    <x v="0"/>
    <x v="0"/>
    <n v="4"/>
    <x v="1"/>
    <n v="5"/>
    <m/>
    <x v="1"/>
    <x v="1"/>
    <x v="0"/>
    <n v="0"/>
  </r>
  <r>
    <s v="EMP0653"/>
    <d v="2020-11-04T00:00:00"/>
    <x v="0"/>
    <n v="39"/>
    <s v="Female"/>
    <s v="Married"/>
    <s v="Bachelor's"/>
    <x v="3"/>
    <x v="15"/>
    <x v="3"/>
    <s v="Hyderabad"/>
    <n v="126000"/>
    <n v="11.6"/>
    <n v="5.8"/>
    <n v="5.2"/>
    <n v="4"/>
    <x v="2"/>
    <x v="0"/>
    <n v="1"/>
    <x v="1"/>
    <n v="3"/>
    <m/>
    <x v="0"/>
    <x v="3"/>
    <x v="0"/>
    <n v="0"/>
  </r>
  <r>
    <s v="EMP0654"/>
    <d v="2025-02-21T00:00:00"/>
    <x v="0"/>
    <n v="32"/>
    <s v="Female"/>
    <s v="Divorced"/>
    <s v="Bachelor's"/>
    <x v="4"/>
    <x v="25"/>
    <x v="0"/>
    <s v="Noida"/>
    <n v="32000"/>
    <n v="11.4"/>
    <n v="6.4"/>
    <n v="0.9"/>
    <n v="0"/>
    <x v="3"/>
    <x v="1"/>
    <n v="2"/>
    <x v="0"/>
    <n v="5"/>
    <m/>
    <x v="1"/>
    <x v="0"/>
    <x v="3"/>
    <n v="0"/>
  </r>
  <r>
    <s v="EMP0655"/>
    <d v="2019-08-28T00:00:00"/>
    <x v="1"/>
    <n v="28"/>
    <s v="Non-Binary"/>
    <s v="Married"/>
    <s v="Bachelor's"/>
    <x v="2"/>
    <x v="23"/>
    <x v="1"/>
    <s v="Pune"/>
    <n v="52000"/>
    <n v="10.8"/>
    <n v="11.3"/>
    <n v="5.8"/>
    <n v="4.5999999999999996"/>
    <x v="0"/>
    <x v="0"/>
    <n v="3"/>
    <x v="0"/>
    <n v="5"/>
    <d v="2025-06-18T00:00:00"/>
    <x v="1"/>
    <x v="1"/>
    <x v="0"/>
    <n v="1"/>
  </r>
  <r>
    <s v="EMP0656"/>
    <d v="2015-04-25T00:00:00"/>
    <x v="0"/>
    <n v="38"/>
    <s v="Female"/>
    <s v="Divorced"/>
    <s v="PhD"/>
    <x v="6"/>
    <x v="22"/>
    <x v="2"/>
    <s v="Pune"/>
    <n v="84000"/>
    <n v="9.3000000000000007"/>
    <n v="11.7"/>
    <n v="10.7"/>
    <n v="3.2"/>
    <x v="2"/>
    <x v="0"/>
    <n v="3"/>
    <x v="1"/>
    <n v="5"/>
    <m/>
    <x v="0"/>
    <x v="2"/>
    <x v="2"/>
    <n v="0"/>
  </r>
  <r>
    <s v="EMP0657"/>
    <d v="2017-05-18T00:00:00"/>
    <x v="0"/>
    <n v="36"/>
    <s v="Male"/>
    <s v="Single"/>
    <s v="Master's"/>
    <x v="5"/>
    <x v="18"/>
    <x v="2"/>
    <s v="Mumbai"/>
    <n v="79000"/>
    <n v="14.6"/>
    <n v="13.8"/>
    <n v="8.6"/>
    <n v="5.0999999999999996"/>
    <x v="0"/>
    <x v="0"/>
    <n v="2"/>
    <x v="1"/>
    <n v="3"/>
    <m/>
    <x v="0"/>
    <x v="4"/>
    <x v="1"/>
    <n v="0"/>
  </r>
  <r>
    <s v="EMP0658"/>
    <d v="2024-09-08T00:00:00"/>
    <x v="0"/>
    <n v="30"/>
    <s v="Non-Binary"/>
    <s v="Single"/>
    <s v="Master's"/>
    <x v="2"/>
    <x v="17"/>
    <x v="1"/>
    <s v="Pune"/>
    <n v="47000"/>
    <n v="10.199999999999999"/>
    <n v="8.1999999999999993"/>
    <n v="1.3"/>
    <n v="1"/>
    <x v="2"/>
    <x v="0"/>
    <n v="3"/>
    <x v="0"/>
    <n v="2"/>
    <m/>
    <x v="1"/>
    <x v="1"/>
    <x v="4"/>
    <n v="0"/>
  </r>
  <r>
    <s v="EMP0659"/>
    <d v="2015-07-19T00:00:00"/>
    <x v="0"/>
    <n v="34"/>
    <s v="Male"/>
    <s v="Married"/>
    <s v="Bachelor's"/>
    <x v="6"/>
    <x v="12"/>
    <x v="4"/>
    <s v="Noida"/>
    <n v="156000"/>
    <n v="15.8"/>
    <n v="12.7"/>
    <n v="10.5"/>
    <n v="1"/>
    <x v="0"/>
    <x v="0"/>
    <n v="4"/>
    <x v="1"/>
    <n v="4"/>
    <m/>
    <x v="1"/>
    <x v="3"/>
    <x v="2"/>
    <n v="0"/>
  </r>
  <r>
    <s v="EMP0660"/>
    <d v="2020-04-23T00:00:00"/>
    <x v="0"/>
    <n v="34"/>
    <s v="Female"/>
    <s v="Divorced"/>
    <s v="PhD"/>
    <x v="5"/>
    <x v="13"/>
    <x v="0"/>
    <s v="Chennai"/>
    <n v="46000"/>
    <n v="4.9000000000000004"/>
    <n v="8.5"/>
    <n v="5.7"/>
    <n v="0.7"/>
    <x v="2"/>
    <x v="0"/>
    <n v="3"/>
    <x v="0"/>
    <n v="3"/>
    <m/>
    <x v="1"/>
    <x v="1"/>
    <x v="0"/>
    <n v="0"/>
  </r>
  <r>
    <s v="EMP0661"/>
    <d v="2021-05-17T00:00:00"/>
    <x v="0"/>
    <n v="46"/>
    <s v="Non-Binary"/>
    <s v="Married"/>
    <s v="Bachelor's"/>
    <x v="6"/>
    <x v="19"/>
    <x v="1"/>
    <s v="Noida"/>
    <n v="51000"/>
    <n v="5.6"/>
    <n v="6.2"/>
    <n v="4.5999999999999996"/>
    <n v="0.9"/>
    <x v="2"/>
    <x v="1"/>
    <n v="3"/>
    <x v="0"/>
    <n v="4"/>
    <m/>
    <x v="3"/>
    <x v="1"/>
    <x v="0"/>
    <n v="0"/>
  </r>
  <r>
    <s v="EMP0662"/>
    <d v="2021-03-12T00:00:00"/>
    <x v="1"/>
    <n v="25"/>
    <s v="Female"/>
    <s v="Married"/>
    <s v="PhD"/>
    <x v="5"/>
    <x v="13"/>
    <x v="0"/>
    <s v="Bengaluru"/>
    <n v="31000"/>
    <n v="7.5"/>
    <n v="6.1"/>
    <n v="4.2"/>
    <n v="2.2000000000000002"/>
    <x v="1"/>
    <x v="0"/>
    <n v="4"/>
    <x v="0"/>
    <n v="4"/>
    <d v="2025-05-17T00:00:00"/>
    <x v="2"/>
    <x v="0"/>
    <x v="0"/>
    <n v="1"/>
  </r>
  <r>
    <s v="EMP0663"/>
    <d v="2023-09-13T00:00:00"/>
    <x v="0"/>
    <n v="33"/>
    <s v="Non-Binary"/>
    <s v="Married"/>
    <s v="Master's"/>
    <x v="1"/>
    <x v="9"/>
    <x v="2"/>
    <s v="Pune"/>
    <n v="98000"/>
    <n v="5.4"/>
    <n v="4.5999999999999996"/>
    <n v="2.2999999999999998"/>
    <n v="0"/>
    <x v="2"/>
    <x v="1"/>
    <n v="4"/>
    <x v="0"/>
    <n v="4"/>
    <m/>
    <x v="1"/>
    <x v="2"/>
    <x v="4"/>
    <n v="0"/>
  </r>
  <r>
    <s v="EMP0664"/>
    <d v="2021-10-24T00:00:00"/>
    <x v="0"/>
    <n v="37"/>
    <s v="Male"/>
    <s v="Divorced"/>
    <s v="Diploma"/>
    <x v="6"/>
    <x v="19"/>
    <x v="1"/>
    <s v="Mumbai"/>
    <n v="62000"/>
    <n v="6.4"/>
    <n v="7.6"/>
    <n v="4.2"/>
    <n v="0.1"/>
    <x v="0"/>
    <x v="2"/>
    <n v="4"/>
    <x v="1"/>
    <n v="3"/>
    <m/>
    <x v="0"/>
    <x v="4"/>
    <x v="0"/>
    <n v="0"/>
  </r>
  <r>
    <s v="EMP0665"/>
    <d v="2023-05-29T00:00:00"/>
    <x v="0"/>
    <n v="25"/>
    <s v="Male"/>
    <s v="Single"/>
    <s v="Bachelor's"/>
    <x v="4"/>
    <x v="25"/>
    <x v="0"/>
    <s v="Hyderabad"/>
    <n v="40000"/>
    <n v="9.6999999999999993"/>
    <n v="7.1"/>
    <n v="2.6"/>
    <n v="2.6"/>
    <x v="3"/>
    <x v="2"/>
    <n v="3"/>
    <x v="0"/>
    <n v="2"/>
    <m/>
    <x v="2"/>
    <x v="1"/>
    <x v="4"/>
    <n v="0"/>
  </r>
  <r>
    <s v="EMP0666"/>
    <d v="2023-07-29T00:00:00"/>
    <x v="0"/>
    <n v="25"/>
    <s v="Non-Binary"/>
    <s v="Divorced"/>
    <s v="PhD"/>
    <x v="2"/>
    <x v="2"/>
    <x v="0"/>
    <s v="Bengaluru"/>
    <n v="25000"/>
    <n v="11.4"/>
    <n v="6.3"/>
    <n v="2.4"/>
    <n v="0.9"/>
    <x v="0"/>
    <x v="3"/>
    <n v="3"/>
    <x v="1"/>
    <n v="4"/>
    <m/>
    <x v="2"/>
    <x v="0"/>
    <x v="4"/>
    <n v="0"/>
  </r>
  <r>
    <s v="EMP0667"/>
    <d v="2020-11-24T00:00:00"/>
    <x v="0"/>
    <n v="36"/>
    <s v="Male"/>
    <s v="Single"/>
    <s v="PhD"/>
    <x v="6"/>
    <x v="19"/>
    <x v="1"/>
    <s v="Noida"/>
    <n v="40000"/>
    <n v="12.4"/>
    <n v="5.3"/>
    <n v="5.0999999999999996"/>
    <n v="2.9"/>
    <x v="0"/>
    <x v="0"/>
    <n v="3"/>
    <x v="0"/>
    <n v="3"/>
    <m/>
    <x v="0"/>
    <x v="1"/>
    <x v="0"/>
    <n v="0"/>
  </r>
  <r>
    <s v="EMP0668"/>
    <d v="2017-10-04T00:00:00"/>
    <x v="0"/>
    <n v="37"/>
    <s v="Female"/>
    <s v="Married"/>
    <s v="Diploma"/>
    <x v="5"/>
    <x v="18"/>
    <x v="3"/>
    <s v="Pune"/>
    <n v="130000"/>
    <n v="6.2"/>
    <n v="12.5"/>
    <n v="8.1999999999999993"/>
    <n v="1.6"/>
    <x v="2"/>
    <x v="0"/>
    <n v="4"/>
    <x v="1"/>
    <n v="3"/>
    <m/>
    <x v="0"/>
    <x v="3"/>
    <x v="1"/>
    <n v="0"/>
  </r>
  <r>
    <s v="EMP0669"/>
    <d v="2024-04-05T00:00:00"/>
    <x v="0"/>
    <n v="35"/>
    <s v="Non-Binary"/>
    <s v="Single"/>
    <s v="Diploma"/>
    <x v="5"/>
    <x v="18"/>
    <x v="3"/>
    <s v="Chennai"/>
    <n v="119000"/>
    <n v="5"/>
    <n v="4.5"/>
    <n v="1.7"/>
    <n v="0.2"/>
    <x v="2"/>
    <x v="3"/>
    <n v="4"/>
    <x v="1"/>
    <n v="2"/>
    <m/>
    <x v="1"/>
    <x v="3"/>
    <x v="4"/>
    <n v="0"/>
  </r>
  <r>
    <s v="EMP0670"/>
    <d v="2022-04-30T00:00:00"/>
    <x v="1"/>
    <n v="35"/>
    <s v="Male"/>
    <s v="Single"/>
    <s v="Diploma"/>
    <x v="4"/>
    <x v="14"/>
    <x v="1"/>
    <s v="Pune"/>
    <n v="37000"/>
    <n v="9.4"/>
    <n v="9.6999999999999993"/>
    <n v="3.1"/>
    <n v="0.4"/>
    <x v="1"/>
    <x v="0"/>
    <n v="1"/>
    <x v="1"/>
    <n v="3"/>
    <d v="2025-05-25T00:00:00"/>
    <x v="1"/>
    <x v="0"/>
    <x v="0"/>
    <n v="1"/>
  </r>
  <r>
    <s v="EMP0671"/>
    <d v="2019-10-30T00:00:00"/>
    <x v="0"/>
    <n v="38"/>
    <s v="Female"/>
    <s v="Single"/>
    <s v="Bachelor's"/>
    <x v="6"/>
    <x v="21"/>
    <x v="2"/>
    <s v="Mumbai"/>
    <n v="74000"/>
    <n v="7.7"/>
    <n v="11.9"/>
    <n v="6.2"/>
    <n v="0.9"/>
    <x v="2"/>
    <x v="0"/>
    <n v="3"/>
    <x v="1"/>
    <n v="5"/>
    <m/>
    <x v="0"/>
    <x v="4"/>
    <x v="1"/>
    <n v="0"/>
  </r>
  <r>
    <s v="EMP0672"/>
    <d v="2018-04-01T00:00:00"/>
    <x v="1"/>
    <n v="35"/>
    <s v="Non-Binary"/>
    <s v="Single"/>
    <s v="Master's"/>
    <x v="6"/>
    <x v="22"/>
    <x v="3"/>
    <s v="Hyderabad"/>
    <n v="113000"/>
    <n v="10.9"/>
    <n v="14.5"/>
    <n v="7.1"/>
    <n v="3.6"/>
    <x v="0"/>
    <x v="1"/>
    <n v="3"/>
    <x v="1"/>
    <n v="5"/>
    <d v="2025-05-14T00:00:00"/>
    <x v="1"/>
    <x v="3"/>
    <x v="1"/>
    <n v="1"/>
  </r>
  <r>
    <s v="EMP0673"/>
    <d v="2022-03-06T00:00:00"/>
    <x v="0"/>
    <n v="38"/>
    <s v="Female"/>
    <s v="Divorced"/>
    <s v="Diploma"/>
    <x v="1"/>
    <x v="1"/>
    <x v="2"/>
    <s v="Chennai"/>
    <n v="95000"/>
    <n v="4.9000000000000004"/>
    <n v="8.1999999999999993"/>
    <n v="3.8"/>
    <n v="1.4"/>
    <x v="2"/>
    <x v="2"/>
    <n v="3"/>
    <x v="0"/>
    <n v="2"/>
    <m/>
    <x v="0"/>
    <x v="2"/>
    <x v="0"/>
    <n v="0"/>
  </r>
  <r>
    <s v="EMP0674"/>
    <d v="2020-09-11T00:00:00"/>
    <x v="1"/>
    <n v="33"/>
    <s v="Male"/>
    <s v="Divorced"/>
    <s v="Diploma"/>
    <x v="0"/>
    <x v="7"/>
    <x v="2"/>
    <s v="Pune"/>
    <n v="71000"/>
    <n v="10.3"/>
    <n v="5.3"/>
    <n v="5.0999999999999996"/>
    <n v="3.9"/>
    <x v="2"/>
    <x v="1"/>
    <n v="2"/>
    <x v="1"/>
    <n v="5"/>
    <d v="2025-10-14T00:00:00"/>
    <x v="1"/>
    <x v="4"/>
    <x v="0"/>
    <n v="1"/>
  </r>
  <r>
    <s v="EMP0675"/>
    <d v="2015-10-24T00:00:00"/>
    <x v="0"/>
    <n v="41"/>
    <s v="Non-Binary"/>
    <s v="Single"/>
    <s v="Diploma"/>
    <x v="4"/>
    <x v="24"/>
    <x v="0"/>
    <s v="Chennai"/>
    <n v="22000"/>
    <n v="11.5"/>
    <n v="16.3"/>
    <n v="10.199999999999999"/>
    <n v="3.1"/>
    <x v="2"/>
    <x v="2"/>
    <n v="2"/>
    <x v="0"/>
    <n v="3"/>
    <m/>
    <x v="0"/>
    <x v="0"/>
    <x v="2"/>
    <n v="0"/>
  </r>
  <r>
    <s v="EMP0676"/>
    <d v="2017-08-15T00:00:00"/>
    <x v="0"/>
    <n v="36"/>
    <s v="Female"/>
    <s v="Single"/>
    <s v="Master's"/>
    <x v="5"/>
    <x v="18"/>
    <x v="2"/>
    <s v="Noida"/>
    <n v="96000"/>
    <n v="17"/>
    <n v="12.5"/>
    <n v="8.4"/>
    <n v="4.3"/>
    <x v="3"/>
    <x v="0"/>
    <n v="3"/>
    <x v="1"/>
    <n v="4"/>
    <m/>
    <x v="0"/>
    <x v="2"/>
    <x v="1"/>
    <n v="0"/>
  </r>
  <r>
    <s v="EMP0677"/>
    <d v="2022-01-23T00:00:00"/>
    <x v="0"/>
    <n v="35"/>
    <s v="Male"/>
    <s v="Single"/>
    <s v="Master's"/>
    <x v="0"/>
    <x v="3"/>
    <x v="1"/>
    <s v="Bengaluru"/>
    <n v="59000"/>
    <n v="9.6"/>
    <n v="9.4"/>
    <n v="3.9"/>
    <n v="0.4"/>
    <x v="1"/>
    <x v="3"/>
    <n v="3"/>
    <x v="1"/>
    <n v="2"/>
    <m/>
    <x v="1"/>
    <x v="1"/>
    <x v="0"/>
    <n v="0"/>
  </r>
  <r>
    <s v="EMP0678"/>
    <d v="2020-12-13T00:00:00"/>
    <x v="0"/>
    <n v="31"/>
    <s v="Non-Binary"/>
    <s v="Married"/>
    <s v="Bachelor's"/>
    <x v="3"/>
    <x v="15"/>
    <x v="3"/>
    <s v="Mumbai"/>
    <n v="129000"/>
    <n v="5.7"/>
    <n v="12.9"/>
    <n v="5"/>
    <n v="4.0999999999999996"/>
    <x v="3"/>
    <x v="2"/>
    <n v="3"/>
    <x v="0"/>
    <n v="4"/>
    <m/>
    <x v="1"/>
    <x v="3"/>
    <x v="0"/>
    <n v="0"/>
  </r>
  <r>
    <s v="EMP0679"/>
    <d v="2016-02-15T00:00:00"/>
    <x v="0"/>
    <n v="36"/>
    <s v="Female"/>
    <s v="Married"/>
    <s v="Diploma"/>
    <x v="1"/>
    <x v="10"/>
    <x v="1"/>
    <s v="Mumbai"/>
    <n v="49000"/>
    <n v="10.5"/>
    <n v="14.2"/>
    <n v="9.9"/>
    <n v="2.9"/>
    <x v="3"/>
    <x v="0"/>
    <n v="3"/>
    <x v="1"/>
    <n v="5"/>
    <m/>
    <x v="0"/>
    <x v="1"/>
    <x v="1"/>
    <n v="0"/>
  </r>
  <r>
    <s v="EMP0680"/>
    <d v="2016-03-08T00:00:00"/>
    <x v="1"/>
    <n v="37"/>
    <s v="Male"/>
    <s v="Married"/>
    <s v="Master's"/>
    <x v="3"/>
    <x v="15"/>
    <x v="2"/>
    <s v="Mumbai"/>
    <n v="88000"/>
    <n v="6.6"/>
    <n v="9.5"/>
    <n v="9.4"/>
    <n v="1.8"/>
    <x v="2"/>
    <x v="0"/>
    <n v="4"/>
    <x v="0"/>
    <n v="4"/>
    <d v="2025-07-19T00:00:00"/>
    <x v="0"/>
    <x v="2"/>
    <x v="1"/>
    <n v="1"/>
  </r>
  <r>
    <s v="EMP0681"/>
    <d v="2014-03-19T00:00:00"/>
    <x v="0"/>
    <n v="47"/>
    <s v="Female"/>
    <s v="Divorced"/>
    <s v="Diploma"/>
    <x v="0"/>
    <x v="16"/>
    <x v="1"/>
    <s v="Mumbai"/>
    <n v="45000"/>
    <n v="4.8"/>
    <n v="14.6"/>
    <n v="11.8"/>
    <n v="4.2"/>
    <x v="0"/>
    <x v="0"/>
    <n v="2"/>
    <x v="1"/>
    <n v="4"/>
    <m/>
    <x v="3"/>
    <x v="1"/>
    <x v="2"/>
    <n v="0"/>
  </r>
  <r>
    <s v="EMP0682"/>
    <d v="2016-10-11T00:00:00"/>
    <x v="0"/>
    <n v="47"/>
    <s v="Non-Binary"/>
    <s v="Divorced"/>
    <s v="Diploma"/>
    <x v="0"/>
    <x v="3"/>
    <x v="1"/>
    <s v="Pune"/>
    <n v="50000"/>
    <n v="13"/>
    <n v="14.4"/>
    <n v="9.1999999999999993"/>
    <n v="2.2999999999999998"/>
    <x v="2"/>
    <x v="0"/>
    <n v="3"/>
    <x v="1"/>
    <n v="4"/>
    <m/>
    <x v="3"/>
    <x v="1"/>
    <x v="1"/>
    <n v="0"/>
  </r>
  <r>
    <s v="EMP0683"/>
    <d v="2021-03-25T00:00:00"/>
    <x v="1"/>
    <n v="28"/>
    <s v="Female"/>
    <s v="Married"/>
    <s v="Master's"/>
    <x v="0"/>
    <x v="7"/>
    <x v="2"/>
    <s v="Noida"/>
    <n v="68000"/>
    <n v="13.9"/>
    <n v="10.6"/>
    <n v="3.8"/>
    <n v="0.6"/>
    <x v="0"/>
    <x v="1"/>
    <n v="2"/>
    <x v="1"/>
    <n v="5"/>
    <d v="2025-01-16T00:00:00"/>
    <x v="1"/>
    <x v="4"/>
    <x v="0"/>
    <n v="1"/>
  </r>
  <r>
    <s v="EMP0684"/>
    <d v="2015-05-25T00:00:00"/>
    <x v="0"/>
    <n v="37"/>
    <s v="Female"/>
    <s v="Married"/>
    <s v="Bachelor's"/>
    <x v="2"/>
    <x v="20"/>
    <x v="1"/>
    <s v="Pune"/>
    <n v="44000"/>
    <n v="16.899999999999999"/>
    <n v="18"/>
    <n v="10.6"/>
    <n v="0.4"/>
    <x v="2"/>
    <x v="0"/>
    <n v="1"/>
    <x v="1"/>
    <n v="4"/>
    <m/>
    <x v="0"/>
    <x v="1"/>
    <x v="2"/>
    <n v="0"/>
  </r>
  <r>
    <s v="EMP0685"/>
    <d v="2021-08-29T00:00:00"/>
    <x v="0"/>
    <n v="31"/>
    <s v="Non-Binary"/>
    <s v="Single"/>
    <s v="Bachelor's"/>
    <x v="6"/>
    <x v="19"/>
    <x v="2"/>
    <s v="Chennai"/>
    <n v="80000"/>
    <n v="15.2"/>
    <n v="6.4"/>
    <n v="4.3"/>
    <n v="1.9"/>
    <x v="2"/>
    <x v="0"/>
    <n v="2"/>
    <x v="1"/>
    <n v="2"/>
    <m/>
    <x v="1"/>
    <x v="2"/>
    <x v="0"/>
    <n v="0"/>
  </r>
  <r>
    <s v="EMP0686"/>
    <d v="2016-03-22T00:00:00"/>
    <x v="0"/>
    <n v="36"/>
    <s v="Non-Binary"/>
    <s v="Divorced"/>
    <s v="PhD"/>
    <x v="5"/>
    <x v="8"/>
    <x v="1"/>
    <s v="Pune"/>
    <n v="64000"/>
    <n v="9.1999999999999993"/>
    <n v="14.1"/>
    <n v="9.8000000000000007"/>
    <n v="0.4"/>
    <x v="2"/>
    <x v="1"/>
    <n v="3"/>
    <x v="1"/>
    <n v="5"/>
    <m/>
    <x v="0"/>
    <x v="4"/>
    <x v="1"/>
    <n v="0"/>
  </r>
  <r>
    <s v="EMP0687"/>
    <d v="2025-04-20T00:00:00"/>
    <x v="0"/>
    <n v="21"/>
    <s v="Male"/>
    <s v="Divorced"/>
    <s v="Bachelor's"/>
    <x v="2"/>
    <x v="20"/>
    <x v="0"/>
    <s v="Pune"/>
    <n v="30000"/>
    <n v="10"/>
    <n v="5.2"/>
    <n v="0.7"/>
    <n v="0"/>
    <x v="2"/>
    <x v="3"/>
    <n v="3"/>
    <x v="1"/>
    <n v="3"/>
    <m/>
    <x v="2"/>
    <x v="0"/>
    <x v="3"/>
    <n v="0"/>
  </r>
  <r>
    <s v="EMP0688"/>
    <d v="2019-11-13T00:00:00"/>
    <x v="1"/>
    <n v="36"/>
    <s v="Female"/>
    <s v="Single"/>
    <s v="Master's"/>
    <x v="2"/>
    <x v="2"/>
    <x v="1"/>
    <s v="Chennai"/>
    <n v="50000"/>
    <n v="16"/>
    <n v="12.9"/>
    <n v="5.5"/>
    <n v="1.4"/>
    <x v="2"/>
    <x v="0"/>
    <n v="2"/>
    <x v="0"/>
    <n v="5"/>
    <d v="2025-05-29T00:00:00"/>
    <x v="0"/>
    <x v="1"/>
    <x v="0"/>
    <n v="1"/>
  </r>
  <r>
    <s v="EMP0689"/>
    <d v="2025-02-24T00:00:00"/>
    <x v="0"/>
    <n v="30"/>
    <s v="Female"/>
    <s v="Single"/>
    <s v="Master's"/>
    <x v="4"/>
    <x v="24"/>
    <x v="1"/>
    <s v="Pune"/>
    <n v="49000"/>
    <n v="8.6999999999999993"/>
    <n v="8.1999999999999993"/>
    <n v="0.8"/>
    <n v="0"/>
    <x v="3"/>
    <x v="3"/>
    <n v="3"/>
    <x v="1"/>
    <n v="3"/>
    <m/>
    <x v="1"/>
    <x v="1"/>
    <x v="3"/>
    <n v="0"/>
  </r>
  <r>
    <s v="EMP0690"/>
    <d v="2017-12-09T00:00:00"/>
    <x v="1"/>
    <n v="34"/>
    <s v="Female"/>
    <s v="Divorced"/>
    <s v="Bachelor's"/>
    <x v="4"/>
    <x v="24"/>
    <x v="3"/>
    <s v="Chennai"/>
    <n v="99000"/>
    <n v="4.5"/>
    <n v="15.1"/>
    <n v="7.9"/>
    <n v="4.2"/>
    <x v="3"/>
    <x v="2"/>
    <n v="1"/>
    <x v="1"/>
    <n v="5"/>
    <d v="2025-10-16T00:00:00"/>
    <x v="1"/>
    <x v="2"/>
    <x v="1"/>
    <n v="1"/>
  </r>
  <r>
    <s v="EMP0691"/>
    <d v="2025-03-19T00:00:00"/>
    <x v="0"/>
    <n v="37"/>
    <s v="Male"/>
    <s v="Single"/>
    <s v="Master's"/>
    <x v="3"/>
    <x v="11"/>
    <x v="1"/>
    <s v="Chennai"/>
    <n v="48000"/>
    <n v="12.6"/>
    <n v="4.2"/>
    <n v="0.8"/>
    <n v="0"/>
    <x v="2"/>
    <x v="2"/>
    <n v="4"/>
    <x v="0"/>
    <n v="1"/>
    <m/>
    <x v="0"/>
    <x v="1"/>
    <x v="3"/>
    <n v="0"/>
  </r>
  <r>
    <s v="EMP0692"/>
    <d v="2017-01-24T00:00:00"/>
    <x v="0"/>
    <n v="35"/>
    <s v="Non-Binary"/>
    <s v="Married"/>
    <s v="Diploma"/>
    <x v="4"/>
    <x v="5"/>
    <x v="2"/>
    <s v="Pune"/>
    <n v="81000"/>
    <n v="8.9"/>
    <n v="14.5"/>
    <n v="8.9"/>
    <n v="2.6"/>
    <x v="1"/>
    <x v="0"/>
    <n v="2"/>
    <x v="1"/>
    <n v="3"/>
    <m/>
    <x v="1"/>
    <x v="2"/>
    <x v="1"/>
    <n v="0"/>
  </r>
  <r>
    <s v="EMP0693"/>
    <d v="2023-08-18T00:00:00"/>
    <x v="0"/>
    <n v="29"/>
    <s v="Non-Binary"/>
    <s v="Single"/>
    <s v="Bachelor's"/>
    <x v="6"/>
    <x v="12"/>
    <x v="3"/>
    <s v="Bengaluru"/>
    <n v="109000"/>
    <n v="8.1999999999999993"/>
    <n v="8.4"/>
    <n v="2.4"/>
    <n v="1.9"/>
    <x v="1"/>
    <x v="0"/>
    <n v="1"/>
    <x v="0"/>
    <n v="4"/>
    <m/>
    <x v="1"/>
    <x v="3"/>
    <x v="4"/>
    <n v="0"/>
  </r>
  <r>
    <s v="EMP0694"/>
    <d v="2022-05-24T00:00:00"/>
    <x v="0"/>
    <n v="32"/>
    <s v="Male"/>
    <s v="Married"/>
    <s v="Master's"/>
    <x v="5"/>
    <x v="13"/>
    <x v="1"/>
    <s v="Mumbai"/>
    <n v="45000"/>
    <n v="7"/>
    <n v="11.6"/>
    <n v="3.6"/>
    <n v="0.5"/>
    <x v="2"/>
    <x v="0"/>
    <n v="3"/>
    <x v="1"/>
    <n v="4"/>
    <m/>
    <x v="1"/>
    <x v="1"/>
    <x v="0"/>
    <n v="0"/>
  </r>
  <r>
    <s v="EMP0695"/>
    <d v="2016-07-06T00:00:00"/>
    <x v="0"/>
    <n v="31"/>
    <s v="Non-Binary"/>
    <s v="Divorced"/>
    <s v="Bachelor's"/>
    <x v="0"/>
    <x v="7"/>
    <x v="3"/>
    <s v="Bengaluru"/>
    <n v="101000"/>
    <n v="8.8000000000000007"/>
    <n v="13.9"/>
    <n v="9.5"/>
    <n v="5.2"/>
    <x v="2"/>
    <x v="1"/>
    <n v="4"/>
    <x v="1"/>
    <n v="3"/>
    <m/>
    <x v="1"/>
    <x v="3"/>
    <x v="1"/>
    <n v="0"/>
  </r>
  <r>
    <s v="EMP0696"/>
    <d v="2018-06-04T00:00:00"/>
    <x v="1"/>
    <n v="39"/>
    <s v="Male"/>
    <s v="Single"/>
    <s v="Master's"/>
    <x v="6"/>
    <x v="12"/>
    <x v="2"/>
    <s v="Noida"/>
    <n v="71000"/>
    <n v="4.2"/>
    <n v="9.1999999999999993"/>
    <n v="7.3"/>
    <n v="4.5"/>
    <x v="3"/>
    <x v="1"/>
    <n v="3"/>
    <x v="0"/>
    <n v="4"/>
    <d v="2025-09-24T00:00:00"/>
    <x v="0"/>
    <x v="4"/>
    <x v="1"/>
    <n v="1"/>
  </r>
  <r>
    <s v="EMP0697"/>
    <d v="2025-06-29T00:00:00"/>
    <x v="0"/>
    <n v="30"/>
    <s v="Male"/>
    <s v="Married"/>
    <s v="PhD"/>
    <x v="3"/>
    <x v="6"/>
    <x v="4"/>
    <s v="Mumbai"/>
    <n v="157000"/>
    <n v="5.9"/>
    <n v="2.9"/>
    <n v="0.5"/>
    <n v="0"/>
    <x v="2"/>
    <x v="3"/>
    <n v="4"/>
    <x v="1"/>
    <n v="3"/>
    <m/>
    <x v="1"/>
    <x v="3"/>
    <x v="3"/>
    <n v="0"/>
  </r>
  <r>
    <s v="EMP0698"/>
    <d v="2023-11-30T00:00:00"/>
    <x v="0"/>
    <n v="30"/>
    <s v="Female"/>
    <s v="Divorced"/>
    <s v="Master's"/>
    <x v="5"/>
    <x v="13"/>
    <x v="1"/>
    <s v="Bengaluru"/>
    <n v="61000"/>
    <n v="11.4"/>
    <n v="6.4"/>
    <n v="2.1"/>
    <n v="0.7"/>
    <x v="1"/>
    <x v="3"/>
    <n v="3"/>
    <x v="1"/>
    <n v="5"/>
    <m/>
    <x v="1"/>
    <x v="4"/>
    <x v="4"/>
    <n v="0"/>
  </r>
  <r>
    <s v="EMP0699"/>
    <d v="2018-02-09T00:00:00"/>
    <x v="0"/>
    <n v="30"/>
    <s v="Non-Binary"/>
    <s v="Married"/>
    <s v="PhD"/>
    <x v="6"/>
    <x v="12"/>
    <x v="3"/>
    <s v="Chennai"/>
    <n v="102000"/>
    <n v="8.9"/>
    <n v="12.3"/>
    <n v="7.9"/>
    <n v="5.7"/>
    <x v="0"/>
    <x v="2"/>
    <n v="3"/>
    <x v="1"/>
    <n v="5"/>
    <m/>
    <x v="1"/>
    <x v="3"/>
    <x v="1"/>
    <n v="0"/>
  </r>
  <r>
    <s v="EMP0700"/>
    <d v="2021-03-29T00:00:00"/>
    <x v="0"/>
    <n v="37"/>
    <s v="Non-Binary"/>
    <s v="Married"/>
    <s v="Diploma"/>
    <x v="0"/>
    <x v="7"/>
    <x v="1"/>
    <s v="Chennai"/>
    <n v="33000"/>
    <n v="7.6"/>
    <n v="4.9000000000000004"/>
    <n v="4.8"/>
    <n v="3.8"/>
    <x v="0"/>
    <x v="2"/>
    <n v="2"/>
    <x v="1"/>
    <n v="3"/>
    <m/>
    <x v="0"/>
    <x v="0"/>
    <x v="0"/>
    <n v="0"/>
  </r>
  <r>
    <s v="EMP0701"/>
    <d v="2021-06-20T00:00:00"/>
    <x v="0"/>
    <n v="34"/>
    <s v="Male"/>
    <s v="Married"/>
    <s v="PhD"/>
    <x v="3"/>
    <x v="15"/>
    <x v="2"/>
    <s v="Bengaluru"/>
    <n v="104000"/>
    <n v="10.4"/>
    <n v="9.4"/>
    <n v="4.5"/>
    <n v="0.6"/>
    <x v="0"/>
    <x v="0"/>
    <n v="3"/>
    <x v="1"/>
    <n v="3"/>
    <m/>
    <x v="1"/>
    <x v="3"/>
    <x v="0"/>
    <n v="0"/>
  </r>
  <r>
    <s v="EMP0702"/>
    <d v="2014-05-26T00:00:00"/>
    <x v="0"/>
    <n v="32"/>
    <s v="Male"/>
    <s v="Married"/>
    <s v="Master's"/>
    <x v="3"/>
    <x v="15"/>
    <x v="2"/>
    <s v="Hyderabad"/>
    <n v="64000"/>
    <n v="8.6999999999999993"/>
    <n v="12.1"/>
    <n v="11.6"/>
    <n v="5.6"/>
    <x v="0"/>
    <x v="0"/>
    <n v="3"/>
    <x v="1"/>
    <n v="3"/>
    <m/>
    <x v="1"/>
    <x v="4"/>
    <x v="2"/>
    <n v="0"/>
  </r>
  <r>
    <s v="EMP0703"/>
    <d v="2019-11-29T00:00:00"/>
    <x v="0"/>
    <n v="39"/>
    <s v="Female"/>
    <s v="Divorced"/>
    <s v="Diploma"/>
    <x v="2"/>
    <x v="2"/>
    <x v="1"/>
    <s v="Bengaluru"/>
    <n v="47000"/>
    <n v="8.5"/>
    <n v="11.3"/>
    <n v="6.1"/>
    <n v="1.4"/>
    <x v="3"/>
    <x v="0"/>
    <n v="2"/>
    <x v="0"/>
    <n v="3"/>
    <m/>
    <x v="0"/>
    <x v="1"/>
    <x v="1"/>
    <n v="0"/>
  </r>
  <r>
    <s v="EMP0704"/>
    <d v="2017-05-04T00:00:00"/>
    <x v="0"/>
    <n v="45"/>
    <s v="Male"/>
    <s v="Divorced"/>
    <s v="PhD"/>
    <x v="4"/>
    <x v="14"/>
    <x v="0"/>
    <s v="Bengaluru"/>
    <n v="29000"/>
    <n v="16.3"/>
    <n v="15.5"/>
    <n v="8.6999999999999993"/>
    <n v="2.1"/>
    <x v="2"/>
    <x v="0"/>
    <n v="3"/>
    <x v="0"/>
    <n v="3"/>
    <m/>
    <x v="0"/>
    <x v="0"/>
    <x v="1"/>
    <n v="0"/>
  </r>
  <r>
    <s v="EMP0705"/>
    <d v="2021-11-21T00:00:00"/>
    <x v="0"/>
    <n v="36"/>
    <s v="Female"/>
    <s v="Married"/>
    <s v="Diploma"/>
    <x v="4"/>
    <x v="25"/>
    <x v="1"/>
    <s v="Mumbai"/>
    <n v="54000"/>
    <n v="10.6"/>
    <n v="9.1999999999999993"/>
    <n v="4.0999999999999996"/>
    <n v="3.6"/>
    <x v="0"/>
    <x v="1"/>
    <n v="3"/>
    <x v="1"/>
    <n v="4"/>
    <m/>
    <x v="0"/>
    <x v="1"/>
    <x v="0"/>
    <n v="0"/>
  </r>
  <r>
    <s v="EMP0706"/>
    <d v="2025-03-23T00:00:00"/>
    <x v="1"/>
    <n v="31"/>
    <s v="Non-Binary"/>
    <s v="Married"/>
    <s v="Master's"/>
    <x v="6"/>
    <x v="19"/>
    <x v="1"/>
    <s v="Mumbai"/>
    <n v="60000"/>
    <n v="8.8000000000000007"/>
    <n v="2.2999999999999998"/>
    <n v="0.6"/>
    <n v="0"/>
    <x v="0"/>
    <x v="0"/>
    <n v="3"/>
    <x v="1"/>
    <n v="4"/>
    <d v="2025-10-24T00:00:00"/>
    <x v="1"/>
    <x v="4"/>
    <x v="3"/>
    <n v="1"/>
  </r>
  <r>
    <s v="EMP0707"/>
    <d v="2023-12-12T00:00:00"/>
    <x v="0"/>
    <n v="33"/>
    <s v="Non-Binary"/>
    <s v="Married"/>
    <s v="Bachelor's"/>
    <x v="2"/>
    <x v="23"/>
    <x v="2"/>
    <s v="Chennai"/>
    <n v="91000"/>
    <n v="14"/>
    <n v="9.6999999999999993"/>
    <n v="2.1"/>
    <n v="2.1"/>
    <x v="2"/>
    <x v="0"/>
    <n v="4"/>
    <x v="1"/>
    <n v="4"/>
    <m/>
    <x v="1"/>
    <x v="2"/>
    <x v="4"/>
    <n v="0"/>
  </r>
  <r>
    <s v="EMP0708"/>
    <d v="2017-12-27T00:00:00"/>
    <x v="0"/>
    <n v="40"/>
    <s v="Male"/>
    <s v="Married"/>
    <s v="Diploma"/>
    <x v="2"/>
    <x v="23"/>
    <x v="2"/>
    <s v="Noida"/>
    <n v="72000"/>
    <n v="2.2000000000000002"/>
    <n v="12.6"/>
    <n v="8"/>
    <n v="5.5"/>
    <x v="2"/>
    <x v="0"/>
    <n v="4"/>
    <x v="1"/>
    <n v="5"/>
    <m/>
    <x v="0"/>
    <x v="4"/>
    <x v="1"/>
    <n v="0"/>
  </r>
  <r>
    <s v="EMP0709"/>
    <d v="2014-07-01T00:00:00"/>
    <x v="0"/>
    <n v="44"/>
    <s v="Male"/>
    <s v="Divorced"/>
    <s v="Master's"/>
    <x v="5"/>
    <x v="13"/>
    <x v="1"/>
    <s v="Chennai"/>
    <n v="57000"/>
    <n v="8"/>
    <n v="12.1"/>
    <n v="11.5"/>
    <n v="2.2000000000000002"/>
    <x v="1"/>
    <x v="0"/>
    <n v="2"/>
    <x v="1"/>
    <n v="4"/>
    <m/>
    <x v="0"/>
    <x v="1"/>
    <x v="2"/>
    <n v="0"/>
  </r>
  <r>
    <s v="EMP0710"/>
    <d v="2017-11-28T00:00:00"/>
    <x v="0"/>
    <n v="46"/>
    <s v="Male"/>
    <s v="Single"/>
    <s v="PhD"/>
    <x v="1"/>
    <x v="1"/>
    <x v="2"/>
    <s v="Bengaluru"/>
    <n v="104000"/>
    <n v="17.899999999999999"/>
    <n v="9"/>
    <n v="8.1"/>
    <n v="2.5"/>
    <x v="0"/>
    <x v="0"/>
    <n v="2"/>
    <x v="1"/>
    <n v="3"/>
    <m/>
    <x v="3"/>
    <x v="3"/>
    <x v="1"/>
    <n v="0"/>
  </r>
  <r>
    <s v="EMP0711"/>
    <d v="2016-09-29T00:00:00"/>
    <x v="1"/>
    <n v="35"/>
    <s v="Non-Binary"/>
    <s v="Married"/>
    <s v="PhD"/>
    <x v="1"/>
    <x v="10"/>
    <x v="1"/>
    <s v="Hyderabad"/>
    <n v="48000"/>
    <n v="14.9"/>
    <n v="15"/>
    <n v="8.3000000000000007"/>
    <n v="0.1"/>
    <x v="2"/>
    <x v="1"/>
    <n v="2"/>
    <x v="1"/>
    <n v="3"/>
    <d v="2025-01-18T00:00:00"/>
    <x v="1"/>
    <x v="1"/>
    <x v="1"/>
    <n v="1"/>
  </r>
  <r>
    <s v="EMP0712"/>
    <d v="2022-11-16T00:00:00"/>
    <x v="0"/>
    <n v="35"/>
    <s v="Female"/>
    <s v="Married"/>
    <s v="PhD"/>
    <x v="1"/>
    <x v="1"/>
    <x v="2"/>
    <s v="Noida"/>
    <n v="80000"/>
    <n v="6.6"/>
    <n v="5.8"/>
    <n v="3.1"/>
    <n v="1.9"/>
    <x v="2"/>
    <x v="1"/>
    <n v="3"/>
    <x v="1"/>
    <n v="2"/>
    <m/>
    <x v="1"/>
    <x v="2"/>
    <x v="0"/>
    <n v="0"/>
  </r>
  <r>
    <s v="EMP0713"/>
    <d v="2021-07-20T00:00:00"/>
    <x v="0"/>
    <n v="29"/>
    <s v="Female"/>
    <s v="Divorced"/>
    <s v="PhD"/>
    <x v="3"/>
    <x v="6"/>
    <x v="1"/>
    <s v="Mumbai"/>
    <n v="50000"/>
    <n v="6.8"/>
    <n v="11.8"/>
    <n v="4.4000000000000004"/>
    <n v="4.0999999999999996"/>
    <x v="3"/>
    <x v="1"/>
    <n v="4"/>
    <x v="0"/>
    <n v="4"/>
    <m/>
    <x v="1"/>
    <x v="1"/>
    <x v="0"/>
    <n v="0"/>
  </r>
  <r>
    <s v="EMP0714"/>
    <d v="2024-11-14T00:00:00"/>
    <x v="0"/>
    <n v="25"/>
    <s v="Non-Binary"/>
    <s v="Married"/>
    <s v="Diploma"/>
    <x v="6"/>
    <x v="12"/>
    <x v="0"/>
    <s v="Hyderabad"/>
    <n v="36000"/>
    <n v="13.9"/>
    <n v="3"/>
    <n v="1.1000000000000001"/>
    <n v="0.5"/>
    <x v="2"/>
    <x v="3"/>
    <n v="3"/>
    <x v="1"/>
    <n v="4"/>
    <m/>
    <x v="2"/>
    <x v="0"/>
    <x v="4"/>
    <n v="0"/>
  </r>
  <r>
    <s v="EMP0715"/>
    <d v="2018-05-11T00:00:00"/>
    <x v="0"/>
    <n v="28"/>
    <s v="Female"/>
    <s v="Married"/>
    <s v="Master's"/>
    <x v="3"/>
    <x v="4"/>
    <x v="2"/>
    <s v="Bengaluru"/>
    <n v="78000"/>
    <n v="13.7"/>
    <n v="13.5"/>
    <n v="7.6"/>
    <n v="2.6"/>
    <x v="0"/>
    <x v="0"/>
    <n v="4"/>
    <x v="0"/>
    <n v="3"/>
    <m/>
    <x v="1"/>
    <x v="4"/>
    <x v="1"/>
    <n v="0"/>
  </r>
  <r>
    <s v="EMP0716"/>
    <d v="2023-10-03T00:00:00"/>
    <x v="0"/>
    <n v="29"/>
    <s v="Non-Binary"/>
    <s v="Divorced"/>
    <s v="Master's"/>
    <x v="6"/>
    <x v="21"/>
    <x v="2"/>
    <s v="Bengaluru"/>
    <n v="81000"/>
    <n v="4.5999999999999996"/>
    <n v="7.1"/>
    <n v="2.2000000000000002"/>
    <n v="0.2"/>
    <x v="0"/>
    <x v="1"/>
    <n v="3"/>
    <x v="0"/>
    <n v="2"/>
    <m/>
    <x v="1"/>
    <x v="2"/>
    <x v="4"/>
    <n v="0"/>
  </r>
  <r>
    <s v="EMP0717"/>
    <d v="2019-05-21T00:00:00"/>
    <x v="0"/>
    <n v="36"/>
    <s v="Non-Binary"/>
    <s v="Single"/>
    <s v="PhD"/>
    <x v="4"/>
    <x v="25"/>
    <x v="4"/>
    <s v="Hyderabad"/>
    <n v="144000"/>
    <n v="5.6"/>
    <n v="6.8"/>
    <n v="6.6"/>
    <n v="1.2"/>
    <x v="1"/>
    <x v="2"/>
    <n v="3"/>
    <x v="1"/>
    <n v="4"/>
    <m/>
    <x v="0"/>
    <x v="3"/>
    <x v="1"/>
    <n v="0"/>
  </r>
  <r>
    <s v="EMP0718"/>
    <d v="2020-08-23T00:00:00"/>
    <x v="0"/>
    <n v="37"/>
    <s v="Non-Binary"/>
    <s v="Single"/>
    <s v="Diploma"/>
    <x v="5"/>
    <x v="8"/>
    <x v="1"/>
    <s v="Pune"/>
    <n v="70000"/>
    <n v="6.5"/>
    <n v="11.2"/>
    <n v="5.4"/>
    <n v="0.6"/>
    <x v="0"/>
    <x v="0"/>
    <n v="2"/>
    <x v="0"/>
    <n v="4"/>
    <m/>
    <x v="0"/>
    <x v="4"/>
    <x v="0"/>
    <n v="0"/>
  </r>
  <r>
    <s v="EMP0719"/>
    <d v="2025-07-04T00:00:00"/>
    <x v="0"/>
    <n v="21"/>
    <s v="Non-Binary"/>
    <s v="Married"/>
    <s v="Master's"/>
    <x v="4"/>
    <x v="24"/>
    <x v="0"/>
    <s v="Chennai"/>
    <n v="27000"/>
    <n v="8.9"/>
    <n v="6.1"/>
    <n v="0.5"/>
    <n v="0"/>
    <x v="2"/>
    <x v="2"/>
    <n v="3"/>
    <x v="1"/>
    <n v="5"/>
    <m/>
    <x v="2"/>
    <x v="0"/>
    <x v="3"/>
    <n v="0"/>
  </r>
  <r>
    <s v="EMP0720"/>
    <d v="2020-04-16T00:00:00"/>
    <x v="0"/>
    <n v="26"/>
    <s v="Male"/>
    <s v="Divorced"/>
    <s v="PhD"/>
    <x v="0"/>
    <x v="0"/>
    <x v="0"/>
    <s v="Hyderabad"/>
    <n v="25000"/>
    <n v="10.199999999999999"/>
    <n v="12.7"/>
    <n v="5.7"/>
    <n v="1.3"/>
    <x v="3"/>
    <x v="1"/>
    <n v="3"/>
    <x v="1"/>
    <n v="3"/>
    <m/>
    <x v="1"/>
    <x v="0"/>
    <x v="0"/>
    <n v="0"/>
  </r>
  <r>
    <s v="EMP0721"/>
    <d v="2025-04-04T00:00:00"/>
    <x v="0"/>
    <n v="21"/>
    <s v="Male"/>
    <s v="Married"/>
    <s v="Diploma"/>
    <x v="1"/>
    <x v="27"/>
    <x v="0"/>
    <s v="Chennai"/>
    <n v="22000"/>
    <n v="6.6"/>
    <n v="2.5"/>
    <n v="0.7"/>
    <n v="0"/>
    <x v="2"/>
    <x v="0"/>
    <n v="3"/>
    <x v="0"/>
    <n v="4"/>
    <m/>
    <x v="2"/>
    <x v="0"/>
    <x v="3"/>
    <n v="0"/>
  </r>
  <r>
    <s v="EMP0722"/>
    <d v="2025-04-03T00:00:00"/>
    <x v="1"/>
    <n v="21"/>
    <s v="Non-Binary"/>
    <s v="Married"/>
    <s v="PhD"/>
    <x v="3"/>
    <x v="11"/>
    <x v="0"/>
    <s v="Hyderabad"/>
    <n v="31000"/>
    <n v="6.9"/>
    <n v="7.1"/>
    <n v="0.4"/>
    <n v="0"/>
    <x v="2"/>
    <x v="0"/>
    <n v="3"/>
    <x v="1"/>
    <n v="4"/>
    <d v="2025-08-17T00:00:00"/>
    <x v="2"/>
    <x v="0"/>
    <x v="3"/>
    <n v="1"/>
  </r>
  <r>
    <s v="EMP0723"/>
    <d v="2017-02-26T00:00:00"/>
    <x v="0"/>
    <n v="30"/>
    <s v="Male"/>
    <s v="Married"/>
    <s v="PhD"/>
    <x v="5"/>
    <x v="13"/>
    <x v="1"/>
    <s v="Noida"/>
    <n v="63000"/>
    <n v="9.6"/>
    <n v="11.4"/>
    <n v="8.8000000000000007"/>
    <n v="4"/>
    <x v="2"/>
    <x v="1"/>
    <n v="3"/>
    <x v="1"/>
    <n v="3"/>
    <m/>
    <x v="1"/>
    <x v="4"/>
    <x v="1"/>
    <n v="0"/>
  </r>
  <r>
    <s v="EMP0724"/>
    <d v="2015-08-05T00:00:00"/>
    <x v="1"/>
    <n v="38"/>
    <s v="Female"/>
    <s v="Divorced"/>
    <s v="Diploma"/>
    <x v="1"/>
    <x v="1"/>
    <x v="3"/>
    <s v="Mumbai"/>
    <n v="131000"/>
    <n v="11"/>
    <n v="13.8"/>
    <n v="9.8000000000000007"/>
    <n v="5.3"/>
    <x v="2"/>
    <x v="2"/>
    <n v="2"/>
    <x v="1"/>
    <n v="4"/>
    <d v="2025-05-18T00:00:00"/>
    <x v="0"/>
    <x v="3"/>
    <x v="1"/>
    <n v="1"/>
  </r>
  <r>
    <s v="EMP0725"/>
    <d v="2025-05-27T00:00:00"/>
    <x v="0"/>
    <n v="21"/>
    <s v="Male"/>
    <s v="Divorced"/>
    <s v="Master's"/>
    <x v="3"/>
    <x v="6"/>
    <x v="0"/>
    <s v="Noida"/>
    <n v="51000"/>
    <n v="7.9"/>
    <n v="2.2999999999999998"/>
    <n v="0.6"/>
    <n v="0"/>
    <x v="1"/>
    <x v="3"/>
    <n v="3"/>
    <x v="0"/>
    <n v="3"/>
    <m/>
    <x v="2"/>
    <x v="1"/>
    <x v="3"/>
    <n v="0"/>
  </r>
  <r>
    <s v="EMP0726"/>
    <d v="2019-05-21T00:00:00"/>
    <x v="0"/>
    <n v="33"/>
    <s v="Male"/>
    <s v="Divorced"/>
    <s v="Master's"/>
    <x v="5"/>
    <x v="18"/>
    <x v="1"/>
    <s v="Hyderabad"/>
    <n v="56000"/>
    <n v="6.7"/>
    <n v="12.9"/>
    <n v="6.6"/>
    <n v="2"/>
    <x v="1"/>
    <x v="0"/>
    <n v="4"/>
    <x v="1"/>
    <n v="2"/>
    <m/>
    <x v="1"/>
    <x v="1"/>
    <x v="1"/>
    <n v="0"/>
  </r>
  <r>
    <s v="EMP0727"/>
    <d v="2024-01-10T00:00:00"/>
    <x v="0"/>
    <n v="22"/>
    <s v="Male"/>
    <s v="Single"/>
    <s v="Bachelor's"/>
    <x v="4"/>
    <x v="14"/>
    <x v="0"/>
    <s v="Bengaluru"/>
    <n v="39000"/>
    <n v="7.3"/>
    <n v="4.3"/>
    <n v="2"/>
    <n v="0.3"/>
    <x v="2"/>
    <x v="0"/>
    <n v="3"/>
    <x v="1"/>
    <n v="4"/>
    <m/>
    <x v="2"/>
    <x v="0"/>
    <x v="4"/>
    <n v="0"/>
  </r>
  <r>
    <s v="EMP0728"/>
    <d v="2018-01-09T00:00:00"/>
    <x v="1"/>
    <n v="30"/>
    <s v="Non-Binary"/>
    <s v="Married"/>
    <s v="Master's"/>
    <x v="2"/>
    <x v="23"/>
    <x v="2"/>
    <s v="Noida"/>
    <n v="87000"/>
    <n v="6.9"/>
    <n v="14"/>
    <n v="7.9"/>
    <n v="1.5"/>
    <x v="2"/>
    <x v="0"/>
    <n v="2"/>
    <x v="0"/>
    <n v="4"/>
    <d v="2025-11-20T00:00:00"/>
    <x v="1"/>
    <x v="2"/>
    <x v="1"/>
    <n v="1"/>
  </r>
  <r>
    <s v="EMP0729"/>
    <d v="2021-10-25T00:00:00"/>
    <x v="1"/>
    <n v="28"/>
    <s v="Non-Binary"/>
    <s v="Married"/>
    <s v="Diploma"/>
    <x v="6"/>
    <x v="19"/>
    <x v="0"/>
    <s v="Mumbai"/>
    <n v="40000"/>
    <n v="11.7"/>
    <n v="8.8000000000000007"/>
    <n v="3.9"/>
    <n v="0.6"/>
    <x v="0"/>
    <x v="0"/>
    <n v="4"/>
    <x v="1"/>
    <n v="3"/>
    <d v="2025-10-05T00:00:00"/>
    <x v="1"/>
    <x v="1"/>
    <x v="0"/>
    <n v="1"/>
  </r>
  <r>
    <s v="EMP0730"/>
    <d v="2020-05-01T00:00:00"/>
    <x v="0"/>
    <n v="32"/>
    <s v="Female"/>
    <s v="Divorced"/>
    <s v="Master's"/>
    <x v="4"/>
    <x v="25"/>
    <x v="1"/>
    <s v="Mumbai"/>
    <n v="57000"/>
    <n v="9.4"/>
    <n v="8.6999999999999993"/>
    <n v="5.7"/>
    <n v="2.4"/>
    <x v="0"/>
    <x v="1"/>
    <n v="3"/>
    <x v="0"/>
    <n v="3"/>
    <m/>
    <x v="1"/>
    <x v="1"/>
    <x v="0"/>
    <n v="0"/>
  </r>
  <r>
    <s v="EMP0731"/>
    <d v="2018-05-17T00:00:00"/>
    <x v="0"/>
    <n v="28"/>
    <s v="Male"/>
    <s v="Divorced"/>
    <s v="Diploma"/>
    <x v="5"/>
    <x v="26"/>
    <x v="2"/>
    <s v="Hyderabad"/>
    <n v="93000"/>
    <n v="8.1999999999999993"/>
    <n v="12.2"/>
    <n v="7.6"/>
    <n v="0.1"/>
    <x v="2"/>
    <x v="2"/>
    <n v="3"/>
    <x v="1"/>
    <n v="3"/>
    <m/>
    <x v="1"/>
    <x v="2"/>
    <x v="1"/>
    <n v="0"/>
  </r>
  <r>
    <s v="EMP0732"/>
    <d v="2023-09-21T00:00:00"/>
    <x v="0"/>
    <n v="34"/>
    <s v="Male"/>
    <s v="Single"/>
    <s v="PhD"/>
    <x v="1"/>
    <x v="10"/>
    <x v="0"/>
    <s v="Hyderabad"/>
    <n v="41000"/>
    <n v="8.5"/>
    <n v="3.4"/>
    <n v="2.2999999999999998"/>
    <n v="1.4"/>
    <x v="2"/>
    <x v="0"/>
    <n v="3"/>
    <x v="1"/>
    <n v="4"/>
    <m/>
    <x v="1"/>
    <x v="1"/>
    <x v="4"/>
    <n v="0"/>
  </r>
  <r>
    <s v="EMP0733"/>
    <d v="2015-12-10T00:00:00"/>
    <x v="0"/>
    <n v="44"/>
    <s v="Female"/>
    <s v="Married"/>
    <s v="Master's"/>
    <x v="3"/>
    <x v="4"/>
    <x v="2"/>
    <s v="Hyderabad"/>
    <n v="89000"/>
    <n v="12.5"/>
    <n v="17"/>
    <n v="10.1"/>
    <n v="1.6"/>
    <x v="2"/>
    <x v="1"/>
    <n v="3"/>
    <x v="0"/>
    <n v="3"/>
    <m/>
    <x v="0"/>
    <x v="2"/>
    <x v="2"/>
    <n v="0"/>
  </r>
  <r>
    <s v="EMP0734"/>
    <d v="2022-04-03T00:00:00"/>
    <x v="1"/>
    <n v="27"/>
    <s v="Male"/>
    <s v="Single"/>
    <s v="Master's"/>
    <x v="3"/>
    <x v="6"/>
    <x v="0"/>
    <s v="Mumbai"/>
    <n v="44000"/>
    <n v="12.5"/>
    <n v="6.3"/>
    <n v="2.9"/>
    <n v="0.2"/>
    <x v="4"/>
    <x v="1"/>
    <n v="1"/>
    <x v="1"/>
    <n v="3"/>
    <d v="2025-02-23T00:00:00"/>
    <x v="1"/>
    <x v="1"/>
    <x v="4"/>
    <n v="1"/>
  </r>
  <r>
    <s v="EMP0735"/>
    <d v="2022-01-04T00:00:00"/>
    <x v="0"/>
    <n v="29"/>
    <s v="Female"/>
    <s v="Divorced"/>
    <s v="Diploma"/>
    <x v="2"/>
    <x v="23"/>
    <x v="0"/>
    <s v="Chennai"/>
    <n v="31000"/>
    <n v="2.4"/>
    <n v="10"/>
    <n v="4"/>
    <n v="2.2000000000000002"/>
    <x v="0"/>
    <x v="0"/>
    <n v="3"/>
    <x v="0"/>
    <n v="3"/>
    <m/>
    <x v="1"/>
    <x v="0"/>
    <x v="0"/>
    <n v="0"/>
  </r>
  <r>
    <s v="EMP0736"/>
    <d v="2023-10-05T00:00:00"/>
    <x v="0"/>
    <n v="40"/>
    <s v="Female"/>
    <s v="Divorced"/>
    <s v="Master's"/>
    <x v="6"/>
    <x v="21"/>
    <x v="2"/>
    <s v="Pune"/>
    <n v="73000"/>
    <n v="11.6"/>
    <n v="9.9"/>
    <n v="2.2000000000000002"/>
    <n v="0.8"/>
    <x v="2"/>
    <x v="0"/>
    <n v="3"/>
    <x v="1"/>
    <n v="3"/>
    <m/>
    <x v="0"/>
    <x v="4"/>
    <x v="4"/>
    <n v="0"/>
  </r>
  <r>
    <s v="EMP0737"/>
    <d v="2020-10-30T00:00:00"/>
    <x v="0"/>
    <n v="35"/>
    <s v="Male"/>
    <s v="Divorced"/>
    <s v="PhD"/>
    <x v="4"/>
    <x v="5"/>
    <x v="0"/>
    <s v="Chennai"/>
    <n v="22000"/>
    <n v="9.3000000000000007"/>
    <n v="7.7"/>
    <n v="5.2"/>
    <n v="1"/>
    <x v="1"/>
    <x v="0"/>
    <n v="3"/>
    <x v="0"/>
    <n v="3"/>
    <m/>
    <x v="1"/>
    <x v="0"/>
    <x v="0"/>
    <n v="0"/>
  </r>
  <r>
    <s v="EMP0738"/>
    <d v="2019-02-27T00:00:00"/>
    <x v="0"/>
    <n v="32"/>
    <s v="Non-Binary"/>
    <s v="Married"/>
    <s v="Diploma"/>
    <x v="1"/>
    <x v="10"/>
    <x v="1"/>
    <s v="Chennai"/>
    <n v="47000"/>
    <n v="13.8"/>
    <n v="9"/>
    <n v="6.8"/>
    <n v="4.9000000000000004"/>
    <x v="2"/>
    <x v="2"/>
    <n v="3"/>
    <x v="0"/>
    <n v="3"/>
    <m/>
    <x v="1"/>
    <x v="1"/>
    <x v="1"/>
    <n v="0"/>
  </r>
  <r>
    <s v="EMP0739"/>
    <d v="2023-12-02T00:00:00"/>
    <x v="0"/>
    <n v="36"/>
    <s v="Non-Binary"/>
    <s v="Divorced"/>
    <s v="Diploma"/>
    <x v="4"/>
    <x v="14"/>
    <x v="0"/>
    <s v="Noida"/>
    <n v="46000"/>
    <n v="5.2"/>
    <n v="2.9"/>
    <n v="2.1"/>
    <n v="1.7"/>
    <x v="2"/>
    <x v="0"/>
    <n v="4"/>
    <x v="1"/>
    <n v="3"/>
    <m/>
    <x v="0"/>
    <x v="1"/>
    <x v="4"/>
    <n v="0"/>
  </r>
  <r>
    <s v="EMP0740"/>
    <d v="2025-09-02T00:00:00"/>
    <x v="0"/>
    <n v="40"/>
    <s v="Male"/>
    <s v="Single"/>
    <s v="PhD"/>
    <x v="2"/>
    <x v="17"/>
    <x v="1"/>
    <s v="Mumbai"/>
    <n v="50000"/>
    <n v="13.5"/>
    <n v="5.2"/>
    <n v="0.3"/>
    <n v="0"/>
    <x v="3"/>
    <x v="0"/>
    <n v="1"/>
    <x v="0"/>
    <n v="2"/>
    <m/>
    <x v="0"/>
    <x v="1"/>
    <x v="3"/>
    <n v="0"/>
  </r>
  <r>
    <s v="EMP0741"/>
    <d v="2023-07-05T00:00:00"/>
    <x v="0"/>
    <n v="27"/>
    <s v="Non-Binary"/>
    <s v="Single"/>
    <s v="Master's"/>
    <x v="0"/>
    <x v="16"/>
    <x v="0"/>
    <s v="Pune"/>
    <n v="26000"/>
    <n v="6.9"/>
    <n v="5.5"/>
    <n v="2.5"/>
    <n v="1"/>
    <x v="3"/>
    <x v="0"/>
    <n v="3"/>
    <x v="1"/>
    <n v="4"/>
    <m/>
    <x v="1"/>
    <x v="0"/>
    <x v="4"/>
    <n v="0"/>
  </r>
  <r>
    <s v="EMP0742"/>
    <d v="2015-11-16T00:00:00"/>
    <x v="0"/>
    <n v="42"/>
    <s v="Female"/>
    <s v="Married"/>
    <s v="Diploma"/>
    <x v="0"/>
    <x v="7"/>
    <x v="2"/>
    <s v="Noida"/>
    <n v="70000"/>
    <n v="10.4"/>
    <n v="15.6"/>
    <n v="10.1"/>
    <n v="3.3"/>
    <x v="2"/>
    <x v="0"/>
    <n v="3"/>
    <x v="1"/>
    <n v="1"/>
    <m/>
    <x v="0"/>
    <x v="4"/>
    <x v="2"/>
    <n v="0"/>
  </r>
  <r>
    <s v="EMP0743"/>
    <d v="2025-04-08T00:00:00"/>
    <x v="1"/>
    <n v="21"/>
    <s v="Male"/>
    <s v="Divorced"/>
    <s v="Diploma"/>
    <x v="3"/>
    <x v="11"/>
    <x v="0"/>
    <s v="Hyderabad"/>
    <n v="37000"/>
    <n v="1.4"/>
    <n v="1.9"/>
    <n v="0.4"/>
    <n v="0"/>
    <x v="0"/>
    <x v="3"/>
    <n v="3"/>
    <x v="1"/>
    <n v="4"/>
    <d v="2025-09-10T00:00:00"/>
    <x v="2"/>
    <x v="0"/>
    <x v="3"/>
    <n v="1"/>
  </r>
  <r>
    <s v="EMP0744"/>
    <d v="2023-03-25T00:00:00"/>
    <x v="0"/>
    <n v="23"/>
    <s v="Female"/>
    <s v="Unkown"/>
    <s v="Bachelor's"/>
    <x v="5"/>
    <x v="18"/>
    <x v="0"/>
    <s v="Chennai"/>
    <n v="56000"/>
    <n v="12.6"/>
    <n v="7.9"/>
    <n v="2.8"/>
    <n v="1.8"/>
    <x v="1"/>
    <x v="0"/>
    <n v="4"/>
    <x v="1"/>
    <n v="4"/>
    <m/>
    <x v="2"/>
    <x v="1"/>
    <x v="4"/>
    <n v="0"/>
  </r>
  <r>
    <s v="EMP0745"/>
    <d v="2014-11-06T00:00:00"/>
    <x v="0"/>
    <n v="42"/>
    <s v="Male"/>
    <s v="Divorced"/>
    <s v="Master's"/>
    <x v="2"/>
    <x v="23"/>
    <x v="3"/>
    <s v="Noida"/>
    <n v="100000"/>
    <n v="11.2"/>
    <n v="14.9"/>
    <n v="11.2"/>
    <n v="5.2"/>
    <x v="2"/>
    <x v="2"/>
    <n v="4"/>
    <x v="1"/>
    <n v="1"/>
    <m/>
    <x v="0"/>
    <x v="3"/>
    <x v="2"/>
    <n v="0"/>
  </r>
  <r>
    <s v="EMP0746"/>
    <d v="2024-02-28T00:00:00"/>
    <x v="1"/>
    <n v="35"/>
    <s v="Non-Binary"/>
    <s v="Divorced"/>
    <s v="Bachelor's"/>
    <x v="0"/>
    <x v="3"/>
    <x v="3"/>
    <s v="Hyderabad"/>
    <n v="115000"/>
    <n v="11.9"/>
    <n v="7.4"/>
    <n v="1.7"/>
    <n v="0.5"/>
    <x v="0"/>
    <x v="2"/>
    <n v="3"/>
    <x v="1"/>
    <n v="4"/>
    <d v="2025-11-23T00:00:00"/>
    <x v="1"/>
    <x v="3"/>
    <x v="4"/>
    <n v="1"/>
  </r>
  <r>
    <s v="EMP0747"/>
    <d v="2025-01-26T00:00:00"/>
    <x v="0"/>
    <n v="21"/>
    <s v="Male"/>
    <s v="Single"/>
    <s v="Master's"/>
    <x v="2"/>
    <x v="2"/>
    <x v="0"/>
    <s v="Chennai"/>
    <n v="24000"/>
    <n v="8.5"/>
    <n v="3.9"/>
    <n v="0.9"/>
    <n v="0"/>
    <x v="0"/>
    <x v="0"/>
    <n v="3"/>
    <x v="0"/>
    <n v="4"/>
    <m/>
    <x v="2"/>
    <x v="0"/>
    <x v="3"/>
    <n v="0"/>
  </r>
  <r>
    <s v="EMP0748"/>
    <d v="2025-04-22T00:00:00"/>
    <x v="0"/>
    <n v="25"/>
    <s v="Female"/>
    <s v="Divorced"/>
    <s v="Diploma"/>
    <x v="1"/>
    <x v="9"/>
    <x v="0"/>
    <s v="Bengaluru"/>
    <n v="61000"/>
    <n v="15.1"/>
    <n v="4.7"/>
    <n v="0.7"/>
    <n v="0"/>
    <x v="2"/>
    <x v="2"/>
    <n v="4"/>
    <x v="1"/>
    <n v="1"/>
    <m/>
    <x v="2"/>
    <x v="4"/>
    <x v="3"/>
    <n v="0"/>
  </r>
  <r>
    <s v="EMP0749"/>
    <d v="2017-07-21T00:00:00"/>
    <x v="1"/>
    <n v="34"/>
    <s v="Male"/>
    <s v="Single"/>
    <s v="Master's"/>
    <x v="6"/>
    <x v="12"/>
    <x v="2"/>
    <s v="Noida"/>
    <n v="75000"/>
    <n v="5.2"/>
    <n v="9"/>
    <n v="7.6"/>
    <n v="0.5"/>
    <x v="2"/>
    <x v="0"/>
    <n v="3"/>
    <x v="1"/>
    <n v="1"/>
    <d v="2025-02-16T00:00:00"/>
    <x v="1"/>
    <x v="4"/>
    <x v="1"/>
    <n v="1"/>
  </r>
  <r>
    <s v="EMP0750"/>
    <d v="2017-03-24T00:00:00"/>
    <x v="0"/>
    <n v="35"/>
    <s v="Non-Binary"/>
    <s v="Married"/>
    <s v="Master's"/>
    <x v="6"/>
    <x v="12"/>
    <x v="0"/>
    <s v="Hyderabad"/>
    <n v="22000"/>
    <n v="10.3"/>
    <n v="16"/>
    <n v="8.8000000000000007"/>
    <n v="1.1000000000000001"/>
    <x v="0"/>
    <x v="2"/>
    <n v="2"/>
    <x v="0"/>
    <n v="2"/>
    <m/>
    <x v="1"/>
    <x v="0"/>
    <x v="1"/>
    <n v="0"/>
  </r>
  <r>
    <s v="EMP0751"/>
    <d v="2025-05-30T00:00:00"/>
    <x v="1"/>
    <n v="21"/>
    <s v="Non-Binary"/>
    <s v="Divorced"/>
    <s v="PhD"/>
    <x v="1"/>
    <x v="9"/>
    <x v="0"/>
    <s v="Noida"/>
    <n v="31000"/>
    <n v="7.3"/>
    <n v="2.4"/>
    <n v="0.4"/>
    <n v="0"/>
    <x v="2"/>
    <x v="1"/>
    <n v="3"/>
    <x v="1"/>
    <n v="3"/>
    <d v="2025-10-12T00:00:00"/>
    <x v="2"/>
    <x v="0"/>
    <x v="3"/>
    <n v="1"/>
  </r>
  <r>
    <s v="EMP0752"/>
    <d v="2015-12-08T00:00:00"/>
    <x v="0"/>
    <n v="37"/>
    <s v="Non-Binary"/>
    <s v="Divorced"/>
    <s v="Diploma"/>
    <x v="0"/>
    <x v="3"/>
    <x v="0"/>
    <s v="Bengaluru"/>
    <n v="22000"/>
    <n v="10.9"/>
    <n v="15.7"/>
    <n v="10.1"/>
    <n v="2.1"/>
    <x v="2"/>
    <x v="2"/>
    <n v="4"/>
    <x v="1"/>
    <n v="3"/>
    <m/>
    <x v="0"/>
    <x v="0"/>
    <x v="2"/>
    <n v="0"/>
  </r>
  <r>
    <s v="EMP0753"/>
    <d v="2020-03-24T00:00:00"/>
    <x v="0"/>
    <n v="41"/>
    <s v="Non-Binary"/>
    <s v="Single"/>
    <s v="Diploma"/>
    <x v="4"/>
    <x v="14"/>
    <x v="1"/>
    <s v="Noida"/>
    <n v="46000"/>
    <n v="8.6"/>
    <n v="7.3"/>
    <n v="5.8"/>
    <n v="0.8"/>
    <x v="3"/>
    <x v="0"/>
    <n v="3"/>
    <x v="0"/>
    <n v="3"/>
    <m/>
    <x v="0"/>
    <x v="1"/>
    <x v="0"/>
    <n v="0"/>
  </r>
  <r>
    <s v="EMP0754"/>
    <d v="2022-06-26T00:00:00"/>
    <x v="0"/>
    <n v="24"/>
    <s v="Male"/>
    <s v="Single"/>
    <s v="PhD"/>
    <x v="5"/>
    <x v="18"/>
    <x v="0"/>
    <s v="Chennai"/>
    <n v="25000"/>
    <n v="6.7"/>
    <n v="8.6999999999999993"/>
    <n v="3.5"/>
    <n v="0.4"/>
    <x v="2"/>
    <x v="2"/>
    <n v="3"/>
    <x v="0"/>
    <n v="3"/>
    <m/>
    <x v="2"/>
    <x v="0"/>
    <x v="0"/>
    <n v="0"/>
  </r>
  <r>
    <s v="EMP0755"/>
    <d v="2024-06-16T00:00:00"/>
    <x v="0"/>
    <n v="22"/>
    <s v="Male"/>
    <s v="Divorced"/>
    <s v="Bachelor's"/>
    <x v="3"/>
    <x v="6"/>
    <x v="0"/>
    <s v="Mumbai"/>
    <n v="22000"/>
    <n v="7.2"/>
    <n v="6.3"/>
    <n v="1.5"/>
    <n v="0.7"/>
    <x v="3"/>
    <x v="0"/>
    <n v="1"/>
    <x v="1"/>
    <n v="5"/>
    <m/>
    <x v="2"/>
    <x v="0"/>
    <x v="4"/>
    <n v="0"/>
  </r>
  <r>
    <s v="EMP0756"/>
    <d v="2021-01-04T00:00:00"/>
    <x v="0"/>
    <n v="41"/>
    <s v="Male"/>
    <s v="Single"/>
    <s v="Diploma"/>
    <x v="3"/>
    <x v="4"/>
    <x v="4"/>
    <s v="Bengaluru"/>
    <n v="156000"/>
    <n v="7.4"/>
    <n v="12.1"/>
    <n v="5"/>
    <n v="4.8"/>
    <x v="2"/>
    <x v="2"/>
    <n v="2"/>
    <x v="0"/>
    <n v="5"/>
    <m/>
    <x v="0"/>
    <x v="3"/>
    <x v="0"/>
    <n v="0"/>
  </r>
  <r>
    <s v="EMP0757"/>
    <d v="2025-02-22T00:00:00"/>
    <x v="0"/>
    <n v="21"/>
    <s v="Male"/>
    <s v="Single"/>
    <s v="Master's"/>
    <x v="5"/>
    <x v="18"/>
    <x v="0"/>
    <s v="Mumbai"/>
    <n v="34000"/>
    <n v="9.8000000000000007"/>
    <n v="4.5"/>
    <n v="0.9"/>
    <n v="0"/>
    <x v="2"/>
    <x v="1"/>
    <n v="2"/>
    <x v="0"/>
    <n v="3"/>
    <m/>
    <x v="2"/>
    <x v="0"/>
    <x v="3"/>
    <n v="0"/>
  </r>
  <r>
    <s v="EMP0758"/>
    <d v="2020-11-13T00:00:00"/>
    <x v="1"/>
    <n v="29"/>
    <s v="Female"/>
    <s v="Divorced"/>
    <s v="Master's"/>
    <x v="5"/>
    <x v="13"/>
    <x v="1"/>
    <s v="Bengaluru"/>
    <n v="60000"/>
    <n v="0"/>
    <n v="8"/>
    <n v="4.3"/>
    <n v="3"/>
    <x v="1"/>
    <x v="0"/>
    <n v="4"/>
    <x v="1"/>
    <n v="4"/>
    <d v="2025-02-21T00:00:00"/>
    <x v="1"/>
    <x v="4"/>
    <x v="0"/>
    <n v="1"/>
  </r>
  <r>
    <s v="EMP0759"/>
    <d v="2014-10-04T00:00:00"/>
    <x v="0"/>
    <n v="36"/>
    <s v="Non-Binary"/>
    <s v="Divorced"/>
    <s v="Bachelor's"/>
    <x v="3"/>
    <x v="11"/>
    <x v="1"/>
    <s v="Pune"/>
    <n v="46000"/>
    <n v="9.1999999999999993"/>
    <n v="16.600000000000001"/>
    <n v="11.2"/>
    <n v="5.2"/>
    <x v="2"/>
    <x v="0"/>
    <n v="3"/>
    <x v="1"/>
    <n v="3"/>
    <m/>
    <x v="0"/>
    <x v="1"/>
    <x v="2"/>
    <n v="0"/>
  </r>
  <r>
    <s v="EMP0760"/>
    <d v="2021-10-01T00:00:00"/>
    <x v="0"/>
    <n v="31"/>
    <s v="Male"/>
    <s v="Married"/>
    <s v="PhD"/>
    <x v="4"/>
    <x v="14"/>
    <x v="2"/>
    <s v="Bengaluru"/>
    <n v="75000"/>
    <n v="5.0999999999999996"/>
    <n v="10.3"/>
    <n v="4.2"/>
    <n v="3.8"/>
    <x v="0"/>
    <x v="0"/>
    <n v="2"/>
    <x v="1"/>
    <n v="3"/>
    <m/>
    <x v="1"/>
    <x v="4"/>
    <x v="0"/>
    <n v="0"/>
  </r>
  <r>
    <s v="EMP0761"/>
    <d v="2020-09-20T00:00:00"/>
    <x v="0"/>
    <n v="37"/>
    <s v="Male"/>
    <s v="Married"/>
    <s v="Bachelor's"/>
    <x v="6"/>
    <x v="12"/>
    <x v="2"/>
    <s v="Hyderabad"/>
    <n v="78000"/>
    <n v="6.7"/>
    <n v="5.6"/>
    <n v="5.3"/>
    <n v="5.0999999999999996"/>
    <x v="2"/>
    <x v="0"/>
    <n v="2"/>
    <x v="1"/>
    <n v="4"/>
    <m/>
    <x v="0"/>
    <x v="4"/>
    <x v="0"/>
    <n v="0"/>
  </r>
  <r>
    <s v="EMP0762"/>
    <d v="2020-12-19T00:00:00"/>
    <x v="1"/>
    <n v="38"/>
    <s v="Male"/>
    <s v="Married"/>
    <s v="PhD"/>
    <x v="0"/>
    <x v="0"/>
    <x v="2"/>
    <s v="Hyderabad"/>
    <n v="54000"/>
    <n v="13.6"/>
    <n v="7.8"/>
    <n v="4.7"/>
    <n v="2.1"/>
    <x v="3"/>
    <x v="0"/>
    <n v="4"/>
    <x v="1"/>
    <n v="3"/>
    <d v="2025-09-17T00:00:00"/>
    <x v="0"/>
    <x v="1"/>
    <x v="0"/>
    <n v="1"/>
  </r>
  <r>
    <s v="EMP0763"/>
    <d v="2016-04-24T00:00:00"/>
    <x v="0"/>
    <n v="36"/>
    <s v="Non-Binary"/>
    <s v="Married"/>
    <s v="Bachelor's"/>
    <x v="0"/>
    <x v="0"/>
    <x v="2"/>
    <s v="Pune"/>
    <n v="83000"/>
    <n v="3.5"/>
    <n v="12.4"/>
    <n v="9.6999999999999993"/>
    <n v="3.2"/>
    <x v="2"/>
    <x v="4"/>
    <n v="4"/>
    <x v="1"/>
    <n v="5"/>
    <m/>
    <x v="0"/>
    <x v="2"/>
    <x v="1"/>
    <n v="0"/>
  </r>
  <r>
    <s v="EMP0764"/>
    <d v="2018-02-17T00:00:00"/>
    <x v="0"/>
    <n v="31"/>
    <s v="Female"/>
    <s v="Married"/>
    <s v="Bachelor's"/>
    <x v="5"/>
    <x v="18"/>
    <x v="3"/>
    <s v="Chennai"/>
    <n v="117000"/>
    <n v="15.9"/>
    <n v="14.8"/>
    <n v="7.9"/>
    <n v="2.6"/>
    <x v="2"/>
    <x v="0"/>
    <n v="1"/>
    <x v="0"/>
    <n v="4"/>
    <m/>
    <x v="1"/>
    <x v="3"/>
    <x v="1"/>
    <n v="0"/>
  </r>
  <r>
    <s v="EMP0765"/>
    <d v="2022-10-07T00:00:00"/>
    <x v="0"/>
    <n v="29"/>
    <s v="Non-Binary"/>
    <s v="Single"/>
    <s v="Diploma"/>
    <x v="0"/>
    <x v="7"/>
    <x v="1"/>
    <s v="Noida"/>
    <n v="51000"/>
    <n v="4.2"/>
    <n v="4.7"/>
    <n v="3.2"/>
    <n v="1.1000000000000001"/>
    <x v="0"/>
    <x v="3"/>
    <n v="3"/>
    <x v="1"/>
    <n v="4"/>
    <m/>
    <x v="1"/>
    <x v="1"/>
    <x v="0"/>
    <n v="0"/>
  </r>
  <r>
    <s v="EMP0766"/>
    <d v="2024-09-19T00:00:00"/>
    <x v="0"/>
    <n v="35"/>
    <s v="Non-Binary"/>
    <s v="Divorced"/>
    <s v="PhD"/>
    <x v="5"/>
    <x v="26"/>
    <x v="1"/>
    <s v="Bengaluru"/>
    <n v="56000"/>
    <n v="8.6"/>
    <n v="4.7"/>
    <n v="1.3"/>
    <n v="0.4"/>
    <x v="2"/>
    <x v="2"/>
    <n v="3"/>
    <x v="0"/>
    <n v="3"/>
    <m/>
    <x v="1"/>
    <x v="1"/>
    <x v="4"/>
    <n v="0"/>
  </r>
  <r>
    <s v="EMP0767"/>
    <d v="2025-01-24T00:00:00"/>
    <x v="0"/>
    <n v="22"/>
    <s v="Non-Binary"/>
    <s v="Married"/>
    <s v="PhD"/>
    <x v="5"/>
    <x v="18"/>
    <x v="0"/>
    <s v="Mumbai"/>
    <n v="41000"/>
    <n v="16"/>
    <n v="8"/>
    <n v="0.9"/>
    <n v="0"/>
    <x v="0"/>
    <x v="2"/>
    <n v="2"/>
    <x v="0"/>
    <n v="5"/>
    <m/>
    <x v="2"/>
    <x v="1"/>
    <x v="3"/>
    <n v="0"/>
  </r>
  <r>
    <s v="EMP0768"/>
    <d v="2022-09-11T00:00:00"/>
    <x v="0"/>
    <n v="35"/>
    <s v="Non-Binary"/>
    <s v="Divorced"/>
    <s v="Master's"/>
    <x v="5"/>
    <x v="13"/>
    <x v="4"/>
    <s v="Noida"/>
    <n v="179000"/>
    <n v="3.9"/>
    <n v="6.8"/>
    <n v="3.3"/>
    <n v="0.4"/>
    <x v="0"/>
    <x v="1"/>
    <n v="3"/>
    <x v="1"/>
    <n v="3"/>
    <m/>
    <x v="1"/>
    <x v="3"/>
    <x v="0"/>
    <n v="0"/>
  </r>
  <r>
    <s v="EMP0769"/>
    <d v="2020-03-02T00:00:00"/>
    <x v="0"/>
    <n v="34"/>
    <s v="Non-Binary"/>
    <s v="Married"/>
    <s v="Diploma"/>
    <x v="2"/>
    <x v="23"/>
    <x v="1"/>
    <s v="Bengaluru"/>
    <n v="66000"/>
    <n v="6.1"/>
    <n v="12.1"/>
    <n v="5.8"/>
    <n v="1.6"/>
    <x v="2"/>
    <x v="0"/>
    <n v="3"/>
    <x v="1"/>
    <n v="5"/>
    <m/>
    <x v="1"/>
    <x v="4"/>
    <x v="0"/>
    <n v="0"/>
  </r>
  <r>
    <s v="EMP0770"/>
    <d v="2020-11-07T00:00:00"/>
    <x v="0"/>
    <n v="38"/>
    <s v="Male"/>
    <s v="Divorced"/>
    <s v="Diploma"/>
    <x v="3"/>
    <x v="11"/>
    <x v="0"/>
    <s v="Noida"/>
    <n v="40000"/>
    <n v="9.9"/>
    <n v="13"/>
    <n v="5.0999999999999996"/>
    <n v="1.6"/>
    <x v="2"/>
    <x v="1"/>
    <n v="1"/>
    <x v="0"/>
    <n v="3"/>
    <m/>
    <x v="0"/>
    <x v="1"/>
    <x v="0"/>
    <n v="0"/>
  </r>
  <r>
    <s v="EMP0771"/>
    <d v="2018-04-10T00:00:00"/>
    <x v="0"/>
    <n v="41"/>
    <s v="Non-Binary"/>
    <s v="Married"/>
    <s v="Master's"/>
    <x v="0"/>
    <x v="16"/>
    <x v="2"/>
    <s v="Chennai"/>
    <n v="73000"/>
    <n v="1.1000000000000001"/>
    <n v="7.8"/>
    <n v="7.7"/>
    <n v="2"/>
    <x v="2"/>
    <x v="0"/>
    <n v="3"/>
    <x v="1"/>
    <n v="3"/>
    <m/>
    <x v="0"/>
    <x v="4"/>
    <x v="1"/>
    <n v="0"/>
  </r>
  <r>
    <s v="EMP0772"/>
    <d v="2022-09-16T00:00:00"/>
    <x v="0"/>
    <n v="32"/>
    <s v="Female"/>
    <s v="Married"/>
    <s v="Diploma"/>
    <x v="0"/>
    <x v="3"/>
    <x v="2"/>
    <s v="Hyderabad"/>
    <n v="75000"/>
    <n v="8.8000000000000007"/>
    <n v="8.3000000000000007"/>
    <n v="3.3"/>
    <n v="1.9"/>
    <x v="0"/>
    <x v="0"/>
    <n v="2"/>
    <x v="0"/>
    <n v="5"/>
    <m/>
    <x v="1"/>
    <x v="4"/>
    <x v="0"/>
    <n v="0"/>
  </r>
  <r>
    <s v="EMP0773"/>
    <d v="2025-09-05T00:00:00"/>
    <x v="0"/>
    <n v="21"/>
    <s v="Female"/>
    <s v="Single"/>
    <s v="PhD"/>
    <x v="3"/>
    <x v="6"/>
    <x v="0"/>
    <s v="Chennai"/>
    <n v="36000"/>
    <n v="1.7"/>
    <n v="3.8"/>
    <n v="0.3"/>
    <n v="0"/>
    <x v="3"/>
    <x v="3"/>
    <n v="4"/>
    <x v="1"/>
    <n v="4"/>
    <m/>
    <x v="2"/>
    <x v="0"/>
    <x v="3"/>
    <n v="0"/>
  </r>
  <r>
    <s v="EMP0774"/>
    <d v="2015-10-05T00:00:00"/>
    <x v="0"/>
    <n v="32"/>
    <s v="Female"/>
    <s v="Divorced"/>
    <s v="PhD"/>
    <x v="1"/>
    <x v="1"/>
    <x v="2"/>
    <s v="Hyderabad"/>
    <n v="93000"/>
    <n v="5.5"/>
    <n v="14.8"/>
    <n v="10.199999999999999"/>
    <n v="1.1000000000000001"/>
    <x v="3"/>
    <x v="1"/>
    <n v="4"/>
    <x v="0"/>
    <n v="4"/>
    <m/>
    <x v="1"/>
    <x v="2"/>
    <x v="2"/>
    <n v="0"/>
  </r>
  <r>
    <s v="EMP0775"/>
    <d v="2018-09-09T00:00:00"/>
    <x v="1"/>
    <n v="40"/>
    <s v="Female"/>
    <s v="Married"/>
    <s v="PhD"/>
    <x v="2"/>
    <x v="20"/>
    <x v="1"/>
    <s v="Hyderabad"/>
    <n v="57000"/>
    <n v="8.5"/>
    <n v="15"/>
    <n v="7.3"/>
    <n v="4.5999999999999996"/>
    <x v="2"/>
    <x v="0"/>
    <n v="3"/>
    <x v="1"/>
    <n v="3"/>
    <d v="2025-12-18T00:00:00"/>
    <x v="0"/>
    <x v="1"/>
    <x v="1"/>
    <n v="1"/>
  </r>
  <r>
    <s v="EMP0776"/>
    <d v="2018-12-23T00:00:00"/>
    <x v="0"/>
    <n v="28"/>
    <s v="Female"/>
    <s v="Married"/>
    <s v="PhD"/>
    <x v="2"/>
    <x v="17"/>
    <x v="1"/>
    <s v="Pune"/>
    <n v="59000"/>
    <n v="15.6"/>
    <n v="13.1"/>
    <n v="7"/>
    <n v="3.9"/>
    <x v="1"/>
    <x v="0"/>
    <n v="2"/>
    <x v="1"/>
    <n v="4"/>
    <m/>
    <x v="1"/>
    <x v="1"/>
    <x v="1"/>
    <n v="0"/>
  </r>
  <r>
    <s v="EMP0777"/>
    <d v="2024-08-19T00:00:00"/>
    <x v="0"/>
    <n v="28"/>
    <s v="Female"/>
    <s v="Divorced"/>
    <s v="Bachelor's"/>
    <x v="0"/>
    <x v="0"/>
    <x v="2"/>
    <s v="Hyderabad"/>
    <n v="75000"/>
    <n v="3.8"/>
    <n v="7.2"/>
    <n v="1.4"/>
    <n v="1.3"/>
    <x v="0"/>
    <x v="0"/>
    <n v="2"/>
    <x v="1"/>
    <n v="4"/>
    <m/>
    <x v="1"/>
    <x v="4"/>
    <x v="4"/>
    <n v="0"/>
  </r>
  <r>
    <s v="EMP0778"/>
    <d v="2015-08-07T00:00:00"/>
    <x v="0"/>
    <n v="36"/>
    <s v="Female"/>
    <s v="Single"/>
    <s v="Bachelor's"/>
    <x v="5"/>
    <x v="26"/>
    <x v="2"/>
    <s v="Pune"/>
    <n v="70000"/>
    <n v="4.4000000000000004"/>
    <n v="17.399999999999999"/>
    <n v="10.4"/>
    <n v="1.1000000000000001"/>
    <x v="3"/>
    <x v="2"/>
    <n v="4"/>
    <x v="1"/>
    <n v="3"/>
    <m/>
    <x v="0"/>
    <x v="4"/>
    <x v="2"/>
    <n v="0"/>
  </r>
  <r>
    <s v="EMP0779"/>
    <d v="2018-05-21T00:00:00"/>
    <x v="0"/>
    <n v="31"/>
    <s v="Male"/>
    <s v="Single"/>
    <s v="PhD"/>
    <x v="4"/>
    <x v="5"/>
    <x v="2"/>
    <s v="Noida"/>
    <n v="63000"/>
    <n v="10.6"/>
    <n v="11.3"/>
    <n v="7.6"/>
    <n v="3.8"/>
    <x v="3"/>
    <x v="2"/>
    <n v="4"/>
    <x v="1"/>
    <n v="5"/>
    <m/>
    <x v="1"/>
    <x v="4"/>
    <x v="1"/>
    <n v="0"/>
  </r>
  <r>
    <s v="EMP0780"/>
    <d v="2017-09-20T00:00:00"/>
    <x v="0"/>
    <n v="32"/>
    <s v="Non-Binary"/>
    <s v="Divorced"/>
    <s v="Bachelor's"/>
    <x v="5"/>
    <x v="8"/>
    <x v="2"/>
    <s v="Mumbai"/>
    <n v="80000"/>
    <n v="13.2"/>
    <n v="11.4"/>
    <n v="8.3000000000000007"/>
    <n v="4.7"/>
    <x v="2"/>
    <x v="2"/>
    <n v="4"/>
    <x v="1"/>
    <n v="4"/>
    <m/>
    <x v="1"/>
    <x v="2"/>
    <x v="1"/>
    <n v="0"/>
  </r>
  <r>
    <s v="EMP0781"/>
    <d v="2021-11-01T00:00:00"/>
    <x v="0"/>
    <n v="30"/>
    <s v="Male"/>
    <s v="Married"/>
    <s v="Bachelor's"/>
    <x v="3"/>
    <x v="15"/>
    <x v="1"/>
    <s v="Noida"/>
    <n v="49000"/>
    <n v="11"/>
    <n v="9.9"/>
    <n v="4.2"/>
    <n v="2.1"/>
    <x v="0"/>
    <x v="0"/>
    <n v="3"/>
    <x v="1"/>
    <n v="2"/>
    <m/>
    <x v="1"/>
    <x v="1"/>
    <x v="0"/>
    <n v="0"/>
  </r>
  <r>
    <s v="EMP0782"/>
    <d v="2021-09-22T00:00:00"/>
    <x v="0"/>
    <n v="32"/>
    <s v="Male"/>
    <s v="Married"/>
    <s v="Diploma"/>
    <x v="1"/>
    <x v="9"/>
    <x v="1"/>
    <s v="Hyderabad"/>
    <n v="68000"/>
    <n v="1.4"/>
    <n v="5.0999999999999996"/>
    <n v="4.3"/>
    <n v="2.8"/>
    <x v="0"/>
    <x v="1"/>
    <n v="4"/>
    <x v="1"/>
    <n v="3"/>
    <m/>
    <x v="1"/>
    <x v="4"/>
    <x v="0"/>
    <n v="0"/>
  </r>
  <r>
    <s v="EMP0783"/>
    <d v="2020-06-06T00:00:00"/>
    <x v="1"/>
    <n v="34"/>
    <s v="Female"/>
    <s v="Married"/>
    <s v="Master's"/>
    <x v="0"/>
    <x v="16"/>
    <x v="1"/>
    <s v="Chennai"/>
    <n v="46000"/>
    <n v="8.6"/>
    <n v="6"/>
    <n v="4.8"/>
    <n v="1.4"/>
    <x v="2"/>
    <x v="1"/>
    <n v="3"/>
    <x v="0"/>
    <n v="3"/>
    <d v="2025-03-13T00:00:00"/>
    <x v="1"/>
    <x v="1"/>
    <x v="0"/>
    <n v="1"/>
  </r>
  <r>
    <s v="EMP0784"/>
    <d v="2025-05-14T00:00:00"/>
    <x v="0"/>
    <n v="21"/>
    <s v="Male"/>
    <s v="Single"/>
    <s v="Diploma"/>
    <x v="0"/>
    <x v="7"/>
    <x v="0"/>
    <s v="Pune"/>
    <n v="45000"/>
    <n v="9.1999999999999993"/>
    <n v="6.2"/>
    <n v="0.6"/>
    <n v="0"/>
    <x v="2"/>
    <x v="0"/>
    <n v="3"/>
    <x v="1"/>
    <n v="4"/>
    <m/>
    <x v="2"/>
    <x v="1"/>
    <x v="3"/>
    <n v="0"/>
  </r>
  <r>
    <s v="EMP0785"/>
    <d v="2017-04-06T00:00:00"/>
    <x v="0"/>
    <n v="40"/>
    <s v="Female"/>
    <s v="Divorced"/>
    <s v="Diploma"/>
    <x v="4"/>
    <x v="25"/>
    <x v="1"/>
    <s v="Mumbai"/>
    <n v="41000"/>
    <n v="10.9"/>
    <n v="13.7"/>
    <n v="8.6999999999999993"/>
    <n v="1"/>
    <x v="0"/>
    <x v="0"/>
    <n v="2"/>
    <x v="1"/>
    <n v="4"/>
    <m/>
    <x v="0"/>
    <x v="1"/>
    <x v="1"/>
    <n v="0"/>
  </r>
  <r>
    <s v="EMP0786"/>
    <d v="2015-07-07T00:00:00"/>
    <x v="0"/>
    <n v="39"/>
    <s v="Non-Binary"/>
    <s v="Divorced"/>
    <s v="Bachelor's"/>
    <x v="2"/>
    <x v="17"/>
    <x v="2"/>
    <s v="Noida"/>
    <n v="56000"/>
    <n v="8.6"/>
    <n v="15.8"/>
    <n v="10.5"/>
    <n v="0.4"/>
    <x v="2"/>
    <x v="1"/>
    <n v="2"/>
    <x v="1"/>
    <n v="2"/>
    <m/>
    <x v="0"/>
    <x v="1"/>
    <x v="2"/>
    <n v="0"/>
  </r>
  <r>
    <s v="EMP0787"/>
    <d v="2019-01-15T00:00:00"/>
    <x v="0"/>
    <n v="36"/>
    <s v="Male"/>
    <s v="Married"/>
    <s v="Bachelor's"/>
    <x v="1"/>
    <x v="9"/>
    <x v="2"/>
    <s v="Hyderabad"/>
    <n v="94000"/>
    <n v="6.2"/>
    <n v="13.5"/>
    <n v="7"/>
    <n v="4.7"/>
    <x v="1"/>
    <x v="2"/>
    <n v="3"/>
    <x v="1"/>
    <n v="3"/>
    <m/>
    <x v="0"/>
    <x v="2"/>
    <x v="1"/>
    <n v="0"/>
  </r>
  <r>
    <s v="EMP0788"/>
    <d v="2014-06-13T00:00:00"/>
    <x v="1"/>
    <n v="32"/>
    <s v="Non-Binary"/>
    <s v="Single"/>
    <s v="Master's"/>
    <x v="4"/>
    <x v="25"/>
    <x v="1"/>
    <s v="Noida"/>
    <n v="43000"/>
    <n v="12.4"/>
    <n v="14.2"/>
    <n v="10.6"/>
    <n v="3.1"/>
    <x v="2"/>
    <x v="1"/>
    <n v="4"/>
    <x v="1"/>
    <n v="3"/>
    <d v="2025-01-29T00:00:00"/>
    <x v="1"/>
    <x v="1"/>
    <x v="2"/>
    <n v="1"/>
  </r>
  <r>
    <s v="EMP0789"/>
    <d v="2025-07-30T00:00:00"/>
    <x v="0"/>
    <n v="21"/>
    <s v="Female"/>
    <s v="Single"/>
    <s v="Master's"/>
    <x v="0"/>
    <x v="16"/>
    <x v="0"/>
    <s v="Pune"/>
    <n v="28000"/>
    <n v="4.8"/>
    <n v="6.4"/>
    <n v="0.4"/>
    <n v="0"/>
    <x v="2"/>
    <x v="2"/>
    <n v="4"/>
    <x v="1"/>
    <n v="2"/>
    <m/>
    <x v="2"/>
    <x v="0"/>
    <x v="3"/>
    <n v="0"/>
  </r>
  <r>
    <s v="EMP0790"/>
    <d v="2023-12-25T00:00:00"/>
    <x v="0"/>
    <n v="24"/>
    <s v="Non-Binary"/>
    <s v="Divorced"/>
    <s v="Master's"/>
    <x v="1"/>
    <x v="1"/>
    <x v="0"/>
    <s v="Chennai"/>
    <n v="40000"/>
    <n v="14.3"/>
    <n v="7.1"/>
    <n v="2"/>
    <n v="0.4"/>
    <x v="0"/>
    <x v="1"/>
    <n v="2"/>
    <x v="1"/>
    <n v="3"/>
    <m/>
    <x v="2"/>
    <x v="1"/>
    <x v="4"/>
    <n v="0"/>
  </r>
  <r>
    <s v="EMP0791"/>
    <d v="2020-08-21T00:00:00"/>
    <x v="0"/>
    <n v="29"/>
    <s v="Male"/>
    <s v="Married"/>
    <s v="PhD"/>
    <x v="3"/>
    <x v="4"/>
    <x v="2"/>
    <s v="Chennai"/>
    <n v="84000"/>
    <n v="7.2"/>
    <n v="11.6"/>
    <n v="5.4"/>
    <n v="1.1000000000000001"/>
    <x v="3"/>
    <x v="2"/>
    <n v="3"/>
    <x v="1"/>
    <n v="3"/>
    <m/>
    <x v="1"/>
    <x v="2"/>
    <x v="0"/>
    <n v="0"/>
  </r>
  <r>
    <s v="EMP0792"/>
    <d v="2022-09-25T00:00:00"/>
    <x v="0"/>
    <n v="25"/>
    <s v="Non-Binary"/>
    <s v="Married"/>
    <s v="PhD"/>
    <x v="6"/>
    <x v="12"/>
    <x v="0"/>
    <s v="Bengaluru"/>
    <n v="22000"/>
    <n v="7.4"/>
    <n v="8.4"/>
    <n v="3.3"/>
    <n v="0.9"/>
    <x v="2"/>
    <x v="0"/>
    <n v="3"/>
    <x v="1"/>
    <n v="4"/>
    <m/>
    <x v="2"/>
    <x v="0"/>
    <x v="0"/>
    <n v="0"/>
  </r>
  <r>
    <s v="EMP0793"/>
    <d v="2021-12-19T00:00:00"/>
    <x v="0"/>
    <n v="32"/>
    <s v="Non-Binary"/>
    <s v="Divorced"/>
    <s v="Master's"/>
    <x v="2"/>
    <x v="20"/>
    <x v="2"/>
    <s v="Pune"/>
    <n v="71000"/>
    <n v="5.2"/>
    <n v="4.5999999999999996"/>
    <n v="4"/>
    <n v="1.7"/>
    <x v="2"/>
    <x v="0"/>
    <n v="4"/>
    <x v="1"/>
    <n v="3"/>
    <m/>
    <x v="1"/>
    <x v="4"/>
    <x v="0"/>
    <n v="0"/>
  </r>
  <r>
    <s v="EMP0794"/>
    <d v="2022-11-17T00:00:00"/>
    <x v="0"/>
    <n v="24"/>
    <s v="Male"/>
    <s v="Married"/>
    <s v="Master's"/>
    <x v="2"/>
    <x v="23"/>
    <x v="0"/>
    <s v="Pune"/>
    <n v="40000"/>
    <n v="5"/>
    <n v="7.4"/>
    <n v="3.1"/>
    <n v="0.3"/>
    <x v="2"/>
    <x v="0"/>
    <n v="3"/>
    <x v="0"/>
    <n v="4"/>
    <m/>
    <x v="2"/>
    <x v="1"/>
    <x v="0"/>
    <n v="0"/>
  </r>
  <r>
    <s v="EMP0795"/>
    <d v="2023-07-31T00:00:00"/>
    <x v="1"/>
    <n v="23"/>
    <s v="Female"/>
    <s v="Married"/>
    <s v="Diploma"/>
    <x v="2"/>
    <x v="17"/>
    <x v="0"/>
    <s v="Hyderabad"/>
    <n v="28000"/>
    <n v="12.9"/>
    <n v="10"/>
    <n v="2.1"/>
    <n v="1.4"/>
    <x v="2"/>
    <x v="2"/>
    <n v="4"/>
    <x v="1"/>
    <n v="3"/>
    <d v="2025-09-22T00:00:00"/>
    <x v="2"/>
    <x v="0"/>
    <x v="4"/>
    <n v="1"/>
  </r>
  <r>
    <s v="EMP0796"/>
    <d v="2021-07-23T00:00:00"/>
    <x v="0"/>
    <n v="40"/>
    <s v="Female"/>
    <s v="Divorced"/>
    <s v="Master's"/>
    <x v="1"/>
    <x v="9"/>
    <x v="1"/>
    <s v="Mumbai"/>
    <n v="66000"/>
    <n v="4.5999999999999996"/>
    <n v="7.6"/>
    <n v="4.4000000000000004"/>
    <n v="1.8"/>
    <x v="2"/>
    <x v="2"/>
    <n v="3"/>
    <x v="1"/>
    <n v="5"/>
    <m/>
    <x v="0"/>
    <x v="4"/>
    <x v="0"/>
    <n v="0"/>
  </r>
  <r>
    <s v="EMP0797"/>
    <d v="2020-04-11T00:00:00"/>
    <x v="0"/>
    <n v="28"/>
    <s v="Male"/>
    <s v="Single"/>
    <s v="PhD"/>
    <x v="2"/>
    <x v="2"/>
    <x v="0"/>
    <s v="Hyderabad"/>
    <n v="45000"/>
    <n v="4.2"/>
    <n v="8.6999999999999993"/>
    <n v="5.7"/>
    <n v="1.8"/>
    <x v="2"/>
    <x v="2"/>
    <n v="3"/>
    <x v="0"/>
    <n v="4"/>
    <m/>
    <x v="1"/>
    <x v="1"/>
    <x v="0"/>
    <n v="0"/>
  </r>
  <r>
    <s v="EMP0798"/>
    <d v="2021-11-22T00:00:00"/>
    <x v="0"/>
    <n v="39"/>
    <s v="Female"/>
    <s v="Single"/>
    <s v="Diploma"/>
    <x v="5"/>
    <x v="8"/>
    <x v="1"/>
    <s v="Chennai"/>
    <n v="76000"/>
    <n v="7.4"/>
    <n v="11.9"/>
    <n v="4.0999999999999996"/>
    <n v="0.2"/>
    <x v="2"/>
    <x v="0"/>
    <n v="3"/>
    <x v="1"/>
    <n v="5"/>
    <m/>
    <x v="0"/>
    <x v="4"/>
    <x v="0"/>
    <n v="0"/>
  </r>
  <r>
    <s v="EMP0799"/>
    <d v="2025-01-16T00:00:00"/>
    <x v="0"/>
    <n v="49"/>
    <s v="Non-Binary"/>
    <s v="Married"/>
    <s v="Master's"/>
    <x v="4"/>
    <x v="5"/>
    <x v="0"/>
    <s v="Pune"/>
    <n v="27000"/>
    <n v="2.9"/>
    <n v="3.2"/>
    <n v="1"/>
    <n v="0.5"/>
    <x v="2"/>
    <x v="2"/>
    <n v="2"/>
    <x v="1"/>
    <n v="5"/>
    <m/>
    <x v="3"/>
    <x v="0"/>
    <x v="4"/>
    <n v="0"/>
  </r>
  <r>
    <s v="EMP0800"/>
    <d v="2019-02-16T00:00:00"/>
    <x v="0"/>
    <n v="38"/>
    <s v="Male"/>
    <s v="Divorced"/>
    <s v="Diploma"/>
    <x v="4"/>
    <x v="24"/>
    <x v="2"/>
    <s v="Hyderabad"/>
    <n v="57000"/>
    <n v="7.5"/>
    <n v="12.2"/>
    <n v="6.9"/>
    <n v="3.3"/>
    <x v="2"/>
    <x v="2"/>
    <n v="3"/>
    <x v="1"/>
    <n v="2"/>
    <m/>
    <x v="0"/>
    <x v="1"/>
    <x v="1"/>
    <n v="0"/>
  </r>
  <r>
    <s v="EMP0801"/>
    <d v="2023-03-10T00:00:00"/>
    <x v="0"/>
    <n v="34"/>
    <s v="Male"/>
    <s v="Single"/>
    <s v="PhD"/>
    <x v="2"/>
    <x v="17"/>
    <x v="2"/>
    <s v="Mumbai"/>
    <n v="79000"/>
    <n v="9.9"/>
    <n v="4.4000000000000004"/>
    <n v="2.8"/>
    <n v="2.7"/>
    <x v="3"/>
    <x v="0"/>
    <n v="3"/>
    <x v="1"/>
    <n v="5"/>
    <m/>
    <x v="1"/>
    <x v="4"/>
    <x v="4"/>
    <n v="0"/>
  </r>
  <r>
    <s v="EMP0802"/>
    <d v="2021-02-24T00:00:00"/>
    <x v="0"/>
    <n v="26"/>
    <s v="Female"/>
    <s v="Divorced"/>
    <s v="PhD"/>
    <x v="3"/>
    <x v="6"/>
    <x v="0"/>
    <s v="Hyderabad"/>
    <n v="29000"/>
    <n v="5.9"/>
    <n v="7.8"/>
    <n v="4.8"/>
    <n v="2.7"/>
    <x v="1"/>
    <x v="2"/>
    <n v="4"/>
    <x v="1"/>
    <n v="5"/>
    <m/>
    <x v="1"/>
    <x v="0"/>
    <x v="0"/>
    <n v="0"/>
  </r>
  <r>
    <s v="EMP0803"/>
    <d v="2017-02-08T00:00:00"/>
    <x v="0"/>
    <n v="39"/>
    <s v="Non-Binary"/>
    <s v="Divorced"/>
    <s v="Master's"/>
    <x v="4"/>
    <x v="24"/>
    <x v="2"/>
    <s v="Bengaluru"/>
    <n v="78000"/>
    <n v="13.7"/>
    <n v="13.1"/>
    <n v="8.9"/>
    <n v="4.8"/>
    <x v="0"/>
    <x v="2"/>
    <n v="2"/>
    <x v="1"/>
    <n v="5"/>
    <m/>
    <x v="0"/>
    <x v="4"/>
    <x v="1"/>
    <n v="0"/>
  </r>
  <r>
    <s v="EMP0804"/>
    <d v="2020-04-02T00:00:00"/>
    <x v="0"/>
    <n v="45"/>
    <s v="Non-Binary"/>
    <s v="Married"/>
    <s v="Bachelor's"/>
    <x v="2"/>
    <x v="17"/>
    <x v="3"/>
    <s v="Mumbai"/>
    <n v="122000"/>
    <n v="11.9"/>
    <n v="8.4"/>
    <n v="5.7"/>
    <n v="1"/>
    <x v="0"/>
    <x v="0"/>
    <n v="3"/>
    <x v="1"/>
    <n v="4"/>
    <m/>
    <x v="0"/>
    <x v="3"/>
    <x v="0"/>
    <n v="0"/>
  </r>
  <r>
    <s v="EMP0805"/>
    <d v="2025-09-11T00:00:00"/>
    <x v="1"/>
    <n v="21"/>
    <s v="Non-Binary"/>
    <s v="Divorced"/>
    <s v="Master's"/>
    <x v="4"/>
    <x v="24"/>
    <x v="0"/>
    <s v="Chennai"/>
    <n v="27000"/>
    <n v="6.1"/>
    <n v="1.4"/>
    <n v="0.2"/>
    <n v="0"/>
    <x v="1"/>
    <x v="0"/>
    <n v="4"/>
    <x v="1"/>
    <n v="4"/>
    <d v="2025-12-07T00:00:00"/>
    <x v="2"/>
    <x v="0"/>
    <x v="3"/>
    <n v="1"/>
  </r>
  <r>
    <s v="EMP0806"/>
    <d v="2024-08-16T00:00:00"/>
    <x v="1"/>
    <n v="26"/>
    <s v="Female"/>
    <s v="Married"/>
    <s v="Master's"/>
    <x v="6"/>
    <x v="22"/>
    <x v="0"/>
    <s v="Noida"/>
    <n v="40000"/>
    <n v="14.5"/>
    <n v="5.9"/>
    <n v="1.1000000000000001"/>
    <n v="0.9"/>
    <x v="2"/>
    <x v="2"/>
    <n v="3"/>
    <x v="0"/>
    <n v="5"/>
    <d v="2025-10-01T00:00:00"/>
    <x v="1"/>
    <x v="1"/>
    <x v="4"/>
    <n v="1"/>
  </r>
  <r>
    <s v="EMP0807"/>
    <d v="2020-09-26T00:00:00"/>
    <x v="0"/>
    <n v="35"/>
    <s v="Female"/>
    <s v="Single"/>
    <s v="PhD"/>
    <x v="1"/>
    <x v="27"/>
    <x v="1"/>
    <s v="Noida"/>
    <n v="53000"/>
    <n v="5.6"/>
    <n v="8.1"/>
    <n v="5.3"/>
    <n v="0.7"/>
    <x v="0"/>
    <x v="2"/>
    <n v="3"/>
    <x v="0"/>
    <n v="4"/>
    <m/>
    <x v="1"/>
    <x v="1"/>
    <x v="0"/>
    <n v="0"/>
  </r>
  <r>
    <s v="EMP0808"/>
    <d v="2020-06-22T00:00:00"/>
    <x v="0"/>
    <n v="38"/>
    <s v="Male"/>
    <s v="Single"/>
    <s v="Master's"/>
    <x v="2"/>
    <x v="20"/>
    <x v="1"/>
    <s v="Bengaluru"/>
    <n v="51000"/>
    <n v="7.3"/>
    <n v="12"/>
    <n v="5.5"/>
    <n v="0.5"/>
    <x v="3"/>
    <x v="1"/>
    <n v="4"/>
    <x v="1"/>
    <n v="4"/>
    <m/>
    <x v="0"/>
    <x v="1"/>
    <x v="0"/>
    <n v="0"/>
  </r>
  <r>
    <s v="EMP0809"/>
    <d v="2021-06-05T00:00:00"/>
    <x v="0"/>
    <n v="26"/>
    <s v="Male"/>
    <s v="Married"/>
    <s v="PhD"/>
    <x v="3"/>
    <x v="4"/>
    <x v="0"/>
    <s v="Mumbai"/>
    <n v="52000"/>
    <n v="3.9"/>
    <n v="11"/>
    <n v="4.5999999999999996"/>
    <n v="1.7"/>
    <x v="3"/>
    <x v="0"/>
    <n v="2"/>
    <x v="1"/>
    <n v="3"/>
    <m/>
    <x v="1"/>
    <x v="1"/>
    <x v="0"/>
    <n v="0"/>
  </r>
  <r>
    <s v="EMP0810"/>
    <d v="2014-08-20T00:00:00"/>
    <x v="0"/>
    <n v="40"/>
    <s v="Female"/>
    <s v="Single"/>
    <s v="Diploma"/>
    <x v="2"/>
    <x v="23"/>
    <x v="1"/>
    <s v="Noida"/>
    <n v="40000"/>
    <n v="9.6999999999999993"/>
    <n v="13.8"/>
    <n v="11.4"/>
    <n v="6"/>
    <x v="2"/>
    <x v="1"/>
    <n v="3"/>
    <x v="1"/>
    <n v="3"/>
    <m/>
    <x v="0"/>
    <x v="1"/>
    <x v="2"/>
    <n v="0"/>
  </r>
  <r>
    <s v="EMP0811"/>
    <d v="2015-10-15T00:00:00"/>
    <x v="0"/>
    <n v="33"/>
    <s v="Non-Binary"/>
    <s v="Divorced"/>
    <s v="Diploma"/>
    <x v="0"/>
    <x v="7"/>
    <x v="0"/>
    <s v="Hyderabad"/>
    <n v="57000"/>
    <n v="2.2999999999999998"/>
    <n v="11.3"/>
    <n v="10.199999999999999"/>
    <n v="2.8"/>
    <x v="1"/>
    <x v="3"/>
    <n v="3"/>
    <x v="0"/>
    <n v="3"/>
    <m/>
    <x v="1"/>
    <x v="1"/>
    <x v="2"/>
    <n v="0"/>
  </r>
  <r>
    <s v="EMP0812"/>
    <d v="2020-10-17T00:00:00"/>
    <x v="0"/>
    <n v="32"/>
    <s v="Male"/>
    <s v="Married"/>
    <s v="Master's"/>
    <x v="4"/>
    <x v="5"/>
    <x v="3"/>
    <s v="Hyderabad"/>
    <n v="113000"/>
    <n v="10.8"/>
    <n v="11.7"/>
    <n v="5.2"/>
    <n v="3.5"/>
    <x v="2"/>
    <x v="0"/>
    <n v="4"/>
    <x v="0"/>
    <n v="4"/>
    <m/>
    <x v="1"/>
    <x v="3"/>
    <x v="0"/>
    <n v="0"/>
  </r>
  <r>
    <s v="EMP0813"/>
    <d v="2022-08-07T00:00:00"/>
    <x v="0"/>
    <n v="35"/>
    <s v="Female"/>
    <s v="Divorced"/>
    <s v="Master's"/>
    <x v="3"/>
    <x v="4"/>
    <x v="3"/>
    <s v="Pune"/>
    <n v="98000"/>
    <n v="11.4"/>
    <n v="10.5"/>
    <n v="3.4"/>
    <n v="0.1"/>
    <x v="0"/>
    <x v="2"/>
    <n v="4"/>
    <x v="1"/>
    <n v="1"/>
    <m/>
    <x v="1"/>
    <x v="2"/>
    <x v="0"/>
    <n v="0"/>
  </r>
  <r>
    <s v="EMP0814"/>
    <d v="2023-02-04T00:00:00"/>
    <x v="0"/>
    <n v="37"/>
    <s v="Non-Binary"/>
    <s v="Single"/>
    <s v="Diploma"/>
    <x v="5"/>
    <x v="8"/>
    <x v="1"/>
    <s v="Mumbai"/>
    <n v="69000"/>
    <n v="10.5"/>
    <n v="6.6"/>
    <n v="2.9"/>
    <n v="1.2"/>
    <x v="1"/>
    <x v="2"/>
    <n v="3"/>
    <x v="1"/>
    <n v="4"/>
    <m/>
    <x v="0"/>
    <x v="4"/>
    <x v="4"/>
    <n v="0"/>
  </r>
  <r>
    <s v="EMP0815"/>
    <d v="2024-11-03T00:00:00"/>
    <x v="0"/>
    <n v="27"/>
    <s v="Male"/>
    <s v="Divorced"/>
    <s v="Master's"/>
    <x v="3"/>
    <x v="4"/>
    <x v="0"/>
    <s v="Pune"/>
    <n v="29000"/>
    <n v="13.7"/>
    <n v="6.9"/>
    <n v="1.2"/>
    <n v="0.6"/>
    <x v="2"/>
    <x v="2"/>
    <n v="4"/>
    <x v="1"/>
    <n v="3"/>
    <m/>
    <x v="1"/>
    <x v="0"/>
    <x v="4"/>
    <n v="0"/>
  </r>
  <r>
    <s v="EMP0816"/>
    <d v="2018-01-10T00:00:00"/>
    <x v="0"/>
    <n v="31"/>
    <s v="Non-Binary"/>
    <s v="Divorced"/>
    <s v="Diploma"/>
    <x v="1"/>
    <x v="10"/>
    <x v="2"/>
    <s v="Pune"/>
    <n v="90000"/>
    <n v="5.4"/>
    <n v="10"/>
    <n v="8"/>
    <n v="4.4000000000000004"/>
    <x v="2"/>
    <x v="0"/>
    <n v="3"/>
    <x v="1"/>
    <n v="3"/>
    <m/>
    <x v="1"/>
    <x v="2"/>
    <x v="1"/>
    <n v="0"/>
  </r>
  <r>
    <s v="EMP0817"/>
    <d v="2024-01-01T00:00:00"/>
    <x v="0"/>
    <n v="38"/>
    <s v="Non-Binary"/>
    <s v="Single"/>
    <s v="Master's"/>
    <x v="6"/>
    <x v="12"/>
    <x v="1"/>
    <s v="Pune"/>
    <n v="70000"/>
    <n v="5.5"/>
    <n v="8.4"/>
    <n v="2"/>
    <n v="1.3"/>
    <x v="0"/>
    <x v="2"/>
    <n v="4"/>
    <x v="1"/>
    <n v="1"/>
    <m/>
    <x v="0"/>
    <x v="4"/>
    <x v="4"/>
    <n v="0"/>
  </r>
  <r>
    <s v="EMP0818"/>
    <d v="2020-01-28T00:00:00"/>
    <x v="0"/>
    <n v="35"/>
    <s v="Female"/>
    <s v="Single"/>
    <s v="Diploma"/>
    <x v="3"/>
    <x v="4"/>
    <x v="0"/>
    <s v="Noida"/>
    <n v="41000"/>
    <n v="8.1"/>
    <n v="13.7"/>
    <n v="5.9"/>
    <n v="2.4"/>
    <x v="3"/>
    <x v="2"/>
    <n v="3"/>
    <x v="1"/>
    <n v="3"/>
    <m/>
    <x v="1"/>
    <x v="1"/>
    <x v="0"/>
    <n v="0"/>
  </r>
  <r>
    <s v="EMP0819"/>
    <d v="2015-04-05T00:00:00"/>
    <x v="0"/>
    <n v="39"/>
    <s v="Male"/>
    <s v="Married"/>
    <s v="PhD"/>
    <x v="2"/>
    <x v="2"/>
    <x v="1"/>
    <s v="Noida"/>
    <n v="58000"/>
    <n v="5.3"/>
    <n v="15.1"/>
    <n v="10.7"/>
    <n v="4"/>
    <x v="0"/>
    <x v="0"/>
    <n v="3"/>
    <x v="0"/>
    <n v="3"/>
    <m/>
    <x v="0"/>
    <x v="1"/>
    <x v="2"/>
    <n v="0"/>
  </r>
  <r>
    <s v="EMP0820"/>
    <d v="2014-04-17T00:00:00"/>
    <x v="0"/>
    <n v="41"/>
    <s v="Non-Binary"/>
    <s v="Single"/>
    <s v="PhD"/>
    <x v="5"/>
    <x v="13"/>
    <x v="0"/>
    <s v="Chennai"/>
    <n v="39000"/>
    <n v="9.3000000000000007"/>
    <n v="12.7"/>
    <n v="11.7"/>
    <n v="2.1"/>
    <x v="3"/>
    <x v="0"/>
    <n v="3"/>
    <x v="1"/>
    <n v="5"/>
    <m/>
    <x v="0"/>
    <x v="0"/>
    <x v="2"/>
    <n v="0"/>
  </r>
  <r>
    <s v="EMP0821"/>
    <d v="2020-01-27T00:00:00"/>
    <x v="0"/>
    <n v="27"/>
    <s v="Non-Binary"/>
    <s v="Married"/>
    <s v="Master's"/>
    <x v="1"/>
    <x v="27"/>
    <x v="0"/>
    <s v="Noida"/>
    <n v="39000"/>
    <n v="0.4"/>
    <n v="8.8000000000000007"/>
    <n v="5.9"/>
    <n v="3.5"/>
    <x v="1"/>
    <x v="1"/>
    <n v="4"/>
    <x v="0"/>
    <n v="4"/>
    <m/>
    <x v="1"/>
    <x v="0"/>
    <x v="0"/>
    <n v="0"/>
  </r>
  <r>
    <s v="EMP0822"/>
    <d v="2025-01-23T00:00:00"/>
    <x v="0"/>
    <n v="22"/>
    <s v="Non-Binary"/>
    <s v="Married"/>
    <s v="Master's"/>
    <x v="4"/>
    <x v="14"/>
    <x v="0"/>
    <s v="Hyderabad"/>
    <n v="46000"/>
    <n v="7.7"/>
    <n v="5.9"/>
    <n v="0.9"/>
    <n v="0"/>
    <x v="3"/>
    <x v="2"/>
    <n v="2"/>
    <x v="0"/>
    <n v="5"/>
    <m/>
    <x v="2"/>
    <x v="1"/>
    <x v="3"/>
    <n v="0"/>
  </r>
  <r>
    <s v="EMP0823"/>
    <d v="2017-11-11T00:00:00"/>
    <x v="0"/>
    <n v="29"/>
    <s v="Female"/>
    <s v="Single"/>
    <s v="Bachelor's"/>
    <x v="5"/>
    <x v="26"/>
    <x v="1"/>
    <s v="Bengaluru"/>
    <n v="57000"/>
    <n v="14.7"/>
    <n v="9.1999999999999993"/>
    <n v="8.1"/>
    <n v="5.6"/>
    <x v="0"/>
    <x v="3"/>
    <n v="2"/>
    <x v="1"/>
    <n v="4"/>
    <m/>
    <x v="1"/>
    <x v="1"/>
    <x v="1"/>
    <n v="0"/>
  </r>
  <r>
    <s v="EMP0824"/>
    <d v="2020-01-28T00:00:00"/>
    <x v="0"/>
    <n v="42"/>
    <s v="Male"/>
    <s v="Married"/>
    <s v="Bachelor's"/>
    <x v="2"/>
    <x v="17"/>
    <x v="1"/>
    <s v="Pune"/>
    <n v="55000"/>
    <n v="4.2"/>
    <n v="13.8"/>
    <n v="5.9"/>
    <n v="2.2999999999999998"/>
    <x v="0"/>
    <x v="1"/>
    <n v="3"/>
    <x v="0"/>
    <n v="4"/>
    <m/>
    <x v="0"/>
    <x v="1"/>
    <x v="0"/>
    <n v="0"/>
  </r>
  <r>
    <s v="EMP0825"/>
    <d v="2024-04-03T00:00:00"/>
    <x v="1"/>
    <n v="45"/>
    <s v="Non-Binary"/>
    <s v="Single"/>
    <s v="PhD"/>
    <x v="6"/>
    <x v="22"/>
    <x v="3"/>
    <s v="Pune"/>
    <n v="102000"/>
    <n v="4.4000000000000004"/>
    <n v="2.5"/>
    <n v="1.4"/>
    <n v="0.4"/>
    <x v="0"/>
    <x v="0"/>
    <n v="3"/>
    <x v="1"/>
    <n v="4"/>
    <d v="2025-08-16T00:00:00"/>
    <x v="0"/>
    <x v="3"/>
    <x v="4"/>
    <n v="1"/>
  </r>
  <r>
    <s v="EMP0826"/>
    <d v="2024-03-28T00:00:00"/>
    <x v="1"/>
    <n v="35"/>
    <s v="Non-Binary"/>
    <s v="Married"/>
    <s v="PhD"/>
    <x v="0"/>
    <x v="16"/>
    <x v="1"/>
    <s v="Chennai"/>
    <n v="41000"/>
    <n v="9.9"/>
    <n v="8.1999999999999993"/>
    <n v="1.2"/>
    <n v="1.1000000000000001"/>
    <x v="2"/>
    <x v="3"/>
    <n v="4"/>
    <x v="1"/>
    <n v="3"/>
    <d v="2025-06-24T00:00:00"/>
    <x v="1"/>
    <x v="1"/>
    <x v="4"/>
    <n v="1"/>
  </r>
  <r>
    <s v="EMP0827"/>
    <d v="2023-01-27T00:00:00"/>
    <x v="0"/>
    <n v="41"/>
    <s v="Female"/>
    <s v="Married"/>
    <s v="Bachelor's"/>
    <x v="1"/>
    <x v="1"/>
    <x v="2"/>
    <s v="Noida"/>
    <n v="99000"/>
    <n v="11.1"/>
    <n v="7.7"/>
    <n v="2.9"/>
    <n v="1.1000000000000001"/>
    <x v="0"/>
    <x v="2"/>
    <n v="3"/>
    <x v="0"/>
    <n v="4"/>
    <m/>
    <x v="0"/>
    <x v="2"/>
    <x v="4"/>
    <n v="0"/>
  </r>
  <r>
    <s v="EMP0828"/>
    <d v="2017-02-17T00:00:00"/>
    <x v="0"/>
    <n v="45"/>
    <s v="Female"/>
    <s v="Single"/>
    <s v="PhD"/>
    <x v="5"/>
    <x v="18"/>
    <x v="3"/>
    <s v="Pune"/>
    <n v="124000"/>
    <n v="4.3"/>
    <n v="14.2"/>
    <n v="8.9"/>
    <n v="1.5"/>
    <x v="2"/>
    <x v="0"/>
    <n v="1"/>
    <x v="1"/>
    <n v="4"/>
    <m/>
    <x v="0"/>
    <x v="3"/>
    <x v="1"/>
    <n v="0"/>
  </r>
  <r>
    <s v="EMP0829"/>
    <d v="2024-06-26T00:00:00"/>
    <x v="0"/>
    <n v="48"/>
    <s v="Non-Binary"/>
    <s v="Single"/>
    <s v="Bachelor's"/>
    <x v="4"/>
    <x v="5"/>
    <x v="2"/>
    <s v="Chennai"/>
    <n v="64000"/>
    <n v="7.6"/>
    <n v="8.1999999999999993"/>
    <n v="1.5"/>
    <n v="0.6"/>
    <x v="2"/>
    <x v="0"/>
    <n v="4"/>
    <x v="1"/>
    <n v="3"/>
    <m/>
    <x v="3"/>
    <x v="4"/>
    <x v="4"/>
    <n v="0"/>
  </r>
  <r>
    <s v="EMP0830"/>
    <d v="2022-11-28T00:00:00"/>
    <x v="0"/>
    <n v="33"/>
    <s v="Female"/>
    <s v="Divorced"/>
    <s v="Bachelor's"/>
    <x v="5"/>
    <x v="8"/>
    <x v="4"/>
    <s v="Mumbai"/>
    <n v="164000"/>
    <n v="13.5"/>
    <n v="9.6"/>
    <n v="3.1"/>
    <n v="2.2000000000000002"/>
    <x v="2"/>
    <x v="3"/>
    <n v="3"/>
    <x v="1"/>
    <n v="3"/>
    <m/>
    <x v="1"/>
    <x v="3"/>
    <x v="0"/>
    <n v="0"/>
  </r>
  <r>
    <s v="EMP0831"/>
    <d v="2025-05-26T00:00:00"/>
    <x v="0"/>
    <n v="34"/>
    <s v="Female"/>
    <s v="Married"/>
    <s v="Diploma"/>
    <x v="2"/>
    <x v="17"/>
    <x v="2"/>
    <s v="Hyderabad"/>
    <n v="67000"/>
    <n v="2.8"/>
    <n v="1.4"/>
    <n v="0.6"/>
    <n v="0"/>
    <x v="1"/>
    <x v="2"/>
    <n v="3"/>
    <x v="1"/>
    <n v="4"/>
    <m/>
    <x v="1"/>
    <x v="4"/>
    <x v="3"/>
    <n v="0"/>
  </r>
  <r>
    <s v="EMP0832"/>
    <d v="2025-02-21T00:00:00"/>
    <x v="0"/>
    <n v="41"/>
    <s v="Female"/>
    <s v="Married"/>
    <s v="Master's"/>
    <x v="1"/>
    <x v="9"/>
    <x v="1"/>
    <s v="Mumbai"/>
    <n v="66000"/>
    <n v="9"/>
    <n v="7.2"/>
    <n v="0.9"/>
    <n v="0"/>
    <x v="0"/>
    <x v="2"/>
    <n v="3"/>
    <x v="1"/>
    <n v="3"/>
    <m/>
    <x v="0"/>
    <x v="4"/>
    <x v="3"/>
    <n v="0"/>
  </r>
  <r>
    <s v="EMP0833"/>
    <d v="2024-02-18T00:00:00"/>
    <x v="0"/>
    <n v="25"/>
    <s v="Female"/>
    <s v="Divorced"/>
    <s v="PhD"/>
    <x v="2"/>
    <x v="23"/>
    <x v="0"/>
    <s v="Noida"/>
    <n v="40000"/>
    <n v="12.7"/>
    <n v="3.7"/>
    <n v="1.9"/>
    <n v="1.6"/>
    <x v="0"/>
    <x v="1"/>
    <n v="3"/>
    <x v="1"/>
    <n v="4"/>
    <m/>
    <x v="2"/>
    <x v="1"/>
    <x v="4"/>
    <n v="0"/>
  </r>
  <r>
    <s v="EMP0834"/>
    <d v="2015-09-08T00:00:00"/>
    <x v="0"/>
    <n v="44"/>
    <s v="Female"/>
    <s v="Divorced"/>
    <s v="Diploma"/>
    <x v="1"/>
    <x v="1"/>
    <x v="1"/>
    <s v="Chennai"/>
    <n v="67000"/>
    <n v="14.6"/>
    <n v="13.2"/>
    <n v="10.3"/>
    <n v="1"/>
    <x v="2"/>
    <x v="1"/>
    <n v="1"/>
    <x v="1"/>
    <n v="3"/>
    <m/>
    <x v="0"/>
    <x v="4"/>
    <x v="2"/>
    <n v="0"/>
  </r>
  <r>
    <s v="EMP0835"/>
    <d v="2024-08-16T00:00:00"/>
    <x v="1"/>
    <n v="23"/>
    <s v="Female"/>
    <s v="Married"/>
    <s v="Master's"/>
    <x v="4"/>
    <x v="14"/>
    <x v="0"/>
    <s v="Mumbai"/>
    <n v="31000"/>
    <n v="11"/>
    <n v="8.5"/>
    <n v="1.2"/>
    <n v="0.8"/>
    <x v="3"/>
    <x v="2"/>
    <n v="2"/>
    <x v="1"/>
    <n v="3"/>
    <d v="2025-11-03T00:00:00"/>
    <x v="2"/>
    <x v="0"/>
    <x v="4"/>
    <n v="1"/>
  </r>
  <r>
    <s v="EMP0836"/>
    <d v="2014-05-06T00:00:00"/>
    <x v="0"/>
    <n v="38"/>
    <s v="Non-Binary"/>
    <s v="Single"/>
    <s v="Master's"/>
    <x v="5"/>
    <x v="18"/>
    <x v="2"/>
    <s v="Pune"/>
    <n v="84000"/>
    <n v="4.9000000000000004"/>
    <n v="13.6"/>
    <n v="11.7"/>
    <n v="0.9"/>
    <x v="3"/>
    <x v="2"/>
    <n v="1"/>
    <x v="1"/>
    <n v="3"/>
    <m/>
    <x v="0"/>
    <x v="2"/>
    <x v="2"/>
    <n v="0"/>
  </r>
  <r>
    <s v="EMP0837"/>
    <d v="2024-11-14T00:00:00"/>
    <x v="0"/>
    <n v="26"/>
    <s v="Male"/>
    <s v="Divorced"/>
    <s v="PhD"/>
    <x v="3"/>
    <x v="11"/>
    <x v="0"/>
    <s v="Noida"/>
    <n v="50000"/>
    <n v="7.9"/>
    <n v="5"/>
    <n v="1.1000000000000001"/>
    <n v="0.5"/>
    <x v="0"/>
    <x v="0"/>
    <n v="4"/>
    <x v="1"/>
    <n v="3"/>
    <m/>
    <x v="1"/>
    <x v="1"/>
    <x v="4"/>
    <n v="0"/>
  </r>
  <r>
    <s v="EMP0838"/>
    <d v="2017-06-07T00:00:00"/>
    <x v="0"/>
    <n v="38"/>
    <s v="Non-Binary"/>
    <s v="Single"/>
    <s v="Diploma"/>
    <x v="4"/>
    <x v="5"/>
    <x v="2"/>
    <s v="Noida"/>
    <n v="72000"/>
    <n v="6.9"/>
    <n v="11.5"/>
    <n v="8.6"/>
    <n v="5.4"/>
    <x v="0"/>
    <x v="2"/>
    <n v="3"/>
    <x v="1"/>
    <n v="3"/>
    <m/>
    <x v="0"/>
    <x v="4"/>
    <x v="1"/>
    <n v="0"/>
  </r>
  <r>
    <s v="EMP0839"/>
    <d v="2014-12-19T00:00:00"/>
    <x v="0"/>
    <n v="36"/>
    <s v="Non-Binary"/>
    <s v="Single"/>
    <s v="PhD"/>
    <x v="1"/>
    <x v="27"/>
    <x v="0"/>
    <s v="Hyderabad"/>
    <n v="40000"/>
    <n v="6.6"/>
    <n v="11.9"/>
    <n v="11"/>
    <n v="5"/>
    <x v="2"/>
    <x v="1"/>
    <n v="3"/>
    <x v="1"/>
    <n v="4"/>
    <m/>
    <x v="0"/>
    <x v="1"/>
    <x v="2"/>
    <n v="0"/>
  </r>
  <r>
    <s v="EMP0840"/>
    <d v="2020-07-30T00:00:00"/>
    <x v="0"/>
    <n v="34"/>
    <s v="Non-Binary"/>
    <s v="Single"/>
    <s v="Bachelor's"/>
    <x v="4"/>
    <x v="25"/>
    <x v="2"/>
    <s v="Noida"/>
    <n v="54000"/>
    <n v="10.8"/>
    <n v="5.6"/>
    <n v="5.4"/>
    <n v="2.4"/>
    <x v="1"/>
    <x v="0"/>
    <n v="4"/>
    <x v="1"/>
    <n v="3"/>
    <m/>
    <x v="1"/>
    <x v="1"/>
    <x v="0"/>
    <n v="0"/>
  </r>
  <r>
    <s v="EMP0841"/>
    <d v="2021-03-19T00:00:00"/>
    <x v="0"/>
    <n v="25"/>
    <s v="Female"/>
    <s v="Single"/>
    <s v="PhD"/>
    <x v="6"/>
    <x v="19"/>
    <x v="0"/>
    <s v="Hyderabad"/>
    <n v="22000"/>
    <n v="1.8"/>
    <n v="5"/>
    <n v="4.8"/>
    <n v="2.9"/>
    <x v="2"/>
    <x v="0"/>
    <n v="4"/>
    <x v="0"/>
    <n v="2"/>
    <m/>
    <x v="2"/>
    <x v="0"/>
    <x v="0"/>
    <n v="0"/>
  </r>
  <r>
    <s v="EMP0842"/>
    <d v="2021-04-24T00:00:00"/>
    <x v="0"/>
    <n v="28"/>
    <s v="Non-Binary"/>
    <s v="Married"/>
    <s v="Bachelor's"/>
    <x v="4"/>
    <x v="24"/>
    <x v="1"/>
    <s v="Bengaluru"/>
    <n v="68000"/>
    <n v="6.9"/>
    <n v="9"/>
    <n v="4.7"/>
    <n v="3.2"/>
    <x v="0"/>
    <x v="0"/>
    <n v="1"/>
    <x v="1"/>
    <n v="4"/>
    <m/>
    <x v="1"/>
    <x v="4"/>
    <x v="0"/>
    <n v="0"/>
  </r>
  <r>
    <s v="EMP0843"/>
    <d v="2017-02-26T00:00:00"/>
    <x v="0"/>
    <n v="36"/>
    <s v="Male"/>
    <s v="Married"/>
    <s v="Bachelor's"/>
    <x v="4"/>
    <x v="25"/>
    <x v="2"/>
    <s v="Bengaluru"/>
    <n v="75000"/>
    <n v="8.6999999999999993"/>
    <n v="14.9"/>
    <n v="8.8000000000000007"/>
    <n v="1.1000000000000001"/>
    <x v="3"/>
    <x v="1"/>
    <n v="3"/>
    <x v="1"/>
    <n v="3"/>
    <m/>
    <x v="0"/>
    <x v="4"/>
    <x v="1"/>
    <n v="0"/>
  </r>
  <r>
    <s v="EMP0844"/>
    <d v="2021-03-29T00:00:00"/>
    <x v="0"/>
    <n v="43"/>
    <s v="Female"/>
    <s v="Married"/>
    <s v="Master's"/>
    <x v="3"/>
    <x v="6"/>
    <x v="3"/>
    <s v="Pune"/>
    <n v="131000"/>
    <n v="2.2999999999999998"/>
    <n v="7.2"/>
    <n v="4.8"/>
    <n v="0.9"/>
    <x v="0"/>
    <x v="0"/>
    <n v="2"/>
    <x v="1"/>
    <n v="2"/>
    <m/>
    <x v="0"/>
    <x v="3"/>
    <x v="0"/>
    <n v="0"/>
  </r>
  <r>
    <s v="EMP0845"/>
    <d v="2017-08-28T00:00:00"/>
    <x v="0"/>
    <n v="31"/>
    <s v="Non-Binary"/>
    <s v="Single"/>
    <s v="Bachelor's"/>
    <x v="6"/>
    <x v="19"/>
    <x v="1"/>
    <s v="Hyderabad"/>
    <n v="44000"/>
    <n v="11"/>
    <n v="16.2"/>
    <n v="8.3000000000000007"/>
    <n v="0.4"/>
    <x v="1"/>
    <x v="0"/>
    <n v="2"/>
    <x v="1"/>
    <n v="5"/>
    <m/>
    <x v="1"/>
    <x v="1"/>
    <x v="1"/>
    <n v="0"/>
  </r>
  <r>
    <s v="EMP0846"/>
    <d v="2015-02-10T00:00:00"/>
    <x v="0"/>
    <n v="48"/>
    <s v="Non-Binary"/>
    <s v="Single"/>
    <s v="Diploma"/>
    <x v="3"/>
    <x v="4"/>
    <x v="0"/>
    <s v="Chennai"/>
    <n v="46000"/>
    <n v="9.9"/>
    <n v="12.4"/>
    <n v="10.9"/>
    <n v="3.7"/>
    <x v="0"/>
    <x v="1"/>
    <n v="2"/>
    <x v="1"/>
    <n v="3"/>
    <m/>
    <x v="3"/>
    <x v="1"/>
    <x v="2"/>
    <n v="0"/>
  </r>
  <r>
    <s v="EMP0847"/>
    <d v="2015-05-30T00:00:00"/>
    <x v="0"/>
    <n v="41"/>
    <s v="Female"/>
    <s v="Married"/>
    <s v="Bachelor's"/>
    <x v="1"/>
    <x v="1"/>
    <x v="2"/>
    <s v="Hyderabad"/>
    <n v="85000"/>
    <n v="5.7"/>
    <n v="10.8"/>
    <n v="10.6"/>
    <n v="0.2"/>
    <x v="3"/>
    <x v="0"/>
    <n v="4"/>
    <x v="0"/>
    <n v="5"/>
    <m/>
    <x v="0"/>
    <x v="2"/>
    <x v="2"/>
    <n v="0"/>
  </r>
  <r>
    <s v="EMP0848"/>
    <d v="2023-09-29T00:00:00"/>
    <x v="1"/>
    <n v="39"/>
    <s v="Female"/>
    <s v="Single"/>
    <s v="Bachelor's"/>
    <x v="0"/>
    <x v="3"/>
    <x v="2"/>
    <s v="Hyderabad"/>
    <n v="73000"/>
    <n v="2.7"/>
    <n v="9.5"/>
    <n v="2.1"/>
    <n v="2"/>
    <x v="3"/>
    <x v="2"/>
    <n v="3"/>
    <x v="0"/>
    <n v="3"/>
    <d v="2025-11-10T00:00:00"/>
    <x v="0"/>
    <x v="4"/>
    <x v="4"/>
    <n v="1"/>
  </r>
  <r>
    <s v="EMP0849"/>
    <d v="2014-06-19T00:00:00"/>
    <x v="1"/>
    <n v="32"/>
    <s v="Non-Binary"/>
    <s v="Single"/>
    <s v="Bachelor's"/>
    <x v="1"/>
    <x v="9"/>
    <x v="1"/>
    <s v="Noida"/>
    <n v="61000"/>
    <n v="16.899999999999999"/>
    <n v="18"/>
    <n v="10.6"/>
    <n v="5.5"/>
    <x v="0"/>
    <x v="2"/>
    <n v="4"/>
    <x v="1"/>
    <n v="4"/>
    <d v="2025-01-31T00:00:00"/>
    <x v="1"/>
    <x v="4"/>
    <x v="2"/>
    <n v="1"/>
  </r>
  <r>
    <s v="EMP0850"/>
    <d v="2019-02-11T00:00:00"/>
    <x v="0"/>
    <n v="37"/>
    <s v="Non-Binary"/>
    <s v="Married"/>
    <s v="PhD"/>
    <x v="0"/>
    <x v="7"/>
    <x v="3"/>
    <s v="Mumbai"/>
    <n v="117000"/>
    <n v="18.100000000000001"/>
    <n v="12"/>
    <n v="6.9"/>
    <n v="1.7"/>
    <x v="2"/>
    <x v="1"/>
    <n v="4"/>
    <x v="1"/>
    <n v="3"/>
    <m/>
    <x v="0"/>
    <x v="3"/>
    <x v="1"/>
    <n v="0"/>
  </r>
  <r>
    <s v="EMP0851"/>
    <d v="2019-12-15T00:00:00"/>
    <x v="0"/>
    <n v="36"/>
    <s v="Male"/>
    <s v="Single"/>
    <s v="Bachelor's"/>
    <x v="3"/>
    <x v="15"/>
    <x v="2"/>
    <s v="Hyderabad"/>
    <n v="85000"/>
    <n v="9.8000000000000007"/>
    <n v="10"/>
    <n v="6"/>
    <n v="4.7"/>
    <x v="2"/>
    <x v="0"/>
    <n v="3"/>
    <x v="1"/>
    <n v="2"/>
    <m/>
    <x v="0"/>
    <x v="2"/>
    <x v="0"/>
    <n v="0"/>
  </r>
  <r>
    <s v="EMP0852"/>
    <d v="2017-01-19T00:00:00"/>
    <x v="0"/>
    <n v="36"/>
    <s v="Non-Binary"/>
    <s v="Divorced"/>
    <s v="Master's"/>
    <x v="4"/>
    <x v="14"/>
    <x v="2"/>
    <s v="Chennai"/>
    <n v="51000"/>
    <n v="11.7"/>
    <n v="10.5"/>
    <n v="8.9"/>
    <n v="5.8"/>
    <x v="1"/>
    <x v="3"/>
    <n v="4"/>
    <x v="1"/>
    <n v="5"/>
    <m/>
    <x v="0"/>
    <x v="1"/>
    <x v="1"/>
    <n v="0"/>
  </r>
  <r>
    <s v="EMP0853"/>
    <d v="2024-08-23T00:00:00"/>
    <x v="0"/>
    <n v="31"/>
    <s v="Female"/>
    <s v="Single"/>
    <s v="Bachelor's"/>
    <x v="6"/>
    <x v="19"/>
    <x v="3"/>
    <s v="Hyderabad"/>
    <n v="129000"/>
    <n v="6.3"/>
    <n v="1.9"/>
    <n v="1.4"/>
    <n v="0.3"/>
    <x v="0"/>
    <x v="1"/>
    <n v="3"/>
    <x v="1"/>
    <n v="1"/>
    <m/>
    <x v="1"/>
    <x v="3"/>
    <x v="4"/>
    <n v="0"/>
  </r>
  <r>
    <s v="EMP0854"/>
    <d v="2014-12-29T00:00:00"/>
    <x v="0"/>
    <n v="47"/>
    <s v="Non-Binary"/>
    <s v="Divorced"/>
    <s v="Diploma"/>
    <x v="5"/>
    <x v="13"/>
    <x v="2"/>
    <s v="Mumbai"/>
    <n v="79000"/>
    <n v="6.8"/>
    <n v="12.8"/>
    <n v="11"/>
    <n v="5.5"/>
    <x v="3"/>
    <x v="0"/>
    <n v="2"/>
    <x v="1"/>
    <n v="4"/>
    <m/>
    <x v="3"/>
    <x v="4"/>
    <x v="2"/>
    <n v="0"/>
  </r>
  <r>
    <s v="EMP0855"/>
    <d v="2015-06-03T00:00:00"/>
    <x v="0"/>
    <n v="39"/>
    <s v="Female"/>
    <s v="Married"/>
    <s v="Bachelor's"/>
    <x v="0"/>
    <x v="7"/>
    <x v="1"/>
    <s v="Noida"/>
    <n v="51000"/>
    <n v="3.8"/>
    <n v="13.9"/>
    <n v="10.6"/>
    <n v="2.5"/>
    <x v="2"/>
    <x v="0"/>
    <n v="4"/>
    <x v="1"/>
    <n v="4"/>
    <m/>
    <x v="0"/>
    <x v="1"/>
    <x v="2"/>
    <n v="0"/>
  </r>
  <r>
    <s v="EMP0856"/>
    <d v="2019-01-10T00:00:00"/>
    <x v="1"/>
    <n v="29"/>
    <s v="Non-Binary"/>
    <s v="Married"/>
    <s v="PhD"/>
    <x v="0"/>
    <x v="16"/>
    <x v="0"/>
    <s v="Hyderabad"/>
    <n v="31000"/>
    <n v="10.7"/>
    <n v="7.1"/>
    <n v="6.1"/>
    <n v="5.4"/>
    <x v="2"/>
    <x v="0"/>
    <n v="2"/>
    <x v="0"/>
    <n v="3"/>
    <d v="2025-02-28T00:00:00"/>
    <x v="1"/>
    <x v="0"/>
    <x v="1"/>
    <n v="1"/>
  </r>
  <r>
    <s v="EMP0857"/>
    <d v="2025-07-02T00:00:00"/>
    <x v="1"/>
    <n v="21"/>
    <s v="Non-Binary"/>
    <s v="Single"/>
    <s v="PhD"/>
    <x v="4"/>
    <x v="24"/>
    <x v="0"/>
    <s v="Mumbai"/>
    <n v="42000"/>
    <n v="10"/>
    <n v="7.5"/>
    <n v="0.5"/>
    <n v="0"/>
    <x v="3"/>
    <x v="1"/>
    <n v="4"/>
    <x v="1"/>
    <n v="3"/>
    <d v="2025-12-14T00:00:00"/>
    <x v="2"/>
    <x v="1"/>
    <x v="3"/>
    <n v="1"/>
  </r>
  <r>
    <s v="EMP0858"/>
    <d v="2015-12-15T00:00:00"/>
    <x v="0"/>
    <n v="36"/>
    <s v="Male"/>
    <s v="Divorced"/>
    <s v="Master's"/>
    <x v="5"/>
    <x v="8"/>
    <x v="1"/>
    <s v="Pune"/>
    <n v="69000"/>
    <n v="10.9"/>
    <n v="12"/>
    <n v="10"/>
    <n v="3.7"/>
    <x v="0"/>
    <x v="0"/>
    <n v="2"/>
    <x v="0"/>
    <n v="4"/>
    <m/>
    <x v="0"/>
    <x v="4"/>
    <x v="1"/>
    <n v="0"/>
  </r>
  <r>
    <s v="EMP0859"/>
    <d v="2025-07-14T00:00:00"/>
    <x v="0"/>
    <n v="37"/>
    <s v="Female"/>
    <s v="Divorced"/>
    <s v="Bachelor's"/>
    <x v="0"/>
    <x v="7"/>
    <x v="0"/>
    <s v="Pune"/>
    <n v="31000"/>
    <n v="18.100000000000001"/>
    <n v="1.9"/>
    <n v="0.5"/>
    <n v="0"/>
    <x v="0"/>
    <x v="2"/>
    <n v="1"/>
    <x v="0"/>
    <n v="3"/>
    <m/>
    <x v="0"/>
    <x v="0"/>
    <x v="3"/>
    <n v="0"/>
  </r>
  <r>
    <s v="EMP0860"/>
    <d v="2017-04-06T00:00:00"/>
    <x v="0"/>
    <n v="37"/>
    <s v="Male"/>
    <s v="Divorced"/>
    <s v="Bachelor's"/>
    <x v="1"/>
    <x v="27"/>
    <x v="1"/>
    <s v="Mumbai"/>
    <n v="50000"/>
    <n v="3.8"/>
    <n v="13.5"/>
    <n v="8.6999999999999993"/>
    <n v="1.7"/>
    <x v="2"/>
    <x v="1"/>
    <n v="3"/>
    <x v="0"/>
    <n v="3"/>
    <m/>
    <x v="0"/>
    <x v="1"/>
    <x v="1"/>
    <n v="0"/>
  </r>
  <r>
    <s v="EMP0861"/>
    <d v="2023-09-18T00:00:00"/>
    <x v="0"/>
    <n v="34"/>
    <s v="Non-Binary"/>
    <s v="Single"/>
    <s v="Master's"/>
    <x v="4"/>
    <x v="25"/>
    <x v="2"/>
    <s v="Noida"/>
    <n v="68000"/>
    <n v="9.6"/>
    <n v="3.1"/>
    <n v="2.2999999999999998"/>
    <n v="0.5"/>
    <x v="2"/>
    <x v="0"/>
    <n v="3"/>
    <x v="1"/>
    <n v="4"/>
    <m/>
    <x v="1"/>
    <x v="4"/>
    <x v="4"/>
    <n v="0"/>
  </r>
  <r>
    <s v="EMP0862"/>
    <d v="2016-01-23T00:00:00"/>
    <x v="0"/>
    <n v="38"/>
    <s v="Female"/>
    <s v="Married"/>
    <s v="PhD"/>
    <x v="5"/>
    <x v="8"/>
    <x v="0"/>
    <s v="Mumbai"/>
    <n v="28000"/>
    <n v="8.6"/>
    <n v="15.4"/>
    <n v="9.9"/>
    <n v="2.2999999999999998"/>
    <x v="2"/>
    <x v="2"/>
    <n v="2"/>
    <x v="1"/>
    <n v="3"/>
    <m/>
    <x v="0"/>
    <x v="0"/>
    <x v="1"/>
    <n v="0"/>
  </r>
  <r>
    <s v="EMP0863"/>
    <d v="2022-03-17T00:00:00"/>
    <x v="0"/>
    <n v="30"/>
    <s v="Female"/>
    <s v="Single"/>
    <s v="Bachelor's"/>
    <x v="1"/>
    <x v="1"/>
    <x v="2"/>
    <s v="Mumbai"/>
    <n v="86000"/>
    <n v="7.1"/>
    <n v="11.5"/>
    <n v="3.8"/>
    <n v="3.8"/>
    <x v="2"/>
    <x v="2"/>
    <n v="3"/>
    <x v="0"/>
    <n v="1"/>
    <m/>
    <x v="1"/>
    <x v="2"/>
    <x v="0"/>
    <n v="0"/>
  </r>
  <r>
    <s v="EMP0864"/>
    <d v="2024-03-28T00:00:00"/>
    <x v="0"/>
    <n v="32"/>
    <s v="Female"/>
    <s v="Married"/>
    <s v="PhD"/>
    <x v="3"/>
    <x v="11"/>
    <x v="4"/>
    <s v="Pune"/>
    <n v="155000"/>
    <n v="0"/>
    <n v="8.8000000000000007"/>
    <n v="1.8"/>
    <n v="0.8"/>
    <x v="3"/>
    <x v="0"/>
    <n v="4"/>
    <x v="1"/>
    <n v="3"/>
    <m/>
    <x v="1"/>
    <x v="3"/>
    <x v="4"/>
    <n v="0"/>
  </r>
  <r>
    <s v="EMP0865"/>
    <d v="2017-05-13T00:00:00"/>
    <x v="0"/>
    <n v="41"/>
    <s v="Female"/>
    <s v="Divorced"/>
    <s v="Diploma"/>
    <x v="0"/>
    <x v="3"/>
    <x v="1"/>
    <s v="Pune"/>
    <n v="46000"/>
    <n v="9.1"/>
    <n v="14.9"/>
    <n v="8.6"/>
    <n v="2.2000000000000002"/>
    <x v="0"/>
    <x v="0"/>
    <n v="4"/>
    <x v="1"/>
    <n v="4"/>
    <m/>
    <x v="0"/>
    <x v="1"/>
    <x v="1"/>
    <n v="0"/>
  </r>
  <r>
    <s v="EMP0866"/>
    <d v="2019-05-08T00:00:00"/>
    <x v="0"/>
    <n v="45"/>
    <s v="Non-Binary"/>
    <s v="Married"/>
    <s v="PhD"/>
    <x v="3"/>
    <x v="11"/>
    <x v="2"/>
    <s v="Pune"/>
    <n v="97000"/>
    <n v="9.6"/>
    <n v="13.6"/>
    <n v="6.7"/>
    <n v="2.5"/>
    <x v="0"/>
    <x v="1"/>
    <n v="3"/>
    <x v="1"/>
    <n v="5"/>
    <m/>
    <x v="0"/>
    <x v="2"/>
    <x v="1"/>
    <n v="0"/>
  </r>
  <r>
    <s v="EMP0867"/>
    <d v="2021-03-09T00:00:00"/>
    <x v="0"/>
    <n v="34"/>
    <s v="Female"/>
    <s v="Married"/>
    <s v="PhD"/>
    <x v="3"/>
    <x v="15"/>
    <x v="2"/>
    <s v="Pune"/>
    <n v="68000"/>
    <n v="7.4"/>
    <n v="9.3000000000000007"/>
    <n v="4.8"/>
    <n v="0.7"/>
    <x v="2"/>
    <x v="0"/>
    <n v="4"/>
    <x v="1"/>
    <n v="3"/>
    <m/>
    <x v="1"/>
    <x v="4"/>
    <x v="0"/>
    <n v="0"/>
  </r>
  <r>
    <s v="EMP0868"/>
    <d v="2020-12-24T00:00:00"/>
    <x v="0"/>
    <n v="30"/>
    <s v="Male"/>
    <s v="Married"/>
    <s v="Bachelor's"/>
    <x v="2"/>
    <x v="20"/>
    <x v="2"/>
    <s v="Hyderabad"/>
    <n v="73000"/>
    <n v="8.6"/>
    <n v="10"/>
    <n v="5"/>
    <n v="0.2"/>
    <x v="0"/>
    <x v="1"/>
    <n v="2"/>
    <x v="1"/>
    <n v="1"/>
    <m/>
    <x v="1"/>
    <x v="4"/>
    <x v="0"/>
    <n v="0"/>
  </r>
  <r>
    <s v="EMP0869"/>
    <d v="2014-06-29T00:00:00"/>
    <x v="0"/>
    <n v="33"/>
    <s v="Female"/>
    <s v="Single"/>
    <s v="Master's"/>
    <x v="6"/>
    <x v="22"/>
    <x v="2"/>
    <s v="Pune"/>
    <n v="67000"/>
    <n v="6.1"/>
    <n v="14"/>
    <n v="11.5"/>
    <n v="5.4"/>
    <x v="1"/>
    <x v="0"/>
    <n v="3"/>
    <x v="1"/>
    <n v="3"/>
    <m/>
    <x v="1"/>
    <x v="4"/>
    <x v="2"/>
    <n v="0"/>
  </r>
  <r>
    <s v="EMP0870"/>
    <d v="2015-01-19T00:00:00"/>
    <x v="0"/>
    <n v="40"/>
    <s v="Male"/>
    <s v="Married"/>
    <s v="Bachelor's"/>
    <x v="1"/>
    <x v="1"/>
    <x v="1"/>
    <s v="Bengaluru"/>
    <n v="43000"/>
    <n v="13.6"/>
    <n v="16.5"/>
    <n v="10.9"/>
    <n v="1.7"/>
    <x v="2"/>
    <x v="2"/>
    <n v="2"/>
    <x v="1"/>
    <n v="2"/>
    <m/>
    <x v="0"/>
    <x v="1"/>
    <x v="2"/>
    <n v="0"/>
  </r>
  <r>
    <s v="EMP0871"/>
    <d v="2020-08-06T00:00:00"/>
    <x v="0"/>
    <n v="31"/>
    <s v="Female"/>
    <s v="Divorced"/>
    <s v="Diploma"/>
    <x v="1"/>
    <x v="1"/>
    <x v="2"/>
    <s v="Hyderabad"/>
    <n v="66000"/>
    <n v="7.6"/>
    <n v="8.3000000000000007"/>
    <n v="5.4"/>
    <n v="2.4"/>
    <x v="2"/>
    <x v="0"/>
    <n v="3"/>
    <x v="1"/>
    <n v="1"/>
    <m/>
    <x v="1"/>
    <x v="4"/>
    <x v="0"/>
    <n v="0"/>
  </r>
  <r>
    <s v="EMP0872"/>
    <d v="2025-04-23T00:00:00"/>
    <x v="0"/>
    <n v="26"/>
    <s v="Female"/>
    <s v="Married"/>
    <s v="Bachelor's"/>
    <x v="5"/>
    <x v="18"/>
    <x v="0"/>
    <s v="Hyderabad"/>
    <n v="33000"/>
    <n v="15.1"/>
    <n v="1.9"/>
    <n v="0.7"/>
    <n v="0"/>
    <x v="2"/>
    <x v="2"/>
    <n v="3"/>
    <x v="0"/>
    <n v="5"/>
    <m/>
    <x v="1"/>
    <x v="0"/>
    <x v="3"/>
    <n v="0"/>
  </r>
  <r>
    <s v="EMP0873"/>
    <d v="2025-08-05T00:00:00"/>
    <x v="1"/>
    <n v="27"/>
    <s v="Male"/>
    <s v="Single"/>
    <s v="Master's"/>
    <x v="4"/>
    <x v="5"/>
    <x v="0"/>
    <s v="Noida"/>
    <n v="22000"/>
    <n v="7.7"/>
    <n v="1.8"/>
    <n v="0.3"/>
    <n v="0"/>
    <x v="2"/>
    <x v="0"/>
    <n v="4"/>
    <x v="1"/>
    <n v="3"/>
    <d v="2025-11-05T00:00:00"/>
    <x v="1"/>
    <x v="0"/>
    <x v="3"/>
    <n v="1"/>
  </r>
  <r>
    <s v="EMP0874"/>
    <d v="2020-08-20T00:00:00"/>
    <x v="0"/>
    <n v="36"/>
    <s v="Non-Binary"/>
    <s v="Single"/>
    <s v="Bachelor's"/>
    <x v="6"/>
    <x v="21"/>
    <x v="1"/>
    <s v="Hyderabad"/>
    <n v="48000"/>
    <n v="11"/>
    <n v="9"/>
    <n v="5.4"/>
    <n v="0.4"/>
    <x v="0"/>
    <x v="0"/>
    <n v="2"/>
    <x v="0"/>
    <n v="5"/>
    <m/>
    <x v="0"/>
    <x v="1"/>
    <x v="0"/>
    <n v="0"/>
  </r>
  <r>
    <s v="EMP0875"/>
    <d v="2021-04-03T00:00:00"/>
    <x v="0"/>
    <n v="39"/>
    <s v="Female"/>
    <s v="Single"/>
    <s v="Diploma"/>
    <x v="3"/>
    <x v="11"/>
    <x v="3"/>
    <s v="Noida"/>
    <n v="115000"/>
    <n v="8.3000000000000007"/>
    <n v="7.4"/>
    <n v="4.7"/>
    <n v="3.8"/>
    <x v="2"/>
    <x v="2"/>
    <n v="4"/>
    <x v="0"/>
    <n v="3"/>
    <m/>
    <x v="0"/>
    <x v="3"/>
    <x v="0"/>
    <n v="0"/>
  </r>
  <r>
    <s v="EMP0876"/>
    <d v="2022-07-31T00:00:00"/>
    <x v="1"/>
    <n v="41"/>
    <s v="Male"/>
    <s v="Single"/>
    <s v="Bachelor's"/>
    <x v="6"/>
    <x v="22"/>
    <x v="2"/>
    <s v="Pune"/>
    <n v="71000"/>
    <n v="9.1999999999999993"/>
    <n v="10.7"/>
    <n v="3.4"/>
    <n v="2.9"/>
    <x v="0"/>
    <x v="2"/>
    <n v="1"/>
    <x v="1"/>
    <n v="2"/>
    <d v="2025-12-08T00:00:00"/>
    <x v="0"/>
    <x v="4"/>
    <x v="0"/>
    <n v="1"/>
  </r>
  <r>
    <s v="EMP0877"/>
    <d v="2018-09-23T00:00:00"/>
    <x v="1"/>
    <n v="29"/>
    <s v="Female"/>
    <s v="Divorced"/>
    <s v="Diploma"/>
    <x v="6"/>
    <x v="19"/>
    <x v="1"/>
    <s v="Noida"/>
    <n v="40000"/>
    <n v="10.3"/>
    <n v="12.2"/>
    <n v="6.3"/>
    <n v="2"/>
    <x v="0"/>
    <x v="2"/>
    <n v="2"/>
    <x v="1"/>
    <n v="4"/>
    <d v="2025-01-07T00:00:00"/>
    <x v="1"/>
    <x v="1"/>
    <x v="1"/>
    <n v="1"/>
  </r>
  <r>
    <s v="EMP0878"/>
    <d v="2024-01-29T00:00:00"/>
    <x v="1"/>
    <n v="37"/>
    <s v="Female"/>
    <s v="Divorced"/>
    <s v="Master's"/>
    <x v="5"/>
    <x v="8"/>
    <x v="0"/>
    <s v="Mumbai"/>
    <n v="33000"/>
    <n v="13.9"/>
    <n v="1.1000000000000001"/>
    <n v="1.1000000000000001"/>
    <n v="0.9"/>
    <x v="0"/>
    <x v="1"/>
    <n v="1"/>
    <x v="1"/>
    <n v="2"/>
    <d v="2025-02-16T00:00:00"/>
    <x v="0"/>
    <x v="0"/>
    <x v="4"/>
    <n v="1"/>
  </r>
  <r>
    <s v="EMP0879"/>
    <d v="2019-11-27T00:00:00"/>
    <x v="0"/>
    <n v="45"/>
    <s v="Male"/>
    <s v="Married"/>
    <s v="Master's"/>
    <x v="2"/>
    <x v="20"/>
    <x v="2"/>
    <s v="Chennai"/>
    <n v="59000"/>
    <n v="10.7"/>
    <n v="10.8"/>
    <n v="6.1"/>
    <n v="5.2"/>
    <x v="2"/>
    <x v="0"/>
    <n v="3"/>
    <x v="1"/>
    <n v="2"/>
    <m/>
    <x v="0"/>
    <x v="1"/>
    <x v="1"/>
    <n v="0"/>
  </r>
  <r>
    <s v="EMP0880"/>
    <d v="2021-01-04T00:00:00"/>
    <x v="0"/>
    <n v="27"/>
    <s v="Non-Binary"/>
    <s v="Married"/>
    <s v="Diploma"/>
    <x v="4"/>
    <x v="14"/>
    <x v="0"/>
    <s v="Pune"/>
    <n v="36000"/>
    <n v="14.1"/>
    <n v="7.6"/>
    <n v="5"/>
    <n v="5"/>
    <x v="1"/>
    <x v="1"/>
    <n v="3"/>
    <x v="1"/>
    <n v="4"/>
    <m/>
    <x v="1"/>
    <x v="0"/>
    <x v="0"/>
    <n v="0"/>
  </r>
  <r>
    <s v="EMP0881"/>
    <d v="2017-02-04T00:00:00"/>
    <x v="0"/>
    <n v="37"/>
    <s v="Non-Binary"/>
    <s v="Single"/>
    <s v="PhD"/>
    <x v="3"/>
    <x v="4"/>
    <x v="3"/>
    <s v="Bengaluru"/>
    <n v="93000"/>
    <n v="5.0999999999999996"/>
    <n v="10.9"/>
    <n v="8.9"/>
    <n v="4.5"/>
    <x v="2"/>
    <x v="3"/>
    <n v="2"/>
    <x v="1"/>
    <n v="3"/>
    <m/>
    <x v="0"/>
    <x v="2"/>
    <x v="1"/>
    <n v="0"/>
  </r>
  <r>
    <s v="EMP0882"/>
    <d v="2019-03-24T00:00:00"/>
    <x v="0"/>
    <n v="29"/>
    <s v="Female"/>
    <s v="Married"/>
    <s v="Diploma"/>
    <x v="0"/>
    <x v="16"/>
    <x v="0"/>
    <s v="Noida"/>
    <n v="22000"/>
    <n v="8.1999999999999993"/>
    <n v="9.6999999999999993"/>
    <n v="6.8"/>
    <n v="4.0999999999999996"/>
    <x v="2"/>
    <x v="0"/>
    <n v="2"/>
    <x v="0"/>
    <n v="3"/>
    <m/>
    <x v="1"/>
    <x v="0"/>
    <x v="1"/>
    <n v="0"/>
  </r>
  <r>
    <s v="EMP0883"/>
    <d v="2025-06-10T00:00:00"/>
    <x v="0"/>
    <n v="21"/>
    <s v="Female"/>
    <s v="Married"/>
    <s v="PhD"/>
    <x v="2"/>
    <x v="17"/>
    <x v="0"/>
    <s v="Mumbai"/>
    <n v="23000"/>
    <n v="15"/>
    <n v="6.5"/>
    <n v="0.6"/>
    <n v="0"/>
    <x v="2"/>
    <x v="1"/>
    <n v="3"/>
    <x v="1"/>
    <n v="3"/>
    <m/>
    <x v="2"/>
    <x v="0"/>
    <x v="3"/>
    <n v="0"/>
  </r>
  <r>
    <s v="EMP0884"/>
    <d v="2024-01-15T00:00:00"/>
    <x v="1"/>
    <n v="32"/>
    <s v="Female"/>
    <s v="Divorced"/>
    <s v="Master's"/>
    <x v="2"/>
    <x v="17"/>
    <x v="2"/>
    <s v="Pune"/>
    <n v="64000"/>
    <n v="17.399999999999999"/>
    <n v="7.5"/>
    <n v="1.2"/>
    <n v="0.5"/>
    <x v="2"/>
    <x v="2"/>
    <n v="2"/>
    <x v="1"/>
    <n v="3"/>
    <d v="2025-03-13T00:00:00"/>
    <x v="1"/>
    <x v="4"/>
    <x v="4"/>
    <n v="1"/>
  </r>
  <r>
    <s v="EMP0885"/>
    <d v="2025-07-05T00:00:00"/>
    <x v="0"/>
    <n v="38"/>
    <s v="Male"/>
    <s v="Married"/>
    <s v="PhD"/>
    <x v="4"/>
    <x v="14"/>
    <x v="1"/>
    <s v="Mumbai"/>
    <n v="43000"/>
    <n v="8.8000000000000007"/>
    <n v="4.5"/>
    <n v="0.5"/>
    <n v="0"/>
    <x v="2"/>
    <x v="2"/>
    <n v="4"/>
    <x v="1"/>
    <n v="3"/>
    <m/>
    <x v="0"/>
    <x v="1"/>
    <x v="3"/>
    <n v="0"/>
  </r>
  <r>
    <s v="EMP0886"/>
    <d v="2017-11-29T00:00:00"/>
    <x v="0"/>
    <n v="35"/>
    <s v="Male"/>
    <s v="Married"/>
    <s v="PhD"/>
    <x v="3"/>
    <x v="11"/>
    <x v="2"/>
    <s v="Bengaluru"/>
    <n v="93000"/>
    <n v="12.5"/>
    <n v="13.7"/>
    <n v="8.1"/>
    <n v="3.6"/>
    <x v="3"/>
    <x v="1"/>
    <n v="3"/>
    <x v="1"/>
    <n v="3"/>
    <m/>
    <x v="1"/>
    <x v="2"/>
    <x v="1"/>
    <n v="0"/>
  </r>
  <r>
    <s v="EMP0887"/>
    <d v="2022-01-25T00:00:00"/>
    <x v="0"/>
    <n v="43"/>
    <s v="Non-Binary"/>
    <s v="Unkown"/>
    <s v="Bachelor's"/>
    <x v="6"/>
    <x v="22"/>
    <x v="1"/>
    <s v="Bengaluru"/>
    <n v="56000"/>
    <n v="11.7"/>
    <n v="8.1999999999999993"/>
    <n v="3.9"/>
    <n v="1.3"/>
    <x v="2"/>
    <x v="0"/>
    <n v="3"/>
    <x v="1"/>
    <n v="2"/>
    <m/>
    <x v="0"/>
    <x v="1"/>
    <x v="0"/>
    <n v="0"/>
  </r>
  <r>
    <s v="EMP0888"/>
    <d v="2023-09-28T00:00:00"/>
    <x v="0"/>
    <n v="25"/>
    <s v="Non-Binary"/>
    <s v="Married"/>
    <s v="Diploma"/>
    <x v="3"/>
    <x v="4"/>
    <x v="0"/>
    <s v="Noida"/>
    <n v="35000"/>
    <n v="6.9"/>
    <n v="9.1999999999999993"/>
    <n v="2.2999999999999998"/>
    <n v="0.7"/>
    <x v="2"/>
    <x v="2"/>
    <n v="4"/>
    <x v="0"/>
    <n v="4"/>
    <m/>
    <x v="2"/>
    <x v="0"/>
    <x v="4"/>
    <n v="0"/>
  </r>
  <r>
    <s v="EMP0889"/>
    <d v="2016-07-22T00:00:00"/>
    <x v="0"/>
    <n v="35"/>
    <s v="Female"/>
    <s v="Divorced"/>
    <s v="Bachelor's"/>
    <x v="1"/>
    <x v="27"/>
    <x v="4"/>
    <s v="Mumbai"/>
    <n v="202000"/>
    <n v="1.6"/>
    <n v="14.3"/>
    <n v="9.4"/>
    <n v="4.9000000000000004"/>
    <x v="0"/>
    <x v="1"/>
    <n v="3"/>
    <x v="1"/>
    <n v="5"/>
    <m/>
    <x v="1"/>
    <x v="3"/>
    <x v="1"/>
    <n v="0"/>
  </r>
  <r>
    <s v="EMP0890"/>
    <d v="2024-09-30T00:00:00"/>
    <x v="0"/>
    <n v="37"/>
    <s v="Female"/>
    <s v="Divorced"/>
    <s v="Master's"/>
    <x v="2"/>
    <x v="20"/>
    <x v="2"/>
    <s v="Hyderabad"/>
    <n v="76000"/>
    <n v="8.5"/>
    <n v="8.9"/>
    <n v="1.3"/>
    <n v="0.3"/>
    <x v="2"/>
    <x v="0"/>
    <n v="4"/>
    <x v="1"/>
    <n v="4"/>
    <m/>
    <x v="0"/>
    <x v="4"/>
    <x v="4"/>
    <n v="0"/>
  </r>
  <r>
    <s v="EMP0891"/>
    <d v="2023-02-02T00:00:00"/>
    <x v="0"/>
    <n v="35"/>
    <s v="Non-Binary"/>
    <s v="Single"/>
    <s v="Master's"/>
    <x v="2"/>
    <x v="23"/>
    <x v="2"/>
    <s v="Unkown"/>
    <n v="68000"/>
    <n v="0.2"/>
    <n v="7.4"/>
    <n v="2.9"/>
    <n v="2.2999999999999998"/>
    <x v="2"/>
    <x v="2"/>
    <n v="3"/>
    <x v="0"/>
    <n v="3"/>
    <m/>
    <x v="1"/>
    <x v="4"/>
    <x v="4"/>
    <n v="0"/>
  </r>
  <r>
    <s v="EMP0892"/>
    <d v="2024-12-28T00:00:00"/>
    <x v="0"/>
    <n v="40"/>
    <s v="Male"/>
    <s v="Single"/>
    <s v="Diploma"/>
    <x v="4"/>
    <x v="25"/>
    <x v="1"/>
    <s v="Bengaluru"/>
    <n v="51000"/>
    <n v="9.9"/>
    <n v="3"/>
    <n v="1"/>
    <n v="0.4"/>
    <x v="2"/>
    <x v="0"/>
    <n v="4"/>
    <x v="1"/>
    <n v="3"/>
    <m/>
    <x v="0"/>
    <x v="1"/>
    <x v="4"/>
    <n v="0"/>
  </r>
  <r>
    <s v="EMP0893"/>
    <d v="2020-04-05T00:00:00"/>
    <x v="0"/>
    <n v="35"/>
    <s v="Female"/>
    <s v="Single"/>
    <s v="PhD"/>
    <x v="5"/>
    <x v="26"/>
    <x v="0"/>
    <s v="Hyderabad"/>
    <n v="46000"/>
    <n v="7.8"/>
    <n v="10.199999999999999"/>
    <n v="5.7"/>
    <n v="3.4"/>
    <x v="3"/>
    <x v="2"/>
    <n v="2"/>
    <x v="1"/>
    <n v="3"/>
    <m/>
    <x v="1"/>
    <x v="1"/>
    <x v="0"/>
    <n v="0"/>
  </r>
  <r>
    <s v="EMP0894"/>
    <d v="2025-07-02T00:00:00"/>
    <x v="0"/>
    <n v="35"/>
    <s v="Female"/>
    <s v="Married"/>
    <s v="Master's"/>
    <x v="1"/>
    <x v="27"/>
    <x v="1"/>
    <s v="Hyderabad"/>
    <n v="63000"/>
    <n v="3.9"/>
    <n v="1.6"/>
    <n v="0.5"/>
    <n v="0"/>
    <x v="2"/>
    <x v="0"/>
    <n v="1"/>
    <x v="0"/>
    <n v="3"/>
    <m/>
    <x v="1"/>
    <x v="4"/>
    <x v="3"/>
    <n v="0"/>
  </r>
  <r>
    <s v="EMP0895"/>
    <d v="2021-05-22T00:00:00"/>
    <x v="1"/>
    <n v="27"/>
    <s v="Male"/>
    <s v="Single"/>
    <s v="Master's"/>
    <x v="4"/>
    <x v="25"/>
    <x v="0"/>
    <s v="Noida"/>
    <n v="26000"/>
    <n v="5.7"/>
    <n v="4.8"/>
    <n v="4.3"/>
    <n v="3.1"/>
    <x v="0"/>
    <x v="1"/>
    <n v="2"/>
    <x v="1"/>
    <n v="2"/>
    <d v="2025-09-19T00:00:00"/>
    <x v="1"/>
    <x v="0"/>
    <x v="0"/>
    <n v="1"/>
  </r>
  <r>
    <s v="EMP0896"/>
    <d v="2014-04-29T00:00:00"/>
    <x v="0"/>
    <n v="48"/>
    <s v="Male"/>
    <s v="Divorced"/>
    <s v="Bachelor's"/>
    <x v="1"/>
    <x v="10"/>
    <x v="2"/>
    <s v="Pune"/>
    <n v="102000"/>
    <n v="16.7"/>
    <n v="15.6"/>
    <n v="11.7"/>
    <n v="3.3"/>
    <x v="2"/>
    <x v="0"/>
    <n v="3"/>
    <x v="1"/>
    <n v="3"/>
    <m/>
    <x v="3"/>
    <x v="3"/>
    <x v="2"/>
    <n v="0"/>
  </r>
  <r>
    <s v="EMP0897"/>
    <d v="2015-01-14T00:00:00"/>
    <x v="0"/>
    <n v="33"/>
    <s v="Male"/>
    <s v="Single"/>
    <s v="Master's"/>
    <x v="3"/>
    <x v="11"/>
    <x v="1"/>
    <s v="Pune"/>
    <n v="43000"/>
    <n v="6.2"/>
    <n v="15.4"/>
    <n v="11"/>
    <n v="0.3"/>
    <x v="3"/>
    <x v="2"/>
    <n v="2"/>
    <x v="0"/>
    <n v="1"/>
    <m/>
    <x v="1"/>
    <x v="1"/>
    <x v="2"/>
    <n v="0"/>
  </r>
  <r>
    <s v="EMP0898"/>
    <d v="2016-11-08T00:00:00"/>
    <x v="0"/>
    <n v="42"/>
    <s v="Non-Binary"/>
    <s v="Single"/>
    <s v="Master's"/>
    <x v="4"/>
    <x v="24"/>
    <x v="1"/>
    <s v="Pune"/>
    <n v="47000"/>
    <n v="13.3"/>
    <n v="13.1"/>
    <n v="9.1"/>
    <n v="4"/>
    <x v="1"/>
    <x v="0"/>
    <n v="3"/>
    <x v="1"/>
    <n v="1"/>
    <m/>
    <x v="0"/>
    <x v="1"/>
    <x v="1"/>
    <n v="0"/>
  </r>
  <r>
    <s v="EMP0899"/>
    <d v="2017-06-28T00:00:00"/>
    <x v="0"/>
    <n v="49"/>
    <s v="Female"/>
    <s v="Married"/>
    <s v="Diploma"/>
    <x v="4"/>
    <x v="5"/>
    <x v="0"/>
    <s v="Chennai"/>
    <n v="22000"/>
    <n v="14"/>
    <n v="9.8000000000000007"/>
    <n v="8.5"/>
    <n v="1.3"/>
    <x v="2"/>
    <x v="0"/>
    <n v="4"/>
    <x v="1"/>
    <n v="4"/>
    <m/>
    <x v="3"/>
    <x v="0"/>
    <x v="1"/>
    <n v="0"/>
  </r>
  <r>
    <s v="EMP0900"/>
    <d v="2020-12-10T00:00:00"/>
    <x v="0"/>
    <n v="26"/>
    <s v="Non-Binary"/>
    <s v="Divorced"/>
    <s v="PhD"/>
    <x v="3"/>
    <x v="11"/>
    <x v="0"/>
    <s v="Pune"/>
    <n v="44000"/>
    <n v="10.3"/>
    <n v="12.2"/>
    <n v="5.0999999999999996"/>
    <n v="2"/>
    <x v="2"/>
    <x v="0"/>
    <n v="3"/>
    <x v="1"/>
    <n v="3"/>
    <m/>
    <x v="1"/>
    <x v="1"/>
    <x v="0"/>
    <n v="0"/>
  </r>
  <r>
    <s v="EMP0901"/>
    <d v="2025-06-03T00:00:00"/>
    <x v="0"/>
    <n v="27"/>
    <s v="Non-Binary"/>
    <s v="Married"/>
    <s v="Diploma"/>
    <x v="1"/>
    <x v="10"/>
    <x v="0"/>
    <s v="Mumbai"/>
    <n v="33000"/>
    <n v="17.2"/>
    <n v="2.2000000000000002"/>
    <n v="0.6"/>
    <n v="0"/>
    <x v="0"/>
    <x v="2"/>
    <n v="4"/>
    <x v="1"/>
    <n v="4"/>
    <m/>
    <x v="1"/>
    <x v="0"/>
    <x v="3"/>
    <n v="0"/>
  </r>
  <r>
    <s v="EMP0902"/>
    <d v="2015-05-10T00:00:00"/>
    <x v="0"/>
    <n v="38"/>
    <s v="Non-Binary"/>
    <s v="Married"/>
    <s v="PhD"/>
    <x v="5"/>
    <x v="13"/>
    <x v="2"/>
    <s v="Mumbai"/>
    <n v="79000"/>
    <n v="5.9"/>
    <n v="12.4"/>
    <n v="10.6"/>
    <n v="1.1000000000000001"/>
    <x v="2"/>
    <x v="0"/>
    <n v="3"/>
    <x v="0"/>
    <n v="4"/>
    <m/>
    <x v="0"/>
    <x v="4"/>
    <x v="2"/>
    <n v="0"/>
  </r>
  <r>
    <s v="EMP0903"/>
    <d v="2022-04-18T00:00:00"/>
    <x v="0"/>
    <n v="24"/>
    <s v="Male"/>
    <s v="Divorced"/>
    <s v="Bachelor's"/>
    <x v="4"/>
    <x v="14"/>
    <x v="0"/>
    <s v="Bengaluru"/>
    <n v="28000"/>
    <n v="9.1"/>
    <n v="9"/>
    <n v="3.7"/>
    <n v="3.5"/>
    <x v="2"/>
    <x v="1"/>
    <n v="2"/>
    <x v="1"/>
    <n v="1"/>
    <m/>
    <x v="2"/>
    <x v="0"/>
    <x v="0"/>
    <n v="0"/>
  </r>
  <r>
    <s v="EMP0904"/>
    <d v="2021-03-28T00:00:00"/>
    <x v="1"/>
    <n v="32"/>
    <s v="Non-Binary"/>
    <s v="Single"/>
    <s v="Diploma"/>
    <x v="6"/>
    <x v="19"/>
    <x v="1"/>
    <s v="Bengaluru"/>
    <n v="56000"/>
    <n v="11.8"/>
    <n v="9.1999999999999993"/>
    <n v="4.0999999999999996"/>
    <n v="4"/>
    <x v="3"/>
    <x v="2"/>
    <n v="3"/>
    <x v="1"/>
    <n v="3"/>
    <d v="2025-04-21T00:00:00"/>
    <x v="1"/>
    <x v="1"/>
    <x v="0"/>
    <n v="1"/>
  </r>
  <r>
    <s v="EMP0905"/>
    <d v="2024-11-22T00:00:00"/>
    <x v="0"/>
    <n v="26"/>
    <s v="Female"/>
    <s v="Single"/>
    <s v="Bachelor's"/>
    <x v="5"/>
    <x v="18"/>
    <x v="0"/>
    <s v="Bengaluru"/>
    <n v="35000"/>
    <n v="13.8"/>
    <n v="8.4"/>
    <n v="1.1000000000000001"/>
    <n v="0.1"/>
    <x v="0"/>
    <x v="0"/>
    <n v="4"/>
    <x v="1"/>
    <n v="4"/>
    <m/>
    <x v="1"/>
    <x v="0"/>
    <x v="4"/>
    <n v="0"/>
  </r>
  <r>
    <s v="EMP0906"/>
    <d v="2024-06-21T00:00:00"/>
    <x v="0"/>
    <n v="23"/>
    <s v="Female"/>
    <s v="Divorced"/>
    <s v="PhD"/>
    <x v="5"/>
    <x v="13"/>
    <x v="0"/>
    <s v="Bengaluru"/>
    <n v="41000"/>
    <n v="1.1000000000000001"/>
    <n v="1.7"/>
    <n v="1.5"/>
    <n v="0.8"/>
    <x v="2"/>
    <x v="3"/>
    <n v="3"/>
    <x v="1"/>
    <n v="3"/>
    <m/>
    <x v="2"/>
    <x v="1"/>
    <x v="4"/>
    <n v="0"/>
  </r>
  <r>
    <s v="EMP0907"/>
    <d v="2020-04-02T00:00:00"/>
    <x v="0"/>
    <n v="46"/>
    <s v="Male"/>
    <s v="Married"/>
    <s v="Bachelor's"/>
    <x v="5"/>
    <x v="26"/>
    <x v="1"/>
    <s v="Noida"/>
    <n v="51000"/>
    <n v="5.7"/>
    <n v="11"/>
    <n v="5.7"/>
    <n v="5.5"/>
    <x v="1"/>
    <x v="2"/>
    <n v="3"/>
    <x v="0"/>
    <n v="4"/>
    <m/>
    <x v="3"/>
    <x v="1"/>
    <x v="0"/>
    <n v="0"/>
  </r>
  <r>
    <s v="EMP0908"/>
    <d v="2025-04-20T00:00:00"/>
    <x v="0"/>
    <n v="22"/>
    <s v="Male"/>
    <s v="Divorced"/>
    <s v="Bachelor's"/>
    <x v="6"/>
    <x v="22"/>
    <x v="0"/>
    <s v="Hyderabad"/>
    <n v="28000"/>
    <n v="11.4"/>
    <n v="7.7"/>
    <n v="0.7"/>
    <n v="0"/>
    <x v="1"/>
    <x v="0"/>
    <n v="4"/>
    <x v="1"/>
    <n v="3"/>
    <m/>
    <x v="2"/>
    <x v="0"/>
    <x v="3"/>
    <n v="0"/>
  </r>
  <r>
    <s v="EMP0909"/>
    <d v="2020-10-26T00:00:00"/>
    <x v="0"/>
    <n v="31"/>
    <s v="Male"/>
    <s v="Divorced"/>
    <s v="PhD"/>
    <x v="6"/>
    <x v="19"/>
    <x v="2"/>
    <s v="Hyderabad"/>
    <n v="83000"/>
    <n v="10.7"/>
    <n v="8.1999999999999993"/>
    <n v="5.2"/>
    <n v="2.9"/>
    <x v="3"/>
    <x v="1"/>
    <n v="3"/>
    <x v="1"/>
    <n v="3"/>
    <m/>
    <x v="1"/>
    <x v="2"/>
    <x v="0"/>
    <n v="0"/>
  </r>
  <r>
    <s v="EMP0910"/>
    <d v="2024-02-14T00:00:00"/>
    <x v="0"/>
    <n v="31"/>
    <s v="Female"/>
    <s v="Divorced"/>
    <s v="PhD"/>
    <x v="3"/>
    <x v="4"/>
    <x v="2"/>
    <s v="Mumbai"/>
    <n v="83000"/>
    <n v="8.5"/>
    <n v="5.0999999999999996"/>
    <n v="1.9"/>
    <n v="1.8"/>
    <x v="0"/>
    <x v="1"/>
    <n v="2"/>
    <x v="1"/>
    <n v="2"/>
    <m/>
    <x v="1"/>
    <x v="2"/>
    <x v="4"/>
    <n v="0"/>
  </r>
  <r>
    <s v="EMP0911"/>
    <d v="2022-05-15T00:00:00"/>
    <x v="0"/>
    <n v="30"/>
    <s v="Male"/>
    <s v="Divorced"/>
    <s v="PhD"/>
    <x v="2"/>
    <x v="20"/>
    <x v="3"/>
    <s v="Bengaluru"/>
    <n v="106000"/>
    <n v="5"/>
    <n v="6.4"/>
    <n v="3.6"/>
    <n v="2.2999999999999998"/>
    <x v="0"/>
    <x v="2"/>
    <n v="4"/>
    <x v="1"/>
    <n v="4"/>
    <m/>
    <x v="1"/>
    <x v="3"/>
    <x v="0"/>
    <n v="0"/>
  </r>
  <r>
    <s v="EMP0912"/>
    <d v="2019-10-20T00:00:00"/>
    <x v="0"/>
    <n v="27"/>
    <s v="Non-Binary"/>
    <s v="Divorced"/>
    <s v="Diploma"/>
    <x v="2"/>
    <x v="17"/>
    <x v="0"/>
    <s v="Mumbai"/>
    <n v="23000"/>
    <n v="10"/>
    <n v="10.8"/>
    <n v="6.2"/>
    <n v="1.5"/>
    <x v="2"/>
    <x v="0"/>
    <n v="4"/>
    <x v="1"/>
    <n v="4"/>
    <m/>
    <x v="1"/>
    <x v="0"/>
    <x v="1"/>
    <n v="0"/>
  </r>
  <r>
    <s v="EMP0913"/>
    <d v="2016-05-17T00:00:00"/>
    <x v="0"/>
    <n v="38"/>
    <s v="Male"/>
    <s v="Divorced"/>
    <s v="PhD"/>
    <x v="5"/>
    <x v="18"/>
    <x v="2"/>
    <s v="Pune"/>
    <n v="83000"/>
    <n v="10.6"/>
    <n v="12.8"/>
    <n v="9.6"/>
    <n v="3.5"/>
    <x v="2"/>
    <x v="2"/>
    <n v="3"/>
    <x v="1"/>
    <n v="5"/>
    <m/>
    <x v="0"/>
    <x v="2"/>
    <x v="1"/>
    <n v="0"/>
  </r>
  <r>
    <s v="EMP0914"/>
    <d v="2015-04-02T00:00:00"/>
    <x v="0"/>
    <n v="36"/>
    <s v="Male"/>
    <s v="Divorced"/>
    <s v="Bachelor's"/>
    <x v="2"/>
    <x v="20"/>
    <x v="2"/>
    <s v="Pune"/>
    <n v="68000"/>
    <n v="9.6"/>
    <n v="18.100000000000001"/>
    <n v="10.7"/>
    <n v="4.2"/>
    <x v="0"/>
    <x v="0"/>
    <n v="3"/>
    <x v="1"/>
    <n v="3"/>
    <m/>
    <x v="0"/>
    <x v="4"/>
    <x v="2"/>
    <n v="0"/>
  </r>
  <r>
    <s v="EMP0915"/>
    <d v="2024-04-14T00:00:00"/>
    <x v="1"/>
    <n v="33"/>
    <s v="Non-Binary"/>
    <s v="Married"/>
    <s v="Diploma"/>
    <x v="5"/>
    <x v="8"/>
    <x v="0"/>
    <s v="Mumbai"/>
    <n v="22000"/>
    <n v="9.6"/>
    <n v="4.7"/>
    <n v="1.1000000000000001"/>
    <n v="0.1"/>
    <x v="0"/>
    <x v="2"/>
    <n v="3"/>
    <x v="0"/>
    <n v="1"/>
    <d v="2025-05-10T00:00:00"/>
    <x v="1"/>
    <x v="0"/>
    <x v="4"/>
    <n v="1"/>
  </r>
  <r>
    <s v="EMP0916"/>
    <d v="2019-09-11T00:00:00"/>
    <x v="0"/>
    <n v="30"/>
    <s v="Female"/>
    <s v="Married"/>
    <s v="Bachelor's"/>
    <x v="6"/>
    <x v="22"/>
    <x v="1"/>
    <s v="Mumbai"/>
    <n v="46000"/>
    <n v="10.5"/>
    <n v="11.7"/>
    <n v="6.3"/>
    <n v="5.9"/>
    <x v="2"/>
    <x v="0"/>
    <n v="3"/>
    <x v="1"/>
    <n v="3"/>
    <m/>
    <x v="1"/>
    <x v="1"/>
    <x v="1"/>
    <n v="0"/>
  </r>
  <r>
    <s v="EMP0917"/>
    <d v="2017-09-08T00:00:00"/>
    <x v="0"/>
    <n v="41"/>
    <s v="Non-Binary"/>
    <s v="Divorced"/>
    <s v="Bachelor's"/>
    <x v="0"/>
    <x v="7"/>
    <x v="3"/>
    <s v="Mumbai"/>
    <n v="92000"/>
    <n v="11.9"/>
    <n v="14.4"/>
    <n v="8.3000000000000007"/>
    <n v="0.5"/>
    <x v="2"/>
    <x v="0"/>
    <n v="2"/>
    <x v="1"/>
    <n v="3"/>
    <m/>
    <x v="0"/>
    <x v="2"/>
    <x v="1"/>
    <n v="0"/>
  </r>
  <r>
    <s v="EMP0918"/>
    <d v="2014-03-10T00:00:00"/>
    <x v="0"/>
    <n v="32"/>
    <s v="Non-Binary"/>
    <s v="Single"/>
    <s v="PhD"/>
    <x v="3"/>
    <x v="4"/>
    <x v="1"/>
    <s v="Bengaluru"/>
    <n v="58000"/>
    <n v="13.1"/>
    <n v="18.600000000000001"/>
    <n v="11.8"/>
    <n v="1.3"/>
    <x v="2"/>
    <x v="0"/>
    <n v="1"/>
    <x v="0"/>
    <n v="2"/>
    <m/>
    <x v="1"/>
    <x v="1"/>
    <x v="2"/>
    <n v="0"/>
  </r>
  <r>
    <s v="EMP0919"/>
    <d v="2023-07-11T00:00:00"/>
    <x v="0"/>
    <n v="25"/>
    <s v="Female"/>
    <s v="Married"/>
    <s v="Master's"/>
    <x v="4"/>
    <x v="14"/>
    <x v="0"/>
    <s v="Bengaluru"/>
    <n v="40000"/>
    <n v="8.6999999999999993"/>
    <n v="7.7"/>
    <n v="2.5"/>
    <n v="0.1"/>
    <x v="2"/>
    <x v="0"/>
    <n v="3"/>
    <x v="1"/>
    <n v="3"/>
    <m/>
    <x v="2"/>
    <x v="1"/>
    <x v="4"/>
    <n v="0"/>
  </r>
  <r>
    <s v="EMP0920"/>
    <d v="2017-08-31T00:00:00"/>
    <x v="0"/>
    <n v="34"/>
    <s v="Female"/>
    <s v="Single"/>
    <s v="Diploma"/>
    <x v="6"/>
    <x v="21"/>
    <x v="1"/>
    <s v="Pune"/>
    <n v="51000"/>
    <n v="13.8"/>
    <n v="10.3"/>
    <n v="8.3000000000000007"/>
    <n v="2.2999999999999998"/>
    <x v="1"/>
    <x v="2"/>
    <n v="3"/>
    <x v="1"/>
    <n v="3"/>
    <m/>
    <x v="1"/>
    <x v="1"/>
    <x v="1"/>
    <n v="0"/>
  </r>
  <r>
    <s v="EMP0921"/>
    <d v="2021-08-19T00:00:00"/>
    <x v="0"/>
    <n v="25"/>
    <s v="Non-Binary"/>
    <s v="Divorced"/>
    <s v="Bachelor's"/>
    <x v="1"/>
    <x v="9"/>
    <x v="0"/>
    <s v="Mumbai"/>
    <n v="36000"/>
    <n v="9.6999999999999993"/>
    <n v="10.8"/>
    <n v="4.4000000000000004"/>
    <n v="4.2"/>
    <x v="2"/>
    <x v="1"/>
    <n v="2"/>
    <x v="1"/>
    <n v="2"/>
    <m/>
    <x v="2"/>
    <x v="0"/>
    <x v="0"/>
    <n v="0"/>
  </r>
  <r>
    <s v="EMP0922"/>
    <d v="2020-09-01T00:00:00"/>
    <x v="0"/>
    <n v="37"/>
    <s v="Male"/>
    <s v="Single"/>
    <s v="Bachelor's"/>
    <x v="3"/>
    <x v="4"/>
    <x v="2"/>
    <s v="Hyderabad"/>
    <n v="72000"/>
    <n v="18.899999999999999"/>
    <n v="9.6999999999999993"/>
    <n v="5.3"/>
    <n v="2.2000000000000002"/>
    <x v="0"/>
    <x v="3"/>
    <n v="3"/>
    <x v="1"/>
    <n v="4"/>
    <m/>
    <x v="0"/>
    <x v="4"/>
    <x v="0"/>
    <n v="0"/>
  </r>
  <r>
    <s v="EMP0923"/>
    <d v="2019-10-08T00:00:00"/>
    <x v="1"/>
    <n v="42"/>
    <s v="Female"/>
    <s v="Divorced"/>
    <s v="Diploma"/>
    <x v="0"/>
    <x v="7"/>
    <x v="2"/>
    <s v="Mumbai"/>
    <n v="71000"/>
    <n v="11.1"/>
    <n v="6.6"/>
    <n v="5.3"/>
    <n v="3"/>
    <x v="0"/>
    <x v="0"/>
    <n v="3"/>
    <x v="0"/>
    <n v="5"/>
    <d v="2025-01-13T00:00:00"/>
    <x v="0"/>
    <x v="4"/>
    <x v="0"/>
    <n v="1"/>
  </r>
  <r>
    <s v="EMP0924"/>
    <d v="2024-05-06T00:00:00"/>
    <x v="0"/>
    <n v="42"/>
    <s v="Non-Binary"/>
    <s v="Divorced"/>
    <s v="Diploma"/>
    <x v="5"/>
    <x v="13"/>
    <x v="2"/>
    <s v="Chennai"/>
    <n v="96000"/>
    <n v="12.5"/>
    <n v="7.6"/>
    <n v="1.7"/>
    <n v="0.7"/>
    <x v="3"/>
    <x v="0"/>
    <n v="3"/>
    <x v="0"/>
    <n v="1"/>
    <m/>
    <x v="0"/>
    <x v="2"/>
    <x v="4"/>
    <n v="0"/>
  </r>
  <r>
    <s v="EMP0925"/>
    <d v="2018-08-22T00:00:00"/>
    <x v="0"/>
    <n v="29"/>
    <s v="Non-Binary"/>
    <s v="Divorced"/>
    <s v="Bachelor's"/>
    <x v="4"/>
    <x v="25"/>
    <x v="1"/>
    <s v="Pune"/>
    <n v="54000"/>
    <n v="12.7"/>
    <n v="9.1"/>
    <n v="7.4"/>
    <n v="4"/>
    <x v="3"/>
    <x v="0"/>
    <n v="2"/>
    <x v="1"/>
    <n v="3"/>
    <m/>
    <x v="1"/>
    <x v="1"/>
    <x v="1"/>
    <n v="0"/>
  </r>
  <r>
    <s v="EMP0926"/>
    <d v="2024-01-01T00:00:00"/>
    <x v="0"/>
    <n v="40"/>
    <s v="Male"/>
    <s v="Married"/>
    <s v="PhD"/>
    <x v="0"/>
    <x v="3"/>
    <x v="3"/>
    <s v="Bengaluru"/>
    <n v="117000"/>
    <n v="5.3"/>
    <n v="2.6"/>
    <n v="2"/>
    <n v="0.3"/>
    <x v="2"/>
    <x v="0"/>
    <n v="3"/>
    <x v="1"/>
    <n v="4"/>
    <m/>
    <x v="0"/>
    <x v="3"/>
    <x v="4"/>
    <n v="0"/>
  </r>
  <r>
    <s v="EMP0927"/>
    <d v="2021-12-13T00:00:00"/>
    <x v="0"/>
    <n v="32"/>
    <s v="Female"/>
    <s v="Divorced"/>
    <s v="PhD"/>
    <x v="2"/>
    <x v="17"/>
    <x v="0"/>
    <s v="Noida"/>
    <n v="36000"/>
    <n v="6.9"/>
    <n v="7"/>
    <n v="4"/>
    <n v="1.8"/>
    <x v="3"/>
    <x v="2"/>
    <n v="2"/>
    <x v="1"/>
    <n v="5"/>
    <m/>
    <x v="1"/>
    <x v="0"/>
    <x v="0"/>
    <n v="0"/>
  </r>
  <r>
    <s v="EMP0928"/>
    <d v="2019-08-08T00:00:00"/>
    <x v="0"/>
    <n v="36"/>
    <s v="Male"/>
    <s v="Married"/>
    <s v="Diploma"/>
    <x v="2"/>
    <x v="20"/>
    <x v="1"/>
    <s v="Mumbai"/>
    <n v="52000"/>
    <n v="3.3"/>
    <n v="9.6999999999999993"/>
    <n v="6.4"/>
    <n v="3.4"/>
    <x v="1"/>
    <x v="0"/>
    <n v="4"/>
    <x v="1"/>
    <n v="4"/>
    <m/>
    <x v="0"/>
    <x v="1"/>
    <x v="1"/>
    <n v="0"/>
  </r>
  <r>
    <s v="EMP0929"/>
    <d v="2014-02-26T00:00:00"/>
    <x v="0"/>
    <n v="35"/>
    <s v="Non-Binary"/>
    <s v="Divorced"/>
    <s v="Master's"/>
    <x v="6"/>
    <x v="12"/>
    <x v="2"/>
    <s v="Mumbai"/>
    <n v="58000"/>
    <n v="13.1"/>
    <n v="19.2"/>
    <n v="11.8"/>
    <n v="5.0999999999999996"/>
    <x v="0"/>
    <x v="0"/>
    <n v="3"/>
    <x v="1"/>
    <n v="4"/>
    <m/>
    <x v="1"/>
    <x v="1"/>
    <x v="2"/>
    <n v="0"/>
  </r>
  <r>
    <s v="EMP0930"/>
    <d v="2014-04-16T00:00:00"/>
    <x v="1"/>
    <n v="56"/>
    <s v="Female"/>
    <s v="Single"/>
    <s v="Master's"/>
    <x v="6"/>
    <x v="19"/>
    <x v="2"/>
    <s v="Hyderabad"/>
    <n v="98000"/>
    <n v="8.3000000000000007"/>
    <n v="13.7"/>
    <n v="11.6"/>
    <n v="1.6"/>
    <x v="2"/>
    <x v="0"/>
    <n v="3"/>
    <x v="1"/>
    <n v="3"/>
    <d v="2025-11-19T00:00:00"/>
    <x v="4"/>
    <x v="2"/>
    <x v="2"/>
    <n v="1"/>
  </r>
  <r>
    <s v="EMP0931"/>
    <d v="2019-08-24T00:00:00"/>
    <x v="0"/>
    <n v="40"/>
    <s v="Female"/>
    <s v="Single"/>
    <s v="Diploma"/>
    <x v="6"/>
    <x v="22"/>
    <x v="3"/>
    <s v="Noida"/>
    <n v="126000"/>
    <n v="2.4"/>
    <n v="11.6"/>
    <n v="6.4"/>
    <n v="4.5999999999999996"/>
    <x v="2"/>
    <x v="2"/>
    <n v="2"/>
    <x v="1"/>
    <n v="4"/>
    <m/>
    <x v="0"/>
    <x v="3"/>
    <x v="1"/>
    <n v="0"/>
  </r>
  <r>
    <s v="EMP0932"/>
    <d v="2021-09-04T00:00:00"/>
    <x v="0"/>
    <n v="29"/>
    <s v="Non-Binary"/>
    <s v="Married"/>
    <s v="Diploma"/>
    <x v="4"/>
    <x v="24"/>
    <x v="1"/>
    <s v="Pune"/>
    <n v="56000"/>
    <n v="11"/>
    <n v="6.7"/>
    <n v="4.3"/>
    <n v="1.1000000000000001"/>
    <x v="3"/>
    <x v="0"/>
    <n v="3"/>
    <x v="1"/>
    <n v="3"/>
    <m/>
    <x v="1"/>
    <x v="1"/>
    <x v="0"/>
    <n v="0"/>
  </r>
  <r>
    <s v="EMP0933"/>
    <d v="2022-05-01T00:00:00"/>
    <x v="0"/>
    <n v="25"/>
    <s v="Female"/>
    <s v="Single"/>
    <s v="Bachelor's"/>
    <x v="3"/>
    <x v="6"/>
    <x v="0"/>
    <s v="Pune"/>
    <n v="22000"/>
    <n v="12.4"/>
    <n v="5.7"/>
    <n v="3.7"/>
    <n v="0.3"/>
    <x v="2"/>
    <x v="1"/>
    <n v="3"/>
    <x v="1"/>
    <n v="4"/>
    <m/>
    <x v="2"/>
    <x v="0"/>
    <x v="0"/>
    <n v="0"/>
  </r>
  <r>
    <s v="EMP0934"/>
    <d v="2025-01-19T00:00:00"/>
    <x v="0"/>
    <n v="21"/>
    <s v="Female"/>
    <s v="Divorced"/>
    <s v="Bachelor's"/>
    <x v="2"/>
    <x v="2"/>
    <x v="0"/>
    <s v="Mumbai"/>
    <n v="34000"/>
    <n v="12.2"/>
    <n v="3.2"/>
    <n v="0.9"/>
    <n v="0"/>
    <x v="0"/>
    <x v="1"/>
    <n v="1"/>
    <x v="1"/>
    <n v="3"/>
    <m/>
    <x v="2"/>
    <x v="0"/>
    <x v="3"/>
    <n v="0"/>
  </r>
  <r>
    <s v="EMP0935"/>
    <d v="2024-05-06T00:00:00"/>
    <x v="0"/>
    <n v="30"/>
    <s v="Male"/>
    <s v="Divorced"/>
    <s v="PhD"/>
    <x v="3"/>
    <x v="6"/>
    <x v="1"/>
    <s v="Pune"/>
    <n v="54000"/>
    <n v="7.5"/>
    <n v="2"/>
    <n v="1.7"/>
    <n v="0.1"/>
    <x v="0"/>
    <x v="1"/>
    <n v="3"/>
    <x v="0"/>
    <n v="2"/>
    <m/>
    <x v="1"/>
    <x v="1"/>
    <x v="4"/>
    <n v="0"/>
  </r>
  <r>
    <s v="EMP0936"/>
    <d v="2023-02-06T00:00:00"/>
    <x v="0"/>
    <n v="28"/>
    <s v="Male"/>
    <s v="Single"/>
    <s v="Bachelor's"/>
    <x v="5"/>
    <x v="8"/>
    <x v="0"/>
    <s v="Chennai"/>
    <n v="42000"/>
    <n v="10.3"/>
    <n v="4.7"/>
    <n v="2.9"/>
    <n v="1.8"/>
    <x v="2"/>
    <x v="0"/>
    <n v="3"/>
    <x v="1"/>
    <n v="4"/>
    <m/>
    <x v="1"/>
    <x v="1"/>
    <x v="4"/>
    <n v="0"/>
  </r>
  <r>
    <s v="EMP0937"/>
    <d v="2021-05-10T00:00:00"/>
    <x v="0"/>
    <n v="26"/>
    <s v="Female"/>
    <s v="Married"/>
    <s v="Bachelor's"/>
    <x v="4"/>
    <x v="24"/>
    <x v="0"/>
    <s v="Bengaluru"/>
    <n v="31000"/>
    <n v="0.3"/>
    <n v="9"/>
    <n v="4.5999999999999996"/>
    <n v="0.1"/>
    <x v="0"/>
    <x v="1"/>
    <n v="3"/>
    <x v="0"/>
    <n v="4"/>
    <m/>
    <x v="1"/>
    <x v="0"/>
    <x v="0"/>
    <n v="0"/>
  </r>
  <r>
    <s v="EMP0938"/>
    <d v="2020-04-28T00:00:00"/>
    <x v="0"/>
    <n v="43"/>
    <s v="Female"/>
    <s v="Married"/>
    <s v="Master's"/>
    <x v="1"/>
    <x v="1"/>
    <x v="1"/>
    <s v="Pune"/>
    <n v="48000"/>
    <n v="6.7"/>
    <n v="6.5"/>
    <n v="5.7"/>
    <n v="1.4"/>
    <x v="3"/>
    <x v="0"/>
    <n v="3"/>
    <x v="0"/>
    <n v="4"/>
    <m/>
    <x v="0"/>
    <x v="1"/>
    <x v="0"/>
    <n v="0"/>
  </r>
  <r>
    <s v="EMP0939"/>
    <d v="2020-07-03T00:00:00"/>
    <x v="0"/>
    <n v="42"/>
    <s v="Female"/>
    <s v="Divorced"/>
    <s v="Diploma"/>
    <x v="5"/>
    <x v="8"/>
    <x v="1"/>
    <s v="Hyderabad"/>
    <n v="55000"/>
    <n v="6.2"/>
    <n v="11.5"/>
    <n v="5.5"/>
    <n v="0.1"/>
    <x v="0"/>
    <x v="2"/>
    <n v="2"/>
    <x v="0"/>
    <n v="4"/>
    <m/>
    <x v="0"/>
    <x v="1"/>
    <x v="0"/>
    <n v="0"/>
  </r>
  <r>
    <s v="EMP0940"/>
    <d v="2021-02-28T00:00:00"/>
    <x v="1"/>
    <n v="34"/>
    <s v="Female"/>
    <s v="Married"/>
    <s v="PhD"/>
    <x v="5"/>
    <x v="26"/>
    <x v="2"/>
    <s v="Hyderabad"/>
    <n v="105000"/>
    <n v="10.1"/>
    <n v="8.8000000000000007"/>
    <n v="3.9"/>
    <n v="2.7"/>
    <x v="3"/>
    <x v="0"/>
    <n v="4"/>
    <x v="1"/>
    <n v="3"/>
    <d v="2025-02-09T00:00:00"/>
    <x v="1"/>
    <x v="3"/>
    <x v="0"/>
    <n v="1"/>
  </r>
  <r>
    <s v="EMP0941"/>
    <d v="2021-04-05T00:00:00"/>
    <x v="0"/>
    <n v="35"/>
    <s v="Non-Binary"/>
    <s v="Married"/>
    <s v="Diploma"/>
    <x v="1"/>
    <x v="9"/>
    <x v="3"/>
    <s v="Mumbai"/>
    <n v="129000"/>
    <n v="5.7"/>
    <n v="9.1999999999999993"/>
    <n v="4.7"/>
    <n v="3"/>
    <x v="0"/>
    <x v="3"/>
    <n v="3"/>
    <x v="1"/>
    <n v="1"/>
    <m/>
    <x v="1"/>
    <x v="3"/>
    <x v="0"/>
    <n v="0"/>
  </r>
  <r>
    <s v="EMP0942"/>
    <d v="2020-06-28T00:00:00"/>
    <x v="0"/>
    <n v="35"/>
    <s v="Non-Binary"/>
    <s v="Divorced"/>
    <s v="Master's"/>
    <x v="5"/>
    <x v="26"/>
    <x v="1"/>
    <s v="Bengaluru"/>
    <n v="60000"/>
    <n v="5.0999999999999996"/>
    <n v="7.7"/>
    <n v="5.5"/>
    <n v="5"/>
    <x v="2"/>
    <x v="0"/>
    <n v="2"/>
    <x v="1"/>
    <n v="3"/>
    <m/>
    <x v="1"/>
    <x v="4"/>
    <x v="0"/>
    <n v="0"/>
  </r>
  <r>
    <s v="EMP0943"/>
    <d v="2023-01-10T00:00:00"/>
    <x v="0"/>
    <n v="38"/>
    <s v="Male"/>
    <s v="Married"/>
    <s v="Diploma"/>
    <x v="3"/>
    <x v="4"/>
    <x v="0"/>
    <s v="Pune"/>
    <n v="30000"/>
    <n v="13"/>
    <n v="7.4"/>
    <n v="3"/>
    <n v="0.8"/>
    <x v="3"/>
    <x v="0"/>
    <n v="2"/>
    <x v="1"/>
    <n v="2"/>
    <m/>
    <x v="0"/>
    <x v="0"/>
    <x v="4"/>
    <n v="0"/>
  </r>
  <r>
    <s v="EMP0944"/>
    <d v="2021-09-10T00:00:00"/>
    <x v="1"/>
    <n v="28"/>
    <s v="Female"/>
    <s v="Married"/>
    <s v="Master's"/>
    <x v="1"/>
    <x v="1"/>
    <x v="1"/>
    <s v="Pune"/>
    <n v="55000"/>
    <n v="1.9"/>
    <n v="10.5"/>
    <n v="4.2"/>
    <n v="3.7"/>
    <x v="3"/>
    <x v="2"/>
    <n v="3"/>
    <x v="0"/>
    <n v="3"/>
    <d v="2025-12-02T00:00:00"/>
    <x v="1"/>
    <x v="1"/>
    <x v="0"/>
    <n v="1"/>
  </r>
  <r>
    <s v="EMP0945"/>
    <d v="2025-04-12T00:00:00"/>
    <x v="1"/>
    <n v="21"/>
    <s v="Male"/>
    <s v="Divorced"/>
    <s v="Master's"/>
    <x v="5"/>
    <x v="13"/>
    <x v="0"/>
    <s v="Pune"/>
    <n v="27000"/>
    <n v="0.7"/>
    <n v="2.1"/>
    <n v="0.7"/>
    <n v="0"/>
    <x v="0"/>
    <x v="0"/>
    <n v="4"/>
    <x v="0"/>
    <n v="4"/>
    <d v="2025-12-28T00:00:00"/>
    <x v="2"/>
    <x v="0"/>
    <x v="3"/>
    <n v="1"/>
  </r>
  <r>
    <s v="EMP0946"/>
    <d v="2023-09-10T00:00:00"/>
    <x v="0"/>
    <n v="32"/>
    <s v="Male"/>
    <s v="Divorced"/>
    <s v="Diploma"/>
    <x v="2"/>
    <x v="23"/>
    <x v="1"/>
    <s v="Chennai"/>
    <n v="49000"/>
    <n v="4.8"/>
    <n v="9.5"/>
    <n v="2.2999999999999998"/>
    <n v="0.9"/>
    <x v="0"/>
    <x v="1"/>
    <n v="3"/>
    <x v="0"/>
    <n v="4"/>
    <m/>
    <x v="1"/>
    <x v="1"/>
    <x v="4"/>
    <n v="0"/>
  </r>
  <r>
    <s v="EMP0947"/>
    <d v="2020-05-18T00:00:00"/>
    <x v="0"/>
    <n v="36"/>
    <s v="Non-Binary"/>
    <s v="Married"/>
    <s v="PhD"/>
    <x v="2"/>
    <x v="2"/>
    <x v="2"/>
    <s v="Chennai"/>
    <n v="70000"/>
    <n v="10.3"/>
    <n v="10.5"/>
    <n v="5.6"/>
    <n v="0.2"/>
    <x v="2"/>
    <x v="2"/>
    <n v="2"/>
    <x v="1"/>
    <n v="3"/>
    <m/>
    <x v="0"/>
    <x v="4"/>
    <x v="0"/>
    <n v="0"/>
  </r>
  <r>
    <s v="EMP0948"/>
    <d v="2020-03-29T00:00:00"/>
    <x v="0"/>
    <n v="34"/>
    <s v="Male"/>
    <s v="Divorced"/>
    <s v="PhD"/>
    <x v="4"/>
    <x v="5"/>
    <x v="3"/>
    <s v="Pune"/>
    <n v="118000"/>
    <n v="11.3"/>
    <n v="10.4"/>
    <n v="5.8"/>
    <n v="4.9000000000000004"/>
    <x v="2"/>
    <x v="0"/>
    <n v="2"/>
    <x v="1"/>
    <n v="5"/>
    <m/>
    <x v="1"/>
    <x v="3"/>
    <x v="0"/>
    <n v="0"/>
  </r>
  <r>
    <s v="EMP0949"/>
    <d v="2018-09-07T00:00:00"/>
    <x v="0"/>
    <n v="35"/>
    <s v="Male"/>
    <s v="Single"/>
    <s v="PhD"/>
    <x v="2"/>
    <x v="23"/>
    <x v="1"/>
    <s v="Noida"/>
    <n v="50000"/>
    <n v="9"/>
    <n v="10.6"/>
    <n v="7.3"/>
    <n v="2.2999999999999998"/>
    <x v="2"/>
    <x v="0"/>
    <n v="3"/>
    <x v="1"/>
    <n v="3"/>
    <m/>
    <x v="1"/>
    <x v="1"/>
    <x v="1"/>
    <n v="0"/>
  </r>
  <r>
    <s v="EMP0950"/>
    <d v="2018-10-17T00:00:00"/>
    <x v="0"/>
    <n v="32"/>
    <s v="Female"/>
    <s v="Married"/>
    <s v="PhD"/>
    <x v="2"/>
    <x v="20"/>
    <x v="1"/>
    <s v="Hyderabad"/>
    <n v="54000"/>
    <n v="5"/>
    <n v="10.4"/>
    <n v="7.2"/>
    <n v="0.9"/>
    <x v="3"/>
    <x v="2"/>
    <n v="4"/>
    <x v="1"/>
    <n v="3"/>
    <m/>
    <x v="1"/>
    <x v="1"/>
    <x v="1"/>
    <n v="0"/>
  </r>
  <r>
    <s v="EMP0951"/>
    <d v="2025-05-07T00:00:00"/>
    <x v="1"/>
    <n v="23"/>
    <s v="Non-Binary"/>
    <s v="Married"/>
    <s v="Bachelor's"/>
    <x v="1"/>
    <x v="1"/>
    <x v="0"/>
    <s v="Chennai"/>
    <n v="25000"/>
    <n v="4.0999999999999996"/>
    <n v="8"/>
    <n v="0.6"/>
    <n v="0"/>
    <x v="3"/>
    <x v="3"/>
    <n v="3"/>
    <x v="1"/>
    <n v="3"/>
    <d v="2025-12-16T00:00:00"/>
    <x v="2"/>
    <x v="0"/>
    <x v="3"/>
    <n v="1"/>
  </r>
  <r>
    <s v="EMP0952"/>
    <d v="2020-03-14T00:00:00"/>
    <x v="0"/>
    <n v="27"/>
    <s v="Male"/>
    <s v="Single"/>
    <s v="Master's"/>
    <x v="6"/>
    <x v="21"/>
    <x v="0"/>
    <s v="Noida"/>
    <n v="38000"/>
    <n v="9.1"/>
    <n v="12.6"/>
    <n v="5.8"/>
    <n v="0.4"/>
    <x v="1"/>
    <x v="0"/>
    <n v="3"/>
    <x v="1"/>
    <n v="3"/>
    <m/>
    <x v="1"/>
    <x v="0"/>
    <x v="0"/>
    <n v="0"/>
  </r>
  <r>
    <s v="EMP0953"/>
    <d v="2019-09-28T00:00:00"/>
    <x v="0"/>
    <n v="38"/>
    <s v="Non-Binary"/>
    <s v="Divorced"/>
    <s v="Bachelor's"/>
    <x v="0"/>
    <x v="7"/>
    <x v="0"/>
    <s v="Mumbai"/>
    <n v="39000"/>
    <n v="5"/>
    <n v="8.9"/>
    <n v="6.3"/>
    <n v="3.7"/>
    <x v="2"/>
    <x v="0"/>
    <n v="3"/>
    <x v="1"/>
    <n v="3"/>
    <m/>
    <x v="0"/>
    <x v="0"/>
    <x v="1"/>
    <n v="0"/>
  </r>
  <r>
    <s v="EMP0954"/>
    <d v="2022-10-18T00:00:00"/>
    <x v="0"/>
    <n v="27"/>
    <s v="Female"/>
    <s v="Divorced"/>
    <s v="PhD"/>
    <x v="2"/>
    <x v="17"/>
    <x v="0"/>
    <s v="Noida"/>
    <n v="34000"/>
    <n v="3.9"/>
    <n v="9.1999999999999993"/>
    <n v="3.2"/>
    <n v="1.6"/>
    <x v="2"/>
    <x v="2"/>
    <n v="2"/>
    <x v="1"/>
    <n v="4"/>
    <m/>
    <x v="1"/>
    <x v="0"/>
    <x v="0"/>
    <n v="0"/>
  </r>
  <r>
    <s v="EMP0955"/>
    <d v="2018-04-23T00:00:00"/>
    <x v="0"/>
    <n v="30"/>
    <s v="Male"/>
    <s v="Married"/>
    <s v="Master's"/>
    <x v="0"/>
    <x v="7"/>
    <x v="1"/>
    <s v="Mumbai"/>
    <n v="48000"/>
    <n v="7.4"/>
    <n v="9.5"/>
    <n v="7.7"/>
    <n v="0.3"/>
    <x v="2"/>
    <x v="3"/>
    <n v="2"/>
    <x v="0"/>
    <n v="3"/>
    <m/>
    <x v="1"/>
    <x v="1"/>
    <x v="1"/>
    <n v="0"/>
  </r>
  <r>
    <s v="EMP0956"/>
    <d v="2023-08-29T00:00:00"/>
    <x v="1"/>
    <n v="30"/>
    <s v="Male"/>
    <s v="Single"/>
    <s v="PhD"/>
    <x v="4"/>
    <x v="24"/>
    <x v="4"/>
    <s v="Hyderabad"/>
    <n v="150000"/>
    <n v="8.8000000000000007"/>
    <n v="8.3000000000000007"/>
    <n v="2"/>
    <n v="0.4"/>
    <x v="3"/>
    <x v="2"/>
    <n v="2"/>
    <x v="1"/>
    <n v="4"/>
    <d v="2025-09-05T00:00:00"/>
    <x v="1"/>
    <x v="3"/>
    <x v="4"/>
    <n v="1"/>
  </r>
  <r>
    <s v="EMP0957"/>
    <d v="2018-05-05T00:00:00"/>
    <x v="0"/>
    <n v="28"/>
    <s v="Non-Binary"/>
    <s v="Divorced"/>
    <s v="Diploma"/>
    <x v="4"/>
    <x v="24"/>
    <x v="3"/>
    <s v="Chennai"/>
    <n v="116000"/>
    <n v="4.3"/>
    <n v="14.2"/>
    <n v="7.7"/>
    <n v="2"/>
    <x v="2"/>
    <x v="0"/>
    <n v="3"/>
    <x v="0"/>
    <n v="4"/>
    <m/>
    <x v="1"/>
    <x v="3"/>
    <x v="1"/>
    <n v="0"/>
  </r>
  <r>
    <s v="EMP0958"/>
    <d v="2025-06-10T00:00:00"/>
    <x v="0"/>
    <n v="41"/>
    <s v="Female"/>
    <s v="Single"/>
    <s v="Master's"/>
    <x v="2"/>
    <x v="20"/>
    <x v="1"/>
    <s v="Chennai"/>
    <n v="56000"/>
    <n v="8.1999999999999993"/>
    <n v="4.5"/>
    <n v="0.6"/>
    <n v="0"/>
    <x v="2"/>
    <x v="0"/>
    <n v="4"/>
    <x v="1"/>
    <n v="3"/>
    <m/>
    <x v="0"/>
    <x v="1"/>
    <x v="3"/>
    <n v="0"/>
  </r>
  <r>
    <s v="EMP0959"/>
    <d v="2022-10-16T00:00:00"/>
    <x v="0"/>
    <n v="40"/>
    <s v="Male"/>
    <s v="Single"/>
    <s v="PhD"/>
    <x v="1"/>
    <x v="27"/>
    <x v="3"/>
    <s v="Noida"/>
    <n v="116000"/>
    <n v="5.0999999999999996"/>
    <n v="7.3"/>
    <n v="3.2"/>
    <n v="1.3"/>
    <x v="0"/>
    <x v="0"/>
    <n v="3"/>
    <x v="1"/>
    <n v="3"/>
    <m/>
    <x v="0"/>
    <x v="3"/>
    <x v="0"/>
    <n v="0"/>
  </r>
  <r>
    <s v="EMP0960"/>
    <d v="2025-01-13T00:00:00"/>
    <x v="0"/>
    <n v="42"/>
    <s v="Female"/>
    <s v="Married"/>
    <s v="Master's"/>
    <x v="5"/>
    <x v="18"/>
    <x v="3"/>
    <s v="Mumbai"/>
    <n v="128000"/>
    <n v="5.0999999999999996"/>
    <n v="8.8000000000000007"/>
    <n v="1"/>
    <n v="0.3"/>
    <x v="2"/>
    <x v="0"/>
    <n v="3"/>
    <x v="1"/>
    <n v="3"/>
    <m/>
    <x v="0"/>
    <x v="3"/>
    <x v="4"/>
    <n v="0"/>
  </r>
  <r>
    <s v="EMP0961"/>
    <d v="2020-05-22T00:00:00"/>
    <x v="0"/>
    <n v="29"/>
    <s v="Non-Binary"/>
    <s v="Married"/>
    <s v="PhD"/>
    <x v="3"/>
    <x v="11"/>
    <x v="1"/>
    <s v="Bengaluru"/>
    <n v="49000"/>
    <n v="12.9"/>
    <n v="8.6"/>
    <n v="5.6"/>
    <n v="0.5"/>
    <x v="3"/>
    <x v="1"/>
    <n v="4"/>
    <x v="0"/>
    <n v="1"/>
    <m/>
    <x v="1"/>
    <x v="1"/>
    <x v="0"/>
    <n v="0"/>
  </r>
  <r>
    <s v="EMP0962"/>
    <d v="2025-09-04T00:00:00"/>
    <x v="0"/>
    <n v="44"/>
    <s v="Male"/>
    <s v="Single"/>
    <s v="Diploma"/>
    <x v="2"/>
    <x v="20"/>
    <x v="4"/>
    <s v="Hyderabad"/>
    <n v="158000"/>
    <n v="13.4"/>
    <n v="3.3"/>
    <n v="0.3"/>
    <n v="0"/>
    <x v="3"/>
    <x v="2"/>
    <n v="3"/>
    <x v="0"/>
    <n v="4"/>
    <m/>
    <x v="0"/>
    <x v="3"/>
    <x v="3"/>
    <n v="0"/>
  </r>
  <r>
    <s v="EMP0963"/>
    <d v="2024-09-26T00:00:00"/>
    <x v="0"/>
    <n v="32"/>
    <s v="Female"/>
    <s v="Divorced"/>
    <s v="Bachelor's"/>
    <x v="5"/>
    <x v="8"/>
    <x v="4"/>
    <s v="Chennai"/>
    <n v="160000"/>
    <n v="6.9"/>
    <n v="7.6"/>
    <n v="1.3"/>
    <n v="1.2"/>
    <x v="1"/>
    <x v="2"/>
    <n v="3"/>
    <x v="0"/>
    <n v="3"/>
    <m/>
    <x v="1"/>
    <x v="3"/>
    <x v="4"/>
    <n v="0"/>
  </r>
  <r>
    <s v="EMP0964"/>
    <d v="2018-08-11T00:00:00"/>
    <x v="0"/>
    <n v="42"/>
    <s v="Non-Binary"/>
    <s v="Single"/>
    <s v="PhD"/>
    <x v="6"/>
    <x v="22"/>
    <x v="0"/>
    <s v="Mumbai"/>
    <n v="24000"/>
    <n v="7.5"/>
    <n v="8.1999999999999993"/>
    <n v="7.4"/>
    <n v="3.6"/>
    <x v="2"/>
    <x v="0"/>
    <n v="1"/>
    <x v="0"/>
    <n v="4"/>
    <m/>
    <x v="0"/>
    <x v="0"/>
    <x v="1"/>
    <n v="0"/>
  </r>
  <r>
    <s v="EMP0965"/>
    <d v="2024-11-27T00:00:00"/>
    <x v="0"/>
    <n v="23"/>
    <s v="Male"/>
    <s v="Divorced"/>
    <s v="Master's"/>
    <x v="6"/>
    <x v="21"/>
    <x v="0"/>
    <s v="Bengaluru"/>
    <n v="39000"/>
    <n v="6.1"/>
    <n v="3"/>
    <n v="1.1000000000000001"/>
    <n v="1.1000000000000001"/>
    <x v="2"/>
    <x v="0"/>
    <n v="3"/>
    <x v="1"/>
    <n v="3"/>
    <m/>
    <x v="2"/>
    <x v="0"/>
    <x v="4"/>
    <n v="0"/>
  </r>
  <r>
    <s v="EMP0966"/>
    <d v="2024-07-23T00:00:00"/>
    <x v="1"/>
    <n v="30"/>
    <s v="Female"/>
    <s v="Single"/>
    <s v="Diploma"/>
    <x v="5"/>
    <x v="8"/>
    <x v="2"/>
    <s v="Noida"/>
    <n v="79000"/>
    <n v="9"/>
    <n v="2.8"/>
    <n v="0.5"/>
    <n v="0"/>
    <x v="2"/>
    <x v="0"/>
    <n v="2"/>
    <x v="0"/>
    <n v="3"/>
    <d v="2025-02-07T00:00:00"/>
    <x v="1"/>
    <x v="4"/>
    <x v="3"/>
    <n v="1"/>
  </r>
  <r>
    <s v="EMP0967"/>
    <d v="2022-03-03T00:00:00"/>
    <x v="1"/>
    <n v="30"/>
    <s v="Female"/>
    <s v="Married"/>
    <s v="Master's"/>
    <x v="1"/>
    <x v="1"/>
    <x v="2"/>
    <s v="Hyderabad"/>
    <n v="83000"/>
    <n v="10.3"/>
    <n v="6.3"/>
    <n v="3.2"/>
    <n v="2.6"/>
    <x v="2"/>
    <x v="0"/>
    <n v="4"/>
    <x v="1"/>
    <n v="4"/>
    <d v="2025-05-10T00:00:00"/>
    <x v="1"/>
    <x v="2"/>
    <x v="0"/>
    <n v="1"/>
  </r>
  <r>
    <s v="EMP0968"/>
    <d v="2014-06-29T00:00:00"/>
    <x v="0"/>
    <n v="34"/>
    <s v="Female"/>
    <s v="Single"/>
    <s v="Bachelor's"/>
    <x v="0"/>
    <x v="16"/>
    <x v="2"/>
    <s v="Pune"/>
    <n v="81000"/>
    <n v="3.4"/>
    <n v="18.5"/>
    <n v="11.5"/>
    <n v="1"/>
    <x v="0"/>
    <x v="0"/>
    <n v="2"/>
    <x v="1"/>
    <n v="5"/>
    <m/>
    <x v="1"/>
    <x v="2"/>
    <x v="2"/>
    <n v="0"/>
  </r>
  <r>
    <s v="EMP0969"/>
    <d v="2021-03-15T00:00:00"/>
    <x v="0"/>
    <n v="25"/>
    <s v="Male"/>
    <s v="Single"/>
    <s v="PhD"/>
    <x v="1"/>
    <x v="1"/>
    <x v="0"/>
    <s v="Chennai"/>
    <n v="26000"/>
    <n v="6"/>
    <n v="11"/>
    <n v="4.8"/>
    <n v="3"/>
    <x v="2"/>
    <x v="0"/>
    <n v="4"/>
    <x v="1"/>
    <n v="3"/>
    <m/>
    <x v="2"/>
    <x v="0"/>
    <x v="0"/>
    <n v="0"/>
  </r>
  <r>
    <s v="EMP0970"/>
    <d v="2017-09-27T00:00:00"/>
    <x v="0"/>
    <n v="40"/>
    <s v="Non-Binary"/>
    <s v="Single"/>
    <s v="PhD"/>
    <x v="1"/>
    <x v="27"/>
    <x v="1"/>
    <s v="Noida"/>
    <n v="64000"/>
    <n v="2.9"/>
    <n v="11.4"/>
    <n v="8.3000000000000007"/>
    <n v="3.2"/>
    <x v="0"/>
    <x v="0"/>
    <n v="4"/>
    <x v="1"/>
    <n v="3"/>
    <m/>
    <x v="0"/>
    <x v="4"/>
    <x v="1"/>
    <n v="0"/>
  </r>
  <r>
    <s v="EMP0971"/>
    <d v="2016-11-09T00:00:00"/>
    <x v="0"/>
    <n v="35"/>
    <s v="Non-Binary"/>
    <s v="Divorced"/>
    <s v="Master's"/>
    <x v="4"/>
    <x v="24"/>
    <x v="2"/>
    <s v="Hyderabad"/>
    <n v="75000"/>
    <n v="1.6"/>
    <n v="14.2"/>
    <n v="9.1"/>
    <n v="4.8"/>
    <x v="2"/>
    <x v="0"/>
    <n v="4"/>
    <x v="0"/>
    <n v="5"/>
    <m/>
    <x v="1"/>
    <x v="4"/>
    <x v="1"/>
    <n v="0"/>
  </r>
  <r>
    <s v="EMP0972"/>
    <d v="2022-03-10T00:00:00"/>
    <x v="0"/>
    <n v="33"/>
    <s v="Female"/>
    <s v="Single"/>
    <s v="PhD"/>
    <x v="2"/>
    <x v="20"/>
    <x v="1"/>
    <s v="Bengaluru"/>
    <n v="57000"/>
    <n v="0.2"/>
    <n v="11"/>
    <n v="3.8"/>
    <n v="1"/>
    <x v="1"/>
    <x v="0"/>
    <n v="3"/>
    <x v="1"/>
    <n v="1"/>
    <m/>
    <x v="1"/>
    <x v="1"/>
    <x v="0"/>
    <n v="0"/>
  </r>
  <r>
    <s v="EMP0973"/>
    <d v="2016-04-24T00:00:00"/>
    <x v="0"/>
    <n v="34"/>
    <s v="Female"/>
    <s v="Divorced"/>
    <s v="Bachelor's"/>
    <x v="3"/>
    <x v="15"/>
    <x v="4"/>
    <s v="Mumbai"/>
    <n v="168000"/>
    <n v="11.8"/>
    <n v="13"/>
    <n v="9.6999999999999993"/>
    <n v="3"/>
    <x v="0"/>
    <x v="2"/>
    <n v="4"/>
    <x v="0"/>
    <n v="4"/>
    <m/>
    <x v="1"/>
    <x v="3"/>
    <x v="1"/>
    <n v="0"/>
  </r>
  <r>
    <s v="EMP0974"/>
    <d v="2022-02-14T00:00:00"/>
    <x v="0"/>
    <n v="27"/>
    <s v="Male"/>
    <s v="Divorced"/>
    <s v="PhD"/>
    <x v="4"/>
    <x v="14"/>
    <x v="0"/>
    <s v="Bengaluru"/>
    <n v="22000"/>
    <n v="7.4"/>
    <n v="11.3"/>
    <n v="3.9"/>
    <n v="1.5"/>
    <x v="0"/>
    <x v="0"/>
    <n v="2"/>
    <x v="1"/>
    <n v="4"/>
    <m/>
    <x v="1"/>
    <x v="0"/>
    <x v="0"/>
    <n v="0"/>
  </r>
  <r>
    <s v="EMP0975"/>
    <d v="2025-06-17T00:00:00"/>
    <x v="0"/>
    <n v="43"/>
    <s v="Male"/>
    <s v="Married"/>
    <s v="Bachelor's"/>
    <x v="6"/>
    <x v="22"/>
    <x v="3"/>
    <s v="Hyderabad"/>
    <n v="117000"/>
    <n v="10.7"/>
    <n v="5.8"/>
    <n v="0.5"/>
    <n v="0"/>
    <x v="0"/>
    <x v="0"/>
    <n v="4"/>
    <x v="0"/>
    <n v="3"/>
    <m/>
    <x v="0"/>
    <x v="3"/>
    <x v="3"/>
    <n v="0"/>
  </r>
  <r>
    <s v="EMP0976"/>
    <d v="2024-05-07T00:00:00"/>
    <x v="0"/>
    <n v="29"/>
    <s v="Female"/>
    <s v="Married"/>
    <s v="Bachelor's"/>
    <x v="6"/>
    <x v="19"/>
    <x v="0"/>
    <s v="Chennai"/>
    <n v="32000"/>
    <n v="15.7"/>
    <n v="2.2000000000000002"/>
    <n v="1.7"/>
    <n v="1.3"/>
    <x v="0"/>
    <x v="2"/>
    <n v="3"/>
    <x v="0"/>
    <n v="3"/>
    <m/>
    <x v="1"/>
    <x v="0"/>
    <x v="4"/>
    <n v="0"/>
  </r>
  <r>
    <s v="EMP0977"/>
    <d v="2020-01-26T00:00:00"/>
    <x v="0"/>
    <n v="44"/>
    <s v="Male"/>
    <s v="Divorced"/>
    <s v="Bachelor's"/>
    <x v="2"/>
    <x v="17"/>
    <x v="2"/>
    <s v="Bengaluru"/>
    <n v="72000"/>
    <n v="14.3"/>
    <n v="6.7"/>
    <n v="5.9"/>
    <n v="1"/>
    <x v="0"/>
    <x v="2"/>
    <n v="3"/>
    <x v="1"/>
    <n v="3"/>
    <m/>
    <x v="0"/>
    <x v="4"/>
    <x v="0"/>
    <n v="0"/>
  </r>
  <r>
    <s v="EMP0978"/>
    <d v="2019-08-05T00:00:00"/>
    <x v="0"/>
    <n v="37"/>
    <s v="Male"/>
    <s v="Divorced"/>
    <s v="PhD"/>
    <x v="1"/>
    <x v="27"/>
    <x v="1"/>
    <s v="Pune"/>
    <n v="55000"/>
    <n v="3.3"/>
    <n v="12.5"/>
    <n v="6.4"/>
    <n v="2.1"/>
    <x v="3"/>
    <x v="0"/>
    <n v="3"/>
    <x v="1"/>
    <n v="4"/>
    <m/>
    <x v="0"/>
    <x v="1"/>
    <x v="1"/>
    <n v="0"/>
  </r>
  <r>
    <s v="EMP0979"/>
    <d v="2020-01-17T00:00:00"/>
    <x v="0"/>
    <n v="40"/>
    <s v="Female"/>
    <s v="Married"/>
    <s v="Diploma"/>
    <x v="1"/>
    <x v="27"/>
    <x v="2"/>
    <s v="Noida"/>
    <n v="82000"/>
    <n v="3"/>
    <n v="11.9"/>
    <n v="6"/>
    <n v="5"/>
    <x v="2"/>
    <x v="2"/>
    <n v="4"/>
    <x v="1"/>
    <n v="4"/>
    <m/>
    <x v="0"/>
    <x v="2"/>
    <x v="0"/>
    <n v="0"/>
  </r>
  <r>
    <s v="EMP0980"/>
    <d v="2025-04-10T00:00:00"/>
    <x v="1"/>
    <n v="32"/>
    <s v="Female"/>
    <s v="Single"/>
    <s v="Master's"/>
    <x v="6"/>
    <x v="22"/>
    <x v="3"/>
    <s v="Bengaluru"/>
    <n v="115000"/>
    <n v="12.8"/>
    <n v="8.1"/>
    <n v="0.6"/>
    <n v="0"/>
    <x v="2"/>
    <x v="0"/>
    <n v="4"/>
    <x v="0"/>
    <n v="5"/>
    <d v="2025-11-26T00:00:00"/>
    <x v="1"/>
    <x v="3"/>
    <x v="3"/>
    <n v="1"/>
  </r>
  <r>
    <s v="EMP0981"/>
    <d v="2020-02-29T00:00:00"/>
    <x v="0"/>
    <n v="46"/>
    <s v="Non-Binary"/>
    <s v="Married"/>
    <s v="Diploma"/>
    <x v="4"/>
    <x v="25"/>
    <x v="2"/>
    <s v="Bengaluru"/>
    <n v="76000"/>
    <n v="7.6"/>
    <n v="6.8"/>
    <n v="5.8"/>
    <n v="4.7"/>
    <x v="2"/>
    <x v="2"/>
    <n v="3"/>
    <x v="1"/>
    <n v="3"/>
    <m/>
    <x v="3"/>
    <x v="4"/>
    <x v="0"/>
    <n v="0"/>
  </r>
  <r>
    <s v="EMP0982"/>
    <d v="2022-06-28T00:00:00"/>
    <x v="0"/>
    <n v="31"/>
    <s v="Non-Binary"/>
    <s v="Married"/>
    <s v="Bachelor's"/>
    <x v="2"/>
    <x v="23"/>
    <x v="0"/>
    <s v="Mumbai"/>
    <n v="30000"/>
    <n v="12.8"/>
    <n v="6.5"/>
    <n v="3.5"/>
    <n v="0.5"/>
    <x v="3"/>
    <x v="0"/>
    <n v="3"/>
    <x v="1"/>
    <n v="2"/>
    <m/>
    <x v="1"/>
    <x v="0"/>
    <x v="0"/>
    <n v="0"/>
  </r>
  <r>
    <s v="EMP0983"/>
    <d v="2023-10-15T00:00:00"/>
    <x v="1"/>
    <n v="25"/>
    <s v="Male"/>
    <s v="Married"/>
    <s v="Diploma"/>
    <x v="6"/>
    <x v="21"/>
    <x v="0"/>
    <s v="Hyderabad"/>
    <n v="35000"/>
    <n v="11.7"/>
    <n v="8.3000000000000007"/>
    <n v="1.3"/>
    <n v="1.2"/>
    <x v="2"/>
    <x v="0"/>
    <n v="4"/>
    <x v="0"/>
    <n v="3"/>
    <d v="2025-02-17T00:00:00"/>
    <x v="2"/>
    <x v="0"/>
    <x v="4"/>
    <n v="1"/>
  </r>
  <r>
    <s v="EMP0984"/>
    <d v="2018-11-21T00:00:00"/>
    <x v="0"/>
    <n v="39"/>
    <s v="Non-Binary"/>
    <s v="Divorced"/>
    <s v="Diploma"/>
    <x v="5"/>
    <x v="13"/>
    <x v="2"/>
    <s v="Chennai"/>
    <n v="93000"/>
    <n v="9.1999999999999993"/>
    <n v="13.2"/>
    <n v="7.1"/>
    <n v="4.5"/>
    <x v="1"/>
    <x v="2"/>
    <n v="2"/>
    <x v="0"/>
    <n v="4"/>
    <m/>
    <x v="0"/>
    <x v="2"/>
    <x v="1"/>
    <n v="0"/>
  </r>
  <r>
    <s v="EMP0985"/>
    <d v="2020-12-23T00:00:00"/>
    <x v="0"/>
    <n v="42"/>
    <s v="Non-Binary"/>
    <s v="Single"/>
    <s v="Bachelor's"/>
    <x v="0"/>
    <x v="7"/>
    <x v="1"/>
    <s v="Mumbai"/>
    <n v="38000"/>
    <n v="7.6"/>
    <n v="5.8"/>
    <n v="5"/>
    <n v="1.7"/>
    <x v="2"/>
    <x v="2"/>
    <n v="2"/>
    <x v="1"/>
    <n v="2"/>
    <m/>
    <x v="0"/>
    <x v="0"/>
    <x v="0"/>
    <n v="0"/>
  </r>
  <r>
    <s v="EMP0986"/>
    <d v="2020-12-13T00:00:00"/>
    <x v="0"/>
    <n v="36"/>
    <s v="Non-Binary"/>
    <s v="Single"/>
    <s v="Bachelor's"/>
    <x v="5"/>
    <x v="26"/>
    <x v="3"/>
    <s v="Mumbai"/>
    <n v="135000"/>
    <n v="6.6"/>
    <n v="12.2"/>
    <n v="5"/>
    <n v="1.2"/>
    <x v="3"/>
    <x v="0"/>
    <n v="2"/>
    <x v="0"/>
    <n v="5"/>
    <m/>
    <x v="0"/>
    <x v="3"/>
    <x v="0"/>
    <n v="0"/>
  </r>
  <r>
    <s v="EMP0987"/>
    <d v="2016-05-31T00:00:00"/>
    <x v="0"/>
    <n v="30"/>
    <s v="Male"/>
    <s v="Married"/>
    <s v="Master's"/>
    <x v="1"/>
    <x v="27"/>
    <x v="1"/>
    <s v="Bengaluru"/>
    <n v="70000"/>
    <n v="11.2"/>
    <n v="9.6"/>
    <n v="9.6"/>
    <n v="3.1"/>
    <x v="2"/>
    <x v="0"/>
    <n v="4"/>
    <x v="1"/>
    <n v="4"/>
    <m/>
    <x v="1"/>
    <x v="4"/>
    <x v="1"/>
    <n v="0"/>
  </r>
  <r>
    <s v="EMP0988"/>
    <d v="2021-07-18T00:00:00"/>
    <x v="0"/>
    <n v="31"/>
    <s v="Male"/>
    <s v="Divorced"/>
    <s v="PhD"/>
    <x v="3"/>
    <x v="11"/>
    <x v="2"/>
    <s v="Hyderabad"/>
    <n v="68000"/>
    <n v="11.1"/>
    <n v="12.2"/>
    <n v="4.5"/>
    <n v="1.9"/>
    <x v="2"/>
    <x v="0"/>
    <n v="3"/>
    <x v="1"/>
    <n v="4"/>
    <m/>
    <x v="1"/>
    <x v="4"/>
    <x v="0"/>
    <n v="0"/>
  </r>
  <r>
    <s v="EMP0989"/>
    <d v="2024-05-11T00:00:00"/>
    <x v="0"/>
    <n v="48"/>
    <s v="Non-Binary"/>
    <s v="Single"/>
    <s v="Master's"/>
    <x v="0"/>
    <x v="16"/>
    <x v="0"/>
    <s v="Pune"/>
    <n v="37000"/>
    <n v="6.7"/>
    <n v="6.3"/>
    <n v="1.6"/>
    <n v="1.3"/>
    <x v="0"/>
    <x v="0"/>
    <n v="4"/>
    <x v="1"/>
    <n v="3"/>
    <m/>
    <x v="3"/>
    <x v="0"/>
    <x v="4"/>
    <n v="0"/>
  </r>
  <r>
    <s v="EMP0990"/>
    <d v="2017-09-12T00:00:00"/>
    <x v="0"/>
    <n v="32"/>
    <s v="Male"/>
    <s v="Married"/>
    <s v="Master's"/>
    <x v="0"/>
    <x v="0"/>
    <x v="2"/>
    <s v="Mumbai"/>
    <n v="70000"/>
    <n v="13.5"/>
    <n v="12.9"/>
    <n v="8.3000000000000007"/>
    <n v="3.9"/>
    <x v="3"/>
    <x v="0"/>
    <n v="4"/>
    <x v="0"/>
    <n v="1"/>
    <m/>
    <x v="1"/>
    <x v="4"/>
    <x v="1"/>
    <n v="0"/>
  </r>
  <r>
    <s v="EMP0991"/>
    <d v="2019-08-26T00:00:00"/>
    <x v="0"/>
    <n v="28"/>
    <s v="Male"/>
    <s v="Married"/>
    <s v="Diploma"/>
    <x v="1"/>
    <x v="27"/>
    <x v="2"/>
    <s v="Pune"/>
    <n v="107000"/>
    <n v="9.1999999999999993"/>
    <n v="11.6"/>
    <n v="6.3"/>
    <n v="4.0999999999999996"/>
    <x v="2"/>
    <x v="0"/>
    <n v="2"/>
    <x v="1"/>
    <n v="4"/>
    <m/>
    <x v="1"/>
    <x v="3"/>
    <x v="1"/>
    <n v="0"/>
  </r>
  <r>
    <s v="EMP0992"/>
    <d v="2017-06-11T00:00:00"/>
    <x v="0"/>
    <n v="29"/>
    <s v="Male"/>
    <s v="Married"/>
    <s v="Bachelor's"/>
    <x v="2"/>
    <x v="20"/>
    <x v="2"/>
    <s v="Hyderabad"/>
    <n v="78000"/>
    <n v="10.199999999999999"/>
    <n v="9.8000000000000007"/>
    <n v="8.6"/>
    <n v="4.7"/>
    <x v="2"/>
    <x v="2"/>
    <n v="3"/>
    <x v="1"/>
    <n v="4"/>
    <m/>
    <x v="1"/>
    <x v="4"/>
    <x v="1"/>
    <n v="0"/>
  </r>
  <r>
    <s v="EMP0993"/>
    <d v="2020-09-18T00:00:00"/>
    <x v="0"/>
    <n v="47"/>
    <s v="Female"/>
    <s v="Married"/>
    <s v="PhD"/>
    <x v="1"/>
    <x v="9"/>
    <x v="1"/>
    <s v="Hyderabad"/>
    <n v="73000"/>
    <n v="7.4"/>
    <n v="10"/>
    <n v="5.3"/>
    <n v="1.8"/>
    <x v="0"/>
    <x v="0"/>
    <n v="3"/>
    <x v="0"/>
    <n v="4"/>
    <m/>
    <x v="3"/>
    <x v="4"/>
    <x v="0"/>
    <n v="0"/>
  </r>
  <r>
    <s v="EMP0994"/>
    <d v="2015-02-11T00:00:00"/>
    <x v="0"/>
    <n v="35"/>
    <s v="Non-Binary"/>
    <s v="Married"/>
    <s v="Diploma"/>
    <x v="1"/>
    <x v="1"/>
    <x v="1"/>
    <s v="Noida"/>
    <n v="62000"/>
    <n v="10.4"/>
    <n v="12.6"/>
    <n v="10.9"/>
    <n v="5.7"/>
    <x v="3"/>
    <x v="0"/>
    <n v="4"/>
    <x v="0"/>
    <n v="2"/>
    <m/>
    <x v="1"/>
    <x v="4"/>
    <x v="2"/>
    <n v="0"/>
  </r>
  <r>
    <s v="EMP0995"/>
    <d v="2019-08-29T00:00:00"/>
    <x v="1"/>
    <n v="37"/>
    <s v="Non-Binary"/>
    <s v="Divorced"/>
    <s v="Master's"/>
    <x v="5"/>
    <x v="18"/>
    <x v="3"/>
    <s v="Noida"/>
    <n v="137000"/>
    <n v="11.3"/>
    <n v="7.4"/>
    <n v="5.5"/>
    <n v="1.6"/>
    <x v="2"/>
    <x v="2"/>
    <n v="3"/>
    <x v="1"/>
    <n v="4"/>
    <d v="2025-02-24T00:00:00"/>
    <x v="0"/>
    <x v="3"/>
    <x v="0"/>
    <n v="1"/>
  </r>
  <r>
    <s v="EMP0996"/>
    <d v="2025-06-21T00:00:00"/>
    <x v="0"/>
    <n v="43"/>
    <s v="Female"/>
    <s v="Married"/>
    <s v="Diploma"/>
    <x v="3"/>
    <x v="15"/>
    <x v="1"/>
    <s v="Chennai"/>
    <n v="70000"/>
    <n v="21.6"/>
    <n v="3.3"/>
    <n v="0.5"/>
    <n v="0"/>
    <x v="0"/>
    <x v="1"/>
    <n v="3"/>
    <x v="1"/>
    <n v="4"/>
    <m/>
    <x v="0"/>
    <x v="4"/>
    <x v="3"/>
    <n v="0"/>
  </r>
  <r>
    <s v="EMP0997"/>
    <d v="2014-06-18T00:00:00"/>
    <x v="0"/>
    <n v="35"/>
    <s v="Male"/>
    <s v="Divorced"/>
    <s v="Diploma"/>
    <x v="1"/>
    <x v="1"/>
    <x v="2"/>
    <s v="Mumbai"/>
    <n v="71000"/>
    <n v="11.2"/>
    <n v="16.5"/>
    <n v="11.5"/>
    <n v="5.3"/>
    <x v="2"/>
    <x v="0"/>
    <n v="4"/>
    <x v="1"/>
    <n v="3"/>
    <m/>
    <x v="1"/>
    <x v="4"/>
    <x v="2"/>
    <n v="0"/>
  </r>
  <r>
    <s v="EMP0998"/>
    <d v="2025-07-05T00:00:00"/>
    <x v="1"/>
    <n v="46"/>
    <s v="Non-Binary"/>
    <s v="Divorced"/>
    <s v="PhD"/>
    <x v="1"/>
    <x v="1"/>
    <x v="4"/>
    <s v="Noida"/>
    <n v="172000"/>
    <n v="2.2000000000000002"/>
    <n v="7.2"/>
    <n v="0.3"/>
    <n v="0"/>
    <x v="2"/>
    <x v="0"/>
    <n v="4"/>
    <x v="0"/>
    <n v="2"/>
    <d v="2025-10-25T00:00:00"/>
    <x v="3"/>
    <x v="3"/>
    <x v="3"/>
    <n v="1"/>
  </r>
  <r>
    <s v="EMP0999"/>
    <d v="2025-03-08T00:00:00"/>
    <x v="1"/>
    <n v="21"/>
    <s v="Male"/>
    <s v="Single"/>
    <s v="Diploma"/>
    <x v="1"/>
    <x v="27"/>
    <x v="0"/>
    <s v="Pune"/>
    <n v="46000"/>
    <n v="0.7"/>
    <n v="5.5"/>
    <n v="0.8"/>
    <n v="0"/>
    <x v="3"/>
    <x v="0"/>
    <n v="3"/>
    <x v="0"/>
    <n v="3"/>
    <d v="2025-12-28T00:00:00"/>
    <x v="2"/>
    <x v="1"/>
    <x v="3"/>
    <n v="1"/>
  </r>
  <r>
    <s v="EMP1000"/>
    <d v="2025-08-20T00:00:00"/>
    <x v="0"/>
    <n v="21"/>
    <s v="Non-Binary"/>
    <s v="Unkown"/>
    <s v="Bachelor's"/>
    <x v="4"/>
    <x v="25"/>
    <x v="0"/>
    <s v="Mumbai"/>
    <n v="29000"/>
    <n v="15.6"/>
    <n v="7.9"/>
    <n v="0.4"/>
    <n v="0"/>
    <x v="2"/>
    <x v="0"/>
    <n v="3"/>
    <x v="0"/>
    <n v="2"/>
    <m/>
    <x v="2"/>
    <x v="0"/>
    <x v="3"/>
    <n v="0"/>
  </r>
  <r>
    <s v="EMP1001"/>
    <d v="2020-05-15T00:00:00"/>
    <x v="0"/>
    <n v="27"/>
    <s v="Female"/>
    <s v="Divorced"/>
    <s v="Master's"/>
    <x v="2"/>
    <x v="20"/>
    <x v="0"/>
    <s v="Bengaluru"/>
    <n v="33000"/>
    <n v="9.1"/>
    <n v="7.5"/>
    <n v="5.6"/>
    <n v="3.2"/>
    <x v="3"/>
    <x v="3"/>
    <n v="3"/>
    <x v="1"/>
    <n v="5"/>
    <m/>
    <x v="1"/>
    <x v="0"/>
    <x v="0"/>
    <n v="0"/>
  </r>
  <r>
    <s v="EMP1002"/>
    <d v="2023-01-20T00:00:00"/>
    <x v="1"/>
    <n v="23"/>
    <s v="Female"/>
    <s v="Married"/>
    <s v="Bachelor's"/>
    <x v="0"/>
    <x v="0"/>
    <x v="0"/>
    <s v="Noida"/>
    <n v="37000"/>
    <n v="0"/>
    <n v="4"/>
    <n v="2.2000000000000002"/>
    <n v="0.1"/>
    <x v="2"/>
    <x v="1"/>
    <n v="4"/>
    <x v="1"/>
    <n v="3"/>
    <d v="2025-03-22T00:00:00"/>
    <x v="2"/>
    <x v="0"/>
    <x v="4"/>
    <n v="1"/>
  </r>
  <r>
    <s v="EMP1003"/>
    <d v="2025-05-24T00:00:00"/>
    <x v="0"/>
    <n v="30"/>
    <s v="Male"/>
    <s v="Married"/>
    <s v="PhD"/>
    <x v="3"/>
    <x v="11"/>
    <x v="2"/>
    <s v="Bengaluru"/>
    <n v="86000"/>
    <n v="9.1"/>
    <n v="6.7"/>
    <n v="0.6"/>
    <n v="0"/>
    <x v="2"/>
    <x v="2"/>
    <n v="3"/>
    <x v="1"/>
    <n v="4"/>
    <m/>
    <x v="1"/>
    <x v="2"/>
    <x v="3"/>
    <n v="0"/>
  </r>
  <r>
    <s v="EMP1004"/>
    <d v="2025-07-02T00:00:00"/>
    <x v="0"/>
    <n v="26"/>
    <s v="Non-Binary"/>
    <s v="Single"/>
    <s v="Diploma"/>
    <x v="1"/>
    <x v="9"/>
    <x v="0"/>
    <s v="Noida"/>
    <n v="41000"/>
    <n v="8.6999999999999993"/>
    <n v="1.2"/>
    <n v="0.5"/>
    <n v="0"/>
    <x v="0"/>
    <x v="1"/>
    <n v="3"/>
    <x v="0"/>
    <n v="3"/>
    <m/>
    <x v="1"/>
    <x v="1"/>
    <x v="3"/>
    <n v="0"/>
  </r>
  <r>
    <s v="EMP1005"/>
    <d v="2024-03-04T00:00:00"/>
    <x v="0"/>
    <n v="30"/>
    <s v="Female"/>
    <s v="Divorced"/>
    <s v="Master's"/>
    <x v="4"/>
    <x v="24"/>
    <x v="3"/>
    <s v="Noida"/>
    <n v="112000"/>
    <n v="6.9"/>
    <n v="9.5"/>
    <n v="1.8"/>
    <n v="0.8"/>
    <x v="2"/>
    <x v="0"/>
    <n v="4"/>
    <x v="1"/>
    <n v="3"/>
    <m/>
    <x v="1"/>
    <x v="3"/>
    <x v="4"/>
    <n v="0"/>
  </r>
  <r>
    <s v="EMP1006"/>
    <d v="2022-03-30T00:00:00"/>
    <x v="0"/>
    <n v="48"/>
    <s v="Non-Binary"/>
    <s v="Single"/>
    <s v="PhD"/>
    <x v="2"/>
    <x v="23"/>
    <x v="1"/>
    <s v="Mumbai"/>
    <n v="39000"/>
    <n v="1.6"/>
    <n v="8.4"/>
    <n v="3.8"/>
    <n v="3"/>
    <x v="2"/>
    <x v="1"/>
    <n v="1"/>
    <x v="1"/>
    <n v="4"/>
    <m/>
    <x v="3"/>
    <x v="0"/>
    <x v="0"/>
    <n v="0"/>
  </r>
  <r>
    <s v="EMP1007"/>
    <d v="2024-04-25T00:00:00"/>
    <x v="0"/>
    <n v="28"/>
    <s v="Male"/>
    <s v="Married"/>
    <s v="Bachelor's"/>
    <x v="0"/>
    <x v="3"/>
    <x v="0"/>
    <s v="Hyderabad"/>
    <n v="29000"/>
    <n v="5.9"/>
    <n v="2.1"/>
    <n v="1.7"/>
    <n v="1.5"/>
    <x v="0"/>
    <x v="0"/>
    <n v="2"/>
    <x v="1"/>
    <n v="4"/>
    <m/>
    <x v="1"/>
    <x v="0"/>
    <x v="4"/>
    <n v="0"/>
  </r>
  <r>
    <s v="EMP1008"/>
    <d v="2016-01-05T00:00:00"/>
    <x v="0"/>
    <n v="44"/>
    <s v="Female"/>
    <s v="Single"/>
    <s v="PhD"/>
    <x v="6"/>
    <x v="21"/>
    <x v="2"/>
    <s v="Noida"/>
    <n v="84000"/>
    <n v="12.4"/>
    <n v="11.1"/>
    <n v="10"/>
    <n v="4.7"/>
    <x v="2"/>
    <x v="0"/>
    <n v="2"/>
    <x v="0"/>
    <n v="2"/>
    <m/>
    <x v="0"/>
    <x v="2"/>
    <x v="1"/>
    <n v="0"/>
  </r>
  <r>
    <s v="EMP1009"/>
    <d v="2022-03-26T00:00:00"/>
    <x v="0"/>
    <n v="25"/>
    <s v="Non-Binary"/>
    <s v="Single"/>
    <s v="Bachelor's"/>
    <x v="0"/>
    <x v="0"/>
    <x v="0"/>
    <s v="Bengaluru"/>
    <n v="22000"/>
    <n v="5.8"/>
    <n v="10.5"/>
    <n v="3.8"/>
    <n v="0.1"/>
    <x v="3"/>
    <x v="2"/>
    <n v="4"/>
    <x v="1"/>
    <n v="4"/>
    <m/>
    <x v="2"/>
    <x v="0"/>
    <x v="0"/>
    <n v="0"/>
  </r>
  <r>
    <s v="EMP1010"/>
    <d v="2016-03-31T00:00:00"/>
    <x v="0"/>
    <n v="37"/>
    <s v="Non-Binary"/>
    <s v="Divorced"/>
    <s v="Bachelor's"/>
    <x v="6"/>
    <x v="22"/>
    <x v="2"/>
    <s v="Noida"/>
    <n v="75000"/>
    <n v="8.9"/>
    <n v="17.399999999999999"/>
    <n v="9.8000000000000007"/>
    <n v="0.6"/>
    <x v="3"/>
    <x v="2"/>
    <n v="3"/>
    <x v="1"/>
    <n v="3"/>
    <m/>
    <x v="0"/>
    <x v="4"/>
    <x v="1"/>
    <n v="0"/>
  </r>
  <r>
    <s v="EMP1011"/>
    <d v="2017-11-01T00:00:00"/>
    <x v="0"/>
    <n v="34"/>
    <s v="Non-Binary"/>
    <s v="Married"/>
    <s v="Diploma"/>
    <x v="1"/>
    <x v="9"/>
    <x v="1"/>
    <s v="Mumbai"/>
    <n v="68000"/>
    <n v="2.5"/>
    <n v="10.5"/>
    <n v="8.1999999999999993"/>
    <n v="1"/>
    <x v="2"/>
    <x v="0"/>
    <n v="2"/>
    <x v="1"/>
    <n v="4"/>
    <m/>
    <x v="1"/>
    <x v="4"/>
    <x v="1"/>
    <n v="0"/>
  </r>
  <r>
    <s v="EMP1012"/>
    <d v="2016-01-21T00:00:00"/>
    <x v="1"/>
    <n v="40"/>
    <s v="Non-Binary"/>
    <s v="Married"/>
    <s v="Master's"/>
    <x v="4"/>
    <x v="25"/>
    <x v="1"/>
    <s v="Mumbai"/>
    <n v="47000"/>
    <n v="11.8"/>
    <n v="13.2"/>
    <n v="9.5"/>
    <n v="3"/>
    <x v="2"/>
    <x v="0"/>
    <n v="1"/>
    <x v="1"/>
    <n v="1"/>
    <d v="2025-07-14T00:00:00"/>
    <x v="0"/>
    <x v="1"/>
    <x v="1"/>
    <n v="1"/>
  </r>
  <r>
    <s v="EMP1013"/>
    <d v="2017-03-25T00:00:00"/>
    <x v="0"/>
    <n v="32"/>
    <s v="Female"/>
    <s v="Divorced"/>
    <s v="Bachelor's"/>
    <x v="6"/>
    <x v="21"/>
    <x v="0"/>
    <s v="Hyderabad"/>
    <n v="37000"/>
    <n v="6"/>
    <n v="9.8000000000000007"/>
    <n v="8.8000000000000007"/>
    <n v="2.5"/>
    <x v="3"/>
    <x v="2"/>
    <n v="3"/>
    <x v="0"/>
    <n v="5"/>
    <m/>
    <x v="1"/>
    <x v="0"/>
    <x v="1"/>
    <n v="0"/>
  </r>
  <r>
    <s v="EMP1014"/>
    <d v="2021-04-23T00:00:00"/>
    <x v="0"/>
    <n v="36"/>
    <s v="Non-Binary"/>
    <s v="Married"/>
    <s v="Bachelor's"/>
    <x v="6"/>
    <x v="22"/>
    <x v="2"/>
    <s v="Chennai"/>
    <n v="79000"/>
    <n v="4.9000000000000004"/>
    <n v="5.0999999999999996"/>
    <n v="4.7"/>
    <n v="1"/>
    <x v="2"/>
    <x v="0"/>
    <n v="4"/>
    <x v="0"/>
    <n v="4"/>
    <m/>
    <x v="0"/>
    <x v="4"/>
    <x v="0"/>
    <n v="0"/>
  </r>
  <r>
    <s v="EMP1015"/>
    <d v="2024-12-27T00:00:00"/>
    <x v="0"/>
    <n v="43"/>
    <s v="Female"/>
    <s v="Divorced"/>
    <s v="Diploma"/>
    <x v="2"/>
    <x v="20"/>
    <x v="1"/>
    <s v="Noida"/>
    <n v="56000"/>
    <n v="12.8"/>
    <n v="3"/>
    <n v="1"/>
    <n v="0.5"/>
    <x v="0"/>
    <x v="2"/>
    <n v="4"/>
    <x v="1"/>
    <n v="4"/>
    <m/>
    <x v="0"/>
    <x v="1"/>
    <x v="4"/>
    <n v="0"/>
  </r>
  <r>
    <s v="EMP1016"/>
    <d v="2014-10-23T00:00:00"/>
    <x v="0"/>
    <n v="38"/>
    <s v="Non-Binary"/>
    <s v="Married"/>
    <s v="Diploma"/>
    <x v="1"/>
    <x v="1"/>
    <x v="2"/>
    <s v="Noida"/>
    <n v="92000"/>
    <n v="5.2"/>
    <n v="15.4"/>
    <n v="11.2"/>
    <n v="0.4"/>
    <x v="2"/>
    <x v="0"/>
    <n v="2"/>
    <x v="1"/>
    <n v="2"/>
    <m/>
    <x v="0"/>
    <x v="2"/>
    <x v="2"/>
    <n v="0"/>
  </r>
  <r>
    <s v="EMP1017"/>
    <d v="2023-05-18T00:00:00"/>
    <x v="0"/>
    <n v="26"/>
    <s v="Female"/>
    <s v="Married"/>
    <s v="Bachelor's"/>
    <x v="1"/>
    <x v="9"/>
    <x v="0"/>
    <s v="Mumbai"/>
    <n v="34000"/>
    <n v="9.8000000000000007"/>
    <n v="8.4"/>
    <n v="2.6"/>
    <n v="1"/>
    <x v="3"/>
    <x v="0"/>
    <n v="3"/>
    <x v="0"/>
    <n v="3"/>
    <m/>
    <x v="1"/>
    <x v="0"/>
    <x v="4"/>
    <n v="0"/>
  </r>
  <r>
    <s v="EMP1018"/>
    <d v="2021-11-02T00:00:00"/>
    <x v="0"/>
    <n v="25"/>
    <s v="Female"/>
    <s v="Single"/>
    <s v="Diploma"/>
    <x v="2"/>
    <x v="23"/>
    <x v="0"/>
    <s v="Hyderabad"/>
    <n v="42000"/>
    <n v="11.3"/>
    <n v="7"/>
    <n v="4.2"/>
    <n v="3.2"/>
    <x v="0"/>
    <x v="2"/>
    <n v="4"/>
    <x v="1"/>
    <n v="1"/>
    <m/>
    <x v="2"/>
    <x v="1"/>
    <x v="0"/>
    <n v="0"/>
  </r>
  <r>
    <s v="EMP1019"/>
    <d v="2025-03-14T00:00:00"/>
    <x v="1"/>
    <n v="22"/>
    <s v="Non-Binary"/>
    <s v="Divorced"/>
    <s v="Bachelor's"/>
    <x v="4"/>
    <x v="14"/>
    <x v="0"/>
    <s v="Pune"/>
    <n v="31000"/>
    <n v="7.2"/>
    <n v="4"/>
    <n v="0.2"/>
    <n v="0"/>
    <x v="0"/>
    <x v="2"/>
    <n v="4"/>
    <x v="1"/>
    <n v="3"/>
    <d v="2025-06-03T00:00:00"/>
    <x v="2"/>
    <x v="0"/>
    <x v="3"/>
    <n v="1"/>
  </r>
  <r>
    <s v="EMP1020"/>
    <d v="2020-04-22T00:00:00"/>
    <x v="0"/>
    <n v="30"/>
    <s v="Non-Binary"/>
    <s v="Married"/>
    <s v="Bachelor's"/>
    <x v="0"/>
    <x v="0"/>
    <x v="1"/>
    <s v="Hyderabad"/>
    <n v="31000"/>
    <n v="7.4"/>
    <n v="8.3000000000000007"/>
    <n v="5.7"/>
    <n v="5.5"/>
    <x v="3"/>
    <x v="0"/>
    <n v="4"/>
    <x v="1"/>
    <n v="2"/>
    <m/>
    <x v="1"/>
    <x v="0"/>
    <x v="0"/>
    <n v="0"/>
  </r>
  <r>
    <s v="EMP1021"/>
    <d v="2022-04-17T00:00:00"/>
    <x v="0"/>
    <n v="37"/>
    <s v="Male"/>
    <s v="Married"/>
    <s v="Master's"/>
    <x v="0"/>
    <x v="0"/>
    <x v="4"/>
    <s v="Pune"/>
    <n v="138000"/>
    <n v="15.7"/>
    <n v="10.3"/>
    <n v="3.7"/>
    <n v="0.7"/>
    <x v="3"/>
    <x v="0"/>
    <n v="3"/>
    <x v="0"/>
    <n v="5"/>
    <m/>
    <x v="0"/>
    <x v="3"/>
    <x v="0"/>
    <n v="0"/>
  </r>
  <r>
    <s v="EMP1022"/>
    <d v="2017-05-18T00:00:00"/>
    <x v="0"/>
    <n v="42"/>
    <s v="Non-Binary"/>
    <s v="Single"/>
    <s v="PhD"/>
    <x v="2"/>
    <x v="23"/>
    <x v="0"/>
    <s v="Pune"/>
    <n v="31000"/>
    <n v="12.4"/>
    <n v="9.6"/>
    <n v="8.6"/>
    <n v="0.3"/>
    <x v="2"/>
    <x v="2"/>
    <n v="2"/>
    <x v="1"/>
    <n v="2"/>
    <m/>
    <x v="0"/>
    <x v="0"/>
    <x v="1"/>
    <n v="0"/>
  </r>
  <r>
    <s v="EMP1023"/>
    <d v="2014-01-03T00:00:00"/>
    <x v="1"/>
    <n v="41"/>
    <s v="Female"/>
    <s v="Married"/>
    <s v="Bachelor's"/>
    <x v="1"/>
    <x v="1"/>
    <x v="2"/>
    <s v="Mumbai"/>
    <n v="86000"/>
    <n v="4.5999999999999996"/>
    <n v="18.8"/>
    <n v="11.1"/>
    <n v="5.5"/>
    <x v="2"/>
    <x v="0"/>
    <n v="3"/>
    <x v="0"/>
    <n v="4"/>
    <d v="2025-02-09T00:00:00"/>
    <x v="0"/>
    <x v="2"/>
    <x v="2"/>
    <n v="1"/>
  </r>
  <r>
    <s v="EMP1024"/>
    <d v="2017-04-10T00:00:00"/>
    <x v="0"/>
    <n v="32"/>
    <s v="Female"/>
    <s v="Single"/>
    <s v="Master's"/>
    <x v="4"/>
    <x v="5"/>
    <x v="2"/>
    <s v="Chennai"/>
    <n v="76000"/>
    <n v="13.9"/>
    <n v="10.4"/>
    <n v="8.6999999999999993"/>
    <n v="0.2"/>
    <x v="1"/>
    <x v="2"/>
    <n v="3"/>
    <x v="1"/>
    <n v="3"/>
    <m/>
    <x v="1"/>
    <x v="4"/>
    <x v="1"/>
    <n v="0"/>
  </r>
  <r>
    <s v="EMP1025"/>
    <d v="2021-04-15T00:00:00"/>
    <x v="0"/>
    <n v="37"/>
    <s v="Male"/>
    <s v="Divorced"/>
    <s v="Master's"/>
    <x v="4"/>
    <x v="25"/>
    <x v="1"/>
    <s v="Mumbai"/>
    <n v="45000"/>
    <n v="8.5"/>
    <n v="7"/>
    <n v="4.7"/>
    <n v="4.5999999999999996"/>
    <x v="2"/>
    <x v="1"/>
    <n v="3"/>
    <x v="1"/>
    <n v="3"/>
    <m/>
    <x v="0"/>
    <x v="1"/>
    <x v="0"/>
    <n v="0"/>
  </r>
  <r>
    <s v="EMP1026"/>
    <d v="2025-06-22T00:00:00"/>
    <x v="1"/>
    <n v="22"/>
    <s v="Male"/>
    <s v="Married"/>
    <s v="PhD"/>
    <x v="6"/>
    <x v="21"/>
    <x v="0"/>
    <s v="Hyderabad"/>
    <n v="27000"/>
    <n v="14.4"/>
    <n v="7.2"/>
    <n v="0.2"/>
    <n v="0"/>
    <x v="2"/>
    <x v="0"/>
    <n v="2"/>
    <x v="0"/>
    <n v="3"/>
    <d v="2025-09-21T00:00:00"/>
    <x v="2"/>
    <x v="0"/>
    <x v="3"/>
    <n v="1"/>
  </r>
  <r>
    <s v="EMP1027"/>
    <d v="2016-11-06T00:00:00"/>
    <x v="0"/>
    <n v="33"/>
    <s v="Female"/>
    <s v="Married"/>
    <s v="PhD"/>
    <x v="2"/>
    <x v="23"/>
    <x v="2"/>
    <s v="Bengaluru"/>
    <n v="77000"/>
    <n v="7.8"/>
    <n v="16.7"/>
    <n v="9.1"/>
    <n v="3.6"/>
    <x v="3"/>
    <x v="0"/>
    <n v="2"/>
    <x v="1"/>
    <n v="3"/>
    <m/>
    <x v="1"/>
    <x v="4"/>
    <x v="1"/>
    <n v="0"/>
  </r>
  <r>
    <s v="EMP1028"/>
    <d v="2017-07-25T00:00:00"/>
    <x v="0"/>
    <n v="32"/>
    <s v="Female"/>
    <s v="Single"/>
    <s v="PhD"/>
    <x v="5"/>
    <x v="18"/>
    <x v="3"/>
    <s v="Mumbai"/>
    <n v="126000"/>
    <n v="13.6"/>
    <n v="11.7"/>
    <n v="8.4"/>
    <n v="4.5"/>
    <x v="2"/>
    <x v="2"/>
    <n v="3"/>
    <x v="1"/>
    <n v="4"/>
    <m/>
    <x v="1"/>
    <x v="3"/>
    <x v="1"/>
    <n v="0"/>
  </r>
  <r>
    <s v="EMP1029"/>
    <d v="2016-12-31T00:00:00"/>
    <x v="0"/>
    <n v="44"/>
    <s v="Male"/>
    <s v="Divorced"/>
    <s v="Master's"/>
    <x v="3"/>
    <x v="6"/>
    <x v="4"/>
    <s v="Hyderabad"/>
    <n v="146000"/>
    <n v="15.5"/>
    <n v="12.4"/>
    <n v="9"/>
    <n v="5.0999999999999996"/>
    <x v="3"/>
    <x v="2"/>
    <n v="4"/>
    <x v="1"/>
    <n v="5"/>
    <m/>
    <x v="0"/>
    <x v="3"/>
    <x v="1"/>
    <n v="0"/>
  </r>
  <r>
    <s v="EMP1030"/>
    <d v="2024-10-03T00:00:00"/>
    <x v="1"/>
    <n v="31"/>
    <s v="Female"/>
    <s v="Married"/>
    <s v="Diploma"/>
    <x v="3"/>
    <x v="6"/>
    <x v="3"/>
    <s v="Bengaluru"/>
    <n v="98000"/>
    <n v="7.2"/>
    <n v="1.5"/>
    <n v="0.9"/>
    <n v="0"/>
    <x v="1"/>
    <x v="1"/>
    <n v="4"/>
    <x v="1"/>
    <n v="4"/>
    <d v="2025-08-22T00:00:00"/>
    <x v="1"/>
    <x v="2"/>
    <x v="3"/>
    <n v="1"/>
  </r>
  <r>
    <s v="EMP1031"/>
    <d v="2024-02-08T00:00:00"/>
    <x v="0"/>
    <n v="29"/>
    <s v="Female"/>
    <s v="Married"/>
    <s v="Bachelor's"/>
    <x v="2"/>
    <x v="17"/>
    <x v="2"/>
    <s v="Bengaluru"/>
    <n v="74000"/>
    <n v="12.8"/>
    <n v="5.3"/>
    <n v="1.9"/>
    <n v="1.1000000000000001"/>
    <x v="2"/>
    <x v="2"/>
    <n v="3"/>
    <x v="1"/>
    <n v="5"/>
    <m/>
    <x v="1"/>
    <x v="4"/>
    <x v="4"/>
    <n v="0"/>
  </r>
  <r>
    <s v="EMP1032"/>
    <d v="2025-08-23T00:00:00"/>
    <x v="0"/>
    <n v="35"/>
    <s v="Male"/>
    <s v="Married"/>
    <s v="Bachelor's"/>
    <x v="1"/>
    <x v="9"/>
    <x v="3"/>
    <s v="Pune"/>
    <n v="119000"/>
    <n v="5.5"/>
    <n v="2.7"/>
    <n v="0.4"/>
    <n v="0"/>
    <x v="2"/>
    <x v="0"/>
    <n v="3"/>
    <x v="1"/>
    <n v="5"/>
    <m/>
    <x v="1"/>
    <x v="3"/>
    <x v="3"/>
    <n v="0"/>
  </r>
  <r>
    <s v="EMP1033"/>
    <d v="2024-09-29T00:00:00"/>
    <x v="0"/>
    <n v="28"/>
    <s v="Male"/>
    <s v="Married"/>
    <s v="Diploma"/>
    <x v="1"/>
    <x v="9"/>
    <x v="2"/>
    <s v="Chennai"/>
    <n v="105000"/>
    <n v="8"/>
    <n v="1.4"/>
    <n v="1.3"/>
    <n v="1.1000000000000001"/>
    <x v="2"/>
    <x v="0"/>
    <n v="4"/>
    <x v="0"/>
    <n v="4"/>
    <m/>
    <x v="1"/>
    <x v="3"/>
    <x v="4"/>
    <n v="0"/>
  </r>
  <r>
    <s v="EMP1034"/>
    <d v="2020-05-26T00:00:00"/>
    <x v="0"/>
    <n v="40"/>
    <s v="Female"/>
    <s v="Divorced"/>
    <s v="Diploma"/>
    <x v="1"/>
    <x v="10"/>
    <x v="2"/>
    <s v="Chennai"/>
    <n v="101000"/>
    <n v="8.6"/>
    <n v="10.4"/>
    <n v="5.6"/>
    <n v="3.2"/>
    <x v="0"/>
    <x v="2"/>
    <n v="3"/>
    <x v="0"/>
    <n v="4"/>
    <m/>
    <x v="0"/>
    <x v="3"/>
    <x v="0"/>
    <n v="0"/>
  </r>
  <r>
    <s v="EMP1035"/>
    <d v="2019-08-04T00:00:00"/>
    <x v="0"/>
    <n v="33"/>
    <s v="Non-Binary"/>
    <s v="Married"/>
    <s v="Master's"/>
    <x v="0"/>
    <x v="16"/>
    <x v="0"/>
    <s v="Pune"/>
    <n v="35000"/>
    <n v="12.6"/>
    <n v="11.5"/>
    <n v="6.4"/>
    <n v="3.4"/>
    <x v="0"/>
    <x v="1"/>
    <n v="3"/>
    <x v="0"/>
    <n v="3"/>
    <m/>
    <x v="1"/>
    <x v="0"/>
    <x v="1"/>
    <n v="0"/>
  </r>
  <r>
    <s v="EMP1036"/>
    <d v="2016-07-27T00:00:00"/>
    <x v="0"/>
    <n v="37"/>
    <s v="Non-Binary"/>
    <s v="Single"/>
    <s v="PhD"/>
    <x v="1"/>
    <x v="10"/>
    <x v="1"/>
    <s v="Pune"/>
    <n v="76000"/>
    <n v="10.5"/>
    <n v="17.2"/>
    <n v="9.4"/>
    <n v="2.4"/>
    <x v="2"/>
    <x v="0"/>
    <n v="4"/>
    <x v="1"/>
    <n v="3"/>
    <m/>
    <x v="0"/>
    <x v="4"/>
    <x v="1"/>
    <n v="0"/>
  </r>
  <r>
    <s v="EMP1037"/>
    <d v="2024-12-03T00:00:00"/>
    <x v="0"/>
    <n v="22"/>
    <s v="Non-Binary"/>
    <s v="Single"/>
    <s v="Diploma"/>
    <x v="3"/>
    <x v="15"/>
    <x v="0"/>
    <s v="Noida"/>
    <n v="22000"/>
    <n v="10.6"/>
    <n v="2.5"/>
    <n v="1.1000000000000001"/>
    <n v="0.2"/>
    <x v="0"/>
    <x v="0"/>
    <n v="4"/>
    <x v="1"/>
    <n v="3"/>
    <m/>
    <x v="2"/>
    <x v="0"/>
    <x v="4"/>
    <n v="0"/>
  </r>
  <r>
    <s v="EMP1038"/>
    <d v="2017-11-19T00:00:00"/>
    <x v="0"/>
    <n v="29"/>
    <s v="Female"/>
    <s v="Divorced"/>
    <s v="Bachelor's"/>
    <x v="0"/>
    <x v="7"/>
    <x v="2"/>
    <s v="Pune"/>
    <n v="74000"/>
    <n v="8.8000000000000007"/>
    <n v="8.3000000000000007"/>
    <n v="8.1"/>
    <n v="4.9000000000000004"/>
    <x v="2"/>
    <x v="0"/>
    <n v="1"/>
    <x v="1"/>
    <n v="3"/>
    <m/>
    <x v="1"/>
    <x v="4"/>
    <x v="1"/>
    <n v="0"/>
  </r>
  <r>
    <s v="EMP1039"/>
    <d v="2019-04-11T00:00:00"/>
    <x v="0"/>
    <n v="34"/>
    <s v="Female"/>
    <s v="Divorced"/>
    <s v="PhD"/>
    <x v="0"/>
    <x v="16"/>
    <x v="1"/>
    <s v="Hyderabad"/>
    <n v="43000"/>
    <n v="13"/>
    <n v="9.6"/>
    <n v="6.7"/>
    <n v="4.0999999999999996"/>
    <x v="3"/>
    <x v="0"/>
    <n v="3"/>
    <x v="1"/>
    <n v="4"/>
    <m/>
    <x v="1"/>
    <x v="1"/>
    <x v="1"/>
    <n v="0"/>
  </r>
  <r>
    <s v="EMP1040"/>
    <d v="2023-03-02T00:00:00"/>
    <x v="1"/>
    <n v="37"/>
    <s v="Male"/>
    <s v="Married"/>
    <s v="Master's"/>
    <x v="3"/>
    <x v="15"/>
    <x v="3"/>
    <s v="Hyderabad"/>
    <n v="111000"/>
    <n v="6.4"/>
    <n v="9.9"/>
    <n v="2.8"/>
    <n v="2.1"/>
    <x v="0"/>
    <x v="2"/>
    <n v="3"/>
    <x v="1"/>
    <n v="3"/>
    <m/>
    <x v="0"/>
    <x v="3"/>
    <x v="4"/>
    <n v="1"/>
  </r>
  <r>
    <s v="EMP1041"/>
    <d v="2016-05-20T00:00:00"/>
    <x v="0"/>
    <n v="33"/>
    <s v="Male"/>
    <s v="Divorced"/>
    <s v="PhD"/>
    <x v="3"/>
    <x v="11"/>
    <x v="1"/>
    <s v="Chennai"/>
    <n v="59000"/>
    <n v="7.9"/>
    <n v="9.9"/>
    <n v="9.6"/>
    <n v="0.2"/>
    <x v="2"/>
    <x v="2"/>
    <n v="3"/>
    <x v="1"/>
    <n v="3"/>
    <m/>
    <x v="1"/>
    <x v="1"/>
    <x v="1"/>
    <n v="0"/>
  </r>
  <r>
    <s v="EMP1042"/>
    <d v="2025-03-02T00:00:00"/>
    <x v="0"/>
    <n v="30"/>
    <s v="Male"/>
    <s v="Single"/>
    <s v="Bachelor's"/>
    <x v="3"/>
    <x v="6"/>
    <x v="0"/>
    <s v="Mumbai"/>
    <n v="42000"/>
    <n v="7.8"/>
    <n v="1.4"/>
    <n v="0.8"/>
    <n v="0"/>
    <x v="0"/>
    <x v="2"/>
    <n v="3"/>
    <x v="1"/>
    <n v="5"/>
    <m/>
    <x v="1"/>
    <x v="1"/>
    <x v="3"/>
    <n v="0"/>
  </r>
  <r>
    <s v="EMP1043"/>
    <d v="2022-06-08T00:00:00"/>
    <x v="0"/>
    <n v="40"/>
    <s v="Non-Binary"/>
    <s v="Married"/>
    <s v="PhD"/>
    <x v="4"/>
    <x v="25"/>
    <x v="2"/>
    <s v="Noida"/>
    <n v="67000"/>
    <n v="2.8"/>
    <n v="6.1"/>
    <n v="3.6"/>
    <n v="1.6"/>
    <x v="2"/>
    <x v="2"/>
    <n v="4"/>
    <x v="1"/>
    <n v="4"/>
    <m/>
    <x v="0"/>
    <x v="4"/>
    <x v="0"/>
    <n v="0"/>
  </r>
  <r>
    <s v="EMP1044"/>
    <d v="2023-07-25T00:00:00"/>
    <x v="0"/>
    <n v="30"/>
    <s v="Male"/>
    <s v="Divorced"/>
    <s v="PhD"/>
    <x v="1"/>
    <x v="10"/>
    <x v="2"/>
    <s v="Mumbai"/>
    <n v="81000"/>
    <n v="8.3000000000000007"/>
    <n v="6"/>
    <n v="2.4"/>
    <n v="0.7"/>
    <x v="1"/>
    <x v="1"/>
    <n v="3"/>
    <x v="0"/>
    <n v="3"/>
    <m/>
    <x v="1"/>
    <x v="2"/>
    <x v="4"/>
    <n v="0"/>
  </r>
  <r>
    <s v="EMP1045"/>
    <d v="2021-09-02T00:00:00"/>
    <x v="0"/>
    <n v="33"/>
    <s v="Non-Binary"/>
    <s v="Divorced"/>
    <s v="Bachelor's"/>
    <x v="0"/>
    <x v="3"/>
    <x v="2"/>
    <s v="Hyderabad"/>
    <n v="75000"/>
    <n v="16.3"/>
    <n v="10.1"/>
    <n v="4.3"/>
    <n v="3.6"/>
    <x v="3"/>
    <x v="2"/>
    <n v="4"/>
    <x v="1"/>
    <n v="5"/>
    <m/>
    <x v="1"/>
    <x v="4"/>
    <x v="0"/>
    <n v="0"/>
  </r>
  <r>
    <s v="EMP1046"/>
    <d v="2017-10-22T00:00:00"/>
    <x v="0"/>
    <n v="35"/>
    <s v="Male"/>
    <s v="Single"/>
    <s v="Diploma"/>
    <x v="5"/>
    <x v="26"/>
    <x v="3"/>
    <s v="Mumbai"/>
    <n v="120000"/>
    <n v="5.6"/>
    <n v="11.8"/>
    <n v="8.1999999999999993"/>
    <n v="0.5"/>
    <x v="0"/>
    <x v="1"/>
    <n v="4"/>
    <x v="0"/>
    <n v="3"/>
    <m/>
    <x v="1"/>
    <x v="3"/>
    <x v="1"/>
    <n v="0"/>
  </r>
  <r>
    <s v="EMP1047"/>
    <d v="2024-12-06T00:00:00"/>
    <x v="0"/>
    <n v="30"/>
    <s v="Female"/>
    <s v="Single"/>
    <s v="Diploma"/>
    <x v="5"/>
    <x v="26"/>
    <x v="2"/>
    <s v="Pune"/>
    <n v="90000"/>
    <n v="18.399999999999999"/>
    <n v="2.4"/>
    <n v="1.1000000000000001"/>
    <n v="0.1"/>
    <x v="0"/>
    <x v="0"/>
    <n v="1"/>
    <x v="0"/>
    <n v="2"/>
    <m/>
    <x v="1"/>
    <x v="2"/>
    <x v="4"/>
    <n v="0"/>
  </r>
  <r>
    <s v="EMP1048"/>
    <d v="2016-03-24T00:00:00"/>
    <x v="0"/>
    <n v="30"/>
    <s v="Male"/>
    <s v="Divorced"/>
    <s v="Diploma"/>
    <x v="3"/>
    <x v="6"/>
    <x v="2"/>
    <s v="Bengaluru"/>
    <n v="79000"/>
    <n v="10.6"/>
    <n v="16.899999999999999"/>
    <n v="9.8000000000000007"/>
    <n v="3.3"/>
    <x v="3"/>
    <x v="0"/>
    <n v="3"/>
    <x v="1"/>
    <n v="4"/>
    <m/>
    <x v="1"/>
    <x v="4"/>
    <x v="1"/>
    <n v="0"/>
  </r>
  <r>
    <s v="EMP1049"/>
    <d v="2025-03-13T00:00:00"/>
    <x v="0"/>
    <n v="42"/>
    <s v="Non-Binary"/>
    <s v="Single"/>
    <s v="Master's"/>
    <x v="1"/>
    <x v="1"/>
    <x v="1"/>
    <s v="Mumbai"/>
    <n v="40000"/>
    <n v="0"/>
    <n v="1.2"/>
    <n v="0.8"/>
    <n v="0"/>
    <x v="2"/>
    <x v="0"/>
    <n v="4"/>
    <x v="1"/>
    <n v="3"/>
    <m/>
    <x v="0"/>
    <x v="1"/>
    <x v="3"/>
    <n v="0"/>
  </r>
  <r>
    <s v="EMP1050"/>
    <d v="2023-09-16T00:00:00"/>
    <x v="1"/>
    <n v="41"/>
    <s v="Male"/>
    <s v="Married"/>
    <s v="PhD"/>
    <x v="0"/>
    <x v="16"/>
    <x v="2"/>
    <s v="Pune"/>
    <n v="58000"/>
    <n v="0"/>
    <n v="8.4"/>
    <n v="1.4"/>
    <n v="1.3"/>
    <x v="1"/>
    <x v="0"/>
    <n v="4"/>
    <x v="0"/>
    <n v="2"/>
    <d v="2025-02-17T00:00:00"/>
    <x v="0"/>
    <x v="1"/>
    <x v="4"/>
    <n v="1"/>
  </r>
  <r>
    <s v="EMP1051"/>
    <d v="2019-12-14T00:00:00"/>
    <x v="0"/>
    <n v="35"/>
    <s v="Non-Binary"/>
    <s v="Single"/>
    <s v="Diploma"/>
    <x v="4"/>
    <x v="24"/>
    <x v="2"/>
    <s v="Mumbai"/>
    <n v="64000"/>
    <n v="5.0999999999999996"/>
    <n v="9.5"/>
    <n v="6"/>
    <n v="5"/>
    <x v="2"/>
    <x v="2"/>
    <n v="3"/>
    <x v="1"/>
    <n v="5"/>
    <m/>
    <x v="1"/>
    <x v="4"/>
    <x v="0"/>
    <n v="0"/>
  </r>
  <r>
    <s v="EMP1052"/>
    <d v="2016-12-03T00:00:00"/>
    <x v="0"/>
    <n v="34"/>
    <s v="Female"/>
    <s v="Married"/>
    <s v="Bachelor's"/>
    <x v="5"/>
    <x v="18"/>
    <x v="1"/>
    <s v="Mumbai"/>
    <n v="54000"/>
    <n v="11"/>
    <n v="13.8"/>
    <n v="9.1"/>
    <n v="4.3"/>
    <x v="1"/>
    <x v="0"/>
    <n v="3"/>
    <x v="1"/>
    <n v="5"/>
    <m/>
    <x v="1"/>
    <x v="1"/>
    <x v="1"/>
    <n v="0"/>
  </r>
  <r>
    <s v="EMP1053"/>
    <d v="2024-02-14T00:00:00"/>
    <x v="1"/>
    <n v="27"/>
    <s v="Male"/>
    <s v="Single"/>
    <s v="Diploma"/>
    <x v="2"/>
    <x v="17"/>
    <x v="0"/>
    <s v="Hyderabad"/>
    <n v="23000"/>
    <n v="8"/>
    <n v="3.8"/>
    <n v="0.9"/>
    <n v="0"/>
    <x v="0"/>
    <x v="0"/>
    <n v="2"/>
    <x v="1"/>
    <n v="4"/>
    <d v="2025-01-08T00:00:00"/>
    <x v="1"/>
    <x v="0"/>
    <x v="3"/>
    <n v="1"/>
  </r>
  <r>
    <s v="EMP1054"/>
    <d v="2021-02-05T00:00:00"/>
    <x v="0"/>
    <n v="39"/>
    <s v="Non-Binary"/>
    <s v="Single"/>
    <s v="Master's"/>
    <x v="0"/>
    <x v="3"/>
    <x v="0"/>
    <s v="Bengaluru"/>
    <n v="22000"/>
    <n v="9.1999999999999993"/>
    <n v="9.1999999999999993"/>
    <n v="4.9000000000000004"/>
    <n v="2.2000000000000002"/>
    <x v="2"/>
    <x v="1"/>
    <n v="3"/>
    <x v="1"/>
    <n v="4"/>
    <m/>
    <x v="0"/>
    <x v="0"/>
    <x v="0"/>
    <n v="0"/>
  </r>
  <r>
    <s v="EMP1055"/>
    <d v="2021-01-16T00:00:00"/>
    <x v="1"/>
    <n v="46"/>
    <s v="Non-Binary"/>
    <s v="Single"/>
    <s v="Master's"/>
    <x v="4"/>
    <x v="14"/>
    <x v="1"/>
    <s v="Pune"/>
    <n v="46000"/>
    <n v="10.3"/>
    <n v="9.1"/>
    <n v="4.8"/>
    <n v="3.3"/>
    <x v="2"/>
    <x v="1"/>
    <n v="3"/>
    <x v="1"/>
    <n v="4"/>
    <d v="2025-10-30T00:00:00"/>
    <x v="3"/>
    <x v="1"/>
    <x v="0"/>
    <n v="1"/>
  </r>
  <r>
    <s v="EMP1056"/>
    <d v="2025-02-21T00:00:00"/>
    <x v="1"/>
    <n v="21"/>
    <s v="Female"/>
    <s v="Divorced"/>
    <s v="Master's"/>
    <x v="5"/>
    <x v="18"/>
    <x v="0"/>
    <s v="Hyderabad"/>
    <n v="45000"/>
    <n v="9"/>
    <n v="5.0999999999999996"/>
    <n v="0.8"/>
    <n v="0"/>
    <x v="2"/>
    <x v="0"/>
    <n v="3"/>
    <x v="1"/>
    <n v="3"/>
    <d v="2025-11-23T00:00:00"/>
    <x v="2"/>
    <x v="1"/>
    <x v="3"/>
    <n v="1"/>
  </r>
  <r>
    <s v="EMP1057"/>
    <d v="2023-06-01T00:00:00"/>
    <x v="1"/>
    <n v="23"/>
    <s v="Male"/>
    <s v="Divorced"/>
    <s v="PhD"/>
    <x v="4"/>
    <x v="24"/>
    <x v="0"/>
    <s v="Bengaluru"/>
    <n v="37000"/>
    <n v="16.5"/>
    <n v="4"/>
    <n v="1.7"/>
    <n v="0.8"/>
    <x v="2"/>
    <x v="0"/>
    <n v="3"/>
    <x v="1"/>
    <n v="4"/>
    <d v="2025-02-13T00:00:00"/>
    <x v="2"/>
    <x v="0"/>
    <x v="4"/>
    <n v="1"/>
  </r>
  <r>
    <s v="EMP1058"/>
    <d v="2019-05-03T00:00:00"/>
    <x v="0"/>
    <n v="35"/>
    <s v="Male"/>
    <s v="Divorced"/>
    <s v="Bachelor's"/>
    <x v="6"/>
    <x v="22"/>
    <x v="1"/>
    <s v="Noida"/>
    <n v="53000"/>
    <n v="2.7"/>
    <n v="14.4"/>
    <n v="6.7"/>
    <n v="1.1000000000000001"/>
    <x v="2"/>
    <x v="2"/>
    <n v="3"/>
    <x v="1"/>
    <n v="3"/>
    <m/>
    <x v="1"/>
    <x v="1"/>
    <x v="1"/>
    <n v="0"/>
  </r>
  <r>
    <s v="EMP1059"/>
    <d v="2021-01-26T00:00:00"/>
    <x v="0"/>
    <n v="29"/>
    <s v="Female"/>
    <s v="Divorced"/>
    <s v="Master's"/>
    <x v="0"/>
    <x v="16"/>
    <x v="2"/>
    <s v="Mumbai"/>
    <n v="77000"/>
    <n v="2.7"/>
    <n v="12.3"/>
    <n v="4.9000000000000004"/>
    <n v="2.5"/>
    <x v="3"/>
    <x v="0"/>
    <n v="2"/>
    <x v="1"/>
    <n v="4"/>
    <m/>
    <x v="1"/>
    <x v="4"/>
    <x v="0"/>
    <n v="0"/>
  </r>
  <r>
    <s v="EMP1060"/>
    <d v="2019-06-23T00:00:00"/>
    <x v="0"/>
    <n v="43"/>
    <s v="Non-Binary"/>
    <s v="Married"/>
    <s v="PhD"/>
    <x v="0"/>
    <x v="0"/>
    <x v="2"/>
    <s v="Mumbai"/>
    <n v="69000"/>
    <n v="14.8"/>
    <n v="12"/>
    <n v="6.5"/>
    <n v="4.8"/>
    <x v="1"/>
    <x v="0"/>
    <n v="3"/>
    <x v="1"/>
    <n v="5"/>
    <m/>
    <x v="0"/>
    <x v="4"/>
    <x v="1"/>
    <n v="0"/>
  </r>
  <r>
    <s v="EMP1061"/>
    <d v="2025-03-22T00:00:00"/>
    <x v="1"/>
    <n v="21"/>
    <s v="Male"/>
    <s v="Divorced"/>
    <s v="PhD"/>
    <x v="0"/>
    <x v="7"/>
    <x v="0"/>
    <s v="Mumbai"/>
    <n v="40000"/>
    <n v="6.6"/>
    <n v="7.6"/>
    <n v="0.4"/>
    <n v="0"/>
    <x v="1"/>
    <x v="2"/>
    <n v="4"/>
    <x v="1"/>
    <n v="3"/>
    <d v="2025-07-31T00:00:00"/>
    <x v="2"/>
    <x v="1"/>
    <x v="3"/>
    <n v="1"/>
  </r>
  <r>
    <s v="EMP1062"/>
    <d v="2021-07-27T00:00:00"/>
    <x v="0"/>
    <n v="33"/>
    <s v="Female"/>
    <s v="Single"/>
    <s v="Master's"/>
    <x v="4"/>
    <x v="5"/>
    <x v="1"/>
    <s v="Chennai"/>
    <n v="37000"/>
    <n v="9.6999999999999993"/>
    <n v="9.5"/>
    <n v="4.4000000000000004"/>
    <n v="0.6"/>
    <x v="2"/>
    <x v="0"/>
    <n v="3"/>
    <x v="1"/>
    <n v="3"/>
    <m/>
    <x v="1"/>
    <x v="0"/>
    <x v="0"/>
    <n v="0"/>
  </r>
  <r>
    <s v="EMP1063"/>
    <d v="2023-10-11T00:00:00"/>
    <x v="0"/>
    <n v="36"/>
    <s v="Female"/>
    <s v="Married"/>
    <s v="Master's"/>
    <x v="4"/>
    <x v="25"/>
    <x v="1"/>
    <s v="Chennai"/>
    <n v="50000"/>
    <n v="13.3"/>
    <n v="6.5"/>
    <n v="2.2000000000000002"/>
    <n v="0.7"/>
    <x v="2"/>
    <x v="2"/>
    <n v="3"/>
    <x v="0"/>
    <n v="5"/>
    <m/>
    <x v="0"/>
    <x v="1"/>
    <x v="4"/>
    <n v="0"/>
  </r>
  <r>
    <s v="EMP1064"/>
    <d v="2023-02-09T00:00:00"/>
    <x v="0"/>
    <n v="34"/>
    <s v="Non-Binary"/>
    <s v="Married"/>
    <s v="Diploma"/>
    <x v="1"/>
    <x v="1"/>
    <x v="3"/>
    <s v="Hyderabad"/>
    <n v="119000"/>
    <n v="9.9"/>
    <n v="8.4"/>
    <n v="2.9"/>
    <n v="0.3"/>
    <x v="2"/>
    <x v="2"/>
    <n v="4"/>
    <x v="1"/>
    <n v="2"/>
    <m/>
    <x v="1"/>
    <x v="3"/>
    <x v="4"/>
    <n v="0"/>
  </r>
  <r>
    <s v="EMP1065"/>
    <d v="2022-03-23T00:00:00"/>
    <x v="0"/>
    <n v="27"/>
    <s v="Male"/>
    <s v="Single"/>
    <s v="Master's"/>
    <x v="5"/>
    <x v="26"/>
    <x v="0"/>
    <s v="Hyderabad"/>
    <n v="51000"/>
    <n v="8.6"/>
    <n v="3.9"/>
    <n v="3.8"/>
    <n v="1.2"/>
    <x v="0"/>
    <x v="0"/>
    <n v="3"/>
    <x v="1"/>
    <n v="4"/>
    <m/>
    <x v="1"/>
    <x v="1"/>
    <x v="0"/>
    <n v="0"/>
  </r>
  <r>
    <s v="EMP1066"/>
    <d v="2015-03-30T00:00:00"/>
    <x v="0"/>
    <n v="40"/>
    <s v="Female"/>
    <s v="Divorced"/>
    <s v="Master's"/>
    <x v="0"/>
    <x v="0"/>
    <x v="3"/>
    <s v="Hyderabad"/>
    <n v="101000"/>
    <n v="12"/>
    <n v="18.100000000000001"/>
    <n v="10.8"/>
    <n v="3.6"/>
    <x v="1"/>
    <x v="1"/>
    <n v="2"/>
    <x v="1"/>
    <n v="4"/>
    <m/>
    <x v="0"/>
    <x v="3"/>
    <x v="2"/>
    <n v="0"/>
  </r>
  <r>
    <s v="EMP1067"/>
    <d v="2021-06-09T00:00:00"/>
    <x v="0"/>
    <n v="33"/>
    <s v="Non-Binary"/>
    <s v="Single"/>
    <s v="PhD"/>
    <x v="2"/>
    <x v="23"/>
    <x v="0"/>
    <s v="Mumbai"/>
    <n v="37000"/>
    <n v="10.199999999999999"/>
    <n v="5.4"/>
    <n v="4.5999999999999996"/>
    <n v="3.8"/>
    <x v="3"/>
    <x v="1"/>
    <n v="2"/>
    <x v="1"/>
    <n v="3"/>
    <m/>
    <x v="1"/>
    <x v="0"/>
    <x v="0"/>
    <n v="0"/>
  </r>
  <r>
    <s v="EMP1068"/>
    <d v="2024-07-31T00:00:00"/>
    <x v="1"/>
    <n v="25"/>
    <s v="Male"/>
    <s v="Single"/>
    <s v="Diploma"/>
    <x v="0"/>
    <x v="0"/>
    <x v="0"/>
    <s v="Pune"/>
    <n v="40000"/>
    <n v="8.5"/>
    <n v="3.4"/>
    <n v="1.3"/>
    <n v="1.1000000000000001"/>
    <x v="0"/>
    <x v="0"/>
    <n v="3"/>
    <x v="1"/>
    <n v="2"/>
    <d v="2025-11-14T00:00:00"/>
    <x v="2"/>
    <x v="1"/>
    <x v="4"/>
    <n v="1"/>
  </r>
  <r>
    <s v="EMP1069"/>
    <d v="2024-01-15T00:00:00"/>
    <x v="0"/>
    <n v="23"/>
    <s v="Female"/>
    <s v="Married"/>
    <s v="Master's"/>
    <x v="3"/>
    <x v="6"/>
    <x v="0"/>
    <s v="Pune"/>
    <n v="25000"/>
    <n v="0.9"/>
    <n v="5.7"/>
    <n v="2"/>
    <n v="0.1"/>
    <x v="3"/>
    <x v="0"/>
    <n v="2"/>
    <x v="1"/>
    <n v="3"/>
    <m/>
    <x v="2"/>
    <x v="0"/>
    <x v="4"/>
    <n v="0"/>
  </r>
  <r>
    <s v="EMP1070"/>
    <d v="2017-12-15T00:00:00"/>
    <x v="0"/>
    <n v="29"/>
    <s v="Female"/>
    <s v="Married"/>
    <s v="PhD"/>
    <x v="2"/>
    <x v="2"/>
    <x v="1"/>
    <s v="Hyderabad"/>
    <n v="43000"/>
    <n v="8.6999999999999993"/>
    <n v="14.3"/>
    <n v="8"/>
    <n v="2.5"/>
    <x v="2"/>
    <x v="2"/>
    <n v="4"/>
    <x v="1"/>
    <n v="4"/>
    <m/>
    <x v="1"/>
    <x v="1"/>
    <x v="1"/>
    <n v="0"/>
  </r>
  <r>
    <s v="EMP1071"/>
    <d v="2017-06-09T00:00:00"/>
    <x v="0"/>
    <n v="48"/>
    <s v="Female"/>
    <s v="Divorced"/>
    <s v="Diploma"/>
    <x v="6"/>
    <x v="22"/>
    <x v="1"/>
    <s v="Pune"/>
    <n v="39000"/>
    <n v="13.6"/>
    <n v="10.8"/>
    <n v="8.6"/>
    <n v="3.8"/>
    <x v="0"/>
    <x v="0"/>
    <n v="3"/>
    <x v="1"/>
    <n v="3"/>
    <m/>
    <x v="3"/>
    <x v="0"/>
    <x v="1"/>
    <n v="0"/>
  </r>
  <r>
    <s v="EMP1072"/>
    <d v="2020-12-20T00:00:00"/>
    <x v="0"/>
    <n v="28"/>
    <s v="Male"/>
    <s v="Married"/>
    <s v="Diploma"/>
    <x v="4"/>
    <x v="14"/>
    <x v="1"/>
    <s v="Noida"/>
    <n v="52000"/>
    <n v="7.2"/>
    <n v="12.9"/>
    <n v="5"/>
    <n v="0.1"/>
    <x v="3"/>
    <x v="2"/>
    <n v="1"/>
    <x v="0"/>
    <n v="1"/>
    <m/>
    <x v="1"/>
    <x v="1"/>
    <x v="0"/>
    <n v="0"/>
  </r>
  <r>
    <s v="EMP1073"/>
    <d v="2022-12-08T00:00:00"/>
    <x v="0"/>
    <n v="44"/>
    <s v="Female"/>
    <s v="Single"/>
    <s v="Master's"/>
    <x v="1"/>
    <x v="27"/>
    <x v="0"/>
    <s v="Noida"/>
    <n v="45000"/>
    <n v="11"/>
    <n v="4"/>
    <n v="3.1"/>
    <n v="1"/>
    <x v="0"/>
    <x v="0"/>
    <n v="2"/>
    <x v="1"/>
    <n v="3"/>
    <m/>
    <x v="0"/>
    <x v="1"/>
    <x v="0"/>
    <n v="0"/>
  </r>
  <r>
    <s v="EMP1074"/>
    <d v="2024-03-14T00:00:00"/>
    <x v="0"/>
    <n v="23"/>
    <s v="Female"/>
    <s v="Single"/>
    <s v="PhD"/>
    <x v="0"/>
    <x v="16"/>
    <x v="0"/>
    <s v="Noida"/>
    <n v="30000"/>
    <n v="13.8"/>
    <n v="8.6"/>
    <n v="1.8"/>
    <n v="0.9"/>
    <x v="3"/>
    <x v="0"/>
    <n v="3"/>
    <x v="0"/>
    <n v="5"/>
    <m/>
    <x v="2"/>
    <x v="0"/>
    <x v="4"/>
    <n v="0"/>
  </r>
  <r>
    <s v="EMP1075"/>
    <d v="2023-02-21T00:00:00"/>
    <x v="0"/>
    <n v="26"/>
    <s v="Non-Binary"/>
    <s v="Divorced"/>
    <s v="Master's"/>
    <x v="1"/>
    <x v="1"/>
    <x v="0"/>
    <s v="Hyderabad"/>
    <n v="40000"/>
    <n v="5.0999999999999996"/>
    <n v="8"/>
    <n v="2.9"/>
    <n v="0.4"/>
    <x v="2"/>
    <x v="3"/>
    <n v="3"/>
    <x v="1"/>
    <n v="3"/>
    <m/>
    <x v="1"/>
    <x v="1"/>
    <x v="4"/>
    <n v="0"/>
  </r>
  <r>
    <s v="EMP1076"/>
    <d v="2025-01-09T00:00:00"/>
    <x v="0"/>
    <n v="30"/>
    <s v="Non-Binary"/>
    <s v="Single"/>
    <s v="Bachelor's"/>
    <x v="6"/>
    <x v="22"/>
    <x v="3"/>
    <s v="Noida"/>
    <n v="98000"/>
    <n v="5.0999999999999996"/>
    <n v="7.4"/>
    <n v="1"/>
    <n v="0.1"/>
    <x v="0"/>
    <x v="1"/>
    <n v="4"/>
    <x v="0"/>
    <n v="2"/>
    <m/>
    <x v="1"/>
    <x v="2"/>
    <x v="4"/>
    <n v="0"/>
  </r>
  <r>
    <s v="EMP1077"/>
    <d v="2025-06-25T00:00:00"/>
    <x v="0"/>
    <n v="24"/>
    <s v="Non-Binary"/>
    <s v="Single"/>
    <s v="PhD"/>
    <x v="6"/>
    <x v="19"/>
    <x v="0"/>
    <s v="Mumbai"/>
    <n v="22000"/>
    <n v="6.5"/>
    <n v="3.8"/>
    <n v="0.5"/>
    <n v="0"/>
    <x v="0"/>
    <x v="1"/>
    <n v="3"/>
    <x v="1"/>
    <n v="3"/>
    <m/>
    <x v="2"/>
    <x v="0"/>
    <x v="3"/>
    <n v="0"/>
  </r>
  <r>
    <s v="EMP1078"/>
    <d v="2023-08-19T00:00:00"/>
    <x v="0"/>
    <n v="32"/>
    <s v="Male"/>
    <s v="Divorced"/>
    <s v="Bachelor's"/>
    <x v="4"/>
    <x v="25"/>
    <x v="2"/>
    <s v="Hyderabad"/>
    <n v="69000"/>
    <n v="9.1999999999999993"/>
    <n v="4.5"/>
    <n v="2.4"/>
    <n v="2.2999999999999998"/>
    <x v="2"/>
    <x v="0"/>
    <n v="3"/>
    <x v="0"/>
    <n v="2"/>
    <m/>
    <x v="1"/>
    <x v="4"/>
    <x v="4"/>
    <n v="0"/>
  </r>
  <r>
    <s v="EMP1079"/>
    <d v="2016-08-17T00:00:00"/>
    <x v="0"/>
    <n v="36"/>
    <s v="Female"/>
    <s v="Single"/>
    <s v="PhD"/>
    <x v="1"/>
    <x v="10"/>
    <x v="2"/>
    <s v="Pune"/>
    <n v="93000"/>
    <n v="7.4"/>
    <n v="13.8"/>
    <n v="9.4"/>
    <n v="4.4000000000000004"/>
    <x v="2"/>
    <x v="0"/>
    <n v="3"/>
    <x v="1"/>
    <n v="3"/>
    <m/>
    <x v="0"/>
    <x v="2"/>
    <x v="1"/>
    <n v="0"/>
  </r>
  <r>
    <s v="EMP1080"/>
    <d v="2022-06-21T00:00:00"/>
    <x v="0"/>
    <n v="25"/>
    <s v="Female"/>
    <s v="Single"/>
    <s v="Master's"/>
    <x v="5"/>
    <x v="26"/>
    <x v="0"/>
    <s v="Pune"/>
    <n v="48000"/>
    <n v="9.6"/>
    <n v="10.9"/>
    <n v="3.5"/>
    <n v="2.2999999999999998"/>
    <x v="0"/>
    <x v="2"/>
    <n v="4"/>
    <x v="0"/>
    <n v="5"/>
    <m/>
    <x v="2"/>
    <x v="1"/>
    <x v="0"/>
    <n v="0"/>
  </r>
  <r>
    <s v="EMP1081"/>
    <d v="2015-05-22T00:00:00"/>
    <x v="0"/>
    <n v="33"/>
    <s v="Male"/>
    <s v="Single"/>
    <s v="Diploma"/>
    <x v="4"/>
    <x v="14"/>
    <x v="2"/>
    <s v="Noida"/>
    <n v="73000"/>
    <n v="13.9"/>
    <n v="15.9"/>
    <n v="10.6"/>
    <n v="3.5"/>
    <x v="0"/>
    <x v="0"/>
    <n v="2"/>
    <x v="1"/>
    <n v="4"/>
    <m/>
    <x v="1"/>
    <x v="4"/>
    <x v="2"/>
    <n v="0"/>
  </r>
  <r>
    <s v="EMP1082"/>
    <d v="2019-02-10T00:00:00"/>
    <x v="0"/>
    <n v="28"/>
    <s v="Female"/>
    <s v="Single"/>
    <s v="Master's"/>
    <x v="6"/>
    <x v="22"/>
    <x v="2"/>
    <s v="Mumbai"/>
    <n v="86000"/>
    <n v="6.6"/>
    <n v="9"/>
    <n v="6.9"/>
    <n v="0.7"/>
    <x v="2"/>
    <x v="0"/>
    <n v="3"/>
    <x v="1"/>
    <n v="4"/>
    <m/>
    <x v="1"/>
    <x v="2"/>
    <x v="1"/>
    <n v="0"/>
  </r>
  <r>
    <s v="EMP1083"/>
    <d v="2019-01-08T00:00:00"/>
    <x v="0"/>
    <n v="45"/>
    <s v="Non-Binary"/>
    <s v="Married"/>
    <s v="Bachelor's"/>
    <x v="6"/>
    <x v="22"/>
    <x v="3"/>
    <s v="Pune"/>
    <n v="107000"/>
    <n v="11.7"/>
    <n v="13.2"/>
    <n v="7"/>
    <n v="3.7"/>
    <x v="2"/>
    <x v="0"/>
    <n v="2"/>
    <x v="0"/>
    <n v="3"/>
    <m/>
    <x v="0"/>
    <x v="3"/>
    <x v="1"/>
    <n v="0"/>
  </r>
  <r>
    <s v="EMP1084"/>
    <d v="2023-10-21T00:00:00"/>
    <x v="0"/>
    <n v="38"/>
    <s v="Female"/>
    <s v="Single"/>
    <s v="Master's"/>
    <x v="4"/>
    <x v="14"/>
    <x v="1"/>
    <s v="Pune"/>
    <n v="52000"/>
    <n v="10.9"/>
    <n v="8.3000000000000007"/>
    <n v="2.2000000000000002"/>
    <n v="2"/>
    <x v="2"/>
    <x v="0"/>
    <n v="2"/>
    <x v="1"/>
    <n v="4"/>
    <m/>
    <x v="0"/>
    <x v="1"/>
    <x v="4"/>
    <n v="0"/>
  </r>
  <r>
    <s v="EMP1085"/>
    <d v="2025-02-17T00:00:00"/>
    <x v="0"/>
    <n v="21"/>
    <s v="Male"/>
    <s v="Married"/>
    <s v="PhD"/>
    <x v="1"/>
    <x v="10"/>
    <x v="0"/>
    <s v="Chennai"/>
    <n v="44000"/>
    <n v="0.7"/>
    <n v="4"/>
    <n v="0.9"/>
    <n v="0"/>
    <x v="3"/>
    <x v="2"/>
    <n v="3"/>
    <x v="1"/>
    <n v="3"/>
    <m/>
    <x v="2"/>
    <x v="1"/>
    <x v="3"/>
    <n v="0"/>
  </r>
  <r>
    <s v="EMP1086"/>
    <d v="2019-10-13T00:00:00"/>
    <x v="0"/>
    <n v="40"/>
    <s v="Non-Binary"/>
    <s v="Divorced"/>
    <s v="PhD"/>
    <x v="2"/>
    <x v="17"/>
    <x v="2"/>
    <s v="Bengaluru"/>
    <n v="77000"/>
    <n v="16.8"/>
    <n v="12.1"/>
    <n v="6.2"/>
    <n v="4.2"/>
    <x v="2"/>
    <x v="0"/>
    <n v="3"/>
    <x v="1"/>
    <n v="3"/>
    <m/>
    <x v="0"/>
    <x v="4"/>
    <x v="1"/>
    <n v="0"/>
  </r>
  <r>
    <s v="EMP1087"/>
    <d v="2023-07-24T00:00:00"/>
    <x v="0"/>
    <n v="28"/>
    <s v="Male"/>
    <s v="Single"/>
    <s v="Bachelor's"/>
    <x v="2"/>
    <x v="23"/>
    <x v="1"/>
    <s v="Bengaluru"/>
    <n v="52000"/>
    <n v="8.8000000000000007"/>
    <n v="9"/>
    <n v="2.4"/>
    <n v="2.1"/>
    <x v="0"/>
    <x v="0"/>
    <n v="2"/>
    <x v="1"/>
    <n v="2"/>
    <m/>
    <x v="1"/>
    <x v="1"/>
    <x v="4"/>
    <n v="0"/>
  </r>
  <r>
    <s v="EMP1088"/>
    <d v="2022-01-13T00:00:00"/>
    <x v="0"/>
    <n v="26"/>
    <s v="Non-Binary"/>
    <s v="Divorced"/>
    <s v="Master's"/>
    <x v="2"/>
    <x v="20"/>
    <x v="0"/>
    <s v="Bengaluru"/>
    <n v="28000"/>
    <n v="0.9"/>
    <n v="10"/>
    <n v="4"/>
    <n v="2.7"/>
    <x v="0"/>
    <x v="1"/>
    <n v="2"/>
    <x v="0"/>
    <n v="3"/>
    <m/>
    <x v="1"/>
    <x v="0"/>
    <x v="0"/>
    <n v="0"/>
  </r>
  <r>
    <s v="EMP1089"/>
    <d v="2019-07-14T00:00:00"/>
    <x v="0"/>
    <n v="31"/>
    <s v="Non-Binary"/>
    <s v="Single"/>
    <s v="Bachelor's"/>
    <x v="4"/>
    <x v="14"/>
    <x v="3"/>
    <s v="Pune"/>
    <n v="91000"/>
    <n v="10.6"/>
    <n v="10.5"/>
    <n v="6.5"/>
    <n v="3.7"/>
    <x v="3"/>
    <x v="1"/>
    <n v="3"/>
    <x v="1"/>
    <n v="4"/>
    <m/>
    <x v="1"/>
    <x v="2"/>
    <x v="1"/>
    <n v="0"/>
  </r>
  <r>
    <s v="EMP1090"/>
    <d v="2014-11-21T00:00:00"/>
    <x v="0"/>
    <n v="35"/>
    <s v="Female"/>
    <s v="Married"/>
    <s v="Bachelor's"/>
    <x v="1"/>
    <x v="10"/>
    <x v="3"/>
    <s v="Pune"/>
    <n v="126000"/>
    <n v="11.4"/>
    <n v="12.2"/>
    <n v="11.1"/>
    <n v="0.7"/>
    <x v="2"/>
    <x v="2"/>
    <n v="3"/>
    <x v="1"/>
    <n v="2"/>
    <m/>
    <x v="1"/>
    <x v="3"/>
    <x v="2"/>
    <n v="0"/>
  </r>
  <r>
    <s v="EMP1091"/>
    <d v="2017-04-04T00:00:00"/>
    <x v="0"/>
    <n v="35"/>
    <s v="Non-Binary"/>
    <s v="Single"/>
    <s v="Bachelor's"/>
    <x v="1"/>
    <x v="10"/>
    <x v="1"/>
    <s v="Hyderabad"/>
    <n v="54000"/>
    <n v="10.1"/>
    <n v="16.100000000000001"/>
    <n v="8.6999999999999993"/>
    <n v="4.5999999999999996"/>
    <x v="2"/>
    <x v="2"/>
    <n v="2"/>
    <x v="1"/>
    <n v="4"/>
    <m/>
    <x v="1"/>
    <x v="1"/>
    <x v="1"/>
    <n v="0"/>
  </r>
  <r>
    <s v="EMP1092"/>
    <d v="2022-10-07T00:00:00"/>
    <x v="0"/>
    <n v="29"/>
    <s v="Female"/>
    <s v="Single"/>
    <s v="Bachelor's"/>
    <x v="4"/>
    <x v="14"/>
    <x v="1"/>
    <s v="Bengaluru"/>
    <n v="69000"/>
    <n v="6.9"/>
    <n v="10.199999999999999"/>
    <n v="3.2"/>
    <n v="2.6"/>
    <x v="2"/>
    <x v="2"/>
    <n v="2"/>
    <x v="1"/>
    <n v="4"/>
    <m/>
    <x v="1"/>
    <x v="4"/>
    <x v="0"/>
    <n v="0"/>
  </r>
  <r>
    <s v="EMP1093"/>
    <d v="2020-06-10T00:00:00"/>
    <x v="0"/>
    <n v="28"/>
    <s v="Male"/>
    <s v="Single"/>
    <s v="Master's"/>
    <x v="6"/>
    <x v="19"/>
    <x v="2"/>
    <s v="Noida"/>
    <n v="79000"/>
    <n v="2"/>
    <n v="5.6"/>
    <n v="5.6"/>
    <n v="3.7"/>
    <x v="3"/>
    <x v="2"/>
    <n v="2"/>
    <x v="1"/>
    <n v="3"/>
    <m/>
    <x v="1"/>
    <x v="4"/>
    <x v="0"/>
    <n v="0"/>
  </r>
  <r>
    <s v="EMP1094"/>
    <d v="2021-01-10T00:00:00"/>
    <x v="0"/>
    <n v="25"/>
    <s v="Non-Binary"/>
    <s v="Divorced"/>
    <s v="Diploma"/>
    <x v="2"/>
    <x v="2"/>
    <x v="0"/>
    <s v="Pune"/>
    <n v="34000"/>
    <n v="13"/>
    <n v="11.5"/>
    <n v="5"/>
    <n v="3.7"/>
    <x v="2"/>
    <x v="3"/>
    <n v="4"/>
    <x v="1"/>
    <n v="4"/>
    <m/>
    <x v="2"/>
    <x v="0"/>
    <x v="0"/>
    <n v="0"/>
  </r>
  <r>
    <s v="EMP1095"/>
    <d v="2025-02-14T00:00:00"/>
    <x v="0"/>
    <n v="21"/>
    <s v="Female"/>
    <s v="Married"/>
    <s v="Master's"/>
    <x v="2"/>
    <x v="17"/>
    <x v="0"/>
    <s v="Pune"/>
    <n v="51000"/>
    <n v="10.199999999999999"/>
    <n v="2"/>
    <n v="0.9"/>
    <n v="0"/>
    <x v="3"/>
    <x v="2"/>
    <n v="3"/>
    <x v="1"/>
    <n v="4"/>
    <m/>
    <x v="2"/>
    <x v="1"/>
    <x v="3"/>
    <n v="0"/>
  </r>
  <r>
    <s v="EMP1096"/>
    <d v="2024-10-28T00:00:00"/>
    <x v="1"/>
    <n v="34"/>
    <s v="Female"/>
    <s v="Married"/>
    <s v="Bachelor's"/>
    <x v="2"/>
    <x v="23"/>
    <x v="1"/>
    <s v="Pune"/>
    <n v="53000"/>
    <n v="6.3"/>
    <n v="8.3000000000000007"/>
    <n v="0.9"/>
    <n v="0"/>
    <x v="3"/>
    <x v="0"/>
    <n v="2"/>
    <x v="1"/>
    <n v="3"/>
    <d v="2025-09-04T00:00:00"/>
    <x v="1"/>
    <x v="1"/>
    <x v="3"/>
    <n v="1"/>
  </r>
  <r>
    <s v="EMP1097"/>
    <d v="2019-06-04T00:00:00"/>
    <x v="0"/>
    <n v="29"/>
    <s v="Male"/>
    <s v="Married"/>
    <s v="Diploma"/>
    <x v="4"/>
    <x v="25"/>
    <x v="1"/>
    <s v="Hyderabad"/>
    <n v="47000"/>
    <n v="6.3"/>
    <n v="9.9"/>
    <n v="6.6"/>
    <n v="0.8"/>
    <x v="2"/>
    <x v="2"/>
    <n v="3"/>
    <x v="0"/>
    <n v="5"/>
    <m/>
    <x v="1"/>
    <x v="1"/>
    <x v="1"/>
    <n v="0"/>
  </r>
  <r>
    <s v="EMP1098"/>
    <d v="2017-09-10T00:00:00"/>
    <x v="0"/>
    <n v="34"/>
    <s v="Female"/>
    <s v="Married"/>
    <s v="PhD"/>
    <x v="2"/>
    <x v="20"/>
    <x v="3"/>
    <s v="Hyderabad"/>
    <n v="113000"/>
    <n v="11.1"/>
    <n v="10.6"/>
    <n v="8.3000000000000007"/>
    <n v="1.5"/>
    <x v="3"/>
    <x v="1"/>
    <n v="3"/>
    <x v="1"/>
    <n v="5"/>
    <m/>
    <x v="1"/>
    <x v="3"/>
    <x v="1"/>
    <n v="0"/>
  </r>
  <r>
    <s v="EMP1099"/>
    <d v="2021-05-12T00:00:00"/>
    <x v="0"/>
    <n v="35"/>
    <s v="Male"/>
    <s v="Married"/>
    <s v="PhD"/>
    <x v="3"/>
    <x v="4"/>
    <x v="2"/>
    <s v="Mumbai"/>
    <n v="75000"/>
    <n v="12.4"/>
    <n v="6.9"/>
    <n v="4.5999999999999996"/>
    <n v="3.9"/>
    <x v="0"/>
    <x v="2"/>
    <n v="2"/>
    <x v="1"/>
    <n v="4"/>
    <m/>
    <x v="1"/>
    <x v="4"/>
    <x v="0"/>
    <n v="0"/>
  </r>
  <r>
    <s v="EMP1100"/>
    <d v="2025-05-28T00:00:00"/>
    <x v="0"/>
    <n v="27"/>
    <s v="Male"/>
    <s v="Single"/>
    <s v="PhD"/>
    <x v="5"/>
    <x v="8"/>
    <x v="0"/>
    <s v="Mumbai"/>
    <n v="29000"/>
    <n v="13.3"/>
    <n v="1.6"/>
    <n v="0.6"/>
    <n v="0"/>
    <x v="3"/>
    <x v="2"/>
    <n v="3"/>
    <x v="0"/>
    <n v="3"/>
    <m/>
    <x v="1"/>
    <x v="0"/>
    <x v="3"/>
    <n v="0"/>
  </r>
  <r>
    <s v="EMP1101"/>
    <d v="2020-09-28T00:00:00"/>
    <x v="1"/>
    <n v="36"/>
    <s v="Female"/>
    <s v="Divorced"/>
    <s v="Bachelor's"/>
    <x v="6"/>
    <x v="19"/>
    <x v="2"/>
    <s v="Mumbai"/>
    <n v="86000"/>
    <n v="5.5"/>
    <n v="8.1"/>
    <n v="5.2"/>
    <n v="0.6"/>
    <x v="1"/>
    <x v="0"/>
    <n v="4"/>
    <x v="0"/>
    <n v="2"/>
    <d v="2025-12-10T00:00:00"/>
    <x v="0"/>
    <x v="2"/>
    <x v="0"/>
    <n v="1"/>
  </r>
  <r>
    <s v="EMP1102"/>
    <d v="2020-12-02T00:00:00"/>
    <x v="0"/>
    <n v="32"/>
    <s v="Female"/>
    <s v="Married"/>
    <s v="Diploma"/>
    <x v="5"/>
    <x v="13"/>
    <x v="2"/>
    <s v="Pune"/>
    <n v="94000"/>
    <n v="8.5"/>
    <n v="7.7"/>
    <n v="5.0999999999999996"/>
    <n v="4.9000000000000004"/>
    <x v="1"/>
    <x v="2"/>
    <n v="3"/>
    <x v="0"/>
    <n v="5"/>
    <m/>
    <x v="1"/>
    <x v="2"/>
    <x v="0"/>
    <n v="0"/>
  </r>
  <r>
    <s v="EMP1103"/>
    <d v="2017-06-18T00:00:00"/>
    <x v="0"/>
    <n v="37"/>
    <s v="Female"/>
    <s v="Married"/>
    <s v="Bachelor's"/>
    <x v="2"/>
    <x v="17"/>
    <x v="1"/>
    <s v="Pune"/>
    <n v="60000"/>
    <n v="6.3"/>
    <n v="12.8"/>
    <n v="8.5"/>
    <n v="3.2"/>
    <x v="2"/>
    <x v="0"/>
    <n v="3"/>
    <x v="0"/>
    <n v="3"/>
    <m/>
    <x v="0"/>
    <x v="4"/>
    <x v="1"/>
    <n v="0"/>
  </r>
  <r>
    <s v="EMP1104"/>
    <d v="2023-10-19T00:00:00"/>
    <x v="0"/>
    <n v="26"/>
    <s v="Female"/>
    <s v="Married"/>
    <s v="PhD"/>
    <x v="5"/>
    <x v="8"/>
    <x v="0"/>
    <s v="Pune"/>
    <n v="22000"/>
    <n v="9.8000000000000007"/>
    <n v="7.1"/>
    <n v="2.2000000000000002"/>
    <n v="0.3"/>
    <x v="0"/>
    <x v="2"/>
    <n v="4"/>
    <x v="1"/>
    <n v="5"/>
    <m/>
    <x v="1"/>
    <x v="0"/>
    <x v="4"/>
    <n v="0"/>
  </r>
  <r>
    <s v="EMP1105"/>
    <d v="2019-07-25T00:00:00"/>
    <x v="0"/>
    <n v="35"/>
    <s v="Female"/>
    <s v="Divorced"/>
    <s v="Bachelor's"/>
    <x v="5"/>
    <x v="18"/>
    <x v="2"/>
    <s v="Bengaluru"/>
    <n v="69000"/>
    <n v="7.6"/>
    <n v="6.7"/>
    <n v="6.4"/>
    <n v="5.9"/>
    <x v="2"/>
    <x v="0"/>
    <n v="3"/>
    <x v="1"/>
    <n v="3"/>
    <m/>
    <x v="1"/>
    <x v="4"/>
    <x v="1"/>
    <n v="0"/>
  </r>
  <r>
    <s v="EMP1106"/>
    <d v="2018-10-25T00:00:00"/>
    <x v="0"/>
    <n v="43"/>
    <s v="Male"/>
    <s v="Divorced"/>
    <s v="Diploma"/>
    <x v="2"/>
    <x v="23"/>
    <x v="0"/>
    <s v="Chennai"/>
    <n v="23000"/>
    <n v="14"/>
    <n v="7.3"/>
    <n v="7.2"/>
    <n v="3.9"/>
    <x v="3"/>
    <x v="0"/>
    <n v="3"/>
    <x v="1"/>
    <n v="5"/>
    <m/>
    <x v="0"/>
    <x v="0"/>
    <x v="1"/>
    <n v="0"/>
  </r>
  <r>
    <s v="EMP1107"/>
    <d v="2024-01-12T00:00:00"/>
    <x v="0"/>
    <n v="27"/>
    <s v="Non-Binary"/>
    <s v="Married"/>
    <s v="PhD"/>
    <x v="5"/>
    <x v="18"/>
    <x v="0"/>
    <s v="Chennai"/>
    <n v="28000"/>
    <n v="10.4"/>
    <n v="2.2999999999999998"/>
    <n v="2"/>
    <n v="1.2"/>
    <x v="1"/>
    <x v="0"/>
    <n v="4"/>
    <x v="1"/>
    <n v="3"/>
    <m/>
    <x v="1"/>
    <x v="0"/>
    <x v="4"/>
    <n v="0"/>
  </r>
  <r>
    <s v="EMP1108"/>
    <d v="2018-02-13T00:00:00"/>
    <x v="0"/>
    <n v="34"/>
    <s v="Female"/>
    <s v="Single"/>
    <s v="Master's"/>
    <x v="4"/>
    <x v="5"/>
    <x v="2"/>
    <s v="Pune"/>
    <n v="69000"/>
    <n v="1.9"/>
    <n v="14.4"/>
    <n v="7.9"/>
    <n v="2.2999999999999998"/>
    <x v="2"/>
    <x v="0"/>
    <n v="3"/>
    <x v="0"/>
    <n v="3"/>
    <m/>
    <x v="1"/>
    <x v="4"/>
    <x v="1"/>
    <n v="0"/>
  </r>
  <r>
    <s v="EMP1109"/>
    <d v="2020-01-10T00:00:00"/>
    <x v="0"/>
    <n v="35"/>
    <s v="Non-Binary"/>
    <s v="Divorced"/>
    <s v="Diploma"/>
    <x v="3"/>
    <x v="4"/>
    <x v="4"/>
    <s v="Chennai"/>
    <n v="155000"/>
    <n v="6.8"/>
    <n v="12.1"/>
    <n v="6"/>
    <n v="2.6"/>
    <x v="3"/>
    <x v="1"/>
    <n v="3"/>
    <x v="1"/>
    <n v="3"/>
    <m/>
    <x v="1"/>
    <x v="3"/>
    <x v="0"/>
    <n v="0"/>
  </r>
  <r>
    <s v="EMP1110"/>
    <d v="2020-06-25T00:00:00"/>
    <x v="0"/>
    <n v="41"/>
    <s v="Female"/>
    <s v="Single"/>
    <s v="PhD"/>
    <x v="4"/>
    <x v="25"/>
    <x v="4"/>
    <s v="Chennai"/>
    <n v="145000"/>
    <n v="7.6"/>
    <n v="6.8"/>
    <n v="5.5"/>
    <n v="2.4"/>
    <x v="2"/>
    <x v="2"/>
    <n v="3"/>
    <x v="0"/>
    <n v="1"/>
    <m/>
    <x v="0"/>
    <x v="3"/>
    <x v="0"/>
    <n v="0"/>
  </r>
  <r>
    <s v="EMP1111"/>
    <d v="2025-04-23T00:00:00"/>
    <x v="0"/>
    <n v="24"/>
    <s v="Non-Binary"/>
    <s v="Single"/>
    <s v="Master's"/>
    <x v="2"/>
    <x v="20"/>
    <x v="0"/>
    <s v="Hyderabad"/>
    <n v="35000"/>
    <n v="11.2"/>
    <n v="6"/>
    <n v="0.7"/>
    <n v="0"/>
    <x v="0"/>
    <x v="0"/>
    <n v="2"/>
    <x v="1"/>
    <n v="4"/>
    <m/>
    <x v="2"/>
    <x v="0"/>
    <x v="3"/>
    <n v="0"/>
  </r>
  <r>
    <s v="EMP1112"/>
    <d v="2025-01-26T00:00:00"/>
    <x v="0"/>
    <n v="21"/>
    <s v="Non-Binary"/>
    <s v="Divorced"/>
    <s v="Bachelor's"/>
    <x v="0"/>
    <x v="16"/>
    <x v="0"/>
    <s v="Bengaluru"/>
    <n v="25000"/>
    <n v="5.5"/>
    <n v="1.1000000000000001"/>
    <n v="0.9"/>
    <n v="0"/>
    <x v="3"/>
    <x v="0"/>
    <n v="3"/>
    <x v="1"/>
    <n v="3"/>
    <m/>
    <x v="2"/>
    <x v="0"/>
    <x v="3"/>
    <n v="0"/>
  </r>
  <r>
    <s v="EMP1113"/>
    <d v="2022-02-21T00:00:00"/>
    <x v="0"/>
    <n v="36"/>
    <s v="Female"/>
    <s v="Divorced"/>
    <s v="Diploma"/>
    <x v="4"/>
    <x v="5"/>
    <x v="3"/>
    <s v="Mumbai"/>
    <n v="119000"/>
    <n v="7"/>
    <n v="10.9"/>
    <n v="3.9"/>
    <n v="1.4"/>
    <x v="0"/>
    <x v="0"/>
    <n v="4"/>
    <x v="0"/>
    <n v="4"/>
    <m/>
    <x v="0"/>
    <x v="3"/>
    <x v="0"/>
    <n v="0"/>
  </r>
  <r>
    <s v="EMP1114"/>
    <d v="2025-05-26T00:00:00"/>
    <x v="0"/>
    <n v="41"/>
    <s v="Female"/>
    <s v="Divorced"/>
    <s v="PhD"/>
    <x v="5"/>
    <x v="13"/>
    <x v="0"/>
    <s v="Bengaluru"/>
    <n v="40000"/>
    <n v="14.1"/>
    <n v="5.9"/>
    <n v="0.6"/>
    <n v="0"/>
    <x v="2"/>
    <x v="1"/>
    <n v="2"/>
    <x v="1"/>
    <n v="4"/>
    <m/>
    <x v="0"/>
    <x v="1"/>
    <x v="3"/>
    <n v="0"/>
  </r>
  <r>
    <s v="EMP1115"/>
    <d v="2021-04-23T00:00:00"/>
    <x v="0"/>
    <n v="25"/>
    <s v="Female"/>
    <s v="Divorced"/>
    <s v="PhD"/>
    <x v="2"/>
    <x v="23"/>
    <x v="0"/>
    <s v="Chennai"/>
    <n v="22000"/>
    <n v="2.8"/>
    <n v="6.9"/>
    <n v="4.7"/>
    <n v="0.8"/>
    <x v="4"/>
    <x v="0"/>
    <n v="3"/>
    <x v="1"/>
    <n v="3"/>
    <m/>
    <x v="2"/>
    <x v="0"/>
    <x v="0"/>
    <n v="0"/>
  </r>
  <r>
    <s v="EMP1116"/>
    <d v="2025-02-11T00:00:00"/>
    <x v="0"/>
    <n v="41"/>
    <s v="Male"/>
    <s v="Married"/>
    <s v="Master's"/>
    <x v="0"/>
    <x v="16"/>
    <x v="2"/>
    <s v="Pune"/>
    <n v="89000"/>
    <n v="12.4"/>
    <n v="3"/>
    <n v="0.9"/>
    <n v="0"/>
    <x v="2"/>
    <x v="2"/>
    <n v="3"/>
    <x v="0"/>
    <n v="3"/>
    <m/>
    <x v="0"/>
    <x v="2"/>
    <x v="3"/>
    <n v="0"/>
  </r>
  <r>
    <s v="EMP1117"/>
    <d v="2018-09-01T00:00:00"/>
    <x v="0"/>
    <n v="29"/>
    <s v="Non-Binary"/>
    <s v="Divorced"/>
    <s v="PhD"/>
    <x v="3"/>
    <x v="4"/>
    <x v="2"/>
    <s v="Pune"/>
    <n v="70000"/>
    <n v="12.4"/>
    <n v="10.199999999999999"/>
    <n v="7.3"/>
    <n v="4.7"/>
    <x v="3"/>
    <x v="0"/>
    <n v="4"/>
    <x v="1"/>
    <n v="4"/>
    <m/>
    <x v="1"/>
    <x v="4"/>
    <x v="1"/>
    <n v="0"/>
  </r>
  <r>
    <s v="EMP1118"/>
    <d v="2014-11-12T00:00:00"/>
    <x v="0"/>
    <n v="34"/>
    <s v="Female"/>
    <s v="Divorced"/>
    <s v="Diploma"/>
    <x v="6"/>
    <x v="19"/>
    <x v="3"/>
    <s v="Pune"/>
    <n v="114000"/>
    <n v="10.3"/>
    <n v="14.2"/>
    <n v="11.1"/>
    <n v="1.5"/>
    <x v="2"/>
    <x v="0"/>
    <n v="3"/>
    <x v="1"/>
    <n v="1"/>
    <m/>
    <x v="1"/>
    <x v="3"/>
    <x v="2"/>
    <n v="0"/>
  </r>
  <r>
    <s v="EMP1119"/>
    <d v="2019-02-20T00:00:00"/>
    <x v="0"/>
    <n v="42"/>
    <s v="Male"/>
    <s v="Single"/>
    <s v="Master's"/>
    <x v="5"/>
    <x v="26"/>
    <x v="0"/>
    <s v="Hyderabad"/>
    <n v="43000"/>
    <n v="12.4"/>
    <n v="9.6999999999999993"/>
    <n v="6.9"/>
    <n v="4.5999999999999996"/>
    <x v="3"/>
    <x v="2"/>
    <n v="3"/>
    <x v="0"/>
    <n v="4"/>
    <m/>
    <x v="0"/>
    <x v="1"/>
    <x v="1"/>
    <n v="0"/>
  </r>
  <r>
    <s v="EMP1120"/>
    <d v="2020-10-31T00:00:00"/>
    <x v="0"/>
    <n v="30"/>
    <s v="Non-Binary"/>
    <s v="Single"/>
    <s v="PhD"/>
    <x v="4"/>
    <x v="5"/>
    <x v="2"/>
    <s v="Bengaluru"/>
    <n v="80000"/>
    <n v="3.4"/>
    <n v="7.2"/>
    <n v="5.2"/>
    <n v="2.5"/>
    <x v="0"/>
    <x v="2"/>
    <n v="3"/>
    <x v="1"/>
    <n v="3"/>
    <m/>
    <x v="1"/>
    <x v="2"/>
    <x v="0"/>
    <n v="0"/>
  </r>
  <r>
    <s v="EMP1121"/>
    <d v="2025-04-13T00:00:00"/>
    <x v="1"/>
    <n v="25"/>
    <s v="Male"/>
    <s v="Single"/>
    <s v="PhD"/>
    <x v="4"/>
    <x v="25"/>
    <x v="0"/>
    <s v="Bengaluru"/>
    <n v="35000"/>
    <n v="5.6"/>
    <n v="8.6"/>
    <n v="0.7"/>
    <n v="0"/>
    <x v="0"/>
    <x v="0"/>
    <n v="4"/>
    <x v="0"/>
    <n v="4"/>
    <d v="2025-12-22T00:00:00"/>
    <x v="2"/>
    <x v="0"/>
    <x v="3"/>
    <n v="1"/>
  </r>
  <r>
    <s v="EMP1122"/>
    <d v="2020-12-06T00:00:00"/>
    <x v="0"/>
    <n v="33"/>
    <s v="Non-Binary"/>
    <s v="Single"/>
    <s v="Master's"/>
    <x v="1"/>
    <x v="27"/>
    <x v="2"/>
    <s v="Hyderabad"/>
    <n v="75000"/>
    <n v="10.7"/>
    <n v="12.4"/>
    <n v="5.0999999999999996"/>
    <n v="1.6"/>
    <x v="3"/>
    <x v="0"/>
    <n v="3"/>
    <x v="0"/>
    <n v="4"/>
    <m/>
    <x v="1"/>
    <x v="4"/>
    <x v="0"/>
    <n v="0"/>
  </r>
  <r>
    <s v="EMP1123"/>
    <d v="2022-08-20T00:00:00"/>
    <x v="0"/>
    <n v="39"/>
    <s v="Male"/>
    <s v="Married"/>
    <s v="PhD"/>
    <x v="6"/>
    <x v="21"/>
    <x v="2"/>
    <s v="Noida"/>
    <n v="77000"/>
    <n v="10.6"/>
    <n v="10.3"/>
    <n v="3.4"/>
    <n v="2.4"/>
    <x v="2"/>
    <x v="0"/>
    <n v="4"/>
    <x v="1"/>
    <n v="3"/>
    <m/>
    <x v="0"/>
    <x v="4"/>
    <x v="0"/>
    <n v="0"/>
  </r>
  <r>
    <s v="EMP1124"/>
    <d v="2020-07-12T00:00:00"/>
    <x v="1"/>
    <n v="29"/>
    <s v="Male"/>
    <s v="Married"/>
    <s v="Bachelor's"/>
    <x v="5"/>
    <x v="13"/>
    <x v="2"/>
    <s v="Mumbai"/>
    <n v="82000"/>
    <n v="12.4"/>
    <n v="12.9"/>
    <n v="5.2"/>
    <n v="3.8"/>
    <x v="2"/>
    <x v="2"/>
    <n v="3"/>
    <x v="1"/>
    <n v="4"/>
    <d v="2025-10-05T00:00:00"/>
    <x v="1"/>
    <x v="2"/>
    <x v="0"/>
    <n v="1"/>
  </r>
  <r>
    <s v="EMP1125"/>
    <d v="2022-03-28T00:00:00"/>
    <x v="0"/>
    <n v="27"/>
    <s v="Non-Binary"/>
    <s v="Divorced"/>
    <s v="Master's"/>
    <x v="6"/>
    <x v="12"/>
    <x v="0"/>
    <s v="Noida"/>
    <n v="43000"/>
    <n v="0.3"/>
    <n v="8.6999999999999993"/>
    <n v="3.8"/>
    <n v="3.5"/>
    <x v="0"/>
    <x v="0"/>
    <n v="4"/>
    <x v="1"/>
    <n v="4"/>
    <m/>
    <x v="1"/>
    <x v="1"/>
    <x v="0"/>
    <n v="0"/>
  </r>
  <r>
    <s v="EMP1126"/>
    <d v="2021-09-24T00:00:00"/>
    <x v="0"/>
    <n v="26"/>
    <s v="Female"/>
    <s v="Divorced"/>
    <s v="Bachelor's"/>
    <x v="4"/>
    <x v="5"/>
    <x v="0"/>
    <s v="Bengaluru"/>
    <n v="22000"/>
    <n v="2.7"/>
    <n v="8.8000000000000007"/>
    <n v="4.3"/>
    <n v="3"/>
    <x v="2"/>
    <x v="2"/>
    <n v="3"/>
    <x v="1"/>
    <n v="4"/>
    <m/>
    <x v="1"/>
    <x v="0"/>
    <x v="0"/>
    <n v="0"/>
  </r>
  <r>
    <s v="EMP1127"/>
    <d v="2017-10-01T00:00:00"/>
    <x v="0"/>
    <n v="32"/>
    <s v="Male"/>
    <s v="Married"/>
    <s v="Bachelor's"/>
    <x v="5"/>
    <x v="13"/>
    <x v="2"/>
    <s v="Mumbai"/>
    <n v="90000"/>
    <n v="11.8"/>
    <n v="11.1"/>
    <n v="8.1999999999999993"/>
    <n v="4.2"/>
    <x v="2"/>
    <x v="0"/>
    <n v="3"/>
    <x v="0"/>
    <n v="3"/>
    <m/>
    <x v="1"/>
    <x v="2"/>
    <x v="1"/>
    <n v="0"/>
  </r>
  <r>
    <s v="EMP1128"/>
    <d v="2018-09-23T00:00:00"/>
    <x v="0"/>
    <n v="38"/>
    <s v="Non-Binary"/>
    <s v="Married"/>
    <s v="Diploma"/>
    <x v="0"/>
    <x v="0"/>
    <x v="1"/>
    <s v="Hyderabad"/>
    <n v="49000"/>
    <n v="4.3"/>
    <n v="10.6"/>
    <n v="7.3"/>
    <n v="1.5"/>
    <x v="2"/>
    <x v="2"/>
    <n v="3"/>
    <x v="1"/>
    <n v="2"/>
    <m/>
    <x v="0"/>
    <x v="1"/>
    <x v="1"/>
    <n v="0"/>
  </r>
  <r>
    <s v="EMP1129"/>
    <d v="2025-08-20T00:00:00"/>
    <x v="0"/>
    <n v="29"/>
    <s v="Female"/>
    <s v="Married"/>
    <s v="Diploma"/>
    <x v="4"/>
    <x v="25"/>
    <x v="1"/>
    <s v="Noida"/>
    <n v="42000"/>
    <n v="8.3000000000000007"/>
    <n v="6.8"/>
    <n v="0.4"/>
    <n v="0"/>
    <x v="4"/>
    <x v="2"/>
    <n v="2"/>
    <x v="0"/>
    <n v="1"/>
    <m/>
    <x v="1"/>
    <x v="1"/>
    <x v="3"/>
    <n v="0"/>
  </r>
  <r>
    <s v="EMP1130"/>
    <d v="2021-09-20T00:00:00"/>
    <x v="0"/>
    <n v="30"/>
    <s v="Female"/>
    <s v="Married"/>
    <s v="Bachelor's"/>
    <x v="2"/>
    <x v="17"/>
    <x v="1"/>
    <s v="Chennai"/>
    <n v="55000"/>
    <n v="10.4"/>
    <n v="10.8"/>
    <n v="4.3"/>
    <n v="4"/>
    <x v="2"/>
    <x v="0"/>
    <n v="4"/>
    <x v="1"/>
    <n v="3"/>
    <m/>
    <x v="1"/>
    <x v="1"/>
    <x v="0"/>
    <n v="0"/>
  </r>
  <r>
    <s v="EMP1131"/>
    <d v="2016-05-05T00:00:00"/>
    <x v="0"/>
    <n v="30"/>
    <s v="Female"/>
    <s v="Single"/>
    <s v="Master's"/>
    <x v="3"/>
    <x v="4"/>
    <x v="2"/>
    <s v="Mumbai"/>
    <n v="90000"/>
    <n v="11"/>
    <n v="13.1"/>
    <n v="9.6999999999999993"/>
    <n v="1.5"/>
    <x v="2"/>
    <x v="2"/>
    <n v="2"/>
    <x v="0"/>
    <n v="3"/>
    <m/>
    <x v="1"/>
    <x v="2"/>
    <x v="1"/>
    <n v="0"/>
  </r>
  <r>
    <s v="EMP1132"/>
    <d v="2021-01-23T00:00:00"/>
    <x v="0"/>
    <n v="41"/>
    <s v="Male"/>
    <s v="Single"/>
    <s v="Diploma"/>
    <x v="6"/>
    <x v="21"/>
    <x v="0"/>
    <s v="Pune"/>
    <n v="44000"/>
    <n v="3.4"/>
    <n v="5.4"/>
    <n v="4.9000000000000004"/>
    <n v="3.4"/>
    <x v="2"/>
    <x v="0"/>
    <n v="2"/>
    <x v="1"/>
    <n v="3"/>
    <m/>
    <x v="0"/>
    <x v="1"/>
    <x v="0"/>
    <n v="0"/>
  </r>
  <r>
    <s v="EMP1133"/>
    <d v="2015-05-23T00:00:00"/>
    <x v="0"/>
    <n v="33"/>
    <s v="Non-Binary"/>
    <s v="Single"/>
    <s v="Bachelor's"/>
    <x v="2"/>
    <x v="17"/>
    <x v="1"/>
    <s v="Hyderabad"/>
    <n v="47000"/>
    <n v="9.6999999999999993"/>
    <n v="16.7"/>
    <n v="10.6"/>
    <n v="3.7"/>
    <x v="2"/>
    <x v="0"/>
    <n v="2"/>
    <x v="1"/>
    <n v="3"/>
    <m/>
    <x v="1"/>
    <x v="1"/>
    <x v="2"/>
    <n v="0"/>
  </r>
  <r>
    <s v="EMP1134"/>
    <d v="2019-08-26T00:00:00"/>
    <x v="0"/>
    <n v="37"/>
    <s v="Non-Binary"/>
    <s v="Married"/>
    <s v="Master's"/>
    <x v="2"/>
    <x v="2"/>
    <x v="2"/>
    <s v="Pune"/>
    <n v="67000"/>
    <n v="12"/>
    <n v="14.2"/>
    <n v="6.3"/>
    <n v="0.1"/>
    <x v="1"/>
    <x v="0"/>
    <n v="3"/>
    <x v="1"/>
    <n v="3"/>
    <m/>
    <x v="0"/>
    <x v="4"/>
    <x v="1"/>
    <n v="0"/>
  </r>
  <r>
    <s v="EMP1135"/>
    <d v="2018-09-25T00:00:00"/>
    <x v="0"/>
    <n v="35"/>
    <s v="Female"/>
    <s v="Single"/>
    <s v="PhD"/>
    <x v="2"/>
    <x v="23"/>
    <x v="1"/>
    <s v="Bengaluru"/>
    <n v="49000"/>
    <n v="8.1"/>
    <n v="7.4"/>
    <n v="7.3"/>
    <n v="4.8"/>
    <x v="2"/>
    <x v="0"/>
    <n v="4"/>
    <x v="1"/>
    <n v="3"/>
    <m/>
    <x v="1"/>
    <x v="1"/>
    <x v="1"/>
    <n v="0"/>
  </r>
  <r>
    <s v="EMP1136"/>
    <d v="2020-06-17T00:00:00"/>
    <x v="0"/>
    <n v="26"/>
    <s v="Female"/>
    <s v="Divorced"/>
    <s v="Bachelor's"/>
    <x v="1"/>
    <x v="10"/>
    <x v="0"/>
    <s v="Mumbai"/>
    <n v="57000"/>
    <n v="1.7"/>
    <n v="11.6"/>
    <n v="5.5"/>
    <n v="2.6"/>
    <x v="2"/>
    <x v="1"/>
    <n v="3"/>
    <x v="0"/>
    <n v="4"/>
    <m/>
    <x v="1"/>
    <x v="1"/>
    <x v="0"/>
    <n v="0"/>
  </r>
  <r>
    <s v="EMP1137"/>
    <d v="2018-04-07T00:00:00"/>
    <x v="0"/>
    <n v="36"/>
    <s v="Female"/>
    <s v="Married"/>
    <s v="Diploma"/>
    <x v="4"/>
    <x v="24"/>
    <x v="4"/>
    <s v="Bengaluru"/>
    <n v="152000"/>
    <n v="8.6"/>
    <n v="10.199999999999999"/>
    <n v="7.7"/>
    <n v="0.7"/>
    <x v="2"/>
    <x v="0"/>
    <n v="3"/>
    <x v="1"/>
    <n v="3"/>
    <m/>
    <x v="0"/>
    <x v="3"/>
    <x v="1"/>
    <n v="0"/>
  </r>
  <r>
    <s v="EMP1138"/>
    <d v="2018-01-23T00:00:00"/>
    <x v="0"/>
    <n v="36"/>
    <s v="Non-Binary"/>
    <s v="Married"/>
    <s v="Diploma"/>
    <x v="5"/>
    <x v="26"/>
    <x v="1"/>
    <s v="Chennai"/>
    <n v="57000"/>
    <n v="14.6"/>
    <n v="14.9"/>
    <n v="7.9"/>
    <n v="5.0999999999999996"/>
    <x v="2"/>
    <x v="1"/>
    <n v="2"/>
    <x v="1"/>
    <n v="3"/>
    <m/>
    <x v="0"/>
    <x v="1"/>
    <x v="1"/>
    <n v="0"/>
  </r>
  <r>
    <s v="EMP1139"/>
    <d v="2018-06-09T00:00:00"/>
    <x v="0"/>
    <n v="39"/>
    <s v="Non-Binary"/>
    <s v="Single"/>
    <s v="PhD"/>
    <x v="4"/>
    <x v="5"/>
    <x v="2"/>
    <s v="Pune"/>
    <n v="65000"/>
    <n v="8.6999999999999993"/>
    <n v="13.8"/>
    <n v="7.6"/>
    <n v="4.5999999999999996"/>
    <x v="3"/>
    <x v="1"/>
    <n v="3"/>
    <x v="1"/>
    <n v="4"/>
    <m/>
    <x v="0"/>
    <x v="4"/>
    <x v="1"/>
    <n v="0"/>
  </r>
  <r>
    <s v="EMP1140"/>
    <d v="2020-10-03T00:00:00"/>
    <x v="0"/>
    <n v="26"/>
    <s v="Male"/>
    <s v="Divorced"/>
    <s v="PhD"/>
    <x v="5"/>
    <x v="13"/>
    <x v="0"/>
    <s v="Pune"/>
    <n v="41000"/>
    <n v="6.8"/>
    <n v="5.8"/>
    <n v="5.2"/>
    <n v="2.5"/>
    <x v="2"/>
    <x v="0"/>
    <n v="3"/>
    <x v="1"/>
    <n v="2"/>
    <m/>
    <x v="1"/>
    <x v="1"/>
    <x v="0"/>
    <n v="0"/>
  </r>
  <r>
    <s v="EMP1141"/>
    <d v="2024-03-31T00:00:00"/>
    <x v="0"/>
    <n v="26"/>
    <s v="Female"/>
    <s v="Divorced"/>
    <s v="Master's"/>
    <x v="2"/>
    <x v="23"/>
    <x v="0"/>
    <s v="Hyderabad"/>
    <n v="48000"/>
    <n v="5.4"/>
    <n v="9.6999999999999993"/>
    <n v="1.8"/>
    <n v="1.8"/>
    <x v="3"/>
    <x v="0"/>
    <n v="3"/>
    <x v="1"/>
    <n v="4"/>
    <m/>
    <x v="1"/>
    <x v="1"/>
    <x v="4"/>
    <n v="0"/>
  </r>
  <r>
    <s v="EMP1142"/>
    <d v="2025-07-24T00:00:00"/>
    <x v="0"/>
    <n v="39"/>
    <s v="Female"/>
    <s v="Divorced"/>
    <s v="Bachelor's"/>
    <x v="2"/>
    <x v="20"/>
    <x v="3"/>
    <s v="Mumbai"/>
    <n v="103000"/>
    <n v="12.4"/>
    <n v="6.4"/>
    <n v="0.4"/>
    <n v="0"/>
    <x v="0"/>
    <x v="0"/>
    <n v="3"/>
    <x v="1"/>
    <n v="3"/>
    <m/>
    <x v="0"/>
    <x v="3"/>
    <x v="3"/>
    <n v="0"/>
  </r>
  <r>
    <s v="EMP1143"/>
    <d v="2022-09-22T00:00:00"/>
    <x v="0"/>
    <n v="43"/>
    <s v="Female"/>
    <s v="Divorced"/>
    <s v="Master's"/>
    <x v="6"/>
    <x v="22"/>
    <x v="1"/>
    <s v="Mumbai"/>
    <n v="53000"/>
    <n v="6.6"/>
    <n v="3.7"/>
    <n v="3.3"/>
    <n v="1.8"/>
    <x v="2"/>
    <x v="2"/>
    <n v="4"/>
    <x v="1"/>
    <n v="4"/>
    <m/>
    <x v="0"/>
    <x v="1"/>
    <x v="0"/>
    <n v="0"/>
  </r>
  <r>
    <s v="EMP1144"/>
    <d v="2017-09-02T00:00:00"/>
    <x v="0"/>
    <n v="39"/>
    <s v="Non-Binary"/>
    <s v="Married"/>
    <s v="PhD"/>
    <x v="0"/>
    <x v="0"/>
    <x v="0"/>
    <s v="Chennai"/>
    <n v="26000"/>
    <n v="6"/>
    <n v="10.3"/>
    <n v="8.3000000000000007"/>
    <n v="3.6"/>
    <x v="0"/>
    <x v="1"/>
    <n v="3"/>
    <x v="1"/>
    <n v="3"/>
    <m/>
    <x v="0"/>
    <x v="0"/>
    <x v="1"/>
    <n v="0"/>
  </r>
  <r>
    <s v="EMP1145"/>
    <d v="2021-01-21T00:00:00"/>
    <x v="0"/>
    <n v="25"/>
    <s v="Non-Binary"/>
    <s v="Single"/>
    <s v="PhD"/>
    <x v="4"/>
    <x v="5"/>
    <x v="0"/>
    <s v="Bengaluru"/>
    <n v="49000"/>
    <n v="6.7"/>
    <n v="11.1"/>
    <n v="4.9000000000000004"/>
    <n v="2.9"/>
    <x v="0"/>
    <x v="0"/>
    <n v="4"/>
    <x v="1"/>
    <n v="3"/>
    <m/>
    <x v="2"/>
    <x v="1"/>
    <x v="0"/>
    <n v="0"/>
  </r>
  <r>
    <s v="EMP1146"/>
    <d v="2022-09-24T00:00:00"/>
    <x v="0"/>
    <n v="34"/>
    <s v="Male"/>
    <s v="Single"/>
    <s v="Master's"/>
    <x v="6"/>
    <x v="12"/>
    <x v="2"/>
    <s v="Chennai"/>
    <n v="68000"/>
    <n v="9"/>
    <n v="11.2"/>
    <n v="3.3"/>
    <n v="1.8"/>
    <x v="0"/>
    <x v="2"/>
    <n v="3"/>
    <x v="0"/>
    <n v="3"/>
    <m/>
    <x v="1"/>
    <x v="4"/>
    <x v="0"/>
    <n v="0"/>
  </r>
  <r>
    <s v="EMP1147"/>
    <d v="2022-11-30T00:00:00"/>
    <x v="1"/>
    <n v="32"/>
    <s v="Non-Binary"/>
    <s v="Single"/>
    <s v="Master's"/>
    <x v="3"/>
    <x v="11"/>
    <x v="2"/>
    <s v="Chennai"/>
    <n v="91000"/>
    <n v="13.1"/>
    <n v="8.3000000000000007"/>
    <n v="3"/>
    <n v="1.5"/>
    <x v="3"/>
    <x v="0"/>
    <n v="4"/>
    <x v="1"/>
    <n v="5"/>
    <d v="2025-11-27T00:00:00"/>
    <x v="1"/>
    <x v="2"/>
    <x v="4"/>
    <n v="1"/>
  </r>
  <r>
    <s v="EMP1148"/>
    <d v="2020-04-18T00:00:00"/>
    <x v="1"/>
    <n v="30"/>
    <s v="Female"/>
    <s v="Married"/>
    <s v="PhD"/>
    <x v="2"/>
    <x v="23"/>
    <x v="2"/>
    <s v="Mumbai"/>
    <n v="65000"/>
    <n v="6.5"/>
    <n v="5"/>
    <n v="4.9000000000000004"/>
    <n v="1.1000000000000001"/>
    <x v="3"/>
    <x v="2"/>
    <n v="1"/>
    <x v="0"/>
    <n v="4"/>
    <d v="2025-03-01T00:00:00"/>
    <x v="1"/>
    <x v="4"/>
    <x v="0"/>
    <n v="1"/>
  </r>
  <r>
    <s v="EMP1149"/>
    <d v="2019-10-04T00:00:00"/>
    <x v="0"/>
    <n v="37"/>
    <s v="Female"/>
    <s v="Single"/>
    <s v="Diploma"/>
    <x v="5"/>
    <x v="8"/>
    <x v="3"/>
    <s v="Mumbai"/>
    <n v="105000"/>
    <n v="9"/>
    <n v="12.7"/>
    <n v="6.2"/>
    <n v="2.9"/>
    <x v="2"/>
    <x v="0"/>
    <n v="1"/>
    <x v="1"/>
    <n v="2"/>
    <m/>
    <x v="0"/>
    <x v="3"/>
    <x v="1"/>
    <n v="0"/>
  </r>
  <r>
    <s v="EMP1150"/>
    <d v="2015-11-20T00:00:00"/>
    <x v="1"/>
    <n v="31"/>
    <s v="Female"/>
    <s v="Married"/>
    <s v="PhD"/>
    <x v="2"/>
    <x v="23"/>
    <x v="1"/>
    <s v="Chennai"/>
    <n v="63000"/>
    <n v="10.7"/>
    <n v="15.3"/>
    <n v="10.1"/>
    <n v="3.8"/>
    <x v="2"/>
    <x v="1"/>
    <n v="3"/>
    <x v="0"/>
    <n v="1"/>
    <m/>
    <x v="1"/>
    <x v="4"/>
    <x v="2"/>
    <n v="1"/>
  </r>
  <r>
    <s v="EMP1151"/>
    <d v="2022-05-23T00:00:00"/>
    <x v="0"/>
    <n v="31"/>
    <s v="Female"/>
    <s v="Single"/>
    <s v="Bachelor's"/>
    <x v="0"/>
    <x v="3"/>
    <x v="1"/>
    <s v="Hyderabad"/>
    <n v="58000"/>
    <n v="15.5"/>
    <n v="9.9"/>
    <n v="3.6"/>
    <n v="0.1"/>
    <x v="2"/>
    <x v="1"/>
    <n v="4"/>
    <x v="1"/>
    <n v="1"/>
    <m/>
    <x v="1"/>
    <x v="1"/>
    <x v="0"/>
    <n v="0"/>
  </r>
  <r>
    <s v="EMP1152"/>
    <d v="2021-04-07T00:00:00"/>
    <x v="0"/>
    <n v="25"/>
    <s v="Non-Binary"/>
    <s v="Married"/>
    <s v="PhD"/>
    <x v="2"/>
    <x v="2"/>
    <x v="0"/>
    <s v="Hyderabad"/>
    <n v="31000"/>
    <n v="7.6"/>
    <n v="5.3"/>
    <n v="4.7"/>
    <n v="0.1"/>
    <x v="2"/>
    <x v="0"/>
    <n v="3"/>
    <x v="1"/>
    <n v="5"/>
    <m/>
    <x v="2"/>
    <x v="0"/>
    <x v="0"/>
    <n v="0"/>
  </r>
  <r>
    <s v="EMP1153"/>
    <d v="2018-02-16T00:00:00"/>
    <x v="1"/>
    <n v="38"/>
    <s v="Female"/>
    <s v="Divorced"/>
    <s v="Diploma"/>
    <x v="5"/>
    <x v="8"/>
    <x v="0"/>
    <s v="Bengaluru"/>
    <n v="30000"/>
    <n v="9.3000000000000007"/>
    <n v="12.6"/>
    <n v="7"/>
    <n v="5.4"/>
    <x v="2"/>
    <x v="2"/>
    <n v="4"/>
    <x v="1"/>
    <n v="1"/>
    <d v="2025-02-16T00:00:00"/>
    <x v="0"/>
    <x v="0"/>
    <x v="1"/>
    <n v="1"/>
  </r>
  <r>
    <s v="EMP1154"/>
    <d v="2020-03-17T00:00:00"/>
    <x v="0"/>
    <n v="43"/>
    <s v="Non-Binary"/>
    <s v="Divorced"/>
    <s v="PhD"/>
    <x v="3"/>
    <x v="4"/>
    <x v="2"/>
    <s v="Pune"/>
    <n v="75000"/>
    <n v="9.1999999999999993"/>
    <n v="11.9"/>
    <n v="5.8"/>
    <n v="2.5"/>
    <x v="1"/>
    <x v="0"/>
    <n v="3"/>
    <x v="1"/>
    <n v="2"/>
    <m/>
    <x v="0"/>
    <x v="4"/>
    <x v="0"/>
    <n v="0"/>
  </r>
  <r>
    <s v="EMP1155"/>
    <d v="2019-07-11T00:00:00"/>
    <x v="0"/>
    <n v="41"/>
    <s v="Non-Binary"/>
    <s v="Single"/>
    <s v="Diploma"/>
    <x v="3"/>
    <x v="6"/>
    <x v="2"/>
    <s v="Bengaluru"/>
    <n v="54000"/>
    <n v="8.9"/>
    <n v="11.6"/>
    <n v="6.5"/>
    <n v="0.7"/>
    <x v="2"/>
    <x v="0"/>
    <n v="3"/>
    <x v="1"/>
    <n v="4"/>
    <m/>
    <x v="0"/>
    <x v="1"/>
    <x v="1"/>
    <n v="0"/>
  </r>
  <r>
    <s v="EMP1156"/>
    <d v="2021-04-20T00:00:00"/>
    <x v="0"/>
    <n v="30"/>
    <s v="Non-Binary"/>
    <s v="Married"/>
    <s v="PhD"/>
    <x v="6"/>
    <x v="12"/>
    <x v="1"/>
    <s v="Noida"/>
    <n v="68000"/>
    <n v="5.5"/>
    <n v="10.199999999999999"/>
    <n v="4.7"/>
    <n v="1.1000000000000001"/>
    <x v="2"/>
    <x v="3"/>
    <n v="2"/>
    <x v="0"/>
    <n v="3"/>
    <m/>
    <x v="1"/>
    <x v="4"/>
    <x v="0"/>
    <n v="0"/>
  </r>
  <r>
    <s v="EMP1157"/>
    <d v="2022-02-27T00:00:00"/>
    <x v="0"/>
    <n v="35"/>
    <s v="Female"/>
    <s v="Married"/>
    <s v="Diploma"/>
    <x v="4"/>
    <x v="14"/>
    <x v="1"/>
    <s v="Bengaluru"/>
    <n v="62000"/>
    <n v="6.3"/>
    <n v="11.7"/>
    <n v="3.8"/>
    <n v="2.2000000000000002"/>
    <x v="0"/>
    <x v="2"/>
    <n v="4"/>
    <x v="0"/>
    <n v="4"/>
    <m/>
    <x v="1"/>
    <x v="4"/>
    <x v="0"/>
    <n v="0"/>
  </r>
  <r>
    <s v="EMP1158"/>
    <d v="2017-06-10T00:00:00"/>
    <x v="0"/>
    <n v="41"/>
    <s v="Non-Binary"/>
    <s v="Single"/>
    <s v="Diploma"/>
    <x v="3"/>
    <x v="6"/>
    <x v="2"/>
    <s v="Bengaluru"/>
    <n v="84000"/>
    <n v="2.8"/>
    <n v="13.4"/>
    <n v="8.6"/>
    <n v="4.7"/>
    <x v="3"/>
    <x v="1"/>
    <n v="3"/>
    <x v="1"/>
    <n v="4"/>
    <m/>
    <x v="0"/>
    <x v="2"/>
    <x v="1"/>
    <n v="0"/>
  </r>
  <r>
    <s v="EMP1159"/>
    <d v="2020-08-08T00:00:00"/>
    <x v="0"/>
    <n v="36"/>
    <s v="Female"/>
    <s v="Divorced"/>
    <s v="Diploma"/>
    <x v="4"/>
    <x v="5"/>
    <x v="3"/>
    <s v="Hyderabad"/>
    <n v="113000"/>
    <n v="6.3"/>
    <n v="8.1"/>
    <n v="5.4"/>
    <n v="3.2"/>
    <x v="3"/>
    <x v="0"/>
    <n v="4"/>
    <x v="0"/>
    <n v="5"/>
    <m/>
    <x v="0"/>
    <x v="3"/>
    <x v="0"/>
    <n v="0"/>
  </r>
  <r>
    <s v="EMP1160"/>
    <d v="2021-08-24T00:00:00"/>
    <x v="0"/>
    <n v="37"/>
    <s v="Female"/>
    <s v="Married"/>
    <s v="Bachelor's"/>
    <x v="1"/>
    <x v="10"/>
    <x v="3"/>
    <s v="Noida"/>
    <n v="118000"/>
    <n v="0.9"/>
    <n v="6.9"/>
    <n v="4.4000000000000004"/>
    <n v="3.4"/>
    <x v="2"/>
    <x v="1"/>
    <n v="4"/>
    <x v="1"/>
    <n v="2"/>
    <m/>
    <x v="0"/>
    <x v="3"/>
    <x v="0"/>
    <n v="0"/>
  </r>
  <r>
    <s v="EMP1161"/>
    <d v="2025-02-12T00:00:00"/>
    <x v="0"/>
    <n v="39"/>
    <s v="Female"/>
    <s v="Married"/>
    <s v="Master's"/>
    <x v="4"/>
    <x v="25"/>
    <x v="3"/>
    <s v="Chennai"/>
    <n v="107000"/>
    <n v="8.1"/>
    <n v="3.6"/>
    <n v="0.9"/>
    <n v="0"/>
    <x v="3"/>
    <x v="3"/>
    <n v="2"/>
    <x v="1"/>
    <n v="4"/>
    <m/>
    <x v="0"/>
    <x v="3"/>
    <x v="3"/>
    <n v="0"/>
  </r>
  <r>
    <s v="EMP1162"/>
    <d v="2015-05-05T00:00:00"/>
    <x v="0"/>
    <n v="37"/>
    <s v="Female"/>
    <s v="Single"/>
    <s v="Bachelor's"/>
    <x v="1"/>
    <x v="9"/>
    <x v="3"/>
    <s v="Pune"/>
    <n v="143000"/>
    <n v="3.4"/>
    <n v="15.9"/>
    <n v="10.7"/>
    <n v="5.5"/>
    <x v="1"/>
    <x v="0"/>
    <n v="2"/>
    <x v="0"/>
    <n v="3"/>
    <m/>
    <x v="0"/>
    <x v="3"/>
    <x v="2"/>
    <n v="0"/>
  </r>
  <r>
    <s v="EMP1163"/>
    <d v="2025-01-14T00:00:00"/>
    <x v="0"/>
    <n v="22"/>
    <s v="Non-Binary"/>
    <s v="Single"/>
    <s v="Bachelor's"/>
    <x v="3"/>
    <x v="15"/>
    <x v="0"/>
    <s v="Bengaluru"/>
    <n v="33000"/>
    <n v="8"/>
    <n v="3.9"/>
    <n v="1"/>
    <n v="0.5"/>
    <x v="0"/>
    <x v="3"/>
    <n v="3"/>
    <x v="1"/>
    <n v="4"/>
    <m/>
    <x v="2"/>
    <x v="0"/>
    <x v="4"/>
    <n v="0"/>
  </r>
  <r>
    <s v="EMP1164"/>
    <d v="2018-07-23T00:00:00"/>
    <x v="1"/>
    <n v="33"/>
    <s v="Male"/>
    <s v="Married"/>
    <s v="Bachelor's"/>
    <x v="4"/>
    <x v="24"/>
    <x v="4"/>
    <s v="Chennai"/>
    <n v="153000"/>
    <n v="11.8"/>
    <n v="8.1"/>
    <n v="7.4"/>
    <n v="1.1000000000000001"/>
    <x v="0"/>
    <x v="1"/>
    <n v="4"/>
    <x v="1"/>
    <n v="4"/>
    <d v="2025-12-03T00:00:00"/>
    <x v="1"/>
    <x v="3"/>
    <x v="1"/>
    <n v="1"/>
  </r>
  <r>
    <s v="EMP1165"/>
    <d v="2020-10-02T00:00:00"/>
    <x v="0"/>
    <n v="31"/>
    <s v="Non-Binary"/>
    <s v="Divorced"/>
    <s v="Diploma"/>
    <x v="1"/>
    <x v="27"/>
    <x v="0"/>
    <s v="Chennai"/>
    <n v="31000"/>
    <n v="10"/>
    <n v="5.3"/>
    <n v="5.2"/>
    <n v="2.5"/>
    <x v="2"/>
    <x v="2"/>
    <n v="4"/>
    <x v="1"/>
    <n v="4"/>
    <m/>
    <x v="1"/>
    <x v="0"/>
    <x v="0"/>
    <n v="0"/>
  </r>
  <r>
    <s v="EMP1166"/>
    <d v="2023-01-17T00:00:00"/>
    <x v="0"/>
    <n v="43"/>
    <s v="Non-Binary"/>
    <s v="Married"/>
    <s v="Diploma"/>
    <x v="0"/>
    <x v="7"/>
    <x v="2"/>
    <s v="Mumbai"/>
    <n v="69000"/>
    <n v="6.7"/>
    <n v="6.3"/>
    <n v="3"/>
    <n v="1.7"/>
    <x v="0"/>
    <x v="1"/>
    <n v="4"/>
    <x v="1"/>
    <n v="3"/>
    <m/>
    <x v="0"/>
    <x v="4"/>
    <x v="4"/>
    <n v="0"/>
  </r>
  <r>
    <s v="EMP1167"/>
    <d v="2017-02-16T00:00:00"/>
    <x v="0"/>
    <n v="38"/>
    <s v="Non-Binary"/>
    <s v="Single"/>
    <s v="Bachelor's"/>
    <x v="2"/>
    <x v="23"/>
    <x v="1"/>
    <s v="Hyderabad"/>
    <n v="50000"/>
    <n v="6.4"/>
    <n v="10"/>
    <n v="8.9"/>
    <n v="2.8"/>
    <x v="0"/>
    <x v="2"/>
    <n v="4"/>
    <x v="1"/>
    <n v="2"/>
    <m/>
    <x v="0"/>
    <x v="1"/>
    <x v="1"/>
    <n v="0"/>
  </r>
  <r>
    <s v="EMP1168"/>
    <d v="2024-09-02T00:00:00"/>
    <x v="0"/>
    <n v="27"/>
    <s v="Non-Binary"/>
    <s v="Married"/>
    <s v="PhD"/>
    <x v="6"/>
    <x v="19"/>
    <x v="0"/>
    <s v="Hyderabad"/>
    <n v="34000"/>
    <n v="11.6"/>
    <n v="6.8"/>
    <n v="1.3"/>
    <n v="0.1"/>
    <x v="2"/>
    <x v="2"/>
    <n v="2"/>
    <x v="1"/>
    <n v="5"/>
    <m/>
    <x v="1"/>
    <x v="0"/>
    <x v="4"/>
    <n v="0"/>
  </r>
  <r>
    <s v="EMP1169"/>
    <d v="2014-12-15T00:00:00"/>
    <x v="0"/>
    <n v="36"/>
    <s v="Male"/>
    <s v="Divorced"/>
    <s v="Diploma"/>
    <x v="4"/>
    <x v="14"/>
    <x v="1"/>
    <s v="Hyderabad"/>
    <n v="41000"/>
    <n v="12.3"/>
    <n v="18.899999999999999"/>
    <n v="11"/>
    <n v="2.6"/>
    <x v="1"/>
    <x v="2"/>
    <n v="3"/>
    <x v="1"/>
    <n v="4"/>
    <m/>
    <x v="0"/>
    <x v="1"/>
    <x v="2"/>
    <n v="0"/>
  </r>
  <r>
    <s v="EMP1170"/>
    <d v="2014-05-19T00:00:00"/>
    <x v="0"/>
    <n v="38"/>
    <s v="Male"/>
    <s v="Married"/>
    <s v="Diploma"/>
    <x v="4"/>
    <x v="14"/>
    <x v="2"/>
    <s v="Bengaluru"/>
    <n v="84000"/>
    <n v="12.4"/>
    <n v="18"/>
    <n v="11.6"/>
    <n v="3.8"/>
    <x v="3"/>
    <x v="2"/>
    <n v="3"/>
    <x v="1"/>
    <n v="2"/>
    <m/>
    <x v="0"/>
    <x v="2"/>
    <x v="2"/>
    <n v="0"/>
  </r>
  <r>
    <s v="EMP1171"/>
    <d v="2018-02-28T00:00:00"/>
    <x v="0"/>
    <n v="31"/>
    <s v="Male"/>
    <s v="Divorced"/>
    <s v="Bachelor's"/>
    <x v="3"/>
    <x v="6"/>
    <x v="3"/>
    <s v="Chennai"/>
    <n v="110000"/>
    <n v="14.9"/>
    <n v="8.5"/>
    <n v="7.8"/>
    <n v="5.8"/>
    <x v="2"/>
    <x v="1"/>
    <n v="3"/>
    <x v="1"/>
    <n v="4"/>
    <m/>
    <x v="1"/>
    <x v="3"/>
    <x v="1"/>
    <n v="0"/>
  </r>
  <r>
    <s v="EMP1172"/>
    <d v="2025-02-02T00:00:00"/>
    <x v="0"/>
    <n v="26"/>
    <s v="Male"/>
    <s v="Married"/>
    <s v="PhD"/>
    <x v="6"/>
    <x v="21"/>
    <x v="0"/>
    <s v="Bengaluru"/>
    <n v="40000"/>
    <n v="5.8"/>
    <n v="6.2"/>
    <n v="0.9"/>
    <n v="0"/>
    <x v="2"/>
    <x v="2"/>
    <n v="2"/>
    <x v="1"/>
    <n v="2"/>
    <m/>
    <x v="1"/>
    <x v="1"/>
    <x v="3"/>
    <n v="0"/>
  </r>
  <r>
    <s v="EMP1173"/>
    <d v="2025-04-26T00:00:00"/>
    <x v="0"/>
    <n v="23"/>
    <s v="Non-Binary"/>
    <s v="Married"/>
    <s v="Master's"/>
    <x v="4"/>
    <x v="25"/>
    <x v="0"/>
    <s v="Hyderabad"/>
    <n v="28000"/>
    <n v="8.6999999999999993"/>
    <n v="3.8"/>
    <n v="0.7"/>
    <n v="0"/>
    <x v="2"/>
    <x v="1"/>
    <n v="3"/>
    <x v="1"/>
    <n v="3"/>
    <m/>
    <x v="2"/>
    <x v="0"/>
    <x v="3"/>
    <n v="0"/>
  </r>
  <r>
    <s v="EMP1174"/>
    <d v="2024-09-23T00:00:00"/>
    <x v="1"/>
    <n v="40"/>
    <s v="Male"/>
    <s v="Single"/>
    <s v="Master's"/>
    <x v="2"/>
    <x v="2"/>
    <x v="2"/>
    <s v="Mumbai"/>
    <n v="80000"/>
    <n v="8.1999999999999993"/>
    <n v="1.9"/>
    <n v="0.5"/>
    <n v="0"/>
    <x v="1"/>
    <x v="2"/>
    <n v="4"/>
    <x v="0"/>
    <n v="3"/>
    <d v="2025-03-11T00:00:00"/>
    <x v="0"/>
    <x v="2"/>
    <x v="3"/>
    <n v="1"/>
  </r>
  <r>
    <s v="EMP1175"/>
    <d v="2024-05-27T00:00:00"/>
    <x v="1"/>
    <n v="37"/>
    <s v="Non-Binary"/>
    <s v="Married"/>
    <s v="Bachelor's"/>
    <x v="2"/>
    <x v="23"/>
    <x v="0"/>
    <s v="Mumbai"/>
    <n v="44000"/>
    <n v="9.5"/>
    <n v="8.8000000000000007"/>
    <n v="1.1000000000000001"/>
    <n v="0.7"/>
    <x v="2"/>
    <x v="0"/>
    <n v="2"/>
    <x v="0"/>
    <n v="4"/>
    <d v="2025-06-27T00:00:00"/>
    <x v="0"/>
    <x v="1"/>
    <x v="4"/>
    <n v="1"/>
  </r>
  <r>
    <s v="EMP1176"/>
    <d v="2020-04-02T00:00:00"/>
    <x v="0"/>
    <n v="26"/>
    <s v="Non-Binary"/>
    <s v="Divorced"/>
    <s v="Diploma"/>
    <x v="6"/>
    <x v="19"/>
    <x v="0"/>
    <s v="Noida"/>
    <n v="22000"/>
    <n v="11.7"/>
    <n v="12.5"/>
    <n v="5.7"/>
    <n v="2.6"/>
    <x v="0"/>
    <x v="0"/>
    <n v="4"/>
    <x v="1"/>
    <n v="4"/>
    <m/>
    <x v="1"/>
    <x v="0"/>
    <x v="0"/>
    <n v="0"/>
  </r>
  <r>
    <s v="EMP1177"/>
    <d v="2015-12-31T00:00:00"/>
    <x v="0"/>
    <n v="37"/>
    <s v="Non-Binary"/>
    <s v="Single"/>
    <s v="Bachelor's"/>
    <x v="5"/>
    <x v="13"/>
    <x v="2"/>
    <s v="Hyderabad"/>
    <n v="85000"/>
    <n v="14.6"/>
    <n v="15.4"/>
    <n v="10"/>
    <n v="1.3"/>
    <x v="0"/>
    <x v="0"/>
    <n v="3"/>
    <x v="0"/>
    <n v="3"/>
    <m/>
    <x v="0"/>
    <x v="2"/>
    <x v="1"/>
    <n v="0"/>
  </r>
  <r>
    <s v="EMP1178"/>
    <d v="2015-06-05T00:00:00"/>
    <x v="0"/>
    <n v="40"/>
    <s v="Male"/>
    <s v="Divorced"/>
    <s v="Diploma"/>
    <x v="6"/>
    <x v="22"/>
    <x v="3"/>
    <s v="Chennai"/>
    <n v="110000"/>
    <n v="6.6"/>
    <n v="16.7"/>
    <n v="10.6"/>
    <n v="0.4"/>
    <x v="2"/>
    <x v="0"/>
    <n v="3"/>
    <x v="1"/>
    <n v="5"/>
    <m/>
    <x v="0"/>
    <x v="3"/>
    <x v="2"/>
    <n v="0"/>
  </r>
  <r>
    <s v="EMP1179"/>
    <d v="2021-07-01T00:00:00"/>
    <x v="0"/>
    <n v="36"/>
    <s v="Female"/>
    <s v="Divorced"/>
    <s v="Bachelor's"/>
    <x v="4"/>
    <x v="14"/>
    <x v="4"/>
    <s v="Noida"/>
    <n v="150000"/>
    <n v="9.3000000000000007"/>
    <n v="9"/>
    <n v="4.5"/>
    <n v="0.7"/>
    <x v="3"/>
    <x v="0"/>
    <n v="2"/>
    <x v="1"/>
    <n v="2"/>
    <m/>
    <x v="0"/>
    <x v="3"/>
    <x v="0"/>
    <n v="0"/>
  </r>
  <r>
    <s v="EMP1180"/>
    <d v="2014-09-01T00:00:00"/>
    <x v="1"/>
    <n v="50"/>
    <s v="Female"/>
    <s v="Divorced"/>
    <s v="Diploma"/>
    <x v="5"/>
    <x v="26"/>
    <x v="2"/>
    <s v="Noida"/>
    <n v="97000"/>
    <n v="11.9"/>
    <n v="16.600000000000001"/>
    <n v="10.9"/>
    <n v="2.9"/>
    <x v="2"/>
    <x v="3"/>
    <n v="3"/>
    <x v="1"/>
    <n v="3"/>
    <d v="2025-07-18T00:00:00"/>
    <x v="3"/>
    <x v="2"/>
    <x v="2"/>
    <n v="1"/>
  </r>
  <r>
    <s v="EMP1181"/>
    <d v="2014-07-06T00:00:00"/>
    <x v="0"/>
    <n v="40"/>
    <s v="Female"/>
    <s v="Married"/>
    <s v="PhD"/>
    <x v="0"/>
    <x v="3"/>
    <x v="2"/>
    <s v="Pune"/>
    <n v="77000"/>
    <n v="9.1"/>
    <n v="16.100000000000001"/>
    <n v="11.5"/>
    <n v="5.8"/>
    <x v="2"/>
    <x v="0"/>
    <n v="2"/>
    <x v="1"/>
    <n v="1"/>
    <m/>
    <x v="0"/>
    <x v="4"/>
    <x v="2"/>
    <n v="0"/>
  </r>
  <r>
    <s v="EMP1182"/>
    <d v="2023-10-27T00:00:00"/>
    <x v="0"/>
    <n v="32"/>
    <s v="Female"/>
    <s v="Divorced"/>
    <s v="Diploma"/>
    <x v="6"/>
    <x v="21"/>
    <x v="0"/>
    <s v="Pune"/>
    <n v="22000"/>
    <m/>
    <n v="10.1"/>
    <n v="2.2000000000000002"/>
    <n v="0.7"/>
    <x v="1"/>
    <x v="1"/>
    <n v="3"/>
    <x v="1"/>
    <n v="3"/>
    <m/>
    <x v="1"/>
    <x v="0"/>
    <x v="4"/>
    <n v="0"/>
  </r>
  <r>
    <s v="EMP1183"/>
    <d v="2017-12-17T00:00:00"/>
    <x v="0"/>
    <n v="44"/>
    <s v="Non-Binary"/>
    <s v="Single"/>
    <s v="PhD"/>
    <x v="4"/>
    <x v="25"/>
    <x v="2"/>
    <s v="Noida"/>
    <n v="74000"/>
    <n v="4.2"/>
    <n v="9.8000000000000007"/>
    <n v="8"/>
    <n v="2"/>
    <x v="0"/>
    <x v="1"/>
    <n v="1"/>
    <x v="1"/>
    <n v="4"/>
    <m/>
    <x v="0"/>
    <x v="4"/>
    <x v="1"/>
    <n v="0"/>
  </r>
  <r>
    <s v="EMP1184"/>
    <d v="2024-04-22T00:00:00"/>
    <x v="0"/>
    <n v="26"/>
    <s v="Female"/>
    <s v="Married"/>
    <s v="PhD"/>
    <x v="5"/>
    <x v="18"/>
    <x v="0"/>
    <s v="Pune"/>
    <n v="42000"/>
    <n v="10.199999999999999"/>
    <n v="5"/>
    <n v="1.7"/>
    <n v="0.4"/>
    <x v="0"/>
    <x v="3"/>
    <n v="4"/>
    <x v="1"/>
    <n v="2"/>
    <m/>
    <x v="1"/>
    <x v="1"/>
    <x v="4"/>
    <n v="0"/>
  </r>
  <r>
    <s v="EMP1185"/>
    <d v="2021-07-28T00:00:00"/>
    <x v="0"/>
    <n v="27"/>
    <s v="Non-Binary"/>
    <s v="Married"/>
    <s v="Diploma"/>
    <x v="2"/>
    <x v="20"/>
    <x v="0"/>
    <s v="Chennai"/>
    <n v="33000"/>
    <n v="3.5"/>
    <n v="12.2"/>
    <n v="4.4000000000000004"/>
    <n v="4"/>
    <x v="0"/>
    <x v="0"/>
    <n v="4"/>
    <x v="0"/>
    <n v="4"/>
    <m/>
    <x v="1"/>
    <x v="0"/>
    <x v="0"/>
    <n v="0"/>
  </r>
  <r>
    <s v="EMP1186"/>
    <d v="2018-10-04T00:00:00"/>
    <x v="0"/>
    <n v="37"/>
    <s v="Male"/>
    <s v="Divorced"/>
    <s v="Master's"/>
    <x v="2"/>
    <x v="20"/>
    <x v="0"/>
    <s v="Mumbai"/>
    <n v="37000"/>
    <n v="9"/>
    <n v="7.6"/>
    <n v="7.2"/>
    <n v="5.7"/>
    <x v="2"/>
    <x v="1"/>
    <n v="3"/>
    <x v="1"/>
    <n v="5"/>
    <m/>
    <x v="0"/>
    <x v="0"/>
    <x v="1"/>
    <n v="0"/>
  </r>
  <r>
    <s v="EMP1187"/>
    <d v="2024-10-16T00:00:00"/>
    <x v="1"/>
    <n v="44"/>
    <s v="Male"/>
    <s v="Divorced"/>
    <s v="Bachelor's"/>
    <x v="6"/>
    <x v="21"/>
    <x v="2"/>
    <s v="Pune"/>
    <n v="74000"/>
    <n v="9.6"/>
    <n v="2.1"/>
    <n v="1"/>
    <n v="0.9"/>
    <x v="2"/>
    <x v="1"/>
    <n v="4"/>
    <x v="1"/>
    <n v="4"/>
    <d v="2025-11-02T00:00:00"/>
    <x v="0"/>
    <x v="4"/>
    <x v="4"/>
    <n v="1"/>
  </r>
  <r>
    <s v="EMP1188"/>
    <d v="2021-01-03T00:00:00"/>
    <x v="0"/>
    <n v="27"/>
    <s v="Non-Binary"/>
    <s v="Married"/>
    <s v="Bachelor's"/>
    <x v="1"/>
    <x v="1"/>
    <x v="0"/>
    <s v="Noida"/>
    <n v="40000"/>
    <n v="13.4"/>
    <n v="10.3"/>
    <n v="5"/>
    <n v="0.3"/>
    <x v="2"/>
    <x v="2"/>
    <n v="3"/>
    <x v="0"/>
    <n v="2"/>
    <m/>
    <x v="1"/>
    <x v="1"/>
    <x v="0"/>
    <n v="0"/>
  </r>
  <r>
    <s v="EMP1189"/>
    <d v="2017-06-07T00:00:00"/>
    <x v="0"/>
    <n v="31"/>
    <s v="Non-Binary"/>
    <s v="Married"/>
    <s v="Master's"/>
    <x v="6"/>
    <x v="19"/>
    <x v="1"/>
    <s v="Noida"/>
    <n v="49000"/>
    <n v="6.9"/>
    <n v="13"/>
    <n v="8.6"/>
    <n v="0.5"/>
    <x v="3"/>
    <x v="0"/>
    <n v="3"/>
    <x v="1"/>
    <n v="4"/>
    <m/>
    <x v="1"/>
    <x v="1"/>
    <x v="1"/>
    <n v="0"/>
  </r>
  <r>
    <s v="EMP1190"/>
    <d v="2024-09-01T00:00:00"/>
    <x v="0"/>
    <n v="23"/>
    <s v="Male"/>
    <s v="Single"/>
    <s v="PhD"/>
    <x v="0"/>
    <x v="0"/>
    <x v="0"/>
    <s v="Chennai"/>
    <n v="43000"/>
    <n v="6.3"/>
    <n v="7.5"/>
    <n v="1.3"/>
    <n v="1.2"/>
    <x v="2"/>
    <x v="0"/>
    <n v="4"/>
    <x v="1"/>
    <n v="4"/>
    <m/>
    <x v="2"/>
    <x v="1"/>
    <x v="4"/>
    <n v="0"/>
  </r>
  <r>
    <s v="EMP1191"/>
    <d v="2022-05-17T00:00:00"/>
    <x v="0"/>
    <n v="24"/>
    <s v="Female"/>
    <s v="Single"/>
    <s v="Bachelor's"/>
    <x v="1"/>
    <x v="1"/>
    <x v="0"/>
    <s v="Bengaluru"/>
    <n v="45000"/>
    <n v="11.7"/>
    <n v="6.1"/>
    <n v="3.6"/>
    <n v="0.2"/>
    <x v="2"/>
    <x v="1"/>
    <n v="3"/>
    <x v="1"/>
    <n v="2"/>
    <m/>
    <x v="2"/>
    <x v="1"/>
    <x v="0"/>
    <n v="0"/>
  </r>
  <r>
    <s v="EMP1192"/>
    <d v="2022-03-12T00:00:00"/>
    <x v="0"/>
    <n v="26"/>
    <s v="Female"/>
    <s v="Married"/>
    <s v="Master's"/>
    <x v="1"/>
    <x v="27"/>
    <x v="0"/>
    <s v="Noida"/>
    <n v="41000"/>
    <n v="4.3"/>
    <n v="5.6"/>
    <n v="3.8"/>
    <n v="2.5"/>
    <x v="2"/>
    <x v="1"/>
    <n v="2"/>
    <x v="1"/>
    <n v="3"/>
    <m/>
    <x v="1"/>
    <x v="1"/>
    <x v="0"/>
    <n v="0"/>
  </r>
  <r>
    <s v="EMP1193"/>
    <d v="2014-04-22T00:00:00"/>
    <x v="0"/>
    <n v="40"/>
    <s v="Non-Binary"/>
    <s v="Single"/>
    <s v="Bachelor's"/>
    <x v="1"/>
    <x v="10"/>
    <x v="0"/>
    <s v="Hyderabad"/>
    <n v="46000"/>
    <n v="9.1"/>
    <n v="17.3"/>
    <n v="11.7"/>
    <n v="4"/>
    <x v="2"/>
    <x v="0"/>
    <n v="3"/>
    <x v="1"/>
    <n v="2"/>
    <m/>
    <x v="0"/>
    <x v="1"/>
    <x v="2"/>
    <n v="0"/>
  </r>
  <r>
    <s v="EMP1194"/>
    <d v="2024-03-01T00:00:00"/>
    <x v="0"/>
    <n v="38"/>
    <s v="Male"/>
    <s v="Divorced"/>
    <s v="Bachelor's"/>
    <x v="0"/>
    <x v="3"/>
    <x v="1"/>
    <s v="Mumbai"/>
    <n v="50000"/>
    <n v="0"/>
    <n v="2.9"/>
    <n v="1.8"/>
    <n v="1.6"/>
    <x v="2"/>
    <x v="1"/>
    <n v="3"/>
    <x v="1"/>
    <n v="1"/>
    <m/>
    <x v="0"/>
    <x v="1"/>
    <x v="4"/>
    <n v="0"/>
  </r>
  <r>
    <s v="EMP1195"/>
    <d v="2021-01-25T00:00:00"/>
    <x v="1"/>
    <n v="33"/>
    <s v="Male"/>
    <s v="Divorced"/>
    <s v="Master's"/>
    <x v="6"/>
    <x v="19"/>
    <x v="1"/>
    <s v="Pune"/>
    <n v="64000"/>
    <n v="4.5999999999999996"/>
    <n v="6.6"/>
    <n v="4.8"/>
    <n v="4"/>
    <x v="0"/>
    <x v="0"/>
    <n v="3"/>
    <x v="0"/>
    <n v="5"/>
    <d v="2025-11-01T00:00:00"/>
    <x v="1"/>
    <x v="4"/>
    <x v="0"/>
    <n v="1"/>
  </r>
  <r>
    <s v="EMP1196"/>
    <d v="2018-01-28T00:00:00"/>
    <x v="0"/>
    <n v="35"/>
    <s v="Male"/>
    <s v="Single"/>
    <s v="Master's"/>
    <x v="2"/>
    <x v="23"/>
    <x v="2"/>
    <s v="Bengaluru"/>
    <n v="78000"/>
    <n v="2.2000000000000002"/>
    <n v="14.4"/>
    <n v="7.9"/>
    <n v="5.9"/>
    <x v="3"/>
    <x v="1"/>
    <n v="3"/>
    <x v="1"/>
    <n v="4"/>
    <m/>
    <x v="1"/>
    <x v="4"/>
    <x v="1"/>
    <n v="0"/>
  </r>
  <r>
    <s v="EMP1197"/>
    <d v="2015-11-06T00:00:00"/>
    <x v="1"/>
    <n v="52"/>
    <s v="Female"/>
    <s v="Married"/>
    <s v="Bachelor's"/>
    <x v="2"/>
    <x v="23"/>
    <x v="1"/>
    <s v="Chennai"/>
    <n v="49000"/>
    <n v="11.9"/>
    <n v="12.8"/>
    <n v="9.6999999999999993"/>
    <n v="0.9"/>
    <x v="0"/>
    <x v="1"/>
    <n v="4"/>
    <x v="1"/>
    <n v="5"/>
    <d v="2025-07-18T00:00:00"/>
    <x v="3"/>
    <x v="1"/>
    <x v="1"/>
    <n v="1"/>
  </r>
  <r>
    <s v="EMP1198"/>
    <d v="2025-06-01T00:00:00"/>
    <x v="0"/>
    <n v="21"/>
    <s v="Male"/>
    <s v="Divorced"/>
    <s v="PhD"/>
    <x v="5"/>
    <x v="18"/>
    <x v="0"/>
    <s v="Pune"/>
    <n v="36000"/>
    <n v="7.9"/>
    <n v="8.3000000000000007"/>
    <n v="0.6"/>
    <n v="0"/>
    <x v="0"/>
    <x v="2"/>
    <n v="4"/>
    <x v="1"/>
    <n v="1"/>
    <m/>
    <x v="2"/>
    <x v="0"/>
    <x v="3"/>
    <n v="0"/>
  </r>
  <r>
    <s v="EMP1199"/>
    <d v="2024-12-29T00:00:00"/>
    <x v="0"/>
    <n v="32"/>
    <s v="Female"/>
    <s v="Divorced"/>
    <s v="Master's"/>
    <x v="5"/>
    <x v="26"/>
    <x v="1"/>
    <s v="Noida"/>
    <n v="62000"/>
    <n v="8.4"/>
    <n v="3.4"/>
    <n v="1"/>
    <n v="0"/>
    <x v="0"/>
    <x v="2"/>
    <n v="3"/>
    <x v="1"/>
    <n v="3"/>
    <m/>
    <x v="1"/>
    <x v="4"/>
    <x v="4"/>
    <n v="0"/>
  </r>
  <r>
    <s v="EMP1200"/>
    <d v="2022-03-01T00:00:00"/>
    <x v="0"/>
    <n v="36"/>
    <s v="Male"/>
    <s v="Married"/>
    <s v="Master's"/>
    <x v="1"/>
    <x v="1"/>
    <x v="1"/>
    <s v="Mumbai"/>
    <n v="44000"/>
    <n v="0.8"/>
    <n v="10.6"/>
    <n v="3.8"/>
    <n v="1.5"/>
    <x v="3"/>
    <x v="0"/>
    <n v="4"/>
    <x v="1"/>
    <n v="2"/>
    <m/>
    <x v="0"/>
    <x v="1"/>
    <x v="0"/>
    <n v="0"/>
  </r>
  <r>
    <s v="EMP1201"/>
    <d v="2017-01-21T00:00:00"/>
    <x v="0"/>
    <n v="37"/>
    <s v="Male"/>
    <s v="Divorced"/>
    <s v="PhD"/>
    <x v="0"/>
    <x v="3"/>
    <x v="3"/>
    <s v="Chennai"/>
    <n v="103000"/>
    <n v="3.4"/>
    <n v="14.3"/>
    <n v="8.9"/>
    <n v="0.6"/>
    <x v="2"/>
    <x v="0"/>
    <n v="3"/>
    <x v="1"/>
    <n v="5"/>
    <m/>
    <x v="0"/>
    <x v="3"/>
    <x v="1"/>
    <n v="0"/>
  </r>
  <r>
    <s v="EMP1202"/>
    <d v="2015-09-30T00:00:00"/>
    <x v="0"/>
    <n v="31"/>
    <s v="Male"/>
    <s v="Divorced"/>
    <s v="Diploma"/>
    <x v="0"/>
    <x v="0"/>
    <x v="2"/>
    <s v="Pune"/>
    <n v="58000"/>
    <n v="6"/>
    <n v="16.8"/>
    <n v="10.3"/>
    <n v="0.5"/>
    <x v="3"/>
    <x v="0"/>
    <n v="3"/>
    <x v="0"/>
    <n v="3"/>
    <m/>
    <x v="1"/>
    <x v="1"/>
    <x v="2"/>
    <n v="0"/>
  </r>
  <r>
    <s v="EMP1203"/>
    <d v="2014-04-21T00:00:00"/>
    <x v="1"/>
    <n v="43"/>
    <s v="Non-Binary"/>
    <s v="Single"/>
    <s v="Bachelor's"/>
    <x v="1"/>
    <x v="9"/>
    <x v="3"/>
    <s v="Bengaluru"/>
    <n v="125000"/>
    <n v="12"/>
    <n v="13.3"/>
    <n v="11.4"/>
    <n v="1.5"/>
    <x v="2"/>
    <x v="2"/>
    <n v="4"/>
    <x v="0"/>
    <n v="1"/>
    <d v="2025-09-30T00:00:00"/>
    <x v="0"/>
    <x v="3"/>
    <x v="2"/>
    <n v="1"/>
  </r>
  <r>
    <s v="EMP1204"/>
    <d v="2019-07-06T00:00:00"/>
    <x v="0"/>
    <n v="38"/>
    <s v="Female"/>
    <s v="Married"/>
    <s v="Diploma"/>
    <x v="0"/>
    <x v="7"/>
    <x v="3"/>
    <s v="Mumbai"/>
    <n v="96000"/>
    <n v="10.199999999999999"/>
    <n v="9.4"/>
    <n v="6.5"/>
    <n v="2.8"/>
    <x v="2"/>
    <x v="0"/>
    <n v="4"/>
    <x v="1"/>
    <n v="4"/>
    <m/>
    <x v="0"/>
    <x v="2"/>
    <x v="1"/>
    <n v="0"/>
  </r>
  <r>
    <s v="EMP1205"/>
    <d v="2014-09-02T00:00:00"/>
    <x v="0"/>
    <n v="42"/>
    <s v="Female"/>
    <s v="Divorced"/>
    <s v="PhD"/>
    <x v="3"/>
    <x v="4"/>
    <x v="2"/>
    <s v="Bengaluru"/>
    <n v="72000"/>
    <n v="11.5"/>
    <n v="19.100000000000001"/>
    <n v="11.3"/>
    <n v="2.6"/>
    <x v="2"/>
    <x v="0"/>
    <n v="4"/>
    <x v="1"/>
    <n v="3"/>
    <m/>
    <x v="0"/>
    <x v="4"/>
    <x v="2"/>
    <n v="0"/>
  </r>
  <r>
    <s v="EMP1206"/>
    <d v="2024-03-21T00:00:00"/>
    <x v="1"/>
    <n v="32"/>
    <s v="Female"/>
    <s v="Divorced"/>
    <s v="Bachelor's"/>
    <x v="3"/>
    <x v="11"/>
    <x v="3"/>
    <s v="Hyderabad"/>
    <n v="113000"/>
    <n v="5.6"/>
    <n v="9"/>
    <n v="1.8"/>
    <n v="1"/>
    <x v="2"/>
    <x v="2"/>
    <n v="4"/>
    <x v="0"/>
    <n v="5"/>
    <d v="2025-12-24T00:00:00"/>
    <x v="1"/>
    <x v="3"/>
    <x v="4"/>
    <n v="1"/>
  </r>
  <r>
    <s v="EMP1207"/>
    <d v="2021-12-02T00:00:00"/>
    <x v="0"/>
    <n v="33"/>
    <s v="Female"/>
    <s v="Single"/>
    <s v="Master's"/>
    <x v="1"/>
    <x v="1"/>
    <x v="2"/>
    <s v="Hyderabad"/>
    <n v="92000"/>
    <n v="9.3000000000000007"/>
    <n v="10.8"/>
    <n v="4.0999999999999996"/>
    <n v="0.7"/>
    <x v="2"/>
    <x v="2"/>
    <n v="2"/>
    <x v="1"/>
    <n v="3"/>
    <m/>
    <x v="1"/>
    <x v="2"/>
    <x v="0"/>
    <n v="0"/>
  </r>
  <r>
    <s v="EMP1208"/>
    <d v="2021-03-13T00:00:00"/>
    <x v="0"/>
    <n v="39"/>
    <s v="Female"/>
    <s v="Single"/>
    <s v="Diploma"/>
    <x v="2"/>
    <x v="23"/>
    <x v="1"/>
    <s v="Hyderabad"/>
    <n v="42000"/>
    <n v="12.5"/>
    <n v="12.4"/>
    <n v="4.8"/>
    <n v="3.1"/>
    <x v="2"/>
    <x v="0"/>
    <n v="2"/>
    <x v="1"/>
    <n v="5"/>
    <m/>
    <x v="0"/>
    <x v="1"/>
    <x v="0"/>
    <n v="0"/>
  </r>
  <r>
    <s v="EMP1209"/>
    <d v="2025-01-17T00:00:00"/>
    <x v="0"/>
    <n v="37"/>
    <s v="Non-Binary"/>
    <s v="Divorced"/>
    <s v="Bachelor's"/>
    <x v="6"/>
    <x v="22"/>
    <x v="2"/>
    <s v="Mumbai"/>
    <n v="82000"/>
    <n v="1.4"/>
    <n v="2.8"/>
    <n v="1"/>
    <n v="1"/>
    <x v="3"/>
    <x v="0"/>
    <n v="1"/>
    <x v="1"/>
    <n v="4"/>
    <m/>
    <x v="0"/>
    <x v="2"/>
    <x v="4"/>
    <n v="0"/>
  </r>
  <r>
    <s v="EMP1210"/>
    <d v="2024-04-28T00:00:00"/>
    <x v="0"/>
    <n v="30"/>
    <s v="Non-Binary"/>
    <s v="Married"/>
    <s v="Master's"/>
    <x v="4"/>
    <x v="24"/>
    <x v="3"/>
    <s v="Mumbai"/>
    <n v="99000"/>
    <n v="14.4"/>
    <n v="2.4"/>
    <n v="1.7"/>
    <n v="1.6"/>
    <x v="2"/>
    <x v="0"/>
    <n v="2"/>
    <x v="0"/>
    <n v="3"/>
    <m/>
    <x v="1"/>
    <x v="2"/>
    <x v="4"/>
    <n v="0"/>
  </r>
  <r>
    <s v="EMP1211"/>
    <d v="2023-12-17T00:00:00"/>
    <x v="0"/>
    <n v="27"/>
    <s v="Non-Binary"/>
    <s v="Single"/>
    <s v="PhD"/>
    <x v="4"/>
    <x v="5"/>
    <x v="0"/>
    <s v="Hyderabad"/>
    <n v="33000"/>
    <n v="11.7"/>
    <n v="2.4"/>
    <n v="2"/>
    <n v="1"/>
    <x v="2"/>
    <x v="0"/>
    <n v="2"/>
    <x v="1"/>
    <n v="4"/>
    <m/>
    <x v="1"/>
    <x v="0"/>
    <x v="4"/>
    <n v="0"/>
  </r>
  <r>
    <s v="EMP1212"/>
    <d v="2020-06-30T00:00:00"/>
    <x v="0"/>
    <n v="41"/>
    <s v="Non-Binary"/>
    <s v="Single"/>
    <s v="Diploma"/>
    <x v="0"/>
    <x v="3"/>
    <x v="1"/>
    <s v="Pune"/>
    <n v="54000"/>
    <n v="0.3"/>
    <n v="8.1"/>
    <n v="5.5"/>
    <n v="1"/>
    <x v="2"/>
    <x v="0"/>
    <n v="2"/>
    <x v="1"/>
    <n v="5"/>
    <m/>
    <x v="0"/>
    <x v="1"/>
    <x v="0"/>
    <n v="0"/>
  </r>
  <r>
    <s v="EMP1213"/>
    <d v="2025-02-25T00:00:00"/>
    <x v="0"/>
    <n v="29"/>
    <s v="Male"/>
    <s v="Divorced"/>
    <s v="Master's"/>
    <x v="2"/>
    <x v="17"/>
    <x v="3"/>
    <s v="Bengaluru"/>
    <n v="112000"/>
    <n v="0"/>
    <n v="6.1"/>
    <n v="0.8"/>
    <n v="0"/>
    <x v="2"/>
    <x v="3"/>
    <n v="2"/>
    <x v="1"/>
    <n v="4"/>
    <m/>
    <x v="1"/>
    <x v="3"/>
    <x v="3"/>
    <n v="0"/>
  </r>
  <r>
    <s v="EMP1214"/>
    <d v="2017-12-12T00:00:00"/>
    <x v="1"/>
    <n v="37"/>
    <s v="Female"/>
    <s v="Divorced"/>
    <s v="Bachelor's"/>
    <x v="6"/>
    <x v="22"/>
    <x v="1"/>
    <s v="Mumbai"/>
    <n v="54000"/>
    <n v="13.7"/>
    <n v="9.3000000000000007"/>
    <n v="7.5"/>
    <n v="3.4"/>
    <x v="3"/>
    <x v="2"/>
    <n v="4"/>
    <x v="1"/>
    <n v="3"/>
    <d v="2025-06-04T00:00:00"/>
    <x v="0"/>
    <x v="1"/>
    <x v="1"/>
    <n v="1"/>
  </r>
  <r>
    <s v="EMP1215"/>
    <d v="2023-05-20T00:00:00"/>
    <x v="0"/>
    <n v="39"/>
    <s v="Non-Binary"/>
    <s v="Divorced"/>
    <s v="PhD"/>
    <x v="1"/>
    <x v="10"/>
    <x v="1"/>
    <s v="Pune"/>
    <n v="70000"/>
    <n v="9.5"/>
    <n v="8.8000000000000007"/>
    <n v="2.6"/>
    <n v="0.5"/>
    <x v="2"/>
    <x v="0"/>
    <n v="3"/>
    <x v="1"/>
    <n v="3"/>
    <m/>
    <x v="0"/>
    <x v="4"/>
    <x v="4"/>
    <n v="0"/>
  </r>
  <r>
    <s v="EMP1216"/>
    <d v="2016-04-29T00:00:00"/>
    <x v="0"/>
    <n v="30"/>
    <s v="Female"/>
    <s v="Single"/>
    <s v="Master's"/>
    <x v="6"/>
    <x v="22"/>
    <x v="2"/>
    <s v="Chennai"/>
    <n v="69000"/>
    <n v="6.3"/>
    <n v="11.4"/>
    <n v="9.6999999999999993"/>
    <n v="1.4"/>
    <x v="0"/>
    <x v="1"/>
    <n v="3"/>
    <x v="1"/>
    <n v="4"/>
    <m/>
    <x v="1"/>
    <x v="4"/>
    <x v="1"/>
    <n v="0"/>
  </r>
  <r>
    <s v="EMP1217"/>
    <d v="2021-06-12T00:00:00"/>
    <x v="0"/>
    <n v="32"/>
    <s v="Non-Binary"/>
    <s v="Married"/>
    <s v="Bachelor's"/>
    <x v="4"/>
    <x v="14"/>
    <x v="0"/>
    <s v="Mumbai"/>
    <n v="22000"/>
    <n v="9.8000000000000007"/>
    <n v="11.2"/>
    <n v="4.5999999999999996"/>
    <n v="3.6"/>
    <x v="2"/>
    <x v="1"/>
    <n v="2"/>
    <x v="1"/>
    <n v="3"/>
    <m/>
    <x v="1"/>
    <x v="0"/>
    <x v="0"/>
    <n v="0"/>
  </r>
  <r>
    <s v="EMP1218"/>
    <d v="2019-04-02T00:00:00"/>
    <x v="0"/>
    <n v="34"/>
    <s v="Male"/>
    <s v="Married"/>
    <s v="Bachelor's"/>
    <x v="3"/>
    <x v="15"/>
    <x v="3"/>
    <s v="Bengaluru"/>
    <n v="110000"/>
    <n v="21.3"/>
    <n v="10.7"/>
    <n v="6.7"/>
    <n v="5.8"/>
    <x v="2"/>
    <x v="2"/>
    <n v="4"/>
    <x v="1"/>
    <n v="4"/>
    <m/>
    <x v="1"/>
    <x v="3"/>
    <x v="1"/>
    <n v="0"/>
  </r>
  <r>
    <s v="EMP1219"/>
    <d v="2025-03-28T00:00:00"/>
    <x v="0"/>
    <n v="24"/>
    <s v="Male"/>
    <s v="Divorced"/>
    <s v="Bachelor's"/>
    <x v="5"/>
    <x v="26"/>
    <x v="0"/>
    <s v="Mumbai"/>
    <n v="40000"/>
    <n v="6.6"/>
    <n v="7.4"/>
    <n v="0.8"/>
    <n v="0"/>
    <x v="2"/>
    <x v="2"/>
    <n v="3"/>
    <x v="1"/>
    <n v="4"/>
    <m/>
    <x v="2"/>
    <x v="1"/>
    <x v="3"/>
    <n v="0"/>
  </r>
  <r>
    <s v="EMP1220"/>
    <d v="2022-04-15T00:00:00"/>
    <x v="0"/>
    <n v="24"/>
    <s v="Male"/>
    <s v="Divorced"/>
    <s v="Master's"/>
    <x v="0"/>
    <x v="16"/>
    <x v="0"/>
    <s v="Pune"/>
    <n v="35000"/>
    <n v="6.3"/>
    <n v="6.9"/>
    <n v="3.7"/>
    <n v="0.7"/>
    <x v="2"/>
    <x v="0"/>
    <n v="3"/>
    <x v="1"/>
    <n v="2"/>
    <m/>
    <x v="2"/>
    <x v="0"/>
    <x v="0"/>
    <n v="0"/>
  </r>
  <r>
    <s v="EMP1221"/>
    <d v="2016-11-15T00:00:00"/>
    <x v="0"/>
    <n v="40"/>
    <s v="Non-Binary"/>
    <s v="Divorced"/>
    <s v="Master's"/>
    <x v="1"/>
    <x v="10"/>
    <x v="2"/>
    <s v="Pune"/>
    <n v="102000"/>
    <n v="5.6"/>
    <n v="17"/>
    <n v="9.1"/>
    <n v="5.0999999999999996"/>
    <x v="0"/>
    <x v="0"/>
    <n v="3"/>
    <x v="1"/>
    <n v="4"/>
    <m/>
    <x v="0"/>
    <x v="3"/>
    <x v="1"/>
    <n v="0"/>
  </r>
  <r>
    <s v="EMP1222"/>
    <d v="2021-04-16T00:00:00"/>
    <x v="0"/>
    <n v="37"/>
    <s v="Non-Binary"/>
    <s v="Married"/>
    <s v="Master's"/>
    <x v="0"/>
    <x v="7"/>
    <x v="1"/>
    <s v="Bengaluru"/>
    <n v="45000"/>
    <n v="5.9"/>
    <n v="6.4"/>
    <n v="4.7"/>
    <n v="3.1"/>
    <x v="2"/>
    <x v="2"/>
    <n v="2"/>
    <x v="1"/>
    <n v="5"/>
    <m/>
    <x v="0"/>
    <x v="1"/>
    <x v="0"/>
    <n v="0"/>
  </r>
  <r>
    <s v="EMP1223"/>
    <d v="2022-07-10T00:00:00"/>
    <x v="1"/>
    <n v="35"/>
    <s v="Male"/>
    <s v="Divorced"/>
    <s v="Diploma"/>
    <x v="2"/>
    <x v="23"/>
    <x v="2"/>
    <s v="Pune"/>
    <n v="81000"/>
    <n v="5.7"/>
    <n v="2.9"/>
    <n v="2.8"/>
    <n v="1.9"/>
    <x v="2"/>
    <x v="1"/>
    <n v="3"/>
    <x v="1"/>
    <n v="3"/>
    <d v="2025-05-01T00:00:00"/>
    <x v="1"/>
    <x v="2"/>
    <x v="4"/>
    <n v="1"/>
  </r>
  <r>
    <s v="EMP1224"/>
    <d v="2022-05-07T00:00:00"/>
    <x v="0"/>
    <n v="29"/>
    <s v="Male"/>
    <s v="Married"/>
    <s v="Diploma"/>
    <x v="5"/>
    <x v="8"/>
    <x v="1"/>
    <s v="Mumbai"/>
    <n v="58000"/>
    <n v="4.7"/>
    <n v="9"/>
    <n v="3.7"/>
    <n v="0.8"/>
    <x v="1"/>
    <x v="2"/>
    <n v="3"/>
    <x v="1"/>
    <n v="3"/>
    <m/>
    <x v="1"/>
    <x v="1"/>
    <x v="0"/>
    <n v="0"/>
  </r>
  <r>
    <s v="EMP1225"/>
    <d v="2025-06-24T00:00:00"/>
    <x v="0"/>
    <n v="21"/>
    <s v="Non-Binary"/>
    <s v="Divorced"/>
    <s v="Diploma"/>
    <x v="5"/>
    <x v="18"/>
    <x v="0"/>
    <s v="Hyderabad"/>
    <n v="28000"/>
    <n v="11.7"/>
    <n v="5.8"/>
    <n v="0.5"/>
    <n v="0"/>
    <x v="0"/>
    <x v="0"/>
    <n v="3"/>
    <x v="1"/>
    <n v="2"/>
    <m/>
    <x v="2"/>
    <x v="0"/>
    <x v="3"/>
    <n v="0"/>
  </r>
  <r>
    <s v="EMP1226"/>
    <d v="2016-08-24T00:00:00"/>
    <x v="0"/>
    <n v="30"/>
    <s v="Female"/>
    <s v="Single"/>
    <s v="Master's"/>
    <x v="3"/>
    <x v="4"/>
    <x v="0"/>
    <s v="Bengaluru"/>
    <n v="26000"/>
    <n v="4.9000000000000004"/>
    <n v="11"/>
    <n v="9.4"/>
    <n v="1.9"/>
    <x v="2"/>
    <x v="0"/>
    <n v="3"/>
    <x v="0"/>
    <n v="3"/>
    <m/>
    <x v="1"/>
    <x v="0"/>
    <x v="1"/>
    <n v="0"/>
  </r>
  <r>
    <s v="EMP1227"/>
    <d v="2023-11-06T00:00:00"/>
    <x v="0"/>
    <n v="38"/>
    <s v="Non-Binary"/>
    <s v="Single"/>
    <s v="PhD"/>
    <x v="6"/>
    <x v="22"/>
    <x v="1"/>
    <s v="Chennai"/>
    <n v="61000"/>
    <n v="7"/>
    <n v="2.9"/>
    <n v="2.2000000000000002"/>
    <n v="1.6"/>
    <x v="2"/>
    <x v="1"/>
    <n v="3"/>
    <x v="0"/>
    <n v="5"/>
    <m/>
    <x v="0"/>
    <x v="4"/>
    <x v="4"/>
    <n v="0"/>
  </r>
  <r>
    <s v="EMP1228"/>
    <d v="2018-02-16T00:00:00"/>
    <x v="0"/>
    <n v="35"/>
    <s v="Non-Binary"/>
    <s v="Single"/>
    <s v="Master's"/>
    <x v="3"/>
    <x v="6"/>
    <x v="2"/>
    <s v="Mumbai"/>
    <n v="73000"/>
    <n v="6.9"/>
    <n v="9.6"/>
    <n v="7.9"/>
    <n v="1"/>
    <x v="2"/>
    <x v="0"/>
    <n v="3"/>
    <x v="1"/>
    <n v="2"/>
    <m/>
    <x v="1"/>
    <x v="4"/>
    <x v="1"/>
    <n v="0"/>
  </r>
  <r>
    <s v="EMP1229"/>
    <d v="2025-05-15T00:00:00"/>
    <x v="0"/>
    <n v="39"/>
    <s v="Male"/>
    <s v="Divorced"/>
    <s v="Diploma"/>
    <x v="0"/>
    <x v="16"/>
    <x v="2"/>
    <s v="Pune"/>
    <n v="73000"/>
    <n v="3.9"/>
    <n v="4.9000000000000004"/>
    <n v="0.6"/>
    <n v="0"/>
    <x v="2"/>
    <x v="0"/>
    <n v="3"/>
    <x v="1"/>
    <n v="4"/>
    <m/>
    <x v="0"/>
    <x v="4"/>
    <x v="3"/>
    <n v="0"/>
  </r>
  <r>
    <s v="EMP1230"/>
    <d v="2021-03-24T00:00:00"/>
    <x v="0"/>
    <n v="40"/>
    <s v="Male"/>
    <s v="Single"/>
    <s v="Bachelor's"/>
    <x v="5"/>
    <x v="8"/>
    <x v="2"/>
    <s v="Hyderabad"/>
    <n v="83000"/>
    <n v="14.4"/>
    <n v="10.6"/>
    <n v="4.8"/>
    <n v="2.8"/>
    <x v="1"/>
    <x v="0"/>
    <n v="2"/>
    <x v="1"/>
    <n v="2"/>
    <m/>
    <x v="0"/>
    <x v="2"/>
    <x v="0"/>
    <n v="0"/>
  </r>
  <r>
    <s v="EMP1231"/>
    <d v="2020-01-05T00:00:00"/>
    <x v="0"/>
    <n v="45"/>
    <s v="Female"/>
    <s v="Divorced"/>
    <s v="PhD"/>
    <x v="2"/>
    <x v="23"/>
    <x v="2"/>
    <s v="Mumbai"/>
    <n v="78000"/>
    <n v="11.3"/>
    <n v="9.6"/>
    <n v="6"/>
    <n v="5.5"/>
    <x v="0"/>
    <x v="0"/>
    <n v="3"/>
    <x v="1"/>
    <n v="1"/>
    <m/>
    <x v="0"/>
    <x v="4"/>
    <x v="0"/>
    <n v="0"/>
  </r>
  <r>
    <s v="EMP1232"/>
    <d v="2016-10-11T00:00:00"/>
    <x v="0"/>
    <n v="36"/>
    <s v="Female"/>
    <s v="Married"/>
    <s v="Bachelor's"/>
    <x v="6"/>
    <x v="21"/>
    <x v="2"/>
    <s v="Hyderabad"/>
    <n v="72000"/>
    <n v="7.2"/>
    <n v="12.8"/>
    <n v="9.1999999999999993"/>
    <n v="1.9"/>
    <x v="2"/>
    <x v="2"/>
    <n v="3"/>
    <x v="1"/>
    <n v="3"/>
    <m/>
    <x v="0"/>
    <x v="4"/>
    <x v="1"/>
    <n v="0"/>
  </r>
  <r>
    <s v="EMP1233"/>
    <d v="2025-07-30T00:00:00"/>
    <x v="0"/>
    <n v="24"/>
    <s v="Non-Binary"/>
    <s v="Single"/>
    <s v="PhD"/>
    <x v="2"/>
    <x v="2"/>
    <x v="0"/>
    <s v="Mumbai"/>
    <n v="32000"/>
    <n v="13.4"/>
    <n v="4.2"/>
    <n v="0.4"/>
    <n v="0"/>
    <x v="2"/>
    <x v="0"/>
    <n v="4"/>
    <x v="1"/>
    <n v="4"/>
    <m/>
    <x v="2"/>
    <x v="0"/>
    <x v="3"/>
    <n v="0"/>
  </r>
  <r>
    <s v="EMP1234"/>
    <d v="2019-02-01T00:00:00"/>
    <x v="0"/>
    <n v="44"/>
    <s v="Female"/>
    <s v="Married"/>
    <s v="Bachelor's"/>
    <x v="5"/>
    <x v="8"/>
    <x v="3"/>
    <s v="Pune"/>
    <n v="134000"/>
    <n v="7.2"/>
    <n v="9.5"/>
    <n v="6.9"/>
    <n v="0.3"/>
    <x v="2"/>
    <x v="0"/>
    <n v="3"/>
    <x v="1"/>
    <n v="1"/>
    <m/>
    <x v="0"/>
    <x v="3"/>
    <x v="1"/>
    <n v="0"/>
  </r>
  <r>
    <s v="EMP1235"/>
    <d v="2017-10-23T00:00:00"/>
    <x v="1"/>
    <n v="33"/>
    <s v="Female"/>
    <s v="Divorced"/>
    <s v="PhD"/>
    <x v="4"/>
    <x v="14"/>
    <x v="2"/>
    <s v="Hyderabad"/>
    <n v="85000"/>
    <n v="12.9"/>
    <n v="12.5"/>
    <n v="7.6"/>
    <n v="5.5"/>
    <x v="3"/>
    <x v="0"/>
    <n v="3"/>
    <x v="1"/>
    <n v="4"/>
    <d v="2025-06-10T00:00:00"/>
    <x v="1"/>
    <x v="2"/>
    <x v="1"/>
    <n v="1"/>
  </r>
  <r>
    <s v="EMP1236"/>
    <d v="2022-10-19T00:00:00"/>
    <x v="0"/>
    <n v="37"/>
    <s v="Female"/>
    <s v="Divorced"/>
    <s v="Bachelor's"/>
    <x v="6"/>
    <x v="12"/>
    <x v="2"/>
    <s v="Mumbai"/>
    <n v="75000"/>
    <n v="9.3000000000000007"/>
    <n v="10.7"/>
    <n v="3.2"/>
    <n v="0.9"/>
    <x v="0"/>
    <x v="1"/>
    <n v="3"/>
    <x v="1"/>
    <n v="4"/>
    <m/>
    <x v="0"/>
    <x v="4"/>
    <x v="0"/>
    <n v="0"/>
  </r>
  <r>
    <s v="EMP1237"/>
    <d v="2022-11-12T00:00:00"/>
    <x v="0"/>
    <n v="45"/>
    <s v="Non-Binary"/>
    <s v="Divorced"/>
    <s v="Master's"/>
    <x v="4"/>
    <x v="14"/>
    <x v="2"/>
    <s v="Pune"/>
    <n v="83000"/>
    <n v="6"/>
    <n v="6.7"/>
    <n v="3.1"/>
    <n v="0.7"/>
    <x v="0"/>
    <x v="2"/>
    <n v="4"/>
    <x v="1"/>
    <n v="3"/>
    <m/>
    <x v="0"/>
    <x v="2"/>
    <x v="0"/>
    <n v="0"/>
  </r>
  <r>
    <s v="EMP1238"/>
    <d v="2020-11-05T00:00:00"/>
    <x v="0"/>
    <n v="30"/>
    <s v="Non-Binary"/>
    <s v="Married"/>
    <s v="Bachelor's"/>
    <x v="1"/>
    <x v="10"/>
    <x v="2"/>
    <s v="Pune"/>
    <n v="94000"/>
    <n v="10"/>
    <n v="6.9"/>
    <n v="5.2"/>
    <n v="3"/>
    <x v="2"/>
    <x v="2"/>
    <n v="3"/>
    <x v="0"/>
    <n v="5"/>
    <m/>
    <x v="1"/>
    <x v="2"/>
    <x v="0"/>
    <n v="0"/>
  </r>
  <r>
    <s v="EMP1239"/>
    <d v="2014-01-10T00:00:00"/>
    <x v="1"/>
    <n v="39"/>
    <s v="Non-Binary"/>
    <s v="Married"/>
    <s v="Master's"/>
    <x v="1"/>
    <x v="10"/>
    <x v="4"/>
    <s v="Hyderabad"/>
    <n v="188000"/>
    <n v="10.3"/>
    <n v="12.1"/>
    <n v="11.2"/>
    <n v="2.9"/>
    <x v="2"/>
    <x v="3"/>
    <n v="3"/>
    <x v="1"/>
    <n v="5"/>
    <d v="2025-03-30T00:00:00"/>
    <x v="0"/>
    <x v="3"/>
    <x v="2"/>
    <n v="1"/>
  </r>
  <r>
    <s v="EMP1240"/>
    <d v="2020-03-03T00:00:00"/>
    <x v="0"/>
    <n v="32"/>
    <s v="Male"/>
    <s v="Single"/>
    <s v="Master's"/>
    <x v="0"/>
    <x v="16"/>
    <x v="1"/>
    <s v="Chennai"/>
    <n v="59000"/>
    <n v="8.8000000000000007"/>
    <n v="7.8"/>
    <n v="5.8"/>
    <n v="0.2"/>
    <x v="0"/>
    <x v="0"/>
    <n v="3"/>
    <x v="1"/>
    <n v="3"/>
    <m/>
    <x v="1"/>
    <x v="1"/>
    <x v="0"/>
    <n v="0"/>
  </r>
  <r>
    <s v="EMP1241"/>
    <d v="2017-10-23T00:00:00"/>
    <x v="1"/>
    <n v="31"/>
    <s v="Female"/>
    <s v="Divorced"/>
    <s v="Diploma"/>
    <x v="5"/>
    <x v="8"/>
    <x v="1"/>
    <s v="Noida"/>
    <n v="50000"/>
    <n v="8.5"/>
    <n v="10.5"/>
    <n v="7.8"/>
    <n v="2.4"/>
    <x v="3"/>
    <x v="0"/>
    <n v="3"/>
    <x v="1"/>
    <n v="3"/>
    <d v="2025-08-25T00:00:00"/>
    <x v="1"/>
    <x v="1"/>
    <x v="1"/>
    <n v="1"/>
  </r>
  <r>
    <s v="EMP1242"/>
    <d v="2021-06-04T00:00:00"/>
    <x v="0"/>
    <n v="28"/>
    <s v="Female"/>
    <s v="Divorced"/>
    <s v="Diploma"/>
    <x v="0"/>
    <x v="16"/>
    <x v="4"/>
    <s v="Mumbai"/>
    <n v="142000"/>
    <n v="5.2"/>
    <n v="9.5"/>
    <n v="4.5999999999999996"/>
    <n v="4.3"/>
    <x v="0"/>
    <x v="0"/>
    <n v="3"/>
    <x v="1"/>
    <n v="3"/>
    <m/>
    <x v="1"/>
    <x v="3"/>
    <x v="0"/>
    <n v="0"/>
  </r>
  <r>
    <s v="EMP1243"/>
    <d v="2023-04-26T00:00:00"/>
    <x v="0"/>
    <n v="31"/>
    <s v="Male"/>
    <s v="Single"/>
    <s v="Master's"/>
    <x v="3"/>
    <x v="11"/>
    <x v="0"/>
    <s v="Pune"/>
    <n v="48000"/>
    <n v="15.1"/>
    <n v="5.0999999999999996"/>
    <n v="2.7"/>
    <n v="0.5"/>
    <x v="2"/>
    <x v="2"/>
    <n v="2"/>
    <x v="1"/>
    <n v="4"/>
    <m/>
    <x v="1"/>
    <x v="1"/>
    <x v="4"/>
    <n v="0"/>
  </r>
  <r>
    <s v="EMP1244"/>
    <d v="2024-01-12T00:00:00"/>
    <x v="1"/>
    <n v="26"/>
    <s v="Non-Binary"/>
    <s v="Married"/>
    <s v="Bachelor's"/>
    <x v="6"/>
    <x v="12"/>
    <x v="0"/>
    <s v="Bengaluru"/>
    <n v="22000"/>
    <n v="3.1"/>
    <n v="3.2"/>
    <n v="1.4"/>
    <n v="0.6"/>
    <x v="3"/>
    <x v="0"/>
    <n v="3"/>
    <x v="0"/>
    <n v="4"/>
    <d v="2025-06-04T00:00:00"/>
    <x v="1"/>
    <x v="0"/>
    <x v="4"/>
    <n v="1"/>
  </r>
  <r>
    <s v="EMP1245"/>
    <d v="2015-03-16T00:00:00"/>
    <x v="0"/>
    <n v="43"/>
    <s v="Female"/>
    <s v="Married"/>
    <s v="Diploma"/>
    <x v="4"/>
    <x v="24"/>
    <x v="2"/>
    <s v="Bengaluru"/>
    <n v="75000"/>
    <n v="10.6"/>
    <n v="18.5"/>
    <n v="10.8"/>
    <n v="0.9"/>
    <x v="2"/>
    <x v="2"/>
    <n v="2"/>
    <x v="1"/>
    <n v="4"/>
    <m/>
    <x v="0"/>
    <x v="4"/>
    <x v="2"/>
    <n v="0"/>
  </r>
  <r>
    <s v="EMP1246"/>
    <d v="2024-10-25T00:00:00"/>
    <x v="0"/>
    <n v="25"/>
    <s v="Male"/>
    <s v="Divorced"/>
    <s v="Diploma"/>
    <x v="3"/>
    <x v="4"/>
    <x v="0"/>
    <s v="Mumbai"/>
    <n v="43000"/>
    <n v="10.1"/>
    <n v="2.4"/>
    <n v="1.2"/>
    <n v="0.6"/>
    <x v="3"/>
    <x v="2"/>
    <n v="3"/>
    <x v="0"/>
    <n v="1"/>
    <m/>
    <x v="2"/>
    <x v="1"/>
    <x v="4"/>
    <n v="0"/>
  </r>
  <r>
    <s v="EMP1247"/>
    <d v="2016-11-27T00:00:00"/>
    <x v="0"/>
    <n v="37"/>
    <s v="Male"/>
    <s v="Single"/>
    <s v="Master's"/>
    <x v="3"/>
    <x v="4"/>
    <x v="1"/>
    <s v="Hyderabad"/>
    <n v="70000"/>
    <n v="8.1"/>
    <n v="10.7"/>
    <n v="9.1"/>
    <n v="0.8"/>
    <x v="0"/>
    <x v="2"/>
    <n v="3"/>
    <x v="1"/>
    <n v="3"/>
    <m/>
    <x v="0"/>
    <x v="4"/>
    <x v="1"/>
    <n v="0"/>
  </r>
  <r>
    <s v="EMP1248"/>
    <d v="2015-06-07T00:00:00"/>
    <x v="0"/>
    <n v="34"/>
    <s v="Female"/>
    <s v="Married"/>
    <s v="Bachelor's"/>
    <x v="3"/>
    <x v="15"/>
    <x v="1"/>
    <s v="Mumbai"/>
    <n v="77000"/>
    <n v="0.6"/>
    <n v="14.3"/>
    <n v="10.6"/>
    <n v="0.4"/>
    <x v="3"/>
    <x v="0"/>
    <n v="3"/>
    <x v="0"/>
    <n v="3"/>
    <m/>
    <x v="1"/>
    <x v="4"/>
    <x v="2"/>
    <n v="0"/>
  </r>
  <r>
    <s v="EMP1249"/>
    <d v="2020-02-08T00:00:00"/>
    <x v="0"/>
    <n v="32"/>
    <s v="Male"/>
    <s v="Single"/>
    <s v="Diploma"/>
    <x v="2"/>
    <x v="17"/>
    <x v="1"/>
    <s v="Mumbai"/>
    <n v="57000"/>
    <n v="6.4"/>
    <n v="13.1"/>
    <n v="5.9"/>
    <n v="0.3"/>
    <x v="0"/>
    <x v="0"/>
    <n v="3"/>
    <x v="1"/>
    <n v="2"/>
    <m/>
    <x v="1"/>
    <x v="1"/>
    <x v="0"/>
    <n v="0"/>
  </r>
  <r>
    <s v="EMP1250"/>
    <d v="2022-07-13T00:00:00"/>
    <x v="1"/>
    <n v="38"/>
    <s v="Male"/>
    <s v="Single"/>
    <s v="PhD"/>
    <x v="1"/>
    <x v="27"/>
    <x v="0"/>
    <s v="Noida"/>
    <n v="67000"/>
    <n v="12.2"/>
    <n v="5.6"/>
    <n v="3.2"/>
    <n v="0.2"/>
    <x v="0"/>
    <x v="2"/>
    <n v="3"/>
    <x v="1"/>
    <n v="4"/>
    <d v="2025-10-04T00:00:00"/>
    <x v="0"/>
    <x v="4"/>
    <x v="0"/>
    <n v="1"/>
  </r>
  <r>
    <s v="EMP1251"/>
    <d v="2024-06-01T00:00:00"/>
    <x v="0"/>
    <n v="30"/>
    <s v="Non-Binary"/>
    <s v="Single"/>
    <s v="PhD"/>
    <x v="1"/>
    <x v="27"/>
    <x v="2"/>
    <s v="Noida"/>
    <n v="86000"/>
    <n v="1.8"/>
    <n v="8.6"/>
    <n v="1.6"/>
    <n v="0.7"/>
    <x v="2"/>
    <x v="2"/>
    <n v="3"/>
    <x v="0"/>
    <n v="4"/>
    <m/>
    <x v="1"/>
    <x v="2"/>
    <x v="4"/>
    <n v="0"/>
  </r>
  <r>
    <s v="EMP1252"/>
    <d v="2022-08-27T00:00:00"/>
    <x v="0"/>
    <n v="38"/>
    <s v="Non-Binary"/>
    <s v="Married"/>
    <s v="Master's"/>
    <x v="0"/>
    <x v="16"/>
    <x v="1"/>
    <s v="Noida"/>
    <n v="38000"/>
    <n v="13.2"/>
    <n v="10.199999999999999"/>
    <n v="3.3"/>
    <n v="3.1"/>
    <x v="0"/>
    <x v="3"/>
    <n v="3"/>
    <x v="0"/>
    <n v="4"/>
    <m/>
    <x v="0"/>
    <x v="0"/>
    <x v="0"/>
    <n v="0"/>
  </r>
  <r>
    <s v="EMP1253"/>
    <d v="2018-12-26T00:00:00"/>
    <x v="0"/>
    <n v="28"/>
    <s v="Female"/>
    <s v="Divorced"/>
    <s v="Diploma"/>
    <x v="3"/>
    <x v="11"/>
    <x v="1"/>
    <s v="Chennai"/>
    <n v="54000"/>
    <n v="15.4"/>
    <n v="13.4"/>
    <n v="7"/>
    <n v="3.5"/>
    <x v="3"/>
    <x v="0"/>
    <n v="3"/>
    <x v="0"/>
    <n v="4"/>
    <m/>
    <x v="1"/>
    <x v="1"/>
    <x v="1"/>
    <n v="0"/>
  </r>
  <r>
    <s v="EMP1254"/>
    <d v="2020-01-08T00:00:00"/>
    <x v="0"/>
    <n v="33"/>
    <s v="Non-Binary"/>
    <s v="Married"/>
    <s v="Bachelor's"/>
    <x v="0"/>
    <x v="3"/>
    <x v="3"/>
    <s v="Pune"/>
    <n v="101000"/>
    <n v="9.3000000000000007"/>
    <n v="6.6"/>
    <n v="6"/>
    <n v="1.1000000000000001"/>
    <x v="2"/>
    <x v="1"/>
    <n v="2"/>
    <x v="1"/>
    <n v="1"/>
    <m/>
    <x v="1"/>
    <x v="3"/>
    <x v="0"/>
    <n v="0"/>
  </r>
  <r>
    <s v="EMP1255"/>
    <d v="2025-01-05T00:00:00"/>
    <x v="0"/>
    <n v="21"/>
    <s v="Female"/>
    <s v="Married"/>
    <s v="Bachelor's"/>
    <x v="0"/>
    <x v="7"/>
    <x v="0"/>
    <s v="Noida"/>
    <n v="50000"/>
    <n v="9.6"/>
    <n v="1.4"/>
    <n v="1"/>
    <n v="0.9"/>
    <x v="0"/>
    <x v="2"/>
    <n v="2"/>
    <x v="1"/>
    <n v="4"/>
    <m/>
    <x v="2"/>
    <x v="1"/>
    <x v="4"/>
    <n v="0"/>
  </r>
  <r>
    <s v="EMP1256"/>
    <d v="2018-10-28T00:00:00"/>
    <x v="0"/>
    <n v="33"/>
    <s v="Male"/>
    <s v="Single"/>
    <s v="PhD"/>
    <x v="1"/>
    <x v="27"/>
    <x v="1"/>
    <s v="Mumbai"/>
    <n v="55000"/>
    <n v="8.3000000000000007"/>
    <n v="12"/>
    <n v="7.2"/>
    <n v="4.4000000000000004"/>
    <x v="2"/>
    <x v="2"/>
    <n v="2"/>
    <x v="1"/>
    <n v="2"/>
    <m/>
    <x v="1"/>
    <x v="1"/>
    <x v="1"/>
    <n v="0"/>
  </r>
  <r>
    <s v="EMP1257"/>
    <d v="2019-03-06T00:00:00"/>
    <x v="0"/>
    <n v="49"/>
    <s v="Female"/>
    <s v="Divorced"/>
    <s v="PhD"/>
    <x v="0"/>
    <x v="7"/>
    <x v="1"/>
    <s v="Pune"/>
    <n v="38000"/>
    <n v="4.9000000000000004"/>
    <n v="8"/>
    <n v="6.8"/>
    <n v="0.7"/>
    <x v="1"/>
    <x v="1"/>
    <n v="3"/>
    <x v="0"/>
    <n v="4"/>
    <m/>
    <x v="3"/>
    <x v="0"/>
    <x v="1"/>
    <n v="0"/>
  </r>
  <r>
    <s v="EMP1258"/>
    <d v="2016-02-24T00:00:00"/>
    <x v="0"/>
    <n v="42"/>
    <s v="Non-Binary"/>
    <s v="Divorced"/>
    <s v="Diploma"/>
    <x v="1"/>
    <x v="10"/>
    <x v="2"/>
    <s v="Bengaluru"/>
    <n v="90000"/>
    <n v="4.0999999999999996"/>
    <n v="16.899999999999999"/>
    <n v="9.9"/>
    <n v="5"/>
    <x v="2"/>
    <x v="0"/>
    <n v="4"/>
    <x v="0"/>
    <n v="3"/>
    <m/>
    <x v="0"/>
    <x v="2"/>
    <x v="1"/>
    <n v="0"/>
  </r>
  <r>
    <s v="EMP1259"/>
    <d v="2023-10-04T00:00:00"/>
    <x v="0"/>
    <n v="38"/>
    <s v="Non-Binary"/>
    <s v="Married"/>
    <s v="PhD"/>
    <x v="6"/>
    <x v="12"/>
    <x v="0"/>
    <s v="Hyderabad"/>
    <n v="38000"/>
    <n v="11.9"/>
    <n v="6.3"/>
    <n v="2.2000000000000002"/>
    <n v="0.8"/>
    <x v="2"/>
    <x v="0"/>
    <n v="4"/>
    <x v="1"/>
    <n v="3"/>
    <m/>
    <x v="0"/>
    <x v="0"/>
    <x v="4"/>
    <n v="0"/>
  </r>
  <r>
    <s v="EMP1260"/>
    <d v="2018-04-11T00:00:00"/>
    <x v="0"/>
    <n v="48"/>
    <s v="Male"/>
    <s v="Single"/>
    <s v="Diploma"/>
    <x v="4"/>
    <x v="14"/>
    <x v="1"/>
    <s v="Chennai"/>
    <n v="44000"/>
    <n v="15.5"/>
    <n v="10.3"/>
    <n v="7.7"/>
    <n v="1.4"/>
    <x v="0"/>
    <x v="1"/>
    <n v="4"/>
    <x v="0"/>
    <n v="3"/>
    <m/>
    <x v="3"/>
    <x v="1"/>
    <x v="1"/>
    <n v="0"/>
  </r>
  <r>
    <s v="EMP1261"/>
    <d v="2015-05-03T00:00:00"/>
    <x v="0"/>
    <n v="36"/>
    <s v="Female"/>
    <s v="Single"/>
    <s v="Bachelor's"/>
    <x v="1"/>
    <x v="10"/>
    <x v="1"/>
    <s v="Hyderabad"/>
    <n v="46000"/>
    <n v="8.3000000000000007"/>
    <n v="11.7"/>
    <n v="10.7"/>
    <n v="3.9"/>
    <x v="3"/>
    <x v="0"/>
    <n v="4"/>
    <x v="1"/>
    <n v="2"/>
    <m/>
    <x v="0"/>
    <x v="1"/>
    <x v="2"/>
    <n v="0"/>
  </r>
  <r>
    <s v="EMP1262"/>
    <d v="2023-12-05T00:00:00"/>
    <x v="0"/>
    <n v="39"/>
    <s v="Female"/>
    <s v="Single"/>
    <s v="Diploma"/>
    <x v="2"/>
    <x v="17"/>
    <x v="1"/>
    <s v="Noida"/>
    <n v="61000"/>
    <n v="0.7"/>
    <n v="5.3"/>
    <n v="2.1"/>
    <n v="0.9"/>
    <x v="0"/>
    <x v="0"/>
    <n v="3"/>
    <x v="1"/>
    <n v="2"/>
    <m/>
    <x v="0"/>
    <x v="4"/>
    <x v="4"/>
    <n v="0"/>
  </r>
  <r>
    <s v="EMP1263"/>
    <d v="2021-04-16T00:00:00"/>
    <x v="0"/>
    <n v="41"/>
    <s v="Non-Binary"/>
    <s v="Divorced"/>
    <s v="Bachelor's"/>
    <x v="2"/>
    <x v="20"/>
    <x v="0"/>
    <s v="Bengaluru"/>
    <n v="31000"/>
    <n v="11.9"/>
    <n v="9.9"/>
    <n v="4.7"/>
    <n v="2.6"/>
    <x v="2"/>
    <x v="1"/>
    <n v="2"/>
    <x v="1"/>
    <n v="2"/>
    <m/>
    <x v="0"/>
    <x v="0"/>
    <x v="0"/>
    <n v="0"/>
  </r>
  <r>
    <s v="EMP1264"/>
    <d v="2023-11-12T00:00:00"/>
    <x v="0"/>
    <n v="35"/>
    <s v="Non-Binary"/>
    <s v="Single"/>
    <s v="Diploma"/>
    <x v="6"/>
    <x v="22"/>
    <x v="2"/>
    <s v="Chennai"/>
    <n v="74000"/>
    <n v="4.0999999999999996"/>
    <n v="2.9"/>
    <n v="2.1"/>
    <n v="1.7"/>
    <x v="3"/>
    <x v="2"/>
    <n v="3"/>
    <x v="1"/>
    <n v="3"/>
    <m/>
    <x v="1"/>
    <x v="4"/>
    <x v="4"/>
    <n v="0"/>
  </r>
  <r>
    <s v="EMP1265"/>
    <d v="2019-06-07T00:00:00"/>
    <x v="1"/>
    <n v="38"/>
    <s v="Female"/>
    <s v="Single"/>
    <s v="Bachelor's"/>
    <x v="1"/>
    <x v="1"/>
    <x v="2"/>
    <s v="Bengaluru"/>
    <n v="90000"/>
    <n v="8.4"/>
    <n v="7.3"/>
    <n v="6.4"/>
    <n v="2"/>
    <x v="2"/>
    <x v="0"/>
    <n v="1"/>
    <x v="1"/>
    <n v="3"/>
    <d v="2025-10-26T00:00:00"/>
    <x v="0"/>
    <x v="2"/>
    <x v="1"/>
    <n v="1"/>
  </r>
  <r>
    <s v="EMP1266"/>
    <d v="2015-10-09T00:00:00"/>
    <x v="0"/>
    <n v="31"/>
    <s v="Non-Binary"/>
    <s v="Married"/>
    <s v="Diploma"/>
    <x v="2"/>
    <x v="17"/>
    <x v="1"/>
    <s v="Mumbai"/>
    <n v="61000"/>
    <n v="7.7"/>
    <n v="14.1"/>
    <n v="10.199999999999999"/>
    <n v="5"/>
    <x v="2"/>
    <x v="0"/>
    <n v="4"/>
    <x v="1"/>
    <n v="5"/>
    <m/>
    <x v="1"/>
    <x v="4"/>
    <x v="2"/>
    <n v="0"/>
  </r>
  <r>
    <s v="EMP1267"/>
    <d v="2024-04-23T00:00:00"/>
    <x v="0"/>
    <n v="38"/>
    <s v="Male"/>
    <s v="Single"/>
    <s v="Master's"/>
    <x v="0"/>
    <x v="7"/>
    <x v="2"/>
    <s v="Bengaluru"/>
    <n v="70000"/>
    <n v="9.1"/>
    <n v="3.1"/>
    <n v="1.7"/>
    <n v="1"/>
    <x v="3"/>
    <x v="0"/>
    <n v="3"/>
    <x v="1"/>
    <n v="2"/>
    <m/>
    <x v="0"/>
    <x v="4"/>
    <x v="4"/>
    <n v="0"/>
  </r>
  <r>
    <s v="EMP1268"/>
    <d v="2023-10-17T00:00:00"/>
    <x v="0"/>
    <n v="33"/>
    <s v="Non-Binary"/>
    <s v="Single"/>
    <s v="Bachelor's"/>
    <x v="6"/>
    <x v="19"/>
    <x v="0"/>
    <s v="Mumbai"/>
    <n v="36000"/>
    <n v="4.3"/>
    <n v="4.5"/>
    <n v="2.2000000000000002"/>
    <n v="1.1000000000000001"/>
    <x v="3"/>
    <x v="0"/>
    <n v="4"/>
    <x v="0"/>
    <n v="4"/>
    <m/>
    <x v="1"/>
    <x v="0"/>
    <x v="4"/>
    <n v="0"/>
  </r>
  <r>
    <s v="EMP1269"/>
    <d v="2016-10-21T00:00:00"/>
    <x v="0"/>
    <n v="37"/>
    <s v="Non-Binary"/>
    <s v="Divorced"/>
    <s v="Bachelor's"/>
    <x v="2"/>
    <x v="17"/>
    <x v="1"/>
    <s v="Bengaluru"/>
    <n v="38000"/>
    <n v="9.8000000000000007"/>
    <n v="13.8"/>
    <n v="9.1999999999999993"/>
    <n v="3.2"/>
    <x v="2"/>
    <x v="0"/>
    <n v="3"/>
    <x v="1"/>
    <n v="3"/>
    <m/>
    <x v="0"/>
    <x v="0"/>
    <x v="1"/>
    <n v="0"/>
  </r>
  <r>
    <s v="EMP1270"/>
    <d v="2025-06-15T00:00:00"/>
    <x v="1"/>
    <n v="33"/>
    <s v="Male"/>
    <s v="Single"/>
    <s v="Bachelor's"/>
    <x v="1"/>
    <x v="1"/>
    <x v="1"/>
    <s v="Hyderabad"/>
    <n v="71000"/>
    <n v="10.3"/>
    <n v="2.9"/>
    <n v="0.2"/>
    <n v="0"/>
    <x v="3"/>
    <x v="1"/>
    <n v="3"/>
    <x v="1"/>
    <n v="4"/>
    <d v="2025-08-15T00:00:00"/>
    <x v="1"/>
    <x v="4"/>
    <x v="3"/>
    <n v="1"/>
  </r>
  <r>
    <s v="EMP1271"/>
    <d v="2023-11-03T00:00:00"/>
    <x v="0"/>
    <n v="26"/>
    <s v="Female"/>
    <s v="Divorced"/>
    <s v="Master's"/>
    <x v="0"/>
    <x v="0"/>
    <x v="0"/>
    <s v="Noida"/>
    <n v="33000"/>
    <n v="9.3000000000000007"/>
    <n v="4"/>
    <n v="2.2000000000000002"/>
    <n v="1.6"/>
    <x v="3"/>
    <x v="2"/>
    <n v="3"/>
    <x v="0"/>
    <n v="2"/>
    <m/>
    <x v="1"/>
    <x v="0"/>
    <x v="4"/>
    <n v="0"/>
  </r>
  <r>
    <s v="EMP1272"/>
    <d v="2021-01-16T00:00:00"/>
    <x v="0"/>
    <n v="40"/>
    <s v="Male"/>
    <s v="Divorced"/>
    <s v="PhD"/>
    <x v="2"/>
    <x v="23"/>
    <x v="0"/>
    <s v="Noida"/>
    <n v="54000"/>
    <n v="8.9"/>
    <n v="8.4"/>
    <n v="5"/>
    <n v="1.2"/>
    <x v="3"/>
    <x v="1"/>
    <n v="4"/>
    <x v="1"/>
    <n v="5"/>
    <m/>
    <x v="0"/>
    <x v="1"/>
    <x v="0"/>
    <n v="0"/>
  </r>
  <r>
    <s v="EMP1273"/>
    <d v="2020-01-16T00:00:00"/>
    <x v="0"/>
    <n v="34"/>
    <s v="Female"/>
    <s v="Single"/>
    <s v="PhD"/>
    <x v="2"/>
    <x v="20"/>
    <x v="1"/>
    <s v="Mumbai"/>
    <n v="45000"/>
    <n v="1.7"/>
    <n v="6.9"/>
    <n v="6"/>
    <n v="3.8"/>
    <x v="3"/>
    <x v="0"/>
    <n v="4"/>
    <x v="1"/>
    <n v="4"/>
    <m/>
    <x v="1"/>
    <x v="1"/>
    <x v="0"/>
    <n v="0"/>
  </r>
  <r>
    <s v="EMP1274"/>
    <d v="2024-07-12T00:00:00"/>
    <x v="1"/>
    <n v="23"/>
    <s v="Non-Binary"/>
    <s v="Single"/>
    <s v="Bachelor's"/>
    <x v="5"/>
    <x v="13"/>
    <x v="0"/>
    <s v="Noida"/>
    <n v="53000"/>
    <n v="8.5"/>
    <n v="2.1"/>
    <n v="0.6"/>
    <n v="0"/>
    <x v="0"/>
    <x v="2"/>
    <n v="2"/>
    <x v="1"/>
    <n v="3"/>
    <d v="2025-02-08T00:00:00"/>
    <x v="2"/>
    <x v="1"/>
    <x v="3"/>
    <n v="1"/>
  </r>
  <r>
    <s v="EMP1275"/>
    <d v="2023-07-07T00:00:00"/>
    <x v="1"/>
    <n v="39"/>
    <s v="Female"/>
    <s v="Married"/>
    <s v="PhD"/>
    <x v="4"/>
    <x v="14"/>
    <x v="1"/>
    <s v="Bengaluru"/>
    <n v="41000"/>
    <n v="5.9"/>
    <n v="4.8"/>
    <n v="2.2000000000000002"/>
    <n v="2.1"/>
    <x v="2"/>
    <x v="0"/>
    <n v="3"/>
    <x v="1"/>
    <n v="3"/>
    <d v="2025-09-02T00:00:00"/>
    <x v="0"/>
    <x v="1"/>
    <x v="4"/>
    <n v="1"/>
  </r>
  <r>
    <s v="EMP1276"/>
    <d v="2018-05-04T00:00:00"/>
    <x v="1"/>
    <n v="40"/>
    <s v="Male"/>
    <s v="Married"/>
    <s v="PhD"/>
    <x v="0"/>
    <x v="0"/>
    <x v="1"/>
    <s v="Mumbai"/>
    <n v="54000"/>
    <n v="10"/>
    <n v="11.6"/>
    <n v="7.4"/>
    <n v="5.0999999999999996"/>
    <x v="2"/>
    <x v="2"/>
    <n v="2"/>
    <x v="1"/>
    <n v="2"/>
    <d v="2025-10-03T00:00:00"/>
    <x v="0"/>
    <x v="1"/>
    <x v="1"/>
    <n v="1"/>
  </r>
  <r>
    <s v="EMP1277"/>
    <d v="2017-07-28T00:00:00"/>
    <x v="0"/>
    <n v="36"/>
    <s v="Non-Binary"/>
    <s v="Unkown"/>
    <s v="Bachelor's"/>
    <x v="5"/>
    <x v="26"/>
    <x v="3"/>
    <s v="Noida"/>
    <n v="126000"/>
    <n v="4.9000000000000004"/>
    <n v="12.7"/>
    <n v="8.4"/>
    <n v="1.5"/>
    <x v="2"/>
    <x v="0"/>
    <n v="3"/>
    <x v="1"/>
    <n v="3"/>
    <m/>
    <x v="0"/>
    <x v="3"/>
    <x v="1"/>
    <n v="0"/>
  </r>
  <r>
    <s v="EMP1278"/>
    <d v="2022-05-28T00:00:00"/>
    <x v="0"/>
    <n v="25"/>
    <s v="Male"/>
    <s v="Married"/>
    <s v="PhD"/>
    <x v="2"/>
    <x v="20"/>
    <x v="0"/>
    <s v="Pune"/>
    <n v="34000"/>
    <n v="7.1"/>
    <n v="7.9"/>
    <n v="3.6"/>
    <n v="2.7"/>
    <x v="2"/>
    <x v="0"/>
    <n v="3"/>
    <x v="1"/>
    <n v="4"/>
    <m/>
    <x v="2"/>
    <x v="0"/>
    <x v="0"/>
    <n v="0"/>
  </r>
  <r>
    <s v="EMP1279"/>
    <d v="2023-02-01T00:00:00"/>
    <x v="0"/>
    <n v="33"/>
    <s v="Female"/>
    <s v="Married"/>
    <s v="PhD"/>
    <x v="6"/>
    <x v="22"/>
    <x v="1"/>
    <s v="Unkown"/>
    <n v="40000"/>
    <n v="8.5"/>
    <n v="9"/>
    <n v="2.9"/>
    <n v="2.1"/>
    <x v="2"/>
    <x v="2"/>
    <n v="3"/>
    <x v="0"/>
    <n v="4"/>
    <m/>
    <x v="1"/>
    <x v="1"/>
    <x v="4"/>
    <n v="0"/>
  </r>
  <r>
    <s v="EMP1280"/>
    <d v="2014-02-19T00:00:00"/>
    <x v="0"/>
    <n v="45"/>
    <s v="Non-Binary"/>
    <s v="Divorced"/>
    <s v="PhD"/>
    <x v="2"/>
    <x v="17"/>
    <x v="1"/>
    <s v="Hyderabad"/>
    <n v="46000"/>
    <n v="2.7"/>
    <n v="15"/>
    <n v="11.9"/>
    <n v="0.1"/>
    <x v="0"/>
    <x v="3"/>
    <n v="4"/>
    <x v="1"/>
    <n v="3"/>
    <m/>
    <x v="0"/>
    <x v="1"/>
    <x v="2"/>
    <n v="0"/>
  </r>
  <r>
    <s v="EMP1281"/>
    <d v="2023-11-07T00:00:00"/>
    <x v="0"/>
    <n v="23"/>
    <s v="Female"/>
    <s v="Married"/>
    <s v="Master's"/>
    <x v="4"/>
    <x v="24"/>
    <x v="0"/>
    <s v="Hyderabad"/>
    <n v="28000"/>
    <n v="8"/>
    <n v="9.8000000000000007"/>
    <n v="2.1"/>
    <n v="0.4"/>
    <x v="2"/>
    <x v="0"/>
    <n v="3"/>
    <x v="1"/>
    <n v="3"/>
    <m/>
    <x v="2"/>
    <x v="0"/>
    <x v="4"/>
    <n v="0"/>
  </r>
  <r>
    <s v="EMP1282"/>
    <d v="2018-05-01T00:00:00"/>
    <x v="0"/>
    <n v="38"/>
    <s v="Female"/>
    <s v="Married"/>
    <s v="Bachelor's"/>
    <x v="2"/>
    <x v="17"/>
    <x v="2"/>
    <s v="Chennai"/>
    <n v="69000"/>
    <n v="7.9"/>
    <n v="11.9"/>
    <n v="7.7"/>
    <n v="6"/>
    <x v="0"/>
    <x v="0"/>
    <n v="3"/>
    <x v="0"/>
    <n v="1"/>
    <m/>
    <x v="0"/>
    <x v="4"/>
    <x v="1"/>
    <n v="0"/>
  </r>
  <r>
    <s v="EMP1283"/>
    <d v="2021-11-17T00:00:00"/>
    <x v="0"/>
    <n v="34"/>
    <s v="Non-Binary"/>
    <s v="Single"/>
    <s v="Bachelor's"/>
    <x v="1"/>
    <x v="1"/>
    <x v="3"/>
    <s v="Chennai"/>
    <n v="130000"/>
    <n v="10.7"/>
    <n v="5.4"/>
    <n v="4.0999999999999996"/>
    <n v="0.6"/>
    <x v="0"/>
    <x v="0"/>
    <n v="3"/>
    <x v="0"/>
    <n v="3"/>
    <m/>
    <x v="1"/>
    <x v="3"/>
    <x v="0"/>
    <n v="0"/>
  </r>
  <r>
    <s v="EMP1284"/>
    <d v="2022-09-29T00:00:00"/>
    <x v="1"/>
    <n v="36"/>
    <s v="Non-Binary"/>
    <s v="Divorced"/>
    <s v="Master's"/>
    <x v="1"/>
    <x v="9"/>
    <x v="2"/>
    <s v="Chennai"/>
    <n v="94000"/>
    <n v="2.7"/>
    <n v="7.6"/>
    <n v="3"/>
    <n v="0.6"/>
    <x v="0"/>
    <x v="0"/>
    <n v="1"/>
    <x v="1"/>
    <n v="3"/>
    <d v="2025-10-04T00:00:00"/>
    <x v="0"/>
    <x v="2"/>
    <x v="4"/>
    <n v="1"/>
  </r>
  <r>
    <s v="EMP1285"/>
    <d v="2015-09-14T00:00:00"/>
    <x v="0"/>
    <n v="36"/>
    <s v="Male"/>
    <s v="Single"/>
    <s v="Bachelor's"/>
    <x v="4"/>
    <x v="5"/>
    <x v="1"/>
    <s v="Pune"/>
    <n v="57000"/>
    <n v="6.2"/>
    <n v="17.2"/>
    <n v="10.3"/>
    <n v="0.1"/>
    <x v="2"/>
    <x v="2"/>
    <n v="3"/>
    <x v="1"/>
    <n v="3"/>
    <m/>
    <x v="0"/>
    <x v="1"/>
    <x v="2"/>
    <n v="0"/>
  </r>
  <r>
    <s v="EMP1286"/>
    <d v="2019-02-03T00:00:00"/>
    <x v="0"/>
    <n v="29"/>
    <s v="Female"/>
    <s v="Single"/>
    <s v="Diploma"/>
    <x v="5"/>
    <x v="18"/>
    <x v="2"/>
    <s v="Chennai"/>
    <n v="91000"/>
    <n v="13.1"/>
    <n v="11.7"/>
    <n v="6.9"/>
    <n v="3.9"/>
    <x v="2"/>
    <x v="3"/>
    <n v="4"/>
    <x v="1"/>
    <n v="3"/>
    <m/>
    <x v="1"/>
    <x v="2"/>
    <x v="1"/>
    <n v="0"/>
  </r>
  <r>
    <s v="EMP1287"/>
    <d v="2017-12-02T00:00:00"/>
    <x v="0"/>
    <n v="39"/>
    <s v="Non-Binary"/>
    <s v="Married"/>
    <s v="Master's"/>
    <x v="1"/>
    <x v="1"/>
    <x v="4"/>
    <s v="Mumbai"/>
    <n v="180000"/>
    <n v="8.5"/>
    <n v="8.5"/>
    <n v="8.1"/>
    <n v="4.5999999999999996"/>
    <x v="2"/>
    <x v="2"/>
    <n v="4"/>
    <x v="1"/>
    <n v="4"/>
    <m/>
    <x v="0"/>
    <x v="3"/>
    <x v="1"/>
    <n v="0"/>
  </r>
  <r>
    <s v="EMP1288"/>
    <d v="2018-04-26T00:00:00"/>
    <x v="0"/>
    <n v="38"/>
    <s v="Non-Binary"/>
    <s v="Divorced"/>
    <s v="Bachelor's"/>
    <x v="0"/>
    <x v="0"/>
    <x v="0"/>
    <s v="Mumbai"/>
    <n v="34000"/>
    <n v="18.100000000000001"/>
    <n v="8.1"/>
    <n v="7.7"/>
    <n v="1.6"/>
    <x v="2"/>
    <x v="0"/>
    <n v="4"/>
    <x v="0"/>
    <n v="3"/>
    <m/>
    <x v="0"/>
    <x v="0"/>
    <x v="1"/>
    <n v="0"/>
  </r>
  <r>
    <s v="EMP1289"/>
    <d v="2014-07-13T00:00:00"/>
    <x v="0"/>
    <n v="37"/>
    <s v="Male"/>
    <s v="Married"/>
    <s v="Diploma"/>
    <x v="3"/>
    <x v="4"/>
    <x v="2"/>
    <s v="Chennai"/>
    <n v="75000"/>
    <n v="5.5"/>
    <n v="14.5"/>
    <n v="11.5"/>
    <n v="1.8"/>
    <x v="0"/>
    <x v="3"/>
    <n v="2"/>
    <x v="1"/>
    <n v="4"/>
    <m/>
    <x v="0"/>
    <x v="4"/>
    <x v="2"/>
    <n v="0"/>
  </r>
  <r>
    <s v="EMP1290"/>
    <d v="2024-02-06T00:00:00"/>
    <x v="0"/>
    <n v="34"/>
    <s v="Non-Binary"/>
    <s v="Divorced"/>
    <s v="Diploma"/>
    <x v="4"/>
    <x v="5"/>
    <x v="3"/>
    <s v="Mumbai"/>
    <n v="132000"/>
    <n v="8.3000000000000007"/>
    <n v="8.6999999999999993"/>
    <n v="1.9"/>
    <n v="0.2"/>
    <x v="0"/>
    <x v="3"/>
    <n v="2"/>
    <x v="1"/>
    <n v="5"/>
    <m/>
    <x v="1"/>
    <x v="3"/>
    <x v="4"/>
    <n v="0"/>
  </r>
  <r>
    <s v="EMP1291"/>
    <d v="2022-02-08T00:00:00"/>
    <x v="0"/>
    <n v="35"/>
    <s v="Male"/>
    <s v="Divorced"/>
    <s v="Master's"/>
    <x v="2"/>
    <x v="23"/>
    <x v="1"/>
    <s v="Hyderabad"/>
    <n v="33000"/>
    <n v="8.6"/>
    <n v="10.199999999999999"/>
    <n v="3.9"/>
    <n v="1.5"/>
    <x v="2"/>
    <x v="1"/>
    <n v="3"/>
    <x v="1"/>
    <n v="3"/>
    <m/>
    <x v="1"/>
    <x v="0"/>
    <x v="0"/>
    <n v="0"/>
  </r>
  <r>
    <s v="EMP1292"/>
    <d v="2014-05-11T00:00:00"/>
    <x v="0"/>
    <n v="39"/>
    <s v="Female"/>
    <s v="Single"/>
    <s v="Master's"/>
    <x v="5"/>
    <x v="26"/>
    <x v="3"/>
    <s v="Bengaluru"/>
    <n v="133000"/>
    <n v="7"/>
    <n v="13"/>
    <n v="11.6"/>
    <n v="5"/>
    <x v="2"/>
    <x v="2"/>
    <n v="1"/>
    <x v="1"/>
    <n v="4"/>
    <m/>
    <x v="0"/>
    <x v="3"/>
    <x v="2"/>
    <n v="0"/>
  </r>
  <r>
    <s v="EMP1293"/>
    <d v="2019-09-14T00:00:00"/>
    <x v="1"/>
    <n v="28"/>
    <s v="Non-Binary"/>
    <s v="Married"/>
    <s v="Diploma"/>
    <x v="2"/>
    <x v="23"/>
    <x v="3"/>
    <s v="Noida"/>
    <n v="98000"/>
    <m/>
    <n v="9.9"/>
    <n v="5.9"/>
    <n v="2.5"/>
    <x v="0"/>
    <x v="0"/>
    <n v="3"/>
    <x v="0"/>
    <n v="4"/>
    <d v="2025-08-26T00:00:00"/>
    <x v="1"/>
    <x v="2"/>
    <x v="0"/>
    <n v="1"/>
  </r>
  <r>
    <s v="EMP1294"/>
    <d v="2024-01-16T00:00:00"/>
    <x v="0"/>
    <n v="30"/>
    <s v="Female"/>
    <s v="Married"/>
    <s v="Diploma"/>
    <x v="0"/>
    <x v="7"/>
    <x v="2"/>
    <s v="Chennai"/>
    <n v="63000"/>
    <n v="11.2"/>
    <n v="4.7"/>
    <n v="2"/>
    <n v="1.4"/>
    <x v="2"/>
    <x v="0"/>
    <n v="3"/>
    <x v="1"/>
    <n v="5"/>
    <m/>
    <x v="1"/>
    <x v="4"/>
    <x v="4"/>
    <n v="0"/>
  </r>
  <r>
    <s v="EMP1295"/>
    <d v="2025-06-15T00:00:00"/>
    <x v="0"/>
    <n v="24"/>
    <s v="Female"/>
    <s v="Single"/>
    <s v="Diploma"/>
    <x v="5"/>
    <x v="26"/>
    <x v="0"/>
    <s v="Noida"/>
    <n v="22000"/>
    <n v="8.5"/>
    <n v="0.9"/>
    <n v="0.5"/>
    <n v="0"/>
    <x v="1"/>
    <x v="1"/>
    <n v="3"/>
    <x v="1"/>
    <n v="3"/>
    <m/>
    <x v="2"/>
    <x v="0"/>
    <x v="3"/>
    <n v="0"/>
  </r>
  <r>
    <s v="EMP1296"/>
    <d v="2022-03-21T00:00:00"/>
    <x v="0"/>
    <n v="35"/>
    <s v="Non-Binary"/>
    <s v="Divorced"/>
    <s v="PhD"/>
    <x v="1"/>
    <x v="9"/>
    <x v="2"/>
    <s v="Pune"/>
    <n v="86000"/>
    <n v="8.1999999999999993"/>
    <n v="6.1"/>
    <n v="3.8"/>
    <n v="3.2"/>
    <x v="0"/>
    <x v="2"/>
    <n v="2"/>
    <x v="1"/>
    <n v="4"/>
    <m/>
    <x v="1"/>
    <x v="2"/>
    <x v="0"/>
    <n v="0"/>
  </r>
  <r>
    <s v="EMP1297"/>
    <d v="2018-08-24T00:00:00"/>
    <x v="0"/>
    <n v="40"/>
    <s v="Male"/>
    <s v="Divorced"/>
    <s v="Master's"/>
    <x v="6"/>
    <x v="21"/>
    <x v="3"/>
    <s v="Pune"/>
    <n v="93000"/>
    <n v="7.5"/>
    <n v="7.6"/>
    <n v="7.4"/>
    <n v="1.2"/>
    <x v="3"/>
    <x v="0"/>
    <n v="3"/>
    <x v="0"/>
    <n v="5"/>
    <m/>
    <x v="0"/>
    <x v="2"/>
    <x v="1"/>
    <n v="0"/>
  </r>
  <r>
    <s v="EMP1298"/>
    <d v="2022-11-03T00:00:00"/>
    <x v="0"/>
    <n v="27"/>
    <s v="Female"/>
    <s v="Single"/>
    <s v="Bachelor's"/>
    <x v="2"/>
    <x v="20"/>
    <x v="0"/>
    <s v="Hyderabad"/>
    <n v="48000"/>
    <n v="6.5"/>
    <n v="4.5999999999999996"/>
    <n v="3.2"/>
    <n v="2.9"/>
    <x v="2"/>
    <x v="3"/>
    <n v="4"/>
    <x v="0"/>
    <n v="3"/>
    <m/>
    <x v="1"/>
    <x v="1"/>
    <x v="0"/>
    <n v="0"/>
  </r>
  <r>
    <s v="EMP1299"/>
    <d v="2017-09-11T00:00:00"/>
    <x v="0"/>
    <n v="37"/>
    <s v="Non-Binary"/>
    <s v="Single"/>
    <s v="Bachelor's"/>
    <x v="2"/>
    <x v="17"/>
    <x v="1"/>
    <s v="Chennai"/>
    <n v="46000"/>
    <n v="1.6"/>
    <n v="11.6"/>
    <n v="8.3000000000000007"/>
    <n v="5"/>
    <x v="3"/>
    <x v="1"/>
    <n v="3"/>
    <x v="1"/>
    <n v="3"/>
    <m/>
    <x v="0"/>
    <x v="1"/>
    <x v="1"/>
    <n v="0"/>
  </r>
  <r>
    <s v="EMP1300"/>
    <d v="2017-09-05T00:00:00"/>
    <x v="0"/>
    <n v="40"/>
    <s v="Female"/>
    <s v="Divorced"/>
    <s v="Bachelor's"/>
    <x v="4"/>
    <x v="25"/>
    <x v="1"/>
    <s v="Hyderabad"/>
    <n v="48000"/>
    <n v="5.6"/>
    <n v="9"/>
    <n v="8.3000000000000007"/>
    <n v="2.9"/>
    <x v="2"/>
    <x v="2"/>
    <n v="4"/>
    <x v="0"/>
    <n v="4"/>
    <m/>
    <x v="0"/>
    <x v="1"/>
    <x v="1"/>
    <n v="0"/>
  </r>
  <r>
    <s v="EMP1301"/>
    <d v="2024-03-28T00:00:00"/>
    <x v="0"/>
    <n v="31"/>
    <s v="Non-Binary"/>
    <s v="Single"/>
    <s v="Bachelor's"/>
    <x v="1"/>
    <x v="27"/>
    <x v="3"/>
    <s v="Bengaluru"/>
    <n v="124000"/>
    <n v="9.6"/>
    <n v="8.1"/>
    <n v="1.8"/>
    <n v="0.5"/>
    <x v="2"/>
    <x v="2"/>
    <n v="1"/>
    <x v="1"/>
    <n v="4"/>
    <m/>
    <x v="1"/>
    <x v="3"/>
    <x v="4"/>
    <n v="0"/>
  </r>
  <r>
    <s v="EMP1302"/>
    <d v="2018-12-11T00:00:00"/>
    <x v="0"/>
    <n v="50"/>
    <s v="Non-Binary"/>
    <s v="Married"/>
    <s v="Diploma"/>
    <x v="5"/>
    <x v="18"/>
    <x v="2"/>
    <s v="Pune"/>
    <n v="94000"/>
    <n v="13.6"/>
    <n v="12.7"/>
    <n v="7.1"/>
    <n v="1"/>
    <x v="3"/>
    <x v="0"/>
    <n v="3"/>
    <x v="1"/>
    <n v="3"/>
    <m/>
    <x v="3"/>
    <x v="2"/>
    <x v="1"/>
    <n v="0"/>
  </r>
  <r>
    <s v="EMP1303"/>
    <d v="2023-06-24T00:00:00"/>
    <x v="0"/>
    <n v="26"/>
    <s v="Female"/>
    <s v="Married"/>
    <s v="Master's"/>
    <x v="0"/>
    <x v="7"/>
    <x v="0"/>
    <s v="Chennai"/>
    <n v="32000"/>
    <n v="9.4"/>
    <n v="7.5"/>
    <n v="2.5"/>
    <n v="2.2999999999999998"/>
    <x v="2"/>
    <x v="2"/>
    <n v="3"/>
    <x v="1"/>
    <n v="3"/>
    <m/>
    <x v="1"/>
    <x v="0"/>
    <x v="4"/>
    <n v="0"/>
  </r>
  <r>
    <s v="EMP1304"/>
    <d v="2017-05-24T00:00:00"/>
    <x v="0"/>
    <n v="32"/>
    <s v="Non-Binary"/>
    <s v="Married"/>
    <s v="Bachelor's"/>
    <x v="6"/>
    <x v="12"/>
    <x v="1"/>
    <s v="Pune"/>
    <n v="56000"/>
    <n v="10.4"/>
    <n v="14.5"/>
    <n v="8.6"/>
    <n v="5.0999999999999996"/>
    <x v="2"/>
    <x v="3"/>
    <n v="2"/>
    <x v="1"/>
    <n v="3"/>
    <m/>
    <x v="1"/>
    <x v="1"/>
    <x v="1"/>
    <n v="0"/>
  </r>
  <r>
    <s v="EMP1305"/>
    <d v="2015-02-01T00:00:00"/>
    <x v="1"/>
    <n v="35"/>
    <s v="Male"/>
    <s v="Married"/>
    <s v="Master's"/>
    <x v="6"/>
    <x v="22"/>
    <x v="2"/>
    <s v="Mumbai"/>
    <n v="72000"/>
    <n v="6.9"/>
    <n v="16.399999999999999"/>
    <n v="10.4"/>
    <n v="3.2"/>
    <x v="3"/>
    <x v="2"/>
    <n v="3"/>
    <x v="1"/>
    <n v="3"/>
    <d v="2025-06-18T00:00:00"/>
    <x v="1"/>
    <x v="4"/>
    <x v="2"/>
    <n v="1"/>
  </r>
  <r>
    <s v="EMP1306"/>
    <d v="2021-02-14T00:00:00"/>
    <x v="0"/>
    <n v="45"/>
    <s v="Male"/>
    <s v="Single"/>
    <s v="Master's"/>
    <x v="3"/>
    <x v="11"/>
    <x v="2"/>
    <s v="Chennai"/>
    <n v="80000"/>
    <n v="8.1"/>
    <n v="10"/>
    <n v="4.9000000000000004"/>
    <n v="1"/>
    <x v="3"/>
    <x v="0"/>
    <n v="3"/>
    <x v="1"/>
    <n v="4"/>
    <m/>
    <x v="0"/>
    <x v="2"/>
    <x v="0"/>
    <n v="0"/>
  </r>
  <r>
    <s v="EMP1307"/>
    <d v="2014-12-24T00:00:00"/>
    <x v="1"/>
    <n v="54"/>
    <s v="Male"/>
    <s v="Married"/>
    <s v="PhD"/>
    <x v="3"/>
    <x v="15"/>
    <x v="1"/>
    <s v="Chennai"/>
    <n v="45000"/>
    <n v="7.3"/>
    <n v="16.100000000000001"/>
    <n v="10.9"/>
    <n v="5.2"/>
    <x v="0"/>
    <x v="2"/>
    <n v="3"/>
    <x v="1"/>
    <n v="4"/>
    <d v="2025-11-13T00:00:00"/>
    <x v="3"/>
    <x v="1"/>
    <x v="2"/>
    <n v="1"/>
  </r>
  <r>
    <s v="EMP1308"/>
    <d v="2019-02-23T00:00:00"/>
    <x v="0"/>
    <n v="37"/>
    <s v="Non-Binary"/>
    <s v="Single"/>
    <s v="PhD"/>
    <x v="5"/>
    <x v="18"/>
    <x v="1"/>
    <s v="Noida"/>
    <n v="68000"/>
    <n v="16.2"/>
    <n v="13.4"/>
    <n v="6.9"/>
    <n v="2.2000000000000002"/>
    <x v="2"/>
    <x v="0"/>
    <n v="3"/>
    <x v="1"/>
    <n v="4"/>
    <m/>
    <x v="0"/>
    <x v="4"/>
    <x v="1"/>
    <n v="0"/>
  </r>
  <r>
    <s v="EMP1309"/>
    <d v="2024-08-03T00:00:00"/>
    <x v="0"/>
    <n v="26"/>
    <s v="Non-Binary"/>
    <s v="Single"/>
    <s v="PhD"/>
    <x v="5"/>
    <x v="18"/>
    <x v="0"/>
    <s v="Hyderabad"/>
    <n v="35000"/>
    <n v="10.199999999999999"/>
    <n v="2.4"/>
    <n v="1.4"/>
    <n v="0.3"/>
    <x v="1"/>
    <x v="0"/>
    <n v="1"/>
    <x v="1"/>
    <n v="5"/>
    <m/>
    <x v="1"/>
    <x v="0"/>
    <x v="4"/>
    <n v="0"/>
  </r>
  <r>
    <s v="EMP1310"/>
    <d v="2024-10-03T00:00:00"/>
    <x v="0"/>
    <n v="23"/>
    <s v="Male"/>
    <s v="Single"/>
    <s v="Diploma"/>
    <x v="1"/>
    <x v="9"/>
    <x v="0"/>
    <s v="Hyderabad"/>
    <n v="50000"/>
    <n v="9.6999999999999993"/>
    <n v="6.8"/>
    <n v="1.2"/>
    <n v="0.4"/>
    <x v="2"/>
    <x v="0"/>
    <n v="2"/>
    <x v="0"/>
    <n v="3"/>
    <m/>
    <x v="2"/>
    <x v="1"/>
    <x v="4"/>
    <n v="0"/>
  </r>
  <r>
    <s v="EMP1311"/>
    <d v="2017-05-04T00:00:00"/>
    <x v="0"/>
    <n v="32"/>
    <s v="Female"/>
    <s v="Single"/>
    <s v="Master's"/>
    <x v="5"/>
    <x v="13"/>
    <x v="1"/>
    <s v="Noida"/>
    <n v="52000"/>
    <n v="12"/>
    <n v="14.2"/>
    <n v="8.6999999999999993"/>
    <n v="4.7"/>
    <x v="1"/>
    <x v="0"/>
    <n v="3"/>
    <x v="0"/>
    <n v="3"/>
    <m/>
    <x v="1"/>
    <x v="1"/>
    <x v="1"/>
    <n v="0"/>
  </r>
  <r>
    <s v="EMP1312"/>
    <d v="2023-04-04T00:00:00"/>
    <x v="0"/>
    <n v="40"/>
    <s v="Female"/>
    <s v="Single"/>
    <s v="Diploma"/>
    <x v="6"/>
    <x v="12"/>
    <x v="2"/>
    <s v="Noida"/>
    <n v="77000"/>
    <n v="6.6"/>
    <n v="7.8"/>
    <n v="2.7"/>
    <n v="1.5"/>
    <x v="2"/>
    <x v="2"/>
    <n v="4"/>
    <x v="0"/>
    <n v="4"/>
    <m/>
    <x v="0"/>
    <x v="4"/>
    <x v="4"/>
    <n v="0"/>
  </r>
  <r>
    <s v="EMP1313"/>
    <d v="2024-09-11T00:00:00"/>
    <x v="0"/>
    <n v="39"/>
    <s v="Female"/>
    <s v="Married"/>
    <s v="Master's"/>
    <x v="6"/>
    <x v="12"/>
    <x v="2"/>
    <s v="Mumbai"/>
    <n v="81000"/>
    <n v="5.0999999999999996"/>
    <n v="6"/>
    <n v="1.3"/>
    <n v="0.7"/>
    <x v="2"/>
    <x v="0"/>
    <n v="4"/>
    <x v="1"/>
    <n v="2"/>
    <m/>
    <x v="0"/>
    <x v="2"/>
    <x v="4"/>
    <n v="0"/>
  </r>
  <r>
    <s v="EMP1314"/>
    <d v="2017-07-27T00:00:00"/>
    <x v="0"/>
    <n v="30"/>
    <s v="Female"/>
    <s v="Single"/>
    <s v="Diploma"/>
    <x v="0"/>
    <x v="0"/>
    <x v="2"/>
    <s v="Pune"/>
    <n v="59000"/>
    <n v="5.7"/>
    <n v="8.6999999999999993"/>
    <n v="8.4"/>
    <n v="1"/>
    <x v="2"/>
    <x v="0"/>
    <n v="4"/>
    <x v="1"/>
    <n v="4"/>
    <m/>
    <x v="1"/>
    <x v="1"/>
    <x v="1"/>
    <n v="0"/>
  </r>
  <r>
    <s v="EMP1315"/>
    <d v="2022-01-14T00:00:00"/>
    <x v="0"/>
    <n v="30"/>
    <s v="Female"/>
    <s v="Divorced"/>
    <s v="Master's"/>
    <x v="6"/>
    <x v="22"/>
    <x v="2"/>
    <s v="Hyderabad"/>
    <n v="70000"/>
    <n v="2.5"/>
    <n v="7.3"/>
    <n v="4"/>
    <n v="0.1"/>
    <x v="1"/>
    <x v="1"/>
    <n v="4"/>
    <x v="0"/>
    <n v="3"/>
    <m/>
    <x v="1"/>
    <x v="4"/>
    <x v="0"/>
    <n v="0"/>
  </r>
  <r>
    <s v="EMP1316"/>
    <d v="2022-08-05T00:00:00"/>
    <x v="1"/>
    <n v="42"/>
    <s v="Female"/>
    <s v="Married"/>
    <s v="Master's"/>
    <x v="4"/>
    <x v="24"/>
    <x v="1"/>
    <s v="Mumbai"/>
    <n v="44000"/>
    <n v="10.1"/>
    <n v="7.8"/>
    <n v="3.3"/>
    <n v="0"/>
    <x v="0"/>
    <x v="0"/>
    <n v="2"/>
    <x v="1"/>
    <n v="3"/>
    <d v="2025-12-09T00:00:00"/>
    <x v="0"/>
    <x v="1"/>
    <x v="0"/>
    <n v="1"/>
  </r>
  <r>
    <s v="EMP1317"/>
    <d v="2022-09-01T00:00:00"/>
    <x v="0"/>
    <n v="41"/>
    <s v="Male"/>
    <s v="Married"/>
    <s v="PhD"/>
    <x v="1"/>
    <x v="10"/>
    <x v="1"/>
    <s v="Mumbai"/>
    <n v="54000"/>
    <n v="13.4"/>
    <n v="5.2"/>
    <n v="3.3"/>
    <n v="1"/>
    <x v="3"/>
    <x v="1"/>
    <n v="1"/>
    <x v="0"/>
    <n v="3"/>
    <m/>
    <x v="0"/>
    <x v="1"/>
    <x v="0"/>
    <n v="0"/>
  </r>
  <r>
    <s v="EMP1318"/>
    <d v="2023-08-05T00:00:00"/>
    <x v="0"/>
    <n v="24"/>
    <s v="Female"/>
    <s v="Single"/>
    <s v="Master's"/>
    <x v="6"/>
    <x v="19"/>
    <x v="0"/>
    <s v="Hyderabad"/>
    <n v="40000"/>
    <n v="14.2"/>
    <n v="9.9"/>
    <n v="2.4"/>
    <n v="1.2"/>
    <x v="2"/>
    <x v="2"/>
    <n v="4"/>
    <x v="0"/>
    <n v="4"/>
    <m/>
    <x v="2"/>
    <x v="1"/>
    <x v="4"/>
    <n v="0"/>
  </r>
  <r>
    <s v="EMP1319"/>
    <d v="2025-01-23T00:00:00"/>
    <x v="0"/>
    <n v="25"/>
    <s v="Male"/>
    <s v="Married"/>
    <s v="Diploma"/>
    <x v="4"/>
    <x v="5"/>
    <x v="0"/>
    <s v="Noida"/>
    <n v="38000"/>
    <n v="7.4"/>
    <n v="1.1000000000000001"/>
    <n v="0.9"/>
    <n v="0"/>
    <x v="2"/>
    <x v="2"/>
    <n v="4"/>
    <x v="1"/>
    <n v="5"/>
    <m/>
    <x v="2"/>
    <x v="0"/>
    <x v="3"/>
    <n v="0"/>
  </r>
  <r>
    <s v="EMP1320"/>
    <d v="2025-02-25T00:00:00"/>
    <x v="0"/>
    <n v="23"/>
    <s v="Female"/>
    <s v="Divorced"/>
    <s v="Master's"/>
    <x v="2"/>
    <x v="23"/>
    <x v="0"/>
    <s v="Noida"/>
    <n v="22000"/>
    <n v="5.9"/>
    <n v="8.1"/>
    <n v="0.8"/>
    <n v="0"/>
    <x v="2"/>
    <x v="1"/>
    <n v="3"/>
    <x v="1"/>
    <n v="4"/>
    <m/>
    <x v="2"/>
    <x v="0"/>
    <x v="3"/>
    <n v="0"/>
  </r>
  <r>
    <s v="EMP1321"/>
    <d v="2019-01-30T00:00:00"/>
    <x v="1"/>
    <n v="29"/>
    <s v="Non-Binary"/>
    <s v="Married"/>
    <s v="Bachelor's"/>
    <x v="1"/>
    <x v="27"/>
    <x v="1"/>
    <s v="Pune"/>
    <n v="68000"/>
    <n v="13.1"/>
    <n v="10.8"/>
    <n v="5.9"/>
    <n v="3.7"/>
    <x v="0"/>
    <x v="1"/>
    <n v="4"/>
    <x v="1"/>
    <n v="3"/>
    <d v="2025-01-05T00:00:00"/>
    <x v="1"/>
    <x v="4"/>
    <x v="0"/>
    <n v="1"/>
  </r>
  <r>
    <s v="EMP1322"/>
    <d v="2021-08-15T00:00:00"/>
    <x v="0"/>
    <n v="44"/>
    <s v="Male"/>
    <s v="Divorced"/>
    <s v="Diploma"/>
    <x v="4"/>
    <x v="14"/>
    <x v="1"/>
    <s v="Mumbai"/>
    <n v="54000"/>
    <n v="4.0999999999999996"/>
    <n v="4.9000000000000004"/>
    <n v="4.4000000000000004"/>
    <n v="3.7"/>
    <x v="0"/>
    <x v="2"/>
    <n v="2"/>
    <x v="1"/>
    <n v="2"/>
    <m/>
    <x v="0"/>
    <x v="1"/>
    <x v="0"/>
    <n v="0"/>
  </r>
  <r>
    <s v="EMP1323"/>
    <d v="2019-02-08T00:00:00"/>
    <x v="0"/>
    <n v="29"/>
    <s v="Female"/>
    <s v="Single"/>
    <s v="Bachelor's"/>
    <x v="3"/>
    <x v="11"/>
    <x v="0"/>
    <s v="Bengaluru"/>
    <n v="43000"/>
    <n v="15.3"/>
    <n v="12.4"/>
    <n v="6.9"/>
    <n v="5"/>
    <x v="1"/>
    <x v="0"/>
    <n v="3"/>
    <x v="0"/>
    <n v="2"/>
    <m/>
    <x v="1"/>
    <x v="1"/>
    <x v="1"/>
    <n v="0"/>
  </r>
  <r>
    <s v="EMP1324"/>
    <d v="2023-10-09T00:00:00"/>
    <x v="0"/>
    <n v="23"/>
    <s v="Non-Binary"/>
    <s v="Married"/>
    <s v="Master's"/>
    <x v="4"/>
    <x v="5"/>
    <x v="0"/>
    <s v="Noida"/>
    <n v="24000"/>
    <n v="14.3"/>
    <n v="3.4"/>
    <n v="2.2000000000000002"/>
    <n v="0.6"/>
    <x v="0"/>
    <x v="2"/>
    <n v="1"/>
    <x v="1"/>
    <n v="4"/>
    <m/>
    <x v="2"/>
    <x v="0"/>
    <x v="4"/>
    <n v="0"/>
  </r>
  <r>
    <s v="EMP1325"/>
    <d v="2018-12-25T00:00:00"/>
    <x v="1"/>
    <n v="34"/>
    <s v="Non-Binary"/>
    <s v="Divorced"/>
    <s v="Master's"/>
    <x v="3"/>
    <x v="4"/>
    <x v="3"/>
    <s v="Pune"/>
    <n v="122000"/>
    <n v="11.8"/>
    <n v="13.4"/>
    <n v="6.7"/>
    <n v="4.8"/>
    <x v="3"/>
    <x v="1"/>
    <n v="1"/>
    <x v="0"/>
    <n v="4"/>
    <d v="2025-09-11T00:00:00"/>
    <x v="1"/>
    <x v="3"/>
    <x v="1"/>
    <n v="1"/>
  </r>
  <r>
    <s v="EMP1326"/>
    <d v="2016-01-04T00:00:00"/>
    <x v="0"/>
    <n v="32"/>
    <s v="Female"/>
    <s v="Married"/>
    <s v="Master's"/>
    <x v="3"/>
    <x v="15"/>
    <x v="1"/>
    <s v="Bengaluru"/>
    <n v="52000"/>
    <n v="12.4"/>
    <n v="13.4"/>
    <n v="10"/>
    <n v="4.0999999999999996"/>
    <x v="3"/>
    <x v="1"/>
    <n v="3"/>
    <x v="0"/>
    <n v="2"/>
    <m/>
    <x v="1"/>
    <x v="1"/>
    <x v="1"/>
    <n v="0"/>
  </r>
  <r>
    <s v="EMP1327"/>
    <d v="2022-02-11T00:00:00"/>
    <x v="0"/>
    <n v="31"/>
    <s v="Male"/>
    <s v="Single"/>
    <s v="Diploma"/>
    <x v="1"/>
    <x v="10"/>
    <x v="0"/>
    <s v="Mumbai"/>
    <n v="49000"/>
    <n v="8.5"/>
    <n v="9.6999999999999993"/>
    <n v="3.9"/>
    <n v="0.3"/>
    <x v="2"/>
    <x v="0"/>
    <n v="3"/>
    <x v="1"/>
    <n v="4"/>
    <m/>
    <x v="1"/>
    <x v="1"/>
    <x v="0"/>
    <n v="0"/>
  </r>
  <r>
    <s v="EMP1328"/>
    <d v="2024-12-18T00:00:00"/>
    <x v="0"/>
    <n v="28"/>
    <s v="Male"/>
    <s v="Divorced"/>
    <s v="PhD"/>
    <x v="3"/>
    <x v="4"/>
    <x v="0"/>
    <s v="Pune"/>
    <n v="26000"/>
    <n v="7.9"/>
    <n v="8.8000000000000007"/>
    <n v="1"/>
    <n v="0"/>
    <x v="2"/>
    <x v="0"/>
    <n v="3"/>
    <x v="0"/>
    <n v="2"/>
    <m/>
    <x v="1"/>
    <x v="0"/>
    <x v="4"/>
    <n v="0"/>
  </r>
  <r>
    <s v="EMP1329"/>
    <d v="2024-12-20T00:00:00"/>
    <x v="1"/>
    <n v="27"/>
    <s v="Female"/>
    <s v="Married"/>
    <s v="Diploma"/>
    <x v="1"/>
    <x v="10"/>
    <x v="0"/>
    <s v="Noida"/>
    <n v="41000"/>
    <n v="6.4"/>
    <n v="4.7"/>
    <n v="0.9"/>
    <n v="0"/>
    <x v="2"/>
    <x v="0"/>
    <n v="2"/>
    <x v="1"/>
    <n v="2"/>
    <d v="2025-11-05T00:00:00"/>
    <x v="1"/>
    <x v="1"/>
    <x v="3"/>
    <n v="1"/>
  </r>
  <r>
    <s v="EMP1330"/>
    <d v="2024-01-02T00:00:00"/>
    <x v="0"/>
    <n v="22"/>
    <s v="Male"/>
    <s v="Single"/>
    <s v="Master's"/>
    <x v="3"/>
    <x v="15"/>
    <x v="0"/>
    <s v="Hyderabad"/>
    <n v="33000"/>
    <n v="8.1999999999999993"/>
    <n v="9.6999999999999993"/>
    <n v="2"/>
    <n v="0.9"/>
    <x v="3"/>
    <x v="3"/>
    <n v="2"/>
    <x v="0"/>
    <n v="3"/>
    <m/>
    <x v="2"/>
    <x v="0"/>
    <x v="4"/>
    <n v="0"/>
  </r>
  <r>
    <s v="EMP1331"/>
    <d v="2024-01-06T00:00:00"/>
    <x v="0"/>
    <n v="35"/>
    <s v="Non-Binary"/>
    <s v="Divorced"/>
    <s v="Bachelor's"/>
    <x v="6"/>
    <x v="22"/>
    <x v="1"/>
    <s v="Chennai"/>
    <n v="42000"/>
    <n v="13.3"/>
    <n v="3.7"/>
    <n v="2"/>
    <n v="1.2"/>
    <x v="1"/>
    <x v="2"/>
    <n v="2"/>
    <x v="1"/>
    <n v="4"/>
    <m/>
    <x v="1"/>
    <x v="1"/>
    <x v="4"/>
    <n v="0"/>
  </r>
  <r>
    <s v="EMP1332"/>
    <d v="2020-06-25T00:00:00"/>
    <x v="0"/>
    <n v="34"/>
    <s v="Male"/>
    <s v="Single"/>
    <s v="PhD"/>
    <x v="6"/>
    <x v="21"/>
    <x v="2"/>
    <s v="Mumbai"/>
    <n v="77000"/>
    <n v="6.9"/>
    <n v="5.7"/>
    <n v="5.5"/>
    <n v="3.7"/>
    <x v="0"/>
    <x v="0"/>
    <n v="3"/>
    <x v="1"/>
    <n v="3"/>
    <m/>
    <x v="1"/>
    <x v="4"/>
    <x v="0"/>
    <n v="0"/>
  </r>
  <r>
    <s v="EMP1333"/>
    <d v="2022-03-10T00:00:00"/>
    <x v="0"/>
    <n v="36"/>
    <s v="Female"/>
    <s v="Single"/>
    <s v="Master's"/>
    <x v="5"/>
    <x v="26"/>
    <x v="2"/>
    <s v="Bengaluru"/>
    <n v="71000"/>
    <n v="6.8"/>
    <n v="6"/>
    <n v="3.8"/>
    <n v="1.3"/>
    <x v="0"/>
    <x v="0"/>
    <n v="3"/>
    <x v="1"/>
    <n v="3"/>
    <m/>
    <x v="0"/>
    <x v="4"/>
    <x v="0"/>
    <n v="0"/>
  </r>
  <r>
    <s v="EMP1334"/>
    <d v="2014-10-26T00:00:00"/>
    <x v="0"/>
    <n v="35"/>
    <s v="Non-Binary"/>
    <s v="Married"/>
    <s v="Diploma"/>
    <x v="5"/>
    <x v="8"/>
    <x v="1"/>
    <s v="Mumbai"/>
    <n v="70000"/>
    <n v="5.9"/>
    <n v="14.6"/>
    <n v="11.2"/>
    <n v="5.3"/>
    <x v="0"/>
    <x v="2"/>
    <n v="3"/>
    <x v="1"/>
    <n v="4"/>
    <m/>
    <x v="1"/>
    <x v="4"/>
    <x v="2"/>
    <n v="0"/>
  </r>
  <r>
    <s v="EMP1335"/>
    <d v="2017-10-19T00:00:00"/>
    <x v="0"/>
    <n v="29"/>
    <s v="Female"/>
    <s v="Single"/>
    <s v="Master's"/>
    <x v="4"/>
    <x v="5"/>
    <x v="2"/>
    <s v="Mumbai"/>
    <n v="66000"/>
    <n v="7.6"/>
    <n v="11.2"/>
    <n v="8.1999999999999993"/>
    <n v="0.4"/>
    <x v="2"/>
    <x v="3"/>
    <n v="3"/>
    <x v="1"/>
    <n v="3"/>
    <m/>
    <x v="1"/>
    <x v="4"/>
    <x v="1"/>
    <n v="0"/>
  </r>
  <r>
    <s v="EMP1336"/>
    <d v="2020-02-18T00:00:00"/>
    <x v="0"/>
    <n v="26"/>
    <s v="Non-Binary"/>
    <s v="Divorced"/>
    <s v="Master's"/>
    <x v="2"/>
    <x v="23"/>
    <x v="0"/>
    <s v="Mumbai"/>
    <n v="37000"/>
    <n v="2.2000000000000002"/>
    <n v="12.6"/>
    <n v="5.9"/>
    <n v="0.8"/>
    <x v="1"/>
    <x v="0"/>
    <n v="1"/>
    <x v="0"/>
    <n v="3"/>
    <m/>
    <x v="1"/>
    <x v="0"/>
    <x v="0"/>
    <n v="0"/>
  </r>
  <r>
    <s v="EMP1337"/>
    <d v="2017-04-18T00:00:00"/>
    <x v="0"/>
    <n v="31"/>
    <s v="Non-Binary"/>
    <s v="Divorced"/>
    <s v="PhD"/>
    <x v="4"/>
    <x v="14"/>
    <x v="3"/>
    <s v="Hyderabad"/>
    <n v="121000"/>
    <n v="7.9"/>
    <n v="12.2"/>
    <n v="8.6999999999999993"/>
    <n v="2.7"/>
    <x v="2"/>
    <x v="2"/>
    <n v="3"/>
    <x v="1"/>
    <n v="2"/>
    <m/>
    <x v="1"/>
    <x v="3"/>
    <x v="1"/>
    <n v="0"/>
  </r>
  <r>
    <s v="EMP1338"/>
    <d v="2025-07-27T00:00:00"/>
    <x v="1"/>
    <n v="21"/>
    <s v="Female"/>
    <s v="Married"/>
    <s v="Bachelor's"/>
    <x v="6"/>
    <x v="12"/>
    <x v="0"/>
    <s v="Pune"/>
    <n v="34000"/>
    <n v="11.5"/>
    <n v="1.8"/>
    <n v="0.2"/>
    <n v="0"/>
    <x v="1"/>
    <x v="0"/>
    <n v="3"/>
    <x v="1"/>
    <n v="4"/>
    <d v="2025-10-16T00:00:00"/>
    <x v="2"/>
    <x v="0"/>
    <x v="3"/>
    <n v="1"/>
  </r>
  <r>
    <s v="EMP1339"/>
    <d v="2025-06-17T00:00:00"/>
    <x v="0"/>
    <n v="34"/>
    <s v="Male"/>
    <s v="Divorced"/>
    <s v="Bachelor's"/>
    <x v="2"/>
    <x v="20"/>
    <x v="0"/>
    <s v="Bengaluru"/>
    <n v="43000"/>
    <n v="6.8"/>
    <n v="6.5"/>
    <n v="0.5"/>
    <n v="0"/>
    <x v="2"/>
    <x v="0"/>
    <n v="3"/>
    <x v="1"/>
    <n v="4"/>
    <m/>
    <x v="1"/>
    <x v="1"/>
    <x v="3"/>
    <n v="0"/>
  </r>
  <r>
    <s v="EMP1340"/>
    <d v="2025-01-04T00:00:00"/>
    <x v="0"/>
    <n v="22"/>
    <s v="Non-Binary"/>
    <s v="Married"/>
    <s v="Master's"/>
    <x v="6"/>
    <x v="19"/>
    <x v="0"/>
    <s v="Mumbai"/>
    <n v="25000"/>
    <n v="1.8"/>
    <n v="1.7"/>
    <n v="1"/>
    <n v="0.6"/>
    <x v="2"/>
    <x v="2"/>
    <n v="2"/>
    <x v="0"/>
    <n v="3"/>
    <m/>
    <x v="2"/>
    <x v="0"/>
    <x v="4"/>
    <n v="0"/>
  </r>
  <r>
    <s v="EMP1341"/>
    <d v="2018-06-22T00:00:00"/>
    <x v="0"/>
    <n v="33"/>
    <s v="Non-Binary"/>
    <s v="Married"/>
    <s v="PhD"/>
    <x v="0"/>
    <x v="16"/>
    <x v="2"/>
    <s v="Hyderabad"/>
    <n v="73000"/>
    <n v="9.1999999999999993"/>
    <n v="9.9"/>
    <n v="7.5"/>
    <n v="5.9"/>
    <x v="2"/>
    <x v="2"/>
    <n v="4"/>
    <x v="1"/>
    <n v="4"/>
    <m/>
    <x v="1"/>
    <x v="4"/>
    <x v="1"/>
    <n v="0"/>
  </r>
  <r>
    <s v="EMP1342"/>
    <d v="2025-06-06T00:00:00"/>
    <x v="0"/>
    <n v="32"/>
    <s v="Male"/>
    <s v="Married"/>
    <s v="Bachelor's"/>
    <x v="3"/>
    <x v="11"/>
    <x v="0"/>
    <s v="Bengaluru"/>
    <n v="22000"/>
    <n v="14.5"/>
    <n v="2.8"/>
    <n v="0.6"/>
    <n v="0"/>
    <x v="0"/>
    <x v="0"/>
    <n v="4"/>
    <x v="1"/>
    <n v="4"/>
    <m/>
    <x v="1"/>
    <x v="0"/>
    <x v="3"/>
    <n v="0"/>
  </r>
  <r>
    <s v="EMP1343"/>
    <d v="2019-04-12T00:00:00"/>
    <x v="0"/>
    <n v="30"/>
    <s v="Male"/>
    <s v="Divorced"/>
    <s v="Diploma"/>
    <x v="4"/>
    <x v="25"/>
    <x v="1"/>
    <s v="Noida"/>
    <n v="65000"/>
    <n v="4"/>
    <n v="10.7"/>
    <n v="6.7"/>
    <n v="4.5999999999999996"/>
    <x v="2"/>
    <x v="2"/>
    <n v="3"/>
    <x v="1"/>
    <n v="5"/>
    <m/>
    <x v="1"/>
    <x v="4"/>
    <x v="1"/>
    <n v="0"/>
  </r>
  <r>
    <s v="EMP1344"/>
    <d v="2023-12-30T00:00:00"/>
    <x v="0"/>
    <n v="25"/>
    <s v="Non-Binary"/>
    <s v="Divorced"/>
    <s v="Diploma"/>
    <x v="5"/>
    <x v="8"/>
    <x v="0"/>
    <s v="Mumbai"/>
    <n v="37000"/>
    <n v="10.7"/>
    <n v="2.2000000000000002"/>
    <n v="2"/>
    <n v="0.6"/>
    <x v="3"/>
    <x v="2"/>
    <n v="3"/>
    <x v="1"/>
    <n v="3"/>
    <m/>
    <x v="2"/>
    <x v="0"/>
    <x v="4"/>
    <n v="0"/>
  </r>
  <r>
    <s v="EMP1345"/>
    <d v="2025-01-27T00:00:00"/>
    <x v="0"/>
    <n v="51"/>
    <s v="Non-Binary"/>
    <s v="Single"/>
    <s v="Master's"/>
    <x v="3"/>
    <x v="6"/>
    <x v="1"/>
    <s v="Noida"/>
    <n v="35000"/>
    <n v="11.4"/>
    <n v="6.7"/>
    <n v="0.9"/>
    <n v="0"/>
    <x v="3"/>
    <x v="0"/>
    <n v="3"/>
    <x v="0"/>
    <n v="2"/>
    <m/>
    <x v="3"/>
    <x v="0"/>
    <x v="3"/>
    <n v="0"/>
  </r>
  <r>
    <s v="EMP1346"/>
    <d v="2019-01-10T00:00:00"/>
    <x v="0"/>
    <n v="29"/>
    <s v="Female"/>
    <s v="Single"/>
    <s v="PhD"/>
    <x v="1"/>
    <x v="1"/>
    <x v="2"/>
    <s v="Pune"/>
    <n v="84000"/>
    <n v="5.4"/>
    <n v="8.1"/>
    <n v="7"/>
    <n v="3.2"/>
    <x v="3"/>
    <x v="0"/>
    <n v="2"/>
    <x v="1"/>
    <n v="3"/>
    <m/>
    <x v="1"/>
    <x v="2"/>
    <x v="1"/>
    <n v="0"/>
  </r>
  <r>
    <s v="EMP1347"/>
    <d v="2023-06-13T00:00:00"/>
    <x v="0"/>
    <n v="39"/>
    <s v="Non-Binary"/>
    <s v="Single"/>
    <s v="Diploma"/>
    <x v="2"/>
    <x v="2"/>
    <x v="2"/>
    <s v="Bengaluru"/>
    <n v="75000"/>
    <n v="14.4"/>
    <n v="10.5"/>
    <n v="2.6"/>
    <n v="0"/>
    <x v="0"/>
    <x v="0"/>
    <n v="2"/>
    <x v="1"/>
    <n v="2"/>
    <m/>
    <x v="0"/>
    <x v="4"/>
    <x v="4"/>
    <n v="0"/>
  </r>
  <r>
    <s v="EMP1348"/>
    <d v="2023-02-28T00:00:00"/>
    <x v="0"/>
    <n v="24"/>
    <s v="Male"/>
    <s v="Single"/>
    <s v="Bachelor's"/>
    <x v="4"/>
    <x v="25"/>
    <x v="0"/>
    <s v="Mumbai"/>
    <n v="22000"/>
    <n v="6.2"/>
    <n v="10.6"/>
    <n v="2.8"/>
    <n v="1"/>
    <x v="2"/>
    <x v="3"/>
    <n v="3"/>
    <x v="1"/>
    <n v="5"/>
    <m/>
    <x v="2"/>
    <x v="0"/>
    <x v="4"/>
    <n v="0"/>
  </r>
  <r>
    <s v="EMP1349"/>
    <d v="2022-08-10T00:00:00"/>
    <x v="1"/>
    <n v="34"/>
    <s v="Male"/>
    <s v="Single"/>
    <s v="Master's"/>
    <x v="4"/>
    <x v="14"/>
    <x v="1"/>
    <s v="Chennai"/>
    <n v="52000"/>
    <n v="3.4"/>
    <n v="6.9"/>
    <n v="2.7"/>
    <n v="1.2"/>
    <x v="1"/>
    <x v="3"/>
    <n v="3"/>
    <x v="1"/>
    <n v="4"/>
    <d v="2025-05-05T00:00:00"/>
    <x v="1"/>
    <x v="1"/>
    <x v="4"/>
    <n v="1"/>
  </r>
  <r>
    <s v="EMP1350"/>
    <d v="2024-08-26T00:00:00"/>
    <x v="0"/>
    <n v="35"/>
    <s v="Non-Binary"/>
    <s v="Unkown"/>
    <s v="Diploma"/>
    <x v="0"/>
    <x v="16"/>
    <x v="0"/>
    <s v="Mumbai"/>
    <n v="38000"/>
    <n v="1.4"/>
    <n v="7.1"/>
    <n v="1.3"/>
    <n v="0"/>
    <x v="0"/>
    <x v="0"/>
    <n v="3"/>
    <x v="0"/>
    <n v="3"/>
    <m/>
    <x v="1"/>
    <x v="0"/>
    <x v="4"/>
    <n v="0"/>
  </r>
  <r>
    <s v="EMP1351"/>
    <d v="2021-02-20T00:00:00"/>
    <x v="1"/>
    <n v="25"/>
    <s v="Male"/>
    <s v="Divorced"/>
    <s v="Bachelor's"/>
    <x v="0"/>
    <x v="0"/>
    <x v="0"/>
    <s v="Hyderabad"/>
    <n v="28000"/>
    <n v="11.1"/>
    <n v="7.8"/>
    <n v="4.5"/>
    <n v="1"/>
    <x v="3"/>
    <x v="0"/>
    <n v="3"/>
    <x v="1"/>
    <n v="5"/>
    <d v="2025-08-14T00:00:00"/>
    <x v="2"/>
    <x v="0"/>
    <x v="0"/>
    <n v="1"/>
  </r>
  <r>
    <s v="EMP1352"/>
    <d v="2023-04-01T00:00:00"/>
    <x v="0"/>
    <n v="27"/>
    <s v="Female"/>
    <s v="Single"/>
    <s v="PhD"/>
    <x v="1"/>
    <x v="10"/>
    <x v="0"/>
    <s v="Mumbai"/>
    <n v="39000"/>
    <n v="2.9"/>
    <n v="10.5"/>
    <n v="2.8"/>
    <n v="0.9"/>
    <x v="0"/>
    <x v="2"/>
    <n v="2"/>
    <x v="1"/>
    <n v="3"/>
    <m/>
    <x v="1"/>
    <x v="0"/>
    <x v="4"/>
    <n v="0"/>
  </r>
  <r>
    <s v="EMP1353"/>
    <d v="2021-12-25T00:00:00"/>
    <x v="0"/>
    <n v="32"/>
    <s v="Female"/>
    <s v="Divorced"/>
    <s v="PhD"/>
    <x v="4"/>
    <x v="14"/>
    <x v="1"/>
    <s v="Hyderabad"/>
    <n v="61000"/>
    <n v="6.9"/>
    <n v="9.4"/>
    <n v="4"/>
    <n v="0.7"/>
    <x v="2"/>
    <x v="0"/>
    <n v="1"/>
    <x v="0"/>
    <n v="3"/>
    <m/>
    <x v="1"/>
    <x v="4"/>
    <x v="0"/>
    <n v="0"/>
  </r>
  <r>
    <s v="EMP1354"/>
    <d v="2019-02-10T00:00:00"/>
    <x v="0"/>
    <n v="28"/>
    <s v="Female"/>
    <s v="Divorced"/>
    <s v="Diploma"/>
    <x v="0"/>
    <x v="16"/>
    <x v="4"/>
    <s v="Mumbai"/>
    <n v="152000"/>
    <n v="6.2"/>
    <n v="13.9"/>
    <n v="6.9"/>
    <n v="5.3"/>
    <x v="1"/>
    <x v="0"/>
    <n v="3"/>
    <x v="0"/>
    <n v="3"/>
    <m/>
    <x v="1"/>
    <x v="3"/>
    <x v="1"/>
    <n v="0"/>
  </r>
  <r>
    <s v="EMP1355"/>
    <d v="2020-02-03T00:00:00"/>
    <x v="1"/>
    <n v="30"/>
    <s v="Male"/>
    <s v="Single"/>
    <s v="Diploma"/>
    <x v="3"/>
    <x v="15"/>
    <x v="2"/>
    <s v="Hyderabad"/>
    <n v="62000"/>
    <n v="6.7"/>
    <n v="11.5"/>
    <n v="5.0999999999999996"/>
    <n v="1.5"/>
    <x v="2"/>
    <x v="0"/>
    <n v="4"/>
    <x v="1"/>
    <n v="5"/>
    <d v="2025-02-25T00:00:00"/>
    <x v="1"/>
    <x v="4"/>
    <x v="0"/>
    <n v="1"/>
  </r>
  <r>
    <s v="EMP1356"/>
    <d v="2022-02-08T00:00:00"/>
    <x v="0"/>
    <n v="33"/>
    <s v="Female"/>
    <s v="Divorced"/>
    <s v="Diploma"/>
    <x v="2"/>
    <x v="20"/>
    <x v="1"/>
    <s v="Pune"/>
    <n v="41000"/>
    <n v="12.7"/>
    <n v="5.0999999999999996"/>
    <n v="3.9"/>
    <n v="0.4"/>
    <x v="0"/>
    <x v="1"/>
    <n v="4"/>
    <x v="1"/>
    <n v="3"/>
    <m/>
    <x v="1"/>
    <x v="1"/>
    <x v="0"/>
    <n v="0"/>
  </r>
  <r>
    <s v="EMP1357"/>
    <d v="2023-09-09T00:00:00"/>
    <x v="0"/>
    <n v="32"/>
    <s v="Female"/>
    <s v="Single"/>
    <s v="Bachelor's"/>
    <x v="6"/>
    <x v="21"/>
    <x v="2"/>
    <s v="Chennai"/>
    <n v="83000"/>
    <n v="12.9"/>
    <n v="4.5999999999999996"/>
    <n v="2.2999999999999998"/>
    <n v="1.9"/>
    <x v="2"/>
    <x v="2"/>
    <n v="2"/>
    <x v="1"/>
    <n v="4"/>
    <m/>
    <x v="1"/>
    <x v="2"/>
    <x v="4"/>
    <n v="0"/>
  </r>
  <r>
    <s v="EMP1358"/>
    <d v="2019-02-06T00:00:00"/>
    <x v="0"/>
    <n v="28"/>
    <s v="Male"/>
    <s v="Divorced"/>
    <s v="Diploma"/>
    <x v="1"/>
    <x v="1"/>
    <x v="1"/>
    <s v="Chennai"/>
    <n v="46000"/>
    <n v="6.3"/>
    <n v="11.6"/>
    <n v="6.9"/>
    <n v="1.7"/>
    <x v="2"/>
    <x v="2"/>
    <n v="3"/>
    <x v="1"/>
    <n v="3"/>
    <m/>
    <x v="1"/>
    <x v="1"/>
    <x v="1"/>
    <n v="0"/>
  </r>
  <r>
    <s v="EMP1359"/>
    <d v="2014-01-30T00:00:00"/>
    <x v="1"/>
    <n v="34"/>
    <s v="Female"/>
    <s v="Single"/>
    <s v="Diploma"/>
    <x v="2"/>
    <x v="17"/>
    <x v="2"/>
    <s v="Bengaluru"/>
    <n v="72000"/>
    <n v="11.8"/>
    <n v="17.600000000000001"/>
    <n v="11.1"/>
    <n v="6"/>
    <x v="0"/>
    <x v="1"/>
    <n v="2"/>
    <x v="1"/>
    <n v="5"/>
    <d v="2025-02-20T00:00:00"/>
    <x v="1"/>
    <x v="4"/>
    <x v="2"/>
    <n v="1"/>
  </r>
  <r>
    <s v="EMP1360"/>
    <d v="2025-05-11T00:00:00"/>
    <x v="0"/>
    <n v="33"/>
    <s v="Non-Binary"/>
    <s v="Divorced"/>
    <s v="PhD"/>
    <x v="2"/>
    <x v="20"/>
    <x v="1"/>
    <s v="Bengaluru"/>
    <n v="62000"/>
    <n v="10.4"/>
    <n v="8.1999999999999993"/>
    <n v="0.6"/>
    <n v="0"/>
    <x v="1"/>
    <x v="2"/>
    <n v="2"/>
    <x v="1"/>
    <n v="2"/>
    <m/>
    <x v="1"/>
    <x v="4"/>
    <x v="3"/>
    <n v="0"/>
  </r>
  <r>
    <s v="EMP1361"/>
    <d v="2017-01-02T00:00:00"/>
    <x v="0"/>
    <n v="29"/>
    <s v="Male"/>
    <s v="Single"/>
    <s v="Master's"/>
    <x v="5"/>
    <x v="13"/>
    <x v="1"/>
    <s v="Hyderabad"/>
    <n v="54000"/>
    <n v="5.6"/>
    <n v="13.7"/>
    <n v="9"/>
    <n v="3.6"/>
    <x v="2"/>
    <x v="2"/>
    <n v="2"/>
    <x v="0"/>
    <n v="4"/>
    <m/>
    <x v="1"/>
    <x v="1"/>
    <x v="1"/>
    <n v="0"/>
  </r>
  <r>
    <s v="EMP1362"/>
    <d v="2016-12-03T00:00:00"/>
    <x v="0"/>
    <n v="38"/>
    <s v="Female"/>
    <s v="Single"/>
    <s v="Diploma"/>
    <x v="3"/>
    <x v="15"/>
    <x v="1"/>
    <s v="Noida"/>
    <n v="53000"/>
    <n v="3.6"/>
    <n v="15.2"/>
    <n v="9.1"/>
    <n v="3.3"/>
    <x v="3"/>
    <x v="3"/>
    <n v="3"/>
    <x v="1"/>
    <n v="5"/>
    <m/>
    <x v="0"/>
    <x v="1"/>
    <x v="1"/>
    <n v="0"/>
  </r>
  <r>
    <s v="EMP1363"/>
    <d v="2022-09-05T00:00:00"/>
    <x v="0"/>
    <n v="35"/>
    <s v="Male"/>
    <s v="Single"/>
    <s v="PhD"/>
    <x v="0"/>
    <x v="0"/>
    <x v="2"/>
    <s v="Hyderabad"/>
    <n v="59000"/>
    <n v="7.2"/>
    <n v="7.1"/>
    <n v="3.3"/>
    <n v="1.7"/>
    <x v="2"/>
    <x v="2"/>
    <n v="4"/>
    <x v="1"/>
    <n v="4"/>
    <m/>
    <x v="1"/>
    <x v="1"/>
    <x v="0"/>
    <n v="0"/>
  </r>
  <r>
    <s v="EMP1364"/>
    <d v="2017-06-09T00:00:00"/>
    <x v="0"/>
    <n v="45"/>
    <s v="Female"/>
    <s v="Divorced"/>
    <s v="Bachelor's"/>
    <x v="1"/>
    <x v="9"/>
    <x v="2"/>
    <s v="Noida"/>
    <n v="80000"/>
    <n v="12.9"/>
    <n v="14"/>
    <n v="8.6"/>
    <n v="5"/>
    <x v="0"/>
    <x v="0"/>
    <n v="1"/>
    <x v="0"/>
    <n v="2"/>
    <m/>
    <x v="0"/>
    <x v="2"/>
    <x v="1"/>
    <n v="0"/>
  </r>
  <r>
    <s v="EMP1365"/>
    <d v="2022-02-01T00:00:00"/>
    <x v="0"/>
    <n v="29"/>
    <s v="Non-Binary"/>
    <s v="Divorced"/>
    <s v="PhD"/>
    <x v="1"/>
    <x v="1"/>
    <x v="1"/>
    <s v="Hyderabad"/>
    <n v="59000"/>
    <n v="4.9000000000000004"/>
    <n v="10.1"/>
    <n v="3.9"/>
    <n v="1.8"/>
    <x v="2"/>
    <x v="2"/>
    <n v="2"/>
    <x v="1"/>
    <n v="3"/>
    <m/>
    <x v="1"/>
    <x v="1"/>
    <x v="0"/>
    <n v="0"/>
  </r>
  <r>
    <s v="EMP1366"/>
    <d v="2019-06-09T00:00:00"/>
    <x v="1"/>
    <n v="33"/>
    <s v="Male"/>
    <s v="Divorced"/>
    <s v="Diploma"/>
    <x v="3"/>
    <x v="6"/>
    <x v="2"/>
    <s v="Hyderabad"/>
    <n v="86000"/>
    <n v="13.4"/>
    <n v="10.6"/>
    <n v="6.2"/>
    <n v="0.6"/>
    <x v="0"/>
    <x v="2"/>
    <n v="2"/>
    <x v="1"/>
    <n v="3"/>
    <d v="2025-08-03T00:00:00"/>
    <x v="1"/>
    <x v="2"/>
    <x v="1"/>
    <n v="1"/>
  </r>
  <r>
    <s v="EMP1367"/>
    <d v="2025-09-09T00:00:00"/>
    <x v="0"/>
    <n v="21"/>
    <s v="Male"/>
    <s v="Married"/>
    <s v="Bachelor's"/>
    <x v="3"/>
    <x v="15"/>
    <x v="0"/>
    <s v="Mumbai"/>
    <n v="35000"/>
    <n v="10.199999999999999"/>
    <n v="6.7"/>
    <n v="0.3"/>
    <n v="0"/>
    <x v="2"/>
    <x v="2"/>
    <n v="4"/>
    <x v="1"/>
    <n v="2"/>
    <m/>
    <x v="2"/>
    <x v="0"/>
    <x v="3"/>
    <n v="0"/>
  </r>
  <r>
    <s v="EMP1368"/>
    <d v="2016-08-21T00:00:00"/>
    <x v="1"/>
    <n v="31"/>
    <s v="Female"/>
    <s v="Divorced"/>
    <s v="Master's"/>
    <x v="4"/>
    <x v="5"/>
    <x v="2"/>
    <s v="Bengaluru"/>
    <n v="75000"/>
    <n v="15.1"/>
    <n v="14.4"/>
    <n v="9"/>
    <n v="2.1"/>
    <x v="2"/>
    <x v="0"/>
    <n v="3"/>
    <x v="0"/>
    <n v="3"/>
    <d v="2025-08-15T00:00:00"/>
    <x v="1"/>
    <x v="4"/>
    <x v="1"/>
    <n v="1"/>
  </r>
  <r>
    <s v="EMP1369"/>
    <d v="2017-07-25T00:00:00"/>
    <x v="0"/>
    <n v="30"/>
    <s v="Non-Binary"/>
    <s v="Divorced"/>
    <s v="Diploma"/>
    <x v="6"/>
    <x v="19"/>
    <x v="2"/>
    <s v="Pune"/>
    <n v="72000"/>
    <n v="8.3000000000000007"/>
    <n v="8.5"/>
    <n v="8.4"/>
    <n v="5.6"/>
    <x v="0"/>
    <x v="1"/>
    <n v="3"/>
    <x v="1"/>
    <n v="5"/>
    <m/>
    <x v="1"/>
    <x v="4"/>
    <x v="1"/>
    <n v="0"/>
  </r>
  <r>
    <s v="EMP1370"/>
    <d v="2017-07-28T00:00:00"/>
    <x v="0"/>
    <n v="32"/>
    <s v="Male"/>
    <s v="Divorced"/>
    <s v="PhD"/>
    <x v="6"/>
    <x v="22"/>
    <x v="2"/>
    <s v="Chennai"/>
    <n v="77000"/>
    <n v="7.1"/>
    <n v="10.7"/>
    <n v="8.4"/>
    <n v="5.0999999999999996"/>
    <x v="0"/>
    <x v="0"/>
    <n v="2"/>
    <x v="1"/>
    <n v="1"/>
    <m/>
    <x v="1"/>
    <x v="4"/>
    <x v="1"/>
    <n v="0"/>
  </r>
  <r>
    <s v="EMP1371"/>
    <d v="2021-12-31T00:00:00"/>
    <x v="0"/>
    <n v="47"/>
    <s v="Female"/>
    <s v="Divorced"/>
    <s v="Diploma"/>
    <x v="2"/>
    <x v="23"/>
    <x v="3"/>
    <s v="Mumbai"/>
    <n v="112000"/>
    <n v="9.3000000000000007"/>
    <n v="4.5999999999999996"/>
    <n v="4"/>
    <n v="1.9"/>
    <x v="3"/>
    <x v="0"/>
    <n v="4"/>
    <x v="0"/>
    <n v="4"/>
    <m/>
    <x v="3"/>
    <x v="3"/>
    <x v="0"/>
    <n v="0"/>
  </r>
  <r>
    <s v="EMP1372"/>
    <d v="2025-07-16T00:00:00"/>
    <x v="0"/>
    <n v="21"/>
    <s v="Female"/>
    <s v="Married"/>
    <s v="PhD"/>
    <x v="0"/>
    <x v="3"/>
    <x v="0"/>
    <s v="Hyderabad"/>
    <n v="38000"/>
    <n v="9.5"/>
    <n v="2.9"/>
    <n v="0.5"/>
    <n v="0"/>
    <x v="2"/>
    <x v="3"/>
    <n v="1"/>
    <x v="1"/>
    <n v="2"/>
    <m/>
    <x v="2"/>
    <x v="0"/>
    <x v="3"/>
    <n v="0"/>
  </r>
  <r>
    <s v="EMP1373"/>
    <d v="2019-05-21T00:00:00"/>
    <x v="0"/>
    <n v="28"/>
    <s v="Male"/>
    <s v="Single"/>
    <s v="Bachelor's"/>
    <x v="2"/>
    <x v="20"/>
    <x v="2"/>
    <s v="Mumbai"/>
    <n v="72000"/>
    <n v="7.4"/>
    <n v="9.1999999999999993"/>
    <n v="6.6"/>
    <n v="1.5"/>
    <x v="2"/>
    <x v="0"/>
    <n v="3"/>
    <x v="1"/>
    <n v="5"/>
    <m/>
    <x v="1"/>
    <x v="4"/>
    <x v="1"/>
    <n v="0"/>
  </r>
  <r>
    <s v="EMP1374"/>
    <d v="2024-05-26T00:00:00"/>
    <x v="0"/>
    <n v="30"/>
    <s v="Non-Binary"/>
    <s v="Divorced"/>
    <s v="PhD"/>
    <x v="3"/>
    <x v="4"/>
    <x v="3"/>
    <s v="Pune"/>
    <n v="134000"/>
    <n v="10.7"/>
    <n v="2.4"/>
    <n v="1.6"/>
    <n v="0.6"/>
    <x v="0"/>
    <x v="1"/>
    <n v="4"/>
    <x v="1"/>
    <n v="4"/>
    <m/>
    <x v="1"/>
    <x v="3"/>
    <x v="4"/>
    <n v="0"/>
  </r>
  <r>
    <s v="EMP1375"/>
    <d v="2022-03-30T00:00:00"/>
    <x v="0"/>
    <n v="32"/>
    <s v="Male"/>
    <s v="Married"/>
    <s v="Bachelor's"/>
    <x v="1"/>
    <x v="1"/>
    <x v="0"/>
    <s v="Bengaluru"/>
    <n v="33000"/>
    <n v="0.2"/>
    <n v="6.7"/>
    <n v="3.8"/>
    <n v="1.1000000000000001"/>
    <x v="0"/>
    <x v="2"/>
    <n v="3"/>
    <x v="1"/>
    <n v="1"/>
    <m/>
    <x v="1"/>
    <x v="0"/>
    <x v="0"/>
    <n v="0"/>
  </r>
  <r>
    <s v="EMP1376"/>
    <d v="2019-11-07T00:00:00"/>
    <x v="0"/>
    <n v="38"/>
    <s v="Male"/>
    <s v="Single"/>
    <s v="Bachelor's"/>
    <x v="3"/>
    <x v="11"/>
    <x v="0"/>
    <s v="Mumbai"/>
    <n v="40000"/>
    <n v="9.6999999999999993"/>
    <n v="11.4"/>
    <n v="6.1"/>
    <n v="3.2"/>
    <x v="2"/>
    <x v="0"/>
    <n v="2"/>
    <x v="0"/>
    <n v="4"/>
    <m/>
    <x v="0"/>
    <x v="1"/>
    <x v="1"/>
    <n v="0"/>
  </r>
  <r>
    <s v="EMP1377"/>
    <d v="2020-07-23T00:00:00"/>
    <x v="0"/>
    <n v="30"/>
    <s v="Female"/>
    <s v="Single"/>
    <s v="Master's"/>
    <x v="6"/>
    <x v="21"/>
    <x v="4"/>
    <s v="Chennai"/>
    <n v="161000"/>
    <n v="4.8"/>
    <n v="6"/>
    <n v="5.4"/>
    <n v="1.6"/>
    <x v="0"/>
    <x v="2"/>
    <n v="3"/>
    <x v="1"/>
    <n v="4"/>
    <m/>
    <x v="1"/>
    <x v="3"/>
    <x v="0"/>
    <n v="0"/>
  </r>
  <r>
    <s v="EMP1378"/>
    <d v="2017-08-28T00:00:00"/>
    <x v="0"/>
    <n v="31"/>
    <s v="Female"/>
    <s v="Married"/>
    <s v="Master's"/>
    <x v="1"/>
    <x v="9"/>
    <x v="1"/>
    <s v="Bengaluru"/>
    <n v="60000"/>
    <n v="9.5"/>
    <n v="11.9"/>
    <n v="8.3000000000000007"/>
    <n v="3.3"/>
    <x v="2"/>
    <x v="2"/>
    <n v="4"/>
    <x v="1"/>
    <n v="3"/>
    <m/>
    <x v="1"/>
    <x v="4"/>
    <x v="1"/>
    <n v="0"/>
  </r>
  <r>
    <s v="EMP1379"/>
    <d v="2024-01-07T00:00:00"/>
    <x v="0"/>
    <n v="37"/>
    <s v="Non-Binary"/>
    <s v="Single"/>
    <s v="Diploma"/>
    <x v="3"/>
    <x v="6"/>
    <x v="2"/>
    <s v="Chennai"/>
    <n v="82000"/>
    <n v="13.8"/>
    <n v="9.5"/>
    <n v="2"/>
    <n v="0.4"/>
    <x v="0"/>
    <x v="0"/>
    <n v="4"/>
    <x v="1"/>
    <n v="3"/>
    <m/>
    <x v="0"/>
    <x v="2"/>
    <x v="4"/>
    <n v="0"/>
  </r>
  <r>
    <s v="EMP1380"/>
    <d v="2020-08-27T00:00:00"/>
    <x v="1"/>
    <n v="37"/>
    <s v="Non-Binary"/>
    <s v="Divorced"/>
    <s v="Master's"/>
    <x v="1"/>
    <x v="27"/>
    <x v="3"/>
    <s v="Pune"/>
    <n v="134000"/>
    <n v="4"/>
    <n v="10.8"/>
    <n v="5.3"/>
    <n v="4.2"/>
    <x v="2"/>
    <x v="0"/>
    <n v="4"/>
    <x v="1"/>
    <n v="5"/>
    <d v="2025-12-10T00:00:00"/>
    <x v="0"/>
    <x v="3"/>
    <x v="0"/>
    <n v="1"/>
  </r>
  <r>
    <s v="EMP1381"/>
    <d v="2019-09-18T00:00:00"/>
    <x v="1"/>
    <n v="28"/>
    <s v="Male"/>
    <s v="Married"/>
    <s v="PhD"/>
    <x v="5"/>
    <x v="18"/>
    <x v="2"/>
    <s v="Mumbai"/>
    <n v="80000"/>
    <n v="12"/>
    <n v="13.6"/>
    <n v="6"/>
    <n v="3.6"/>
    <x v="2"/>
    <x v="1"/>
    <n v="2"/>
    <x v="0"/>
    <n v="3"/>
    <d v="2025-09-26T00:00:00"/>
    <x v="1"/>
    <x v="2"/>
    <x v="0"/>
    <n v="1"/>
  </r>
  <r>
    <s v="EMP1382"/>
    <d v="2023-08-06T00:00:00"/>
    <x v="0"/>
    <n v="27"/>
    <s v="Female"/>
    <s v="Married"/>
    <s v="Master's"/>
    <x v="6"/>
    <x v="19"/>
    <x v="0"/>
    <s v="Mumbai"/>
    <n v="28000"/>
    <n v="13.5"/>
    <n v="2.9"/>
    <n v="2.4"/>
    <n v="1.1000000000000001"/>
    <x v="0"/>
    <x v="0"/>
    <n v="3"/>
    <x v="1"/>
    <n v="4"/>
    <m/>
    <x v="1"/>
    <x v="0"/>
    <x v="4"/>
    <n v="0"/>
  </r>
  <r>
    <s v="EMP1383"/>
    <d v="2015-08-10T00:00:00"/>
    <x v="0"/>
    <n v="32"/>
    <s v="Non-Binary"/>
    <s v="Single"/>
    <s v="Master's"/>
    <x v="2"/>
    <x v="23"/>
    <x v="2"/>
    <s v="Bengaluru"/>
    <n v="74000"/>
    <n v="14.2"/>
    <n v="17.2"/>
    <n v="10.4"/>
    <n v="2.9"/>
    <x v="0"/>
    <x v="2"/>
    <n v="3"/>
    <x v="0"/>
    <n v="2"/>
    <m/>
    <x v="1"/>
    <x v="4"/>
    <x v="2"/>
    <n v="0"/>
  </r>
  <r>
    <s v="EMP1384"/>
    <d v="2018-03-04T00:00:00"/>
    <x v="1"/>
    <n v="42"/>
    <s v="Male"/>
    <s v="Married"/>
    <s v="Master's"/>
    <x v="0"/>
    <x v="3"/>
    <x v="1"/>
    <s v="Bengaluru"/>
    <n v="51000"/>
    <n v="8.4"/>
    <n v="14.1"/>
    <n v="7.5"/>
    <n v="3.9"/>
    <x v="3"/>
    <x v="0"/>
    <n v="3"/>
    <x v="1"/>
    <n v="5"/>
    <d v="2025-08-26T00:00:00"/>
    <x v="0"/>
    <x v="1"/>
    <x v="1"/>
    <n v="1"/>
  </r>
  <r>
    <s v="EMP1385"/>
    <d v="2024-10-20T00:00:00"/>
    <x v="0"/>
    <n v="26"/>
    <s v="Male"/>
    <s v="Married"/>
    <s v="Bachelor's"/>
    <x v="2"/>
    <x v="2"/>
    <x v="0"/>
    <s v="Pune"/>
    <n v="30000"/>
    <n v="4.0999999999999996"/>
    <n v="7.9"/>
    <n v="1.2"/>
    <n v="0.5"/>
    <x v="2"/>
    <x v="0"/>
    <n v="1"/>
    <x v="1"/>
    <n v="3"/>
    <m/>
    <x v="1"/>
    <x v="0"/>
    <x v="4"/>
    <n v="0"/>
  </r>
  <r>
    <s v="EMP1386"/>
    <d v="2015-03-10T00:00:00"/>
    <x v="0"/>
    <n v="45"/>
    <s v="Female"/>
    <s v="Married"/>
    <s v="PhD"/>
    <x v="4"/>
    <x v="14"/>
    <x v="1"/>
    <s v="Bengaluru"/>
    <n v="66000"/>
    <n v="13.9"/>
    <n v="17.2"/>
    <n v="10.8"/>
    <n v="0.1"/>
    <x v="0"/>
    <x v="2"/>
    <n v="4"/>
    <x v="1"/>
    <n v="3"/>
    <m/>
    <x v="0"/>
    <x v="4"/>
    <x v="2"/>
    <n v="0"/>
  </r>
  <r>
    <s v="EMP1387"/>
    <d v="2017-04-11T00:00:00"/>
    <x v="0"/>
    <n v="30"/>
    <s v="Male"/>
    <s v="Married"/>
    <s v="Bachelor's"/>
    <x v="5"/>
    <x v="26"/>
    <x v="2"/>
    <s v="Bengaluru"/>
    <n v="71000"/>
    <n v="17.100000000000001"/>
    <n v="16.100000000000001"/>
    <n v="8.6999999999999993"/>
    <n v="4.8"/>
    <x v="0"/>
    <x v="1"/>
    <n v="4"/>
    <x v="1"/>
    <n v="3"/>
    <m/>
    <x v="1"/>
    <x v="4"/>
    <x v="1"/>
    <n v="0"/>
  </r>
  <r>
    <s v="EMP1388"/>
    <d v="2021-09-10T00:00:00"/>
    <x v="0"/>
    <n v="30"/>
    <s v="Female"/>
    <s v="Married"/>
    <s v="Master's"/>
    <x v="6"/>
    <x v="22"/>
    <x v="1"/>
    <s v="Chennai"/>
    <n v="65000"/>
    <n v="5.0999999999999996"/>
    <n v="8.9"/>
    <n v="4.3"/>
    <n v="3.7"/>
    <x v="2"/>
    <x v="2"/>
    <n v="3"/>
    <x v="1"/>
    <n v="4"/>
    <m/>
    <x v="1"/>
    <x v="4"/>
    <x v="0"/>
    <n v="0"/>
  </r>
  <r>
    <s v="EMP1389"/>
    <d v="2025-04-27T00:00:00"/>
    <x v="0"/>
    <n v="32"/>
    <s v="Male"/>
    <s v="Divorced"/>
    <s v="Master's"/>
    <x v="5"/>
    <x v="13"/>
    <x v="4"/>
    <s v="Noida"/>
    <n v="179000"/>
    <n v="8.6999999999999993"/>
    <n v="1.9"/>
    <n v="0.7"/>
    <n v="0"/>
    <x v="0"/>
    <x v="0"/>
    <n v="4"/>
    <x v="1"/>
    <n v="4"/>
    <m/>
    <x v="1"/>
    <x v="3"/>
    <x v="3"/>
    <n v="0"/>
  </r>
  <r>
    <s v="EMP1390"/>
    <d v="2017-07-02T00:00:00"/>
    <x v="0"/>
    <n v="34"/>
    <s v="Male"/>
    <s v="Married"/>
    <s v="PhD"/>
    <x v="4"/>
    <x v="14"/>
    <x v="1"/>
    <s v="Bengaluru"/>
    <n v="60000"/>
    <n v="8.9"/>
    <n v="9.1999999999999993"/>
    <n v="8.5"/>
    <n v="5.4"/>
    <x v="2"/>
    <x v="1"/>
    <n v="3"/>
    <x v="1"/>
    <n v="3"/>
    <m/>
    <x v="1"/>
    <x v="4"/>
    <x v="1"/>
    <n v="0"/>
  </r>
  <r>
    <s v="EMP1391"/>
    <d v="2021-08-09T00:00:00"/>
    <x v="0"/>
    <n v="26"/>
    <s v="Female"/>
    <s v="Married"/>
    <s v="Diploma"/>
    <x v="1"/>
    <x v="1"/>
    <x v="0"/>
    <s v="Bengaluru"/>
    <n v="39000"/>
    <n v="6.5"/>
    <n v="8"/>
    <n v="4.4000000000000004"/>
    <n v="0.7"/>
    <x v="2"/>
    <x v="0"/>
    <n v="3"/>
    <x v="1"/>
    <n v="3"/>
    <m/>
    <x v="1"/>
    <x v="0"/>
    <x v="0"/>
    <n v="0"/>
  </r>
  <r>
    <s v="EMP1392"/>
    <d v="2019-04-24T00:00:00"/>
    <x v="0"/>
    <n v="33"/>
    <s v="Male"/>
    <s v="Divorced"/>
    <s v="Bachelor's"/>
    <x v="3"/>
    <x v="15"/>
    <x v="2"/>
    <s v="Chennai"/>
    <n v="86000"/>
    <n v="13.4"/>
    <n v="14.6"/>
    <n v="6.7"/>
    <n v="4.5"/>
    <x v="1"/>
    <x v="2"/>
    <n v="1"/>
    <x v="1"/>
    <n v="1"/>
    <m/>
    <x v="1"/>
    <x v="2"/>
    <x v="1"/>
    <n v="0"/>
  </r>
  <r>
    <s v="EMP1393"/>
    <d v="2023-10-05T00:00:00"/>
    <x v="0"/>
    <n v="35"/>
    <s v="Non-Binary"/>
    <s v="Single"/>
    <s v="Master's"/>
    <x v="2"/>
    <x v="20"/>
    <x v="2"/>
    <s v="Pune"/>
    <n v="66000"/>
    <n v="9"/>
    <n v="9.8000000000000007"/>
    <n v="2.2000000000000002"/>
    <n v="1.9"/>
    <x v="0"/>
    <x v="1"/>
    <n v="1"/>
    <x v="1"/>
    <n v="3"/>
    <m/>
    <x v="1"/>
    <x v="4"/>
    <x v="4"/>
    <n v="0"/>
  </r>
  <r>
    <s v="EMP1394"/>
    <d v="2023-01-21T00:00:00"/>
    <x v="0"/>
    <n v="31"/>
    <s v="Male"/>
    <s v="Single"/>
    <s v="Master's"/>
    <x v="1"/>
    <x v="9"/>
    <x v="4"/>
    <s v="Hyderabad"/>
    <n v="176000"/>
    <n v="5.0999999999999996"/>
    <n v="3.5"/>
    <n v="2.9"/>
    <n v="0.4"/>
    <x v="0"/>
    <x v="0"/>
    <n v="3"/>
    <x v="0"/>
    <n v="3"/>
    <m/>
    <x v="1"/>
    <x v="3"/>
    <x v="4"/>
    <n v="0"/>
  </r>
  <r>
    <s v="EMP1395"/>
    <d v="2020-06-10T00:00:00"/>
    <x v="0"/>
    <n v="28"/>
    <s v="Male"/>
    <s v="Single"/>
    <s v="Master's"/>
    <x v="6"/>
    <x v="21"/>
    <x v="2"/>
    <s v="Hyderabad"/>
    <n v="79000"/>
    <n v="3.6"/>
    <n v="12.1"/>
    <n v="5.6"/>
    <n v="4.5"/>
    <x v="0"/>
    <x v="0"/>
    <n v="4"/>
    <x v="0"/>
    <n v="4"/>
    <m/>
    <x v="1"/>
    <x v="4"/>
    <x v="0"/>
    <n v="0"/>
  </r>
  <r>
    <s v="EMP1396"/>
    <d v="2023-10-16T00:00:00"/>
    <x v="0"/>
    <n v="46"/>
    <s v="Female"/>
    <s v="Married"/>
    <s v="Bachelor's"/>
    <x v="2"/>
    <x v="20"/>
    <x v="1"/>
    <s v="Pune"/>
    <n v="61000"/>
    <n v="15.6"/>
    <n v="5"/>
    <n v="2.2000000000000002"/>
    <n v="1.6"/>
    <x v="1"/>
    <x v="0"/>
    <n v="3"/>
    <x v="1"/>
    <n v="2"/>
    <m/>
    <x v="3"/>
    <x v="4"/>
    <x v="4"/>
    <n v="0"/>
  </r>
  <r>
    <s v="EMP1397"/>
    <d v="2021-10-19T00:00:00"/>
    <x v="0"/>
    <n v="41"/>
    <s v="Female"/>
    <s v="Single"/>
    <s v="Bachelor's"/>
    <x v="4"/>
    <x v="25"/>
    <x v="1"/>
    <s v="Mumbai"/>
    <n v="44000"/>
    <n v="6.4"/>
    <n v="9"/>
    <n v="4.2"/>
    <n v="0.6"/>
    <x v="2"/>
    <x v="3"/>
    <n v="2"/>
    <x v="1"/>
    <n v="5"/>
    <m/>
    <x v="0"/>
    <x v="1"/>
    <x v="0"/>
    <n v="0"/>
  </r>
  <r>
    <s v="EMP1398"/>
    <d v="2022-06-14T00:00:00"/>
    <x v="0"/>
    <n v="41"/>
    <s v="Non-Binary"/>
    <s v="Single"/>
    <s v="Master's"/>
    <x v="3"/>
    <x v="4"/>
    <x v="2"/>
    <s v="Pune"/>
    <n v="94000"/>
    <n v="6.8"/>
    <n v="9.6999999999999993"/>
    <n v="3.5"/>
    <n v="0.9"/>
    <x v="1"/>
    <x v="1"/>
    <n v="2"/>
    <x v="0"/>
    <n v="3"/>
    <m/>
    <x v="0"/>
    <x v="2"/>
    <x v="0"/>
    <n v="0"/>
  </r>
  <r>
    <s v="EMP1399"/>
    <d v="2023-12-09T00:00:00"/>
    <x v="0"/>
    <n v="28"/>
    <s v="Non-Binary"/>
    <s v="Divorced"/>
    <s v="PhD"/>
    <x v="3"/>
    <x v="6"/>
    <x v="0"/>
    <s v="Hyderabad"/>
    <n v="38000"/>
    <n v="13.5"/>
    <n v="9.6"/>
    <n v="2.1"/>
    <n v="1.8"/>
    <x v="3"/>
    <x v="0"/>
    <n v="3"/>
    <x v="1"/>
    <n v="4"/>
    <m/>
    <x v="1"/>
    <x v="0"/>
    <x v="4"/>
    <n v="0"/>
  </r>
  <r>
    <s v="EMP1400"/>
    <d v="2024-01-16T00:00:00"/>
    <x v="1"/>
    <n v="36"/>
    <s v="Female"/>
    <s v="Married"/>
    <s v="Master's"/>
    <x v="3"/>
    <x v="15"/>
    <x v="3"/>
    <s v="Hyderabad"/>
    <n v="113000"/>
    <n v="9.5"/>
    <n v="1.5"/>
    <n v="1.3"/>
    <n v="0.7"/>
    <x v="2"/>
    <x v="1"/>
    <n v="3"/>
    <x v="0"/>
    <n v="4"/>
    <d v="2025-04-28T00:00:00"/>
    <x v="0"/>
    <x v="3"/>
    <x v="4"/>
    <n v="1"/>
  </r>
  <r>
    <s v="EMP1401"/>
    <d v="2024-06-17T00:00:00"/>
    <x v="0"/>
    <n v="32"/>
    <s v="Non-Binary"/>
    <s v="Unkown"/>
    <s v="Diploma"/>
    <x v="5"/>
    <x v="13"/>
    <x v="1"/>
    <s v="Pune"/>
    <n v="58000"/>
    <n v="8.1"/>
    <n v="1.6"/>
    <n v="1.5"/>
    <n v="0.1"/>
    <x v="3"/>
    <x v="1"/>
    <n v="4"/>
    <x v="1"/>
    <n v="2"/>
    <m/>
    <x v="1"/>
    <x v="1"/>
    <x v="4"/>
    <n v="0"/>
  </r>
  <r>
    <s v="EMP1402"/>
    <d v="2020-07-14T00:00:00"/>
    <x v="0"/>
    <n v="36"/>
    <s v="Male"/>
    <s v="Single"/>
    <s v="Master's"/>
    <x v="0"/>
    <x v="0"/>
    <x v="2"/>
    <s v="Noida"/>
    <n v="74000"/>
    <n v="3.9"/>
    <n v="9.1999999999999993"/>
    <n v="5.5"/>
    <n v="5.4"/>
    <x v="2"/>
    <x v="0"/>
    <n v="3"/>
    <x v="1"/>
    <n v="4"/>
    <m/>
    <x v="0"/>
    <x v="4"/>
    <x v="0"/>
    <n v="0"/>
  </r>
  <r>
    <s v="EMP1403"/>
    <d v="2017-10-19T00:00:00"/>
    <x v="1"/>
    <n v="39"/>
    <s v="Female"/>
    <s v="Married"/>
    <s v="PhD"/>
    <x v="2"/>
    <x v="2"/>
    <x v="2"/>
    <s v="Chennai"/>
    <n v="76000"/>
    <n v="11.6"/>
    <n v="13.3"/>
    <n v="7.5"/>
    <n v="5.8"/>
    <x v="2"/>
    <x v="0"/>
    <n v="3"/>
    <x v="1"/>
    <n v="3"/>
    <d v="2025-04-03T00:00:00"/>
    <x v="0"/>
    <x v="4"/>
    <x v="1"/>
    <n v="1"/>
  </r>
  <r>
    <s v="EMP1404"/>
    <d v="2016-11-02T00:00:00"/>
    <x v="0"/>
    <n v="40"/>
    <s v="Non-Binary"/>
    <s v="Divorced"/>
    <s v="Diploma"/>
    <x v="1"/>
    <x v="27"/>
    <x v="3"/>
    <s v="Mumbai"/>
    <n v="130000"/>
    <n v="7"/>
    <n v="9.9"/>
    <n v="9.1999999999999993"/>
    <n v="5.2"/>
    <x v="0"/>
    <x v="2"/>
    <n v="2"/>
    <x v="1"/>
    <n v="3"/>
    <m/>
    <x v="0"/>
    <x v="3"/>
    <x v="1"/>
    <n v="0"/>
  </r>
  <r>
    <s v="EMP1405"/>
    <d v="2021-10-19T00:00:00"/>
    <x v="0"/>
    <n v="32"/>
    <s v="Female"/>
    <s v="Divorced"/>
    <s v="PhD"/>
    <x v="6"/>
    <x v="19"/>
    <x v="3"/>
    <s v="Pune"/>
    <n v="107000"/>
    <n v="10.6"/>
    <n v="8.4"/>
    <n v="4.2"/>
    <n v="3.5"/>
    <x v="0"/>
    <x v="0"/>
    <n v="4"/>
    <x v="1"/>
    <n v="3"/>
    <m/>
    <x v="1"/>
    <x v="3"/>
    <x v="0"/>
    <n v="0"/>
  </r>
  <r>
    <s v="EMP1406"/>
    <d v="2020-04-07T00:00:00"/>
    <x v="0"/>
    <n v="31"/>
    <s v="Non-Binary"/>
    <s v="Married"/>
    <s v="Bachelor's"/>
    <x v="3"/>
    <x v="11"/>
    <x v="0"/>
    <s v="Chennai"/>
    <n v="22000"/>
    <n v="5.2"/>
    <n v="7.1"/>
    <n v="5.7"/>
    <n v="1.7"/>
    <x v="3"/>
    <x v="1"/>
    <n v="4"/>
    <x v="1"/>
    <n v="5"/>
    <m/>
    <x v="1"/>
    <x v="0"/>
    <x v="0"/>
    <n v="0"/>
  </r>
  <r>
    <s v="EMP1407"/>
    <d v="2023-09-06T00:00:00"/>
    <x v="1"/>
    <n v="45"/>
    <s v="Female"/>
    <s v="Married"/>
    <s v="Master's"/>
    <x v="3"/>
    <x v="11"/>
    <x v="2"/>
    <s v="Chennai"/>
    <n v="79000"/>
    <n v="10.3"/>
    <n v="4.4000000000000004"/>
    <n v="1.6"/>
    <n v="1.3"/>
    <x v="1"/>
    <x v="2"/>
    <n v="3"/>
    <x v="1"/>
    <n v="4"/>
    <d v="2025-04-04T00:00:00"/>
    <x v="0"/>
    <x v="4"/>
    <x v="4"/>
    <n v="1"/>
  </r>
  <r>
    <s v="EMP1408"/>
    <d v="2021-10-03T00:00:00"/>
    <x v="1"/>
    <n v="27"/>
    <s v="Non-Binary"/>
    <s v="Single"/>
    <s v="Bachelor's"/>
    <x v="3"/>
    <x v="11"/>
    <x v="0"/>
    <s v="Chennai"/>
    <n v="38000"/>
    <n v="6"/>
    <n v="9.8000000000000007"/>
    <n v="3.5"/>
    <n v="0.9"/>
    <x v="3"/>
    <x v="0"/>
    <n v="3"/>
    <x v="0"/>
    <n v="4"/>
    <d v="2025-03-28T00:00:00"/>
    <x v="1"/>
    <x v="0"/>
    <x v="0"/>
    <n v="1"/>
  </r>
  <r>
    <s v="EMP1409"/>
    <d v="2015-12-22T00:00:00"/>
    <x v="0"/>
    <n v="34"/>
    <s v="Female"/>
    <s v="Married"/>
    <s v="Master's"/>
    <x v="0"/>
    <x v="16"/>
    <x v="1"/>
    <s v="Pune"/>
    <n v="52000"/>
    <n v="5.9"/>
    <n v="12.1"/>
    <n v="10"/>
    <n v="5"/>
    <x v="3"/>
    <x v="0"/>
    <n v="4"/>
    <x v="1"/>
    <n v="5"/>
    <m/>
    <x v="1"/>
    <x v="1"/>
    <x v="1"/>
    <n v="0"/>
  </r>
  <r>
    <s v="EMP1410"/>
    <d v="2018-02-17T00:00:00"/>
    <x v="1"/>
    <n v="48"/>
    <s v="Male"/>
    <s v="Married"/>
    <s v="PhD"/>
    <x v="5"/>
    <x v="26"/>
    <x v="3"/>
    <s v="Bengaluru"/>
    <n v="115000"/>
    <n v="7.6"/>
    <n v="11.6"/>
    <n v="7"/>
    <n v="1.5"/>
    <x v="3"/>
    <x v="2"/>
    <n v="3"/>
    <x v="0"/>
    <n v="3"/>
    <d v="2025-02-13T00:00:00"/>
    <x v="3"/>
    <x v="3"/>
    <x v="1"/>
    <n v="1"/>
  </r>
  <r>
    <s v="EMP1411"/>
    <d v="2025-08-19T00:00:00"/>
    <x v="0"/>
    <n v="39"/>
    <s v="Non-Binary"/>
    <s v="Divorced"/>
    <s v="PhD"/>
    <x v="5"/>
    <x v="13"/>
    <x v="1"/>
    <s v="Bengaluru"/>
    <n v="54000"/>
    <n v="0"/>
    <n v="1.5"/>
    <n v="0.4"/>
    <n v="0"/>
    <x v="0"/>
    <x v="3"/>
    <n v="3"/>
    <x v="0"/>
    <n v="3"/>
    <m/>
    <x v="0"/>
    <x v="1"/>
    <x v="3"/>
    <n v="0"/>
  </r>
  <r>
    <s v="EMP1412"/>
    <d v="2021-02-15T00:00:00"/>
    <x v="0"/>
    <n v="38"/>
    <s v="Male"/>
    <s v="Married"/>
    <s v="PhD"/>
    <x v="3"/>
    <x v="6"/>
    <x v="3"/>
    <s v="Noida"/>
    <n v="99000"/>
    <n v="6.6"/>
    <n v="5"/>
    <n v="4.9000000000000004"/>
    <n v="2.8"/>
    <x v="2"/>
    <x v="1"/>
    <n v="2"/>
    <x v="0"/>
    <n v="3"/>
    <m/>
    <x v="0"/>
    <x v="2"/>
    <x v="0"/>
    <n v="0"/>
  </r>
  <r>
    <s v="EMP1413"/>
    <d v="2023-04-18T00:00:00"/>
    <x v="0"/>
    <n v="43"/>
    <s v="Female"/>
    <s v="Married"/>
    <s v="Master's"/>
    <x v="1"/>
    <x v="27"/>
    <x v="2"/>
    <s v="Unkown"/>
    <n v="98000"/>
    <n v="8.3000000000000007"/>
    <n v="2.8"/>
    <n v="2.7"/>
    <n v="2.5"/>
    <x v="3"/>
    <x v="0"/>
    <n v="3"/>
    <x v="1"/>
    <n v="2"/>
    <m/>
    <x v="0"/>
    <x v="2"/>
    <x v="4"/>
    <n v="0"/>
  </r>
  <r>
    <s v="EMP1414"/>
    <d v="2022-06-21T00:00:00"/>
    <x v="0"/>
    <n v="32"/>
    <s v="Female"/>
    <s v="Single"/>
    <s v="PhD"/>
    <x v="0"/>
    <x v="0"/>
    <x v="1"/>
    <s v="Noida"/>
    <n v="60000"/>
    <n v="5.5"/>
    <n v="7.2"/>
    <n v="3.5"/>
    <n v="1.6"/>
    <x v="3"/>
    <x v="0"/>
    <n v="3"/>
    <x v="1"/>
    <n v="3"/>
    <m/>
    <x v="1"/>
    <x v="4"/>
    <x v="0"/>
    <n v="0"/>
  </r>
  <r>
    <s v="EMP1415"/>
    <d v="2023-08-05T00:00:00"/>
    <x v="0"/>
    <n v="40"/>
    <s v="Male"/>
    <s v="Single"/>
    <s v="PhD"/>
    <x v="1"/>
    <x v="9"/>
    <x v="2"/>
    <s v="Chennai"/>
    <n v="89000"/>
    <n v="14.5"/>
    <n v="8.9"/>
    <n v="2.4"/>
    <n v="1.1000000000000001"/>
    <x v="0"/>
    <x v="2"/>
    <n v="2"/>
    <x v="1"/>
    <n v="4"/>
    <m/>
    <x v="0"/>
    <x v="2"/>
    <x v="4"/>
    <n v="0"/>
  </r>
  <r>
    <s v="EMP1416"/>
    <d v="2017-07-17T00:00:00"/>
    <x v="0"/>
    <n v="33"/>
    <s v="Female"/>
    <s v="Married"/>
    <s v="PhD"/>
    <x v="4"/>
    <x v="14"/>
    <x v="1"/>
    <s v="Hyderabad"/>
    <n v="42000"/>
    <n v="9"/>
    <n v="12"/>
    <n v="8.5"/>
    <n v="1.6"/>
    <x v="3"/>
    <x v="0"/>
    <n v="4"/>
    <x v="0"/>
    <n v="2"/>
    <m/>
    <x v="1"/>
    <x v="1"/>
    <x v="1"/>
    <n v="0"/>
  </r>
  <r>
    <s v="EMP1417"/>
    <d v="2021-12-06T00:00:00"/>
    <x v="0"/>
    <n v="30"/>
    <s v="Male"/>
    <s v="Married"/>
    <s v="Bachelor's"/>
    <x v="2"/>
    <x v="20"/>
    <x v="2"/>
    <s v="Hyderabad"/>
    <n v="62000"/>
    <n v="11.8"/>
    <n v="5.4"/>
    <n v="4.0999999999999996"/>
    <n v="3.6"/>
    <x v="2"/>
    <x v="2"/>
    <n v="3"/>
    <x v="0"/>
    <n v="3"/>
    <m/>
    <x v="1"/>
    <x v="4"/>
    <x v="0"/>
    <n v="0"/>
  </r>
  <r>
    <s v="EMP1418"/>
    <d v="2025-07-31T00:00:00"/>
    <x v="0"/>
    <n v="21"/>
    <s v="Female"/>
    <s v="Divorced"/>
    <s v="Diploma"/>
    <x v="0"/>
    <x v="16"/>
    <x v="0"/>
    <s v="Mumbai"/>
    <n v="44000"/>
    <n v="19"/>
    <n v="5.6"/>
    <n v="0.4"/>
    <n v="0"/>
    <x v="0"/>
    <x v="3"/>
    <n v="3"/>
    <x v="1"/>
    <n v="3"/>
    <m/>
    <x v="2"/>
    <x v="1"/>
    <x v="3"/>
    <n v="0"/>
  </r>
  <r>
    <s v="EMP1419"/>
    <d v="2022-04-20T00:00:00"/>
    <x v="0"/>
    <n v="29"/>
    <s v="Female"/>
    <s v="Divorced"/>
    <s v="PhD"/>
    <x v="0"/>
    <x v="7"/>
    <x v="1"/>
    <s v="Bengaluru"/>
    <n v="75000"/>
    <n v="3.7"/>
    <n v="3.8"/>
    <n v="3.7"/>
    <n v="3"/>
    <x v="2"/>
    <x v="0"/>
    <n v="2"/>
    <x v="0"/>
    <n v="4"/>
    <m/>
    <x v="1"/>
    <x v="4"/>
    <x v="0"/>
    <n v="0"/>
  </r>
  <r>
    <s v="EMP1420"/>
    <d v="2018-04-09T00:00:00"/>
    <x v="0"/>
    <n v="34"/>
    <s v="Female"/>
    <s v="Single"/>
    <s v="PhD"/>
    <x v="6"/>
    <x v="12"/>
    <x v="3"/>
    <s v="Noida"/>
    <n v="123000"/>
    <n v="10.4"/>
    <n v="15.4"/>
    <n v="7.7"/>
    <n v="3.1"/>
    <x v="2"/>
    <x v="0"/>
    <n v="3"/>
    <x v="1"/>
    <n v="3"/>
    <m/>
    <x v="1"/>
    <x v="3"/>
    <x v="1"/>
    <n v="0"/>
  </r>
  <r>
    <s v="EMP1421"/>
    <d v="2020-09-10T00:00:00"/>
    <x v="0"/>
    <n v="26"/>
    <s v="Male"/>
    <s v="Married"/>
    <s v="Diploma"/>
    <x v="2"/>
    <x v="2"/>
    <x v="0"/>
    <s v="Noida"/>
    <n v="30000"/>
    <n v="5"/>
    <n v="10.7"/>
    <n v="5.3"/>
    <n v="2.1"/>
    <x v="2"/>
    <x v="1"/>
    <n v="3"/>
    <x v="0"/>
    <n v="4"/>
    <m/>
    <x v="1"/>
    <x v="0"/>
    <x v="0"/>
    <n v="0"/>
  </r>
  <r>
    <s v="EMP1422"/>
    <d v="2019-03-17T00:00:00"/>
    <x v="0"/>
    <n v="29"/>
    <s v="Female"/>
    <s v="Married"/>
    <s v="Bachelor's"/>
    <x v="5"/>
    <x v="18"/>
    <x v="3"/>
    <s v="Noida"/>
    <n v="111000"/>
    <n v="14"/>
    <n v="10.6"/>
    <n v="6.8"/>
    <n v="4.2"/>
    <x v="0"/>
    <x v="0"/>
    <n v="2"/>
    <x v="1"/>
    <n v="4"/>
    <m/>
    <x v="1"/>
    <x v="3"/>
    <x v="1"/>
    <n v="0"/>
  </r>
  <r>
    <s v="EMP1423"/>
    <d v="2025-08-16T00:00:00"/>
    <x v="0"/>
    <n v="24"/>
    <s v="Female"/>
    <s v="Divorced"/>
    <s v="Master's"/>
    <x v="3"/>
    <x v="6"/>
    <x v="0"/>
    <s v="Pune"/>
    <n v="33000"/>
    <n v="9.3000000000000007"/>
    <n v="3.8"/>
    <n v="0.4"/>
    <n v="0"/>
    <x v="2"/>
    <x v="3"/>
    <n v="3"/>
    <x v="1"/>
    <n v="3"/>
    <m/>
    <x v="2"/>
    <x v="0"/>
    <x v="3"/>
    <n v="0"/>
  </r>
  <r>
    <s v="EMP1424"/>
    <d v="2020-07-20T00:00:00"/>
    <x v="0"/>
    <n v="35"/>
    <s v="Female"/>
    <s v="Married"/>
    <s v="PhD"/>
    <x v="5"/>
    <x v="26"/>
    <x v="2"/>
    <s v="Chennai"/>
    <n v="77000"/>
    <n v="15.8"/>
    <n v="11.8"/>
    <n v="5.4"/>
    <n v="4.9000000000000004"/>
    <x v="0"/>
    <x v="0"/>
    <n v="2"/>
    <x v="0"/>
    <n v="4"/>
    <m/>
    <x v="1"/>
    <x v="4"/>
    <x v="0"/>
    <n v="0"/>
  </r>
  <r>
    <s v="EMP1425"/>
    <d v="2019-09-28T00:00:00"/>
    <x v="0"/>
    <n v="30"/>
    <s v="Male"/>
    <s v="Married"/>
    <s v="PhD"/>
    <x v="0"/>
    <x v="7"/>
    <x v="2"/>
    <s v="Pune"/>
    <n v="65000"/>
    <n v="8.6"/>
    <n v="9.6999999999999993"/>
    <n v="6.3"/>
    <n v="1.3"/>
    <x v="2"/>
    <x v="2"/>
    <n v="3"/>
    <x v="1"/>
    <n v="4"/>
    <m/>
    <x v="1"/>
    <x v="4"/>
    <x v="1"/>
    <n v="0"/>
  </r>
  <r>
    <s v="EMP1426"/>
    <d v="2017-09-30T00:00:00"/>
    <x v="0"/>
    <n v="33"/>
    <s v="Non-Binary"/>
    <s v="Married"/>
    <s v="Bachelor's"/>
    <x v="4"/>
    <x v="5"/>
    <x v="1"/>
    <s v="Noida"/>
    <n v="49000"/>
    <n v="9.1999999999999993"/>
    <n v="15"/>
    <n v="8.3000000000000007"/>
    <n v="4.5"/>
    <x v="2"/>
    <x v="2"/>
    <n v="1"/>
    <x v="0"/>
    <n v="4"/>
    <m/>
    <x v="1"/>
    <x v="1"/>
    <x v="1"/>
    <n v="0"/>
  </r>
  <r>
    <s v="EMP1427"/>
    <d v="2024-03-19T00:00:00"/>
    <x v="0"/>
    <n v="31"/>
    <s v="Non-Binary"/>
    <s v="Divorced"/>
    <s v="PhD"/>
    <x v="0"/>
    <x v="7"/>
    <x v="2"/>
    <s v="Bengaluru"/>
    <n v="53000"/>
    <n v="12.9"/>
    <n v="8.6"/>
    <n v="1.8"/>
    <n v="0.8"/>
    <x v="2"/>
    <x v="0"/>
    <n v="2"/>
    <x v="0"/>
    <n v="4"/>
    <m/>
    <x v="1"/>
    <x v="1"/>
    <x v="4"/>
    <n v="0"/>
  </r>
  <r>
    <s v="EMP1428"/>
    <d v="2019-03-29T00:00:00"/>
    <x v="0"/>
    <n v="28"/>
    <s v="Non-Binary"/>
    <s v="Divorced"/>
    <s v="Master's"/>
    <x v="3"/>
    <x v="6"/>
    <x v="1"/>
    <s v="Chennai"/>
    <n v="72000"/>
    <n v="9.3000000000000007"/>
    <n v="14.2"/>
    <n v="6.8"/>
    <n v="4.0999999999999996"/>
    <x v="2"/>
    <x v="2"/>
    <n v="3"/>
    <x v="1"/>
    <n v="5"/>
    <m/>
    <x v="1"/>
    <x v="4"/>
    <x v="1"/>
    <n v="0"/>
  </r>
  <r>
    <s v="EMP1429"/>
    <d v="2019-01-26T00:00:00"/>
    <x v="1"/>
    <n v="39"/>
    <s v="Female"/>
    <s v="Single"/>
    <s v="PhD"/>
    <x v="2"/>
    <x v="23"/>
    <x v="2"/>
    <s v="Noida"/>
    <n v="79000"/>
    <n v="10.6"/>
    <n v="9.5"/>
    <n v="6.1"/>
    <n v="1.9"/>
    <x v="3"/>
    <x v="2"/>
    <n v="2"/>
    <x v="1"/>
    <n v="4"/>
    <d v="2025-03-20T00:00:00"/>
    <x v="0"/>
    <x v="4"/>
    <x v="1"/>
    <n v="1"/>
  </r>
  <r>
    <s v="EMP1430"/>
    <d v="2022-02-05T00:00:00"/>
    <x v="0"/>
    <n v="36"/>
    <s v="Male"/>
    <s v="Divorced"/>
    <s v="Master's"/>
    <x v="5"/>
    <x v="26"/>
    <x v="3"/>
    <s v="Hyderabad"/>
    <n v="122000"/>
    <n v="11.2"/>
    <n v="4.0999999999999996"/>
    <n v="3.9"/>
    <n v="2.8"/>
    <x v="2"/>
    <x v="0"/>
    <n v="3"/>
    <x v="0"/>
    <n v="4"/>
    <m/>
    <x v="0"/>
    <x v="3"/>
    <x v="0"/>
    <n v="0"/>
  </r>
  <r>
    <s v="EMP1431"/>
    <d v="2022-03-22T00:00:00"/>
    <x v="0"/>
    <n v="30"/>
    <s v="Male"/>
    <s v="Single"/>
    <s v="Diploma"/>
    <x v="6"/>
    <x v="19"/>
    <x v="1"/>
    <s v="Hyderabad"/>
    <n v="68000"/>
    <n v="5.9"/>
    <n v="11.7"/>
    <n v="3.8"/>
    <n v="2.2999999999999998"/>
    <x v="0"/>
    <x v="3"/>
    <n v="3"/>
    <x v="1"/>
    <n v="4"/>
    <m/>
    <x v="1"/>
    <x v="4"/>
    <x v="0"/>
    <n v="0"/>
  </r>
  <r>
    <s v="EMP1432"/>
    <d v="2023-01-25T00:00:00"/>
    <x v="0"/>
    <n v="30"/>
    <s v="Non-Binary"/>
    <s v="Divorced"/>
    <s v="Bachelor's"/>
    <x v="4"/>
    <x v="14"/>
    <x v="4"/>
    <s v="Mumbai"/>
    <n v="136000"/>
    <n v="0.2"/>
    <n v="8.1999999999999993"/>
    <n v="2.9"/>
    <n v="0.7"/>
    <x v="2"/>
    <x v="3"/>
    <n v="2"/>
    <x v="1"/>
    <n v="5"/>
    <m/>
    <x v="1"/>
    <x v="3"/>
    <x v="4"/>
    <n v="0"/>
  </r>
  <r>
    <s v="EMP1433"/>
    <d v="2019-10-30T00:00:00"/>
    <x v="0"/>
    <n v="34"/>
    <s v="Non-Binary"/>
    <s v="Single"/>
    <s v="Bachelor's"/>
    <x v="0"/>
    <x v="0"/>
    <x v="1"/>
    <s v="Mumbai"/>
    <n v="49000"/>
    <n v="8.4"/>
    <n v="11.3"/>
    <n v="6.2"/>
    <n v="4"/>
    <x v="2"/>
    <x v="0"/>
    <n v="3"/>
    <x v="1"/>
    <n v="4"/>
    <m/>
    <x v="1"/>
    <x v="1"/>
    <x v="1"/>
    <n v="0"/>
  </r>
  <r>
    <s v="EMP1434"/>
    <d v="2018-11-26T00:00:00"/>
    <x v="0"/>
    <n v="40"/>
    <s v="Female"/>
    <s v="Single"/>
    <s v="Master's"/>
    <x v="0"/>
    <x v="7"/>
    <x v="3"/>
    <s v="Mumbai"/>
    <n v="102000"/>
    <n v="6.7"/>
    <n v="11.2"/>
    <n v="7.1"/>
    <n v="2"/>
    <x v="3"/>
    <x v="1"/>
    <n v="3"/>
    <x v="1"/>
    <n v="1"/>
    <m/>
    <x v="0"/>
    <x v="3"/>
    <x v="1"/>
    <n v="0"/>
  </r>
  <r>
    <s v="EMP1435"/>
    <d v="2015-05-29T00:00:00"/>
    <x v="0"/>
    <n v="37"/>
    <s v="Male"/>
    <s v="Divorced"/>
    <s v="Master's"/>
    <x v="0"/>
    <x v="7"/>
    <x v="0"/>
    <s v="Chennai"/>
    <n v="44000"/>
    <n v="6.5"/>
    <n v="14.7"/>
    <n v="10.6"/>
    <n v="5.4"/>
    <x v="2"/>
    <x v="2"/>
    <n v="2"/>
    <x v="0"/>
    <n v="2"/>
    <m/>
    <x v="0"/>
    <x v="1"/>
    <x v="2"/>
    <n v="0"/>
  </r>
  <r>
    <s v="EMP1436"/>
    <d v="2016-09-08T00:00:00"/>
    <x v="0"/>
    <n v="35"/>
    <s v="Non-Binary"/>
    <s v="Married"/>
    <s v="Master's"/>
    <x v="3"/>
    <x v="11"/>
    <x v="2"/>
    <s v="Noida"/>
    <n v="71000"/>
    <n v="9.1"/>
    <n v="16.899999999999999"/>
    <n v="9.3000000000000007"/>
    <n v="4"/>
    <x v="0"/>
    <x v="3"/>
    <n v="2"/>
    <x v="1"/>
    <n v="3"/>
    <m/>
    <x v="1"/>
    <x v="4"/>
    <x v="1"/>
    <n v="0"/>
  </r>
  <r>
    <s v="EMP1437"/>
    <d v="2025-04-05T00:00:00"/>
    <x v="1"/>
    <n v="21"/>
    <s v="Female"/>
    <s v="Married"/>
    <s v="PhD"/>
    <x v="0"/>
    <x v="16"/>
    <x v="0"/>
    <s v="Pune"/>
    <n v="35000"/>
    <n v="7.5"/>
    <n v="6.1"/>
    <n v="0.6"/>
    <n v="0"/>
    <x v="2"/>
    <x v="2"/>
    <n v="3"/>
    <x v="0"/>
    <n v="2"/>
    <d v="2025-11-02T00:00:00"/>
    <x v="2"/>
    <x v="0"/>
    <x v="3"/>
    <n v="1"/>
  </r>
  <r>
    <s v="EMP1438"/>
    <d v="2015-11-12T00:00:00"/>
    <x v="1"/>
    <n v="33"/>
    <s v="Male"/>
    <s v="Married"/>
    <s v="PhD"/>
    <x v="5"/>
    <x v="8"/>
    <x v="2"/>
    <s v="Noida"/>
    <n v="78000"/>
    <n v="8.8000000000000007"/>
    <n v="17.3"/>
    <n v="9.4"/>
    <n v="2.5"/>
    <x v="3"/>
    <x v="0"/>
    <n v="4"/>
    <x v="0"/>
    <n v="3"/>
    <d v="2025-03-31T00:00:00"/>
    <x v="1"/>
    <x v="4"/>
    <x v="1"/>
    <n v="1"/>
  </r>
  <r>
    <s v="EMP1439"/>
    <d v="2021-10-17T00:00:00"/>
    <x v="0"/>
    <n v="43"/>
    <s v="Non-Binary"/>
    <s v="Single"/>
    <s v="Diploma"/>
    <x v="0"/>
    <x v="3"/>
    <x v="2"/>
    <s v="Pune"/>
    <n v="60000"/>
    <n v="8.1999999999999993"/>
    <n v="4.3"/>
    <n v="4.2"/>
    <n v="0.8"/>
    <x v="0"/>
    <x v="0"/>
    <n v="3"/>
    <x v="1"/>
    <n v="4"/>
    <m/>
    <x v="0"/>
    <x v="4"/>
    <x v="0"/>
    <n v="0"/>
  </r>
  <r>
    <s v="EMP1440"/>
    <d v="2018-09-20T00:00:00"/>
    <x v="0"/>
    <n v="37"/>
    <s v="Female"/>
    <s v="Married"/>
    <s v="Bachelor's"/>
    <x v="0"/>
    <x v="7"/>
    <x v="1"/>
    <s v="Pune"/>
    <n v="47000"/>
    <n v="6.9"/>
    <n v="9.1"/>
    <n v="7.3"/>
    <n v="2.2000000000000002"/>
    <x v="0"/>
    <x v="3"/>
    <n v="3"/>
    <x v="1"/>
    <n v="3"/>
    <m/>
    <x v="0"/>
    <x v="1"/>
    <x v="1"/>
    <n v="0"/>
  </r>
  <r>
    <s v="EMP1441"/>
    <d v="2020-06-13T00:00:00"/>
    <x v="0"/>
    <n v="33"/>
    <s v="Male"/>
    <s v="Divorced"/>
    <s v="PhD"/>
    <x v="4"/>
    <x v="5"/>
    <x v="2"/>
    <s v="Hyderabad"/>
    <n v="78000"/>
    <n v="5.0999999999999996"/>
    <n v="8.1"/>
    <n v="5.5"/>
    <n v="4.5999999999999996"/>
    <x v="0"/>
    <x v="2"/>
    <n v="3"/>
    <x v="0"/>
    <n v="3"/>
    <m/>
    <x v="1"/>
    <x v="4"/>
    <x v="0"/>
    <n v="0"/>
  </r>
  <r>
    <s v="EMP1442"/>
    <d v="2016-02-29T00:00:00"/>
    <x v="0"/>
    <n v="34"/>
    <s v="Non-Binary"/>
    <s v="Divorced"/>
    <s v="Master's"/>
    <x v="4"/>
    <x v="25"/>
    <x v="2"/>
    <s v="Bengaluru"/>
    <n v="71000"/>
    <n v="11.5"/>
    <n v="10"/>
    <n v="9.8000000000000007"/>
    <n v="1.5"/>
    <x v="0"/>
    <x v="0"/>
    <n v="3"/>
    <x v="1"/>
    <n v="4"/>
    <m/>
    <x v="1"/>
    <x v="4"/>
    <x v="1"/>
    <n v="0"/>
  </r>
  <r>
    <s v="EMP1443"/>
    <d v="2022-10-16T00:00:00"/>
    <x v="0"/>
    <n v="34"/>
    <s v="Female"/>
    <s v="Divorced"/>
    <s v="PhD"/>
    <x v="6"/>
    <x v="12"/>
    <x v="4"/>
    <s v="Hyderabad"/>
    <n v="139000"/>
    <n v="16.600000000000001"/>
    <n v="4.4000000000000004"/>
    <n v="3.2"/>
    <n v="0.6"/>
    <x v="0"/>
    <x v="1"/>
    <n v="3"/>
    <x v="1"/>
    <n v="3"/>
    <m/>
    <x v="1"/>
    <x v="3"/>
    <x v="0"/>
    <n v="0"/>
  </r>
  <r>
    <s v="EMP1444"/>
    <d v="2018-11-24T00:00:00"/>
    <x v="0"/>
    <n v="38"/>
    <s v="Non-Binary"/>
    <s v="Divorced"/>
    <s v="PhD"/>
    <x v="4"/>
    <x v="25"/>
    <x v="1"/>
    <s v="Pune"/>
    <n v="43000"/>
    <n v="10.199999999999999"/>
    <n v="14.2"/>
    <n v="7.1"/>
    <n v="5.4"/>
    <x v="2"/>
    <x v="1"/>
    <n v="1"/>
    <x v="1"/>
    <n v="3"/>
    <m/>
    <x v="0"/>
    <x v="1"/>
    <x v="1"/>
    <n v="0"/>
  </r>
  <r>
    <s v="EMP1445"/>
    <d v="2024-03-11T00:00:00"/>
    <x v="0"/>
    <n v="36"/>
    <s v="Non-Binary"/>
    <s v="Divorced"/>
    <s v="Master's"/>
    <x v="1"/>
    <x v="1"/>
    <x v="2"/>
    <s v="Chennai"/>
    <n v="86000"/>
    <n v="9.1"/>
    <n v="9.4"/>
    <n v="1.8"/>
    <n v="1"/>
    <x v="2"/>
    <x v="0"/>
    <n v="2"/>
    <x v="1"/>
    <n v="3"/>
    <m/>
    <x v="0"/>
    <x v="2"/>
    <x v="4"/>
    <n v="0"/>
  </r>
  <r>
    <s v="EMP1446"/>
    <d v="2024-11-26T00:00:00"/>
    <x v="0"/>
    <n v="24"/>
    <s v="Female"/>
    <s v="Single"/>
    <s v="Diploma"/>
    <x v="0"/>
    <x v="3"/>
    <x v="0"/>
    <s v="Bengaluru"/>
    <n v="25000"/>
    <n v="10.8"/>
    <n v="4.3"/>
    <n v="1.1000000000000001"/>
    <n v="0.6"/>
    <x v="0"/>
    <x v="0"/>
    <n v="3"/>
    <x v="1"/>
    <n v="3"/>
    <m/>
    <x v="2"/>
    <x v="0"/>
    <x v="4"/>
    <n v="0"/>
  </r>
  <r>
    <s v="EMP1447"/>
    <d v="2025-02-16T00:00:00"/>
    <x v="0"/>
    <n v="32"/>
    <s v="Non-Binary"/>
    <s v="Single"/>
    <s v="Master's"/>
    <x v="1"/>
    <x v="9"/>
    <x v="2"/>
    <s v="Pune"/>
    <n v="95000"/>
    <n v="8.6"/>
    <n v="7.4"/>
    <n v="0.9"/>
    <n v="0"/>
    <x v="0"/>
    <x v="1"/>
    <n v="3"/>
    <x v="1"/>
    <n v="3"/>
    <m/>
    <x v="1"/>
    <x v="2"/>
    <x v="3"/>
    <n v="0"/>
  </r>
  <r>
    <s v="EMP1448"/>
    <d v="2025-09-05T00:00:00"/>
    <x v="1"/>
    <n v="21"/>
    <s v="Male"/>
    <s v="Married"/>
    <s v="Master's"/>
    <x v="3"/>
    <x v="15"/>
    <x v="0"/>
    <s v="Bengaluru"/>
    <n v="36000"/>
    <n v="2.5"/>
    <n v="5.9"/>
    <n v="0.3"/>
    <n v="0"/>
    <x v="2"/>
    <x v="1"/>
    <n v="3"/>
    <x v="1"/>
    <n v="4"/>
    <d v="2025-12-16T00:00:00"/>
    <x v="2"/>
    <x v="0"/>
    <x v="3"/>
    <n v="1"/>
  </r>
  <r>
    <s v="EMP1449"/>
    <d v="2019-02-07T00:00:00"/>
    <x v="0"/>
    <n v="35"/>
    <s v="Male"/>
    <s v="Single"/>
    <s v="PhD"/>
    <x v="2"/>
    <x v="2"/>
    <x v="2"/>
    <s v="Noida"/>
    <n v="76000"/>
    <n v="7.9"/>
    <n v="13.4"/>
    <n v="6.9"/>
    <n v="3"/>
    <x v="3"/>
    <x v="1"/>
    <n v="3"/>
    <x v="0"/>
    <n v="4"/>
    <m/>
    <x v="1"/>
    <x v="4"/>
    <x v="1"/>
    <n v="0"/>
  </r>
  <r>
    <s v="EMP1450"/>
    <d v="2017-01-06T00:00:00"/>
    <x v="0"/>
    <n v="55"/>
    <s v="Male"/>
    <s v="Married"/>
    <s v="Master's"/>
    <x v="6"/>
    <x v="12"/>
    <x v="1"/>
    <s v="Bengaluru"/>
    <n v="50000"/>
    <n v="11"/>
    <n v="9.1"/>
    <n v="9"/>
    <n v="3.7"/>
    <x v="2"/>
    <x v="0"/>
    <n v="2"/>
    <x v="1"/>
    <n v="3"/>
    <m/>
    <x v="3"/>
    <x v="1"/>
    <x v="1"/>
    <n v="0"/>
  </r>
  <r>
    <s v="EMP1451"/>
    <d v="2020-09-09T00:00:00"/>
    <x v="0"/>
    <n v="35"/>
    <s v="Non-Binary"/>
    <s v="Single"/>
    <s v="Diploma"/>
    <x v="4"/>
    <x v="5"/>
    <x v="4"/>
    <s v="Mumbai"/>
    <n v="145000"/>
    <n v="7.4"/>
    <n v="9.8000000000000007"/>
    <n v="5.3"/>
    <n v="3.3"/>
    <x v="3"/>
    <x v="1"/>
    <n v="4"/>
    <x v="1"/>
    <n v="5"/>
    <m/>
    <x v="1"/>
    <x v="3"/>
    <x v="0"/>
    <n v="0"/>
  </r>
  <r>
    <s v="EMP1452"/>
    <d v="2024-09-14T00:00:00"/>
    <x v="0"/>
    <n v="41"/>
    <s v="Female"/>
    <s v="Single"/>
    <s v="Diploma"/>
    <x v="4"/>
    <x v="14"/>
    <x v="3"/>
    <s v="Bengaluru"/>
    <n v="107000"/>
    <n v="0"/>
    <n v="4.9000000000000004"/>
    <n v="1.3"/>
    <n v="0.5"/>
    <x v="3"/>
    <x v="1"/>
    <n v="3"/>
    <x v="1"/>
    <n v="4"/>
    <m/>
    <x v="0"/>
    <x v="3"/>
    <x v="4"/>
    <n v="0"/>
  </r>
  <r>
    <s v="EMP1453"/>
    <d v="2022-02-07T00:00:00"/>
    <x v="0"/>
    <n v="52"/>
    <s v="Male"/>
    <s v="Single"/>
    <s v="Bachelor's"/>
    <x v="6"/>
    <x v="22"/>
    <x v="2"/>
    <s v="Mumbai"/>
    <n v="75000"/>
    <n v="13.4"/>
    <n v="11.6"/>
    <n v="3.9"/>
    <n v="2.6"/>
    <x v="2"/>
    <x v="0"/>
    <n v="3"/>
    <x v="0"/>
    <n v="4"/>
    <m/>
    <x v="3"/>
    <x v="4"/>
    <x v="0"/>
    <n v="0"/>
  </r>
  <r>
    <s v="EMP1454"/>
    <d v="2023-09-19T00:00:00"/>
    <x v="1"/>
    <n v="35"/>
    <s v="Female"/>
    <s v="Divorced"/>
    <s v="Bachelor's"/>
    <x v="3"/>
    <x v="6"/>
    <x v="1"/>
    <s v="Chennai"/>
    <n v="47000"/>
    <n v="0"/>
    <n v="2.6"/>
    <n v="1.9"/>
    <n v="1.1000000000000001"/>
    <x v="0"/>
    <x v="0"/>
    <n v="4"/>
    <x v="1"/>
    <n v="2"/>
    <d v="2025-08-03T00:00:00"/>
    <x v="1"/>
    <x v="1"/>
    <x v="4"/>
    <n v="1"/>
  </r>
  <r>
    <s v="EMP1455"/>
    <d v="2024-05-28T00:00:00"/>
    <x v="0"/>
    <n v="27"/>
    <s v="Non-Binary"/>
    <s v="Single"/>
    <s v="Diploma"/>
    <x v="1"/>
    <x v="1"/>
    <x v="0"/>
    <s v="Mumbai"/>
    <n v="41000"/>
    <n v="4"/>
    <n v="8.1"/>
    <n v="1.6"/>
    <n v="1.4"/>
    <x v="3"/>
    <x v="0"/>
    <n v="4"/>
    <x v="1"/>
    <n v="3"/>
    <m/>
    <x v="1"/>
    <x v="1"/>
    <x v="4"/>
    <n v="0"/>
  </r>
  <r>
    <s v="EMP1456"/>
    <d v="2014-06-26T00:00:00"/>
    <x v="0"/>
    <n v="33"/>
    <s v="Female"/>
    <s v="Single"/>
    <s v="Bachelor's"/>
    <x v="3"/>
    <x v="15"/>
    <x v="1"/>
    <s v="Mumbai"/>
    <n v="57000"/>
    <n v="4.5"/>
    <n v="19.399999999999999"/>
    <n v="11.5"/>
    <n v="5.5"/>
    <x v="3"/>
    <x v="2"/>
    <n v="3"/>
    <x v="1"/>
    <n v="3"/>
    <m/>
    <x v="1"/>
    <x v="1"/>
    <x v="2"/>
    <n v="0"/>
  </r>
  <r>
    <s v="EMP1457"/>
    <d v="2019-09-18T00:00:00"/>
    <x v="1"/>
    <n v="29"/>
    <s v="Female"/>
    <s v="Married"/>
    <s v="Master's"/>
    <x v="0"/>
    <x v="0"/>
    <x v="4"/>
    <s v="Hyderabad"/>
    <n v="129000"/>
    <n v="8.6"/>
    <n v="8.1999999999999993"/>
    <n v="6.3"/>
    <n v="3.9"/>
    <x v="0"/>
    <x v="2"/>
    <n v="3"/>
    <x v="1"/>
    <n v="2"/>
    <d v="2025-12-22T00:00:00"/>
    <x v="1"/>
    <x v="3"/>
    <x v="1"/>
    <n v="1"/>
  </r>
  <r>
    <s v="EMP1458"/>
    <d v="2021-07-23T00:00:00"/>
    <x v="0"/>
    <n v="34"/>
    <s v="Non-Binary"/>
    <s v="Divorced"/>
    <s v="PhD"/>
    <x v="5"/>
    <x v="8"/>
    <x v="2"/>
    <s v="Noida"/>
    <n v="99000"/>
    <n v="8.1"/>
    <n v="10.3"/>
    <n v="4.4000000000000004"/>
    <n v="3.6"/>
    <x v="2"/>
    <x v="0"/>
    <n v="4"/>
    <x v="0"/>
    <n v="3"/>
    <m/>
    <x v="1"/>
    <x v="2"/>
    <x v="0"/>
    <n v="0"/>
  </r>
  <r>
    <s v="EMP1459"/>
    <d v="2022-11-14T00:00:00"/>
    <x v="0"/>
    <n v="25"/>
    <s v="Male"/>
    <s v="Divorced"/>
    <s v="Diploma"/>
    <x v="6"/>
    <x v="22"/>
    <x v="0"/>
    <s v="Hyderabad"/>
    <n v="41000"/>
    <n v="9.6999999999999993"/>
    <n v="9.6999999999999993"/>
    <n v="3.1"/>
    <n v="0"/>
    <x v="2"/>
    <x v="0"/>
    <n v="3"/>
    <x v="0"/>
    <n v="5"/>
    <m/>
    <x v="2"/>
    <x v="1"/>
    <x v="0"/>
    <n v="0"/>
  </r>
  <r>
    <s v="EMP1460"/>
    <d v="2025-04-28T00:00:00"/>
    <x v="1"/>
    <n v="21"/>
    <s v="Female"/>
    <s v="Married"/>
    <s v="Master's"/>
    <x v="6"/>
    <x v="19"/>
    <x v="0"/>
    <s v="Noida"/>
    <n v="47000"/>
    <n v="4.0999999999999996"/>
    <n v="5"/>
    <n v="0.7"/>
    <n v="0"/>
    <x v="0"/>
    <x v="2"/>
    <n v="1"/>
    <x v="1"/>
    <n v="3"/>
    <d v="2025-12-26T00:00:00"/>
    <x v="2"/>
    <x v="1"/>
    <x v="3"/>
    <n v="1"/>
  </r>
  <r>
    <s v="EMP1461"/>
    <d v="2021-05-08T00:00:00"/>
    <x v="0"/>
    <n v="36"/>
    <s v="Male"/>
    <s v="Single"/>
    <s v="PhD"/>
    <x v="0"/>
    <x v="0"/>
    <x v="1"/>
    <s v="Hyderabad"/>
    <n v="39000"/>
    <n v="3"/>
    <n v="6.9"/>
    <n v="4.5999999999999996"/>
    <n v="4.5"/>
    <x v="2"/>
    <x v="2"/>
    <n v="3"/>
    <x v="1"/>
    <n v="4"/>
    <m/>
    <x v="0"/>
    <x v="0"/>
    <x v="0"/>
    <n v="0"/>
  </r>
  <r>
    <s v="EMP1462"/>
    <d v="2015-02-26T00:00:00"/>
    <x v="0"/>
    <n v="38"/>
    <s v="Male"/>
    <s v="Divorced"/>
    <s v="PhD"/>
    <x v="1"/>
    <x v="9"/>
    <x v="0"/>
    <s v="Hyderabad"/>
    <n v="34000"/>
    <n v="20.7"/>
    <n v="17.8"/>
    <n v="10.8"/>
    <n v="4.3"/>
    <x v="2"/>
    <x v="0"/>
    <n v="3"/>
    <x v="1"/>
    <n v="3"/>
    <m/>
    <x v="0"/>
    <x v="0"/>
    <x v="2"/>
    <n v="0"/>
  </r>
  <r>
    <s v="EMP1463"/>
    <d v="2022-05-01T00:00:00"/>
    <x v="0"/>
    <n v="27"/>
    <s v="Male"/>
    <s v="Divorced"/>
    <s v="Master's"/>
    <x v="6"/>
    <x v="19"/>
    <x v="0"/>
    <s v="Bengaluru"/>
    <n v="29000"/>
    <n v="10"/>
    <n v="7.1"/>
    <n v="3.7"/>
    <n v="0.2"/>
    <x v="1"/>
    <x v="0"/>
    <n v="3"/>
    <x v="1"/>
    <n v="3"/>
    <m/>
    <x v="1"/>
    <x v="0"/>
    <x v="0"/>
    <n v="0"/>
  </r>
  <r>
    <s v="EMP1464"/>
    <d v="2018-07-03T00:00:00"/>
    <x v="0"/>
    <n v="37"/>
    <s v="Male"/>
    <s v="Married"/>
    <s v="PhD"/>
    <x v="0"/>
    <x v="0"/>
    <x v="2"/>
    <s v="Bengaluru"/>
    <n v="63000"/>
    <n v="3.5"/>
    <n v="14.6"/>
    <n v="7.5"/>
    <n v="1.7"/>
    <x v="2"/>
    <x v="1"/>
    <n v="2"/>
    <x v="1"/>
    <n v="4"/>
    <m/>
    <x v="0"/>
    <x v="4"/>
    <x v="1"/>
    <n v="0"/>
  </r>
  <r>
    <s v="EMP1465"/>
    <d v="2025-04-29T00:00:00"/>
    <x v="0"/>
    <n v="21"/>
    <s v="Male"/>
    <s v="Married"/>
    <s v="PhD"/>
    <x v="5"/>
    <x v="18"/>
    <x v="0"/>
    <s v="Noida"/>
    <n v="33000"/>
    <n v="7.8"/>
    <n v="7.1"/>
    <n v="0.7"/>
    <n v="0"/>
    <x v="2"/>
    <x v="0"/>
    <n v="2"/>
    <x v="1"/>
    <n v="4"/>
    <m/>
    <x v="2"/>
    <x v="0"/>
    <x v="3"/>
    <n v="0"/>
  </r>
  <r>
    <s v="EMP1466"/>
    <d v="2022-01-12T00:00:00"/>
    <x v="1"/>
    <n v="42"/>
    <s v="Male"/>
    <s v="Divorced"/>
    <s v="Master's"/>
    <x v="0"/>
    <x v="3"/>
    <x v="1"/>
    <s v="Noida"/>
    <n v="61000"/>
    <n v="7.7"/>
    <n v="11.3"/>
    <n v="3.6"/>
    <n v="1.3"/>
    <x v="2"/>
    <x v="0"/>
    <n v="3"/>
    <x v="1"/>
    <n v="4"/>
    <d v="2025-09-02T00:00:00"/>
    <x v="0"/>
    <x v="4"/>
    <x v="0"/>
    <n v="1"/>
  </r>
  <r>
    <s v="EMP1467"/>
    <d v="2025-02-23T00:00:00"/>
    <x v="0"/>
    <n v="29"/>
    <s v="Female"/>
    <s v="Married"/>
    <s v="Master's"/>
    <x v="1"/>
    <x v="10"/>
    <x v="1"/>
    <s v="Mumbai"/>
    <n v="56000"/>
    <n v="6.4"/>
    <n v="3.6"/>
    <n v="0.9"/>
    <n v="0"/>
    <x v="1"/>
    <x v="0"/>
    <n v="4"/>
    <x v="1"/>
    <n v="3"/>
    <m/>
    <x v="1"/>
    <x v="1"/>
    <x v="3"/>
    <n v="0"/>
  </r>
  <r>
    <s v="EMP1468"/>
    <d v="2019-11-09T00:00:00"/>
    <x v="0"/>
    <n v="28"/>
    <s v="Female"/>
    <s v="Married"/>
    <s v="PhD"/>
    <x v="1"/>
    <x v="27"/>
    <x v="1"/>
    <s v="Bengaluru"/>
    <n v="58000"/>
    <n v="6.5"/>
    <n v="6.3"/>
    <n v="6.1"/>
    <n v="4.5"/>
    <x v="1"/>
    <x v="1"/>
    <n v="3"/>
    <x v="1"/>
    <n v="1"/>
    <m/>
    <x v="1"/>
    <x v="1"/>
    <x v="1"/>
    <n v="0"/>
  </r>
  <r>
    <s v="EMP1469"/>
    <d v="2025-02-18T00:00:00"/>
    <x v="0"/>
    <n v="36"/>
    <s v="Non-Binary"/>
    <s v="Divorced"/>
    <s v="Bachelor's"/>
    <x v="1"/>
    <x v="1"/>
    <x v="2"/>
    <s v="Noida"/>
    <n v="81000"/>
    <n v="14.1"/>
    <n v="4"/>
    <n v="0.9"/>
    <n v="0"/>
    <x v="1"/>
    <x v="2"/>
    <n v="3"/>
    <x v="1"/>
    <n v="2"/>
    <m/>
    <x v="0"/>
    <x v="2"/>
    <x v="3"/>
    <n v="0"/>
  </r>
  <r>
    <s v="EMP1470"/>
    <d v="2025-04-01T00:00:00"/>
    <x v="1"/>
    <n v="22"/>
    <s v="Non-Binary"/>
    <s v="Single"/>
    <s v="Master's"/>
    <x v="0"/>
    <x v="16"/>
    <x v="0"/>
    <s v="Hyderabad"/>
    <n v="35000"/>
    <n v="5.7"/>
    <n v="5"/>
    <n v="0.3"/>
    <n v="0"/>
    <x v="2"/>
    <x v="2"/>
    <n v="1"/>
    <x v="0"/>
    <n v="4"/>
    <d v="2025-07-25T00:00:00"/>
    <x v="2"/>
    <x v="0"/>
    <x v="3"/>
    <n v="1"/>
  </r>
  <r>
    <s v="EMP1471"/>
    <d v="2025-04-10T00:00:00"/>
    <x v="0"/>
    <n v="21"/>
    <s v="Male"/>
    <s v="Divorced"/>
    <s v="Master's"/>
    <x v="1"/>
    <x v="10"/>
    <x v="0"/>
    <s v="Mumbai"/>
    <n v="52000"/>
    <n v="11.7"/>
    <n v="4.4000000000000004"/>
    <n v="0.7"/>
    <n v="0"/>
    <x v="2"/>
    <x v="0"/>
    <n v="3"/>
    <x v="1"/>
    <n v="3"/>
    <m/>
    <x v="2"/>
    <x v="1"/>
    <x v="3"/>
    <n v="0"/>
  </r>
  <r>
    <s v="EMP1472"/>
    <d v="2024-01-07T00:00:00"/>
    <x v="0"/>
    <n v="23"/>
    <s v="Female"/>
    <s v="Married"/>
    <s v="Master's"/>
    <x v="5"/>
    <x v="8"/>
    <x v="0"/>
    <s v="Bengaluru"/>
    <n v="53000"/>
    <n v="6.1"/>
    <n v="5.7"/>
    <n v="2"/>
    <n v="1.8"/>
    <x v="1"/>
    <x v="2"/>
    <n v="4"/>
    <x v="1"/>
    <n v="4"/>
    <m/>
    <x v="2"/>
    <x v="1"/>
    <x v="4"/>
    <n v="0"/>
  </r>
  <r>
    <s v="EMP1473"/>
    <d v="2025-03-06T00:00:00"/>
    <x v="1"/>
    <n v="21"/>
    <s v="Non-Binary"/>
    <s v="Divorced"/>
    <s v="PhD"/>
    <x v="6"/>
    <x v="21"/>
    <x v="0"/>
    <s v="Hyderabad"/>
    <n v="30000"/>
    <n v="8.1"/>
    <n v="2.2000000000000002"/>
    <n v="0.4"/>
    <n v="0"/>
    <x v="2"/>
    <x v="0"/>
    <n v="3"/>
    <x v="1"/>
    <n v="2"/>
    <d v="2025-07-28T00:00:00"/>
    <x v="2"/>
    <x v="0"/>
    <x v="3"/>
    <n v="1"/>
  </r>
  <r>
    <s v="EMP1474"/>
    <d v="2024-04-09T00:00:00"/>
    <x v="0"/>
    <n v="23"/>
    <s v="Female"/>
    <s v="Single"/>
    <s v="Bachelor's"/>
    <x v="0"/>
    <x v="7"/>
    <x v="0"/>
    <s v="Mumbai"/>
    <n v="22000"/>
    <n v="10.8"/>
    <n v="4.4000000000000004"/>
    <n v="1.7"/>
    <n v="1.7"/>
    <x v="0"/>
    <x v="1"/>
    <n v="2"/>
    <x v="1"/>
    <n v="4"/>
    <m/>
    <x v="2"/>
    <x v="0"/>
    <x v="4"/>
    <n v="0"/>
  </r>
  <r>
    <s v="EMP1475"/>
    <d v="2025-08-11T00:00:00"/>
    <x v="1"/>
    <n v="22"/>
    <s v="Male"/>
    <s v="Married"/>
    <s v="PhD"/>
    <x v="4"/>
    <x v="5"/>
    <x v="0"/>
    <s v="Noida"/>
    <n v="42000"/>
    <n v="9.1999999999999993"/>
    <n v="1.1000000000000001"/>
    <n v="0.3"/>
    <n v="0"/>
    <x v="2"/>
    <x v="1"/>
    <n v="3"/>
    <x v="1"/>
    <n v="1"/>
    <d v="2025-12-01T00:00:00"/>
    <x v="2"/>
    <x v="1"/>
    <x v="3"/>
    <n v="1"/>
  </r>
  <r>
    <s v="EMP1476"/>
    <d v="2020-12-12T00:00:00"/>
    <x v="0"/>
    <n v="33"/>
    <s v="Male"/>
    <s v="Married"/>
    <s v="Master's"/>
    <x v="1"/>
    <x v="1"/>
    <x v="3"/>
    <s v="Noida"/>
    <n v="106000"/>
    <n v="8.4"/>
    <n v="8"/>
    <n v="5.0999999999999996"/>
    <n v="1.9"/>
    <x v="2"/>
    <x v="1"/>
    <n v="4"/>
    <x v="0"/>
    <n v="4"/>
    <m/>
    <x v="1"/>
    <x v="3"/>
    <x v="0"/>
    <n v="0"/>
  </r>
  <r>
    <s v="EMP1477"/>
    <d v="2022-11-12T00:00:00"/>
    <x v="1"/>
    <n v="27"/>
    <s v="Male"/>
    <s v="Divorced"/>
    <s v="Diploma"/>
    <x v="0"/>
    <x v="0"/>
    <x v="0"/>
    <s v="Hyderabad"/>
    <n v="28000"/>
    <n v="8.3000000000000007"/>
    <n v="6.4"/>
    <n v="2.9"/>
    <n v="0.2"/>
    <x v="2"/>
    <x v="1"/>
    <n v="2"/>
    <x v="1"/>
    <n v="2"/>
    <d v="2025-09-27T00:00:00"/>
    <x v="1"/>
    <x v="0"/>
    <x v="4"/>
    <n v="1"/>
  </r>
  <r>
    <s v="EMP1478"/>
    <d v="2021-04-23T00:00:00"/>
    <x v="0"/>
    <n v="45"/>
    <s v="Female"/>
    <s v="Divorced"/>
    <s v="PhD"/>
    <x v="3"/>
    <x v="4"/>
    <x v="0"/>
    <s v="Bengaluru"/>
    <n v="27000"/>
    <n v="11"/>
    <n v="10.1"/>
    <n v="4.7"/>
    <n v="1.5"/>
    <x v="0"/>
    <x v="2"/>
    <n v="4"/>
    <x v="0"/>
    <n v="4"/>
    <m/>
    <x v="0"/>
    <x v="0"/>
    <x v="0"/>
    <n v="0"/>
  </r>
  <r>
    <s v="EMP1479"/>
    <d v="2014-10-16T00:00:00"/>
    <x v="0"/>
    <n v="42"/>
    <s v="Female"/>
    <s v="Single"/>
    <s v="Master's"/>
    <x v="4"/>
    <x v="25"/>
    <x v="2"/>
    <s v="Pune"/>
    <n v="77000"/>
    <n v="8.1"/>
    <n v="17.2"/>
    <n v="11.2"/>
    <n v="1.8"/>
    <x v="2"/>
    <x v="0"/>
    <n v="3"/>
    <x v="1"/>
    <n v="3"/>
    <m/>
    <x v="0"/>
    <x v="4"/>
    <x v="2"/>
    <n v="0"/>
  </r>
  <r>
    <s v="EMP1480"/>
    <d v="2017-11-08T00:00:00"/>
    <x v="1"/>
    <n v="39"/>
    <s v="Female"/>
    <s v="Divorced"/>
    <s v="Bachelor's"/>
    <x v="6"/>
    <x v="12"/>
    <x v="1"/>
    <s v="Chennai"/>
    <n v="36000"/>
    <n v="11.6"/>
    <n v="11.9"/>
    <n v="8.1"/>
    <n v="4.5999999999999996"/>
    <x v="2"/>
    <x v="2"/>
    <n v="4"/>
    <x v="1"/>
    <n v="4"/>
    <d v="2025-12-18T00:00:00"/>
    <x v="0"/>
    <x v="0"/>
    <x v="1"/>
    <n v="1"/>
  </r>
  <r>
    <s v="EMP1481"/>
    <d v="2016-04-10T00:00:00"/>
    <x v="1"/>
    <n v="42"/>
    <s v="Non-Binary"/>
    <s v="Divorced"/>
    <s v="PhD"/>
    <x v="6"/>
    <x v="22"/>
    <x v="3"/>
    <s v="Pune"/>
    <n v="112000"/>
    <n v="11.6"/>
    <n v="12.7"/>
    <n v="9.1999999999999993"/>
    <n v="1.5"/>
    <x v="3"/>
    <x v="1"/>
    <n v="4"/>
    <x v="0"/>
    <n v="4"/>
    <d v="2025-07-04T00:00:00"/>
    <x v="0"/>
    <x v="3"/>
    <x v="1"/>
    <n v="1"/>
  </r>
  <r>
    <s v="EMP1482"/>
    <d v="2025-07-21T00:00:00"/>
    <x v="0"/>
    <n v="21"/>
    <s v="Female"/>
    <s v="Married"/>
    <s v="PhD"/>
    <x v="2"/>
    <x v="20"/>
    <x v="0"/>
    <s v="Chennai"/>
    <n v="25000"/>
    <n v="11.7"/>
    <n v="1.9"/>
    <n v="0.4"/>
    <n v="0"/>
    <x v="2"/>
    <x v="1"/>
    <n v="2"/>
    <x v="1"/>
    <n v="2"/>
    <m/>
    <x v="2"/>
    <x v="0"/>
    <x v="3"/>
    <n v="0"/>
  </r>
  <r>
    <s v="EMP1483"/>
    <d v="2020-07-24T00:00:00"/>
    <x v="0"/>
    <n v="41"/>
    <s v="Non-Binary"/>
    <s v="Single"/>
    <s v="Bachelor's"/>
    <x v="2"/>
    <x v="20"/>
    <x v="1"/>
    <s v="Chennai"/>
    <n v="55000"/>
    <n v="5.0999999999999996"/>
    <n v="7.2"/>
    <n v="5.4"/>
    <n v="2.9"/>
    <x v="2"/>
    <x v="0"/>
    <n v="2"/>
    <x v="1"/>
    <n v="2"/>
    <m/>
    <x v="0"/>
    <x v="1"/>
    <x v="0"/>
    <n v="0"/>
  </r>
  <r>
    <s v="EMP1484"/>
    <d v="2025-09-12T00:00:00"/>
    <x v="0"/>
    <n v="34"/>
    <s v="Male"/>
    <s v="Divorced"/>
    <s v="Master's"/>
    <x v="5"/>
    <x v="18"/>
    <x v="2"/>
    <s v="Chennai"/>
    <n v="66000"/>
    <n v="15.7"/>
    <n v="1.7"/>
    <n v="0.3"/>
    <n v="0"/>
    <x v="3"/>
    <x v="1"/>
    <n v="4"/>
    <x v="1"/>
    <n v="3"/>
    <m/>
    <x v="1"/>
    <x v="4"/>
    <x v="3"/>
    <n v="0"/>
  </r>
  <r>
    <s v="EMP1485"/>
    <d v="2021-12-11T00:00:00"/>
    <x v="0"/>
    <n v="42"/>
    <s v="Non-Binary"/>
    <s v="Divorced"/>
    <s v="Bachelor's"/>
    <x v="5"/>
    <x v="26"/>
    <x v="1"/>
    <s v="Pune"/>
    <n v="45000"/>
    <n v="14"/>
    <n v="5.0999999999999996"/>
    <n v="4.0999999999999996"/>
    <n v="1.6"/>
    <x v="0"/>
    <x v="2"/>
    <n v="3"/>
    <x v="0"/>
    <n v="3"/>
    <m/>
    <x v="0"/>
    <x v="1"/>
    <x v="0"/>
    <n v="0"/>
  </r>
  <r>
    <s v="EMP1486"/>
    <d v="2025-03-29T00:00:00"/>
    <x v="0"/>
    <n v="24"/>
    <s v="Non-Binary"/>
    <s v="Divorced"/>
    <s v="Master's"/>
    <x v="4"/>
    <x v="14"/>
    <x v="0"/>
    <s v="Pune"/>
    <n v="39000"/>
    <n v="9"/>
    <n v="8.6"/>
    <n v="0.8"/>
    <n v="0"/>
    <x v="0"/>
    <x v="1"/>
    <n v="4"/>
    <x v="0"/>
    <n v="3"/>
    <m/>
    <x v="2"/>
    <x v="0"/>
    <x v="3"/>
    <n v="0"/>
  </r>
  <r>
    <s v="EMP1487"/>
    <d v="2023-02-23T00:00:00"/>
    <x v="0"/>
    <n v="36"/>
    <s v="Male"/>
    <s v="Married"/>
    <s v="Bachelor's"/>
    <x v="3"/>
    <x v="6"/>
    <x v="2"/>
    <s v="Pune"/>
    <n v="88000"/>
    <n v="6.6"/>
    <n v="8.5"/>
    <n v="2.9"/>
    <n v="0.1"/>
    <x v="2"/>
    <x v="0"/>
    <n v="4"/>
    <x v="1"/>
    <n v="4"/>
    <m/>
    <x v="0"/>
    <x v="2"/>
    <x v="4"/>
    <n v="0"/>
  </r>
  <r>
    <s v="EMP1488"/>
    <d v="2025-08-31T00:00:00"/>
    <x v="0"/>
    <n v="21"/>
    <s v="Male"/>
    <s v="Divorced"/>
    <s v="PhD"/>
    <x v="4"/>
    <x v="24"/>
    <x v="0"/>
    <s v="Noida"/>
    <n v="22000"/>
    <n v="9.5"/>
    <n v="1.7"/>
    <n v="0.3"/>
    <n v="0"/>
    <x v="1"/>
    <x v="0"/>
    <n v="3"/>
    <x v="1"/>
    <n v="2"/>
    <m/>
    <x v="2"/>
    <x v="0"/>
    <x v="3"/>
    <n v="0"/>
  </r>
  <r>
    <s v="EMP1489"/>
    <d v="2021-11-18T00:00:00"/>
    <x v="0"/>
    <n v="28"/>
    <s v="Non-Binary"/>
    <s v="Single"/>
    <s v="PhD"/>
    <x v="6"/>
    <x v="19"/>
    <x v="1"/>
    <s v="Pune"/>
    <n v="60000"/>
    <n v="11.1"/>
    <n v="10.4"/>
    <n v="4.0999999999999996"/>
    <n v="1.5"/>
    <x v="2"/>
    <x v="1"/>
    <n v="3"/>
    <x v="0"/>
    <n v="2"/>
    <m/>
    <x v="1"/>
    <x v="4"/>
    <x v="0"/>
    <n v="0"/>
  </r>
  <r>
    <s v="EMP1490"/>
    <d v="2020-12-18T00:00:00"/>
    <x v="0"/>
    <n v="32"/>
    <s v="Female"/>
    <s v="Divorced"/>
    <s v="Bachelor's"/>
    <x v="5"/>
    <x v="8"/>
    <x v="1"/>
    <s v="Hyderabad"/>
    <n v="65000"/>
    <n v="7.2"/>
    <n v="11.8"/>
    <n v="5"/>
    <n v="4"/>
    <x v="2"/>
    <x v="0"/>
    <n v="4"/>
    <x v="1"/>
    <n v="3"/>
    <m/>
    <x v="1"/>
    <x v="4"/>
    <x v="0"/>
    <n v="0"/>
  </r>
  <r>
    <s v="EMP1491"/>
    <d v="2023-11-29T00:00:00"/>
    <x v="0"/>
    <n v="27"/>
    <s v="Non-Binary"/>
    <s v="Divorced"/>
    <s v="Diploma"/>
    <x v="4"/>
    <x v="5"/>
    <x v="0"/>
    <s v="Chennai"/>
    <n v="51000"/>
    <n v="9.1"/>
    <n v="6.3"/>
    <n v="2.1"/>
    <n v="0.5"/>
    <x v="2"/>
    <x v="0"/>
    <n v="4"/>
    <x v="1"/>
    <n v="4"/>
    <m/>
    <x v="1"/>
    <x v="1"/>
    <x v="4"/>
    <n v="0"/>
  </r>
  <r>
    <s v="EMP1492"/>
    <d v="2015-01-03T00:00:00"/>
    <x v="0"/>
    <n v="43"/>
    <s v="Non-Binary"/>
    <s v="Single"/>
    <s v="Master's"/>
    <x v="2"/>
    <x v="23"/>
    <x v="1"/>
    <s v="Unkown"/>
    <n v="53000"/>
    <n v="12.4"/>
    <n v="18.100000000000001"/>
    <n v="11"/>
    <n v="4.9000000000000004"/>
    <x v="1"/>
    <x v="3"/>
    <n v="3"/>
    <x v="1"/>
    <n v="4"/>
    <m/>
    <x v="0"/>
    <x v="1"/>
    <x v="2"/>
    <n v="0"/>
  </r>
  <r>
    <s v="EMP1493"/>
    <d v="2024-03-17T00:00:00"/>
    <x v="0"/>
    <n v="35"/>
    <s v="Non-Binary"/>
    <s v="Divorced"/>
    <s v="Bachelor's"/>
    <x v="2"/>
    <x v="17"/>
    <x v="1"/>
    <s v="Noida"/>
    <n v="46000"/>
    <n v="12.9"/>
    <n v="4.8"/>
    <n v="1.8"/>
    <n v="0.2"/>
    <x v="0"/>
    <x v="1"/>
    <n v="3"/>
    <x v="1"/>
    <n v="4"/>
    <m/>
    <x v="1"/>
    <x v="1"/>
    <x v="4"/>
    <n v="0"/>
  </r>
  <r>
    <s v="EMP1494"/>
    <d v="2022-04-30T00:00:00"/>
    <x v="1"/>
    <n v="38"/>
    <s v="Male"/>
    <s v="Single"/>
    <s v="Master's"/>
    <x v="2"/>
    <x v="23"/>
    <x v="1"/>
    <s v="Chennai"/>
    <n v="32000"/>
    <n v="10.8"/>
    <n v="4.2"/>
    <n v="3.7"/>
    <n v="2.5"/>
    <x v="3"/>
    <x v="0"/>
    <n v="3"/>
    <x v="1"/>
    <n v="5"/>
    <d v="2025-12-25T00:00:00"/>
    <x v="0"/>
    <x v="0"/>
    <x v="0"/>
    <n v="1"/>
  </r>
  <r>
    <s v="EMP1495"/>
    <d v="2022-03-10T00:00:00"/>
    <x v="0"/>
    <n v="45"/>
    <s v="Non-Binary"/>
    <s v="Divorced"/>
    <s v="Master's"/>
    <x v="4"/>
    <x v="24"/>
    <x v="3"/>
    <s v="Pune"/>
    <n v="111000"/>
    <n v="10"/>
    <n v="7"/>
    <n v="3.8"/>
    <n v="1.8"/>
    <x v="0"/>
    <x v="0"/>
    <n v="3"/>
    <x v="1"/>
    <n v="4"/>
    <m/>
    <x v="0"/>
    <x v="3"/>
    <x v="0"/>
    <n v="0"/>
  </r>
  <r>
    <s v="EMP1496"/>
    <d v="2022-09-14T00:00:00"/>
    <x v="0"/>
    <n v="26"/>
    <s v="Male"/>
    <s v="Divorced"/>
    <s v="Master's"/>
    <x v="1"/>
    <x v="1"/>
    <x v="0"/>
    <s v="Noida"/>
    <n v="54000"/>
    <n v="17"/>
    <n v="7.7"/>
    <n v="3.3"/>
    <n v="2.8"/>
    <x v="2"/>
    <x v="3"/>
    <n v="3"/>
    <x v="1"/>
    <n v="3"/>
    <m/>
    <x v="1"/>
    <x v="1"/>
    <x v="0"/>
    <n v="0"/>
  </r>
  <r>
    <s v="EMP1497"/>
    <d v="2021-05-15T00:00:00"/>
    <x v="0"/>
    <n v="44"/>
    <s v="Non-Binary"/>
    <s v="Married"/>
    <s v="PhD"/>
    <x v="0"/>
    <x v="7"/>
    <x v="2"/>
    <s v="Chennai"/>
    <n v="67000"/>
    <n v="5.8"/>
    <n v="8.9"/>
    <n v="4.5999999999999996"/>
    <n v="4"/>
    <x v="0"/>
    <x v="0"/>
    <n v="1"/>
    <x v="1"/>
    <n v="4"/>
    <m/>
    <x v="0"/>
    <x v="4"/>
    <x v="0"/>
    <n v="0"/>
  </r>
  <r>
    <s v="EMP1498"/>
    <d v="2017-10-06T00:00:00"/>
    <x v="0"/>
    <n v="36"/>
    <s v="Male"/>
    <s v="Divorced"/>
    <s v="Master's"/>
    <x v="6"/>
    <x v="12"/>
    <x v="1"/>
    <s v="Mumbai"/>
    <n v="49000"/>
    <n v="11.2"/>
    <n v="15.6"/>
    <n v="8.1999999999999993"/>
    <n v="0.9"/>
    <x v="1"/>
    <x v="0"/>
    <n v="2"/>
    <x v="0"/>
    <n v="4"/>
    <m/>
    <x v="0"/>
    <x v="1"/>
    <x v="1"/>
    <n v="0"/>
  </r>
  <r>
    <s v="EMP1499"/>
    <d v="2023-06-02T00:00:00"/>
    <x v="0"/>
    <n v="26"/>
    <s v="Non-Binary"/>
    <s v="Divorced"/>
    <s v="PhD"/>
    <x v="5"/>
    <x v="26"/>
    <x v="0"/>
    <s v="Hyderabad"/>
    <n v="42000"/>
    <n v="12.5"/>
    <n v="5.0999999999999996"/>
    <n v="2.6"/>
    <n v="1.2"/>
    <x v="2"/>
    <x v="0"/>
    <n v="4"/>
    <x v="0"/>
    <n v="3"/>
    <m/>
    <x v="1"/>
    <x v="1"/>
    <x v="4"/>
    <n v="0"/>
  </r>
  <r>
    <s v="EMP1500"/>
    <d v="2021-07-31T00:00:00"/>
    <x v="0"/>
    <n v="41"/>
    <s v="Female"/>
    <s v="Divorced"/>
    <s v="Master's"/>
    <x v="6"/>
    <x v="21"/>
    <x v="3"/>
    <s v="Hyderabad"/>
    <n v="99000"/>
    <n v="10.9"/>
    <n v="6.6"/>
    <n v="4.4000000000000004"/>
    <n v="0"/>
    <x v="3"/>
    <x v="0"/>
    <n v="3"/>
    <x v="1"/>
    <n v="4"/>
    <m/>
    <x v="0"/>
    <x v="2"/>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A14" firstHeaderRow="1" firstDataRow="1" firstDataCol="1"/>
  <pivotFields count="24">
    <pivotField showAll="0"/>
    <pivotField numFmtId="164" showAll="0"/>
    <pivotField showAll="0"/>
    <pivotField showAll="0"/>
    <pivotField showAll="0"/>
    <pivotField showAll="0"/>
    <pivotField showAll="0"/>
    <pivotField showAll="0"/>
    <pivotField axis="axisRow" showAll="0">
      <items count="11">
        <item x="9"/>
        <item x="7"/>
        <item x="8"/>
        <item x="1"/>
        <item x="3"/>
        <item x="4"/>
        <item x="2"/>
        <item x="0"/>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6"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rowHeaderCaption="Overtime">
  <location ref="D32:G36" firstHeaderRow="1" firstDataRow="2" firstDataCol="1"/>
  <pivotFields count="26">
    <pivotField dataField="1" showAll="0"/>
    <pivotField numFmtId="22"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defaultSubtotal="0"/>
  </pivotFields>
  <rowFields count="1">
    <field x="19"/>
  </rowFields>
  <rowItems count="3">
    <i>
      <x/>
    </i>
    <i>
      <x v="1"/>
    </i>
    <i t="grand">
      <x/>
    </i>
  </rowItems>
  <colFields count="1">
    <field x="2"/>
  </colFields>
  <colItems count="3">
    <i>
      <x/>
    </i>
    <i>
      <x v="1"/>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8E2B3-0D40-4A8B-9DF9-A3B0894E6858}" name="PivotTable9"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L4" firstHeaderRow="1" firstDataRow="3" firstDataCol="0"/>
  <pivotFields count="26">
    <pivotField dataField="1" showAll="0"/>
    <pivotField numFmtId="22" showAll="0"/>
    <pivotField axis="axisCol" showAll="0">
      <items count="3">
        <item x="0"/>
        <item x="1"/>
        <item t="default"/>
      </items>
    </pivotField>
    <pivotField dataField="1" showAll="0"/>
    <pivotField showAll="0"/>
    <pivotField showAll="0"/>
    <pivotField showAll="0"/>
    <pivotField showAll="0">
      <items count="8">
        <item x="1"/>
        <item x="3"/>
        <item x="4"/>
        <item x="2"/>
        <item x="0"/>
        <item x="6"/>
        <item x="5"/>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dataField="1" showAll="0"/>
  </pivotFields>
  <rowItems count="1">
    <i/>
  </rowItems>
  <colFields count="2">
    <field x="2"/>
    <field x="-2"/>
  </colFields>
  <colItems count="9">
    <i>
      <x/>
      <x/>
    </i>
    <i r="1" i="1">
      <x v="1"/>
    </i>
    <i r="1" i="2">
      <x v="2"/>
    </i>
    <i>
      <x v="1"/>
      <x/>
    </i>
    <i r="1" i="1">
      <x v="1"/>
    </i>
    <i r="1" i="2">
      <x v="2"/>
    </i>
    <i t="grand">
      <x/>
    </i>
    <i t="grand" i="1">
      <x/>
    </i>
    <i t="grand" i="2">
      <x/>
    </i>
  </colItems>
  <dataFields count="3">
    <dataField name="Average of Age" fld="3" subtotal="average" baseField="2" baseItem="1"/>
    <dataField name="Count of Employee_ID" fld="0" subtotal="count" baseField="0" baseItem="0"/>
    <dataField name="Average of Attrition_Flag" fld="25" subtotal="average" baseField="2" baseItem="0"/>
  </dataFields>
  <formats count="2">
    <format dxfId="8">
      <pivotArea field="2" grandCol="1" outline="0" collapsedLevelsAreSubtotals="1" axis="axisCol" fieldPosition="0">
        <references count="1">
          <reference field="4294967294" count="1" selected="0">
            <x v="2"/>
          </reference>
        </references>
      </pivotArea>
    </format>
    <format dxfId="7">
      <pivotArea outline="0" collapsedLevelsAreSubtotals="1" fieldPosition="0">
        <references count="2">
          <reference field="4294967294" count="1" selected="0">
            <x v="0"/>
          </reference>
          <reference field="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rowHeaderCaption="Job Role">
  <location ref="A33:B39" firstHeaderRow="1" firstDataRow="1" firstDataCol="1" rowPageCount="1" colPageCount="1"/>
  <pivotFields count="26">
    <pivotField showAll="0"/>
    <pivotField numFmtId="22" showAll="0"/>
    <pivotField axis="axisPage" showAll="0">
      <items count="3">
        <item x="0"/>
        <item x="1"/>
        <item t="default"/>
      </items>
    </pivotField>
    <pivotField showAll="0"/>
    <pivotField showAll="0"/>
    <pivotField showAll="0"/>
    <pivotField showAll="0"/>
    <pivotField showAll="0">
      <items count="8">
        <item x="1"/>
        <item x="3"/>
        <item x="4"/>
        <item x="2"/>
        <item x="0"/>
        <item x="6"/>
        <item x="5"/>
        <item t="default"/>
      </items>
    </pivotField>
    <pivotField axis="axisRow" showAll="0" measureFilter="1" sortType="descending">
      <items count="29">
        <item x="26"/>
        <item x="20"/>
        <item x="8"/>
        <item x="13"/>
        <item x="9"/>
        <item x="21"/>
        <item x="19"/>
        <item x="14"/>
        <item x="18"/>
        <item x="16"/>
        <item x="7"/>
        <item x="0"/>
        <item x="3"/>
        <item x="23"/>
        <item x="17"/>
        <item x="2"/>
        <item x="5"/>
        <item x="25"/>
        <item x="24"/>
        <item x="15"/>
        <item x="6"/>
        <item x="4"/>
        <item x="1"/>
        <item x="10"/>
        <item x="12"/>
        <item x="27"/>
        <item x="11"/>
        <item x="22"/>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defaultSubtotal="0"/>
    <pivotField showAll="0" defaultSubtotal="0"/>
    <pivotField showAll="0" defaultSubtotal="0"/>
    <pivotField dataField="1" showAll="0" defaultSubtotal="0"/>
  </pivotFields>
  <rowFields count="1">
    <field x="8"/>
  </rowFields>
  <rowItems count="6">
    <i>
      <x v="6"/>
    </i>
    <i>
      <x v="18"/>
    </i>
    <i>
      <x v="9"/>
    </i>
    <i>
      <x v="27"/>
    </i>
    <i>
      <x v="13"/>
    </i>
    <i t="grand">
      <x/>
    </i>
  </rowItems>
  <colItems count="1">
    <i/>
  </colItems>
  <pageFields count="1">
    <pageField fld="2" hier="-1"/>
  </pageFields>
  <dataFields count="1">
    <dataField name="Average of Attrition_Flag" fld="25" subtotal="average" baseField="8" baseItem="2" numFmtId="10"/>
  </dataFields>
  <formats count="2">
    <format dxfId="10">
      <pivotArea outline="0" collapsedLevelsAreSubtotals="1" fieldPosition="0"/>
    </format>
    <format dxfId="9">
      <pivotArea dataOnly="0" labelOnly="1" outline="0" axis="axisValues" fieldPosition="0"/>
    </format>
  </formats>
  <chartFormats count="2">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8"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rowHeaderCaption="Env Satisfaction">
  <location ref="D9:G16" firstHeaderRow="1" firstDataRow="2" firstDataCol="1"/>
  <pivotFields count="26">
    <pivotField dataField="1" showAll="0"/>
    <pivotField numFmtId="22"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showAll="0"/>
    <pivotField showAll="0" defaultSubtotal="0"/>
  </pivotFields>
  <rowFields count="1">
    <field x="17"/>
  </rowFields>
  <rowItems count="6">
    <i>
      <x/>
    </i>
    <i>
      <x v="1"/>
    </i>
    <i>
      <x v="2"/>
    </i>
    <i>
      <x v="3"/>
    </i>
    <i>
      <x v="4"/>
    </i>
    <i t="grand">
      <x/>
    </i>
  </rowItems>
  <colFields count="1">
    <field x="2"/>
  </colFields>
  <colItems count="3">
    <i>
      <x/>
    </i>
    <i>
      <x v="1"/>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5"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I22:J28" firstHeaderRow="1" firstDataRow="1" firstDataCol="1" rowPageCount="1" colPageCount="1"/>
  <pivotFields count="26">
    <pivotField showAll="0"/>
    <pivotField numFmtId="22"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4"/>
        <item x="0"/>
        <item x="1"/>
        <item x="2"/>
        <item t="default"/>
      </items>
    </pivotField>
    <pivotField dataField="1" showAll="0" defaultSubtotal="0"/>
  </pivotFields>
  <rowFields count="1">
    <field x="24"/>
  </rowFields>
  <rowItems count="6">
    <i>
      <x/>
    </i>
    <i>
      <x v="1"/>
    </i>
    <i>
      <x v="2"/>
    </i>
    <i>
      <x v="3"/>
    </i>
    <i>
      <x v="4"/>
    </i>
    <i t="grand">
      <x/>
    </i>
  </rowItems>
  <colItems count="1">
    <i/>
  </colItems>
  <pageFields count="1">
    <pageField fld="2" hier="-1"/>
  </pageFields>
  <dataFields count="1">
    <dataField name="Average of Attrition_Flag" fld="25" subtotal="average" baseField="24" baseItem="1" numFmtId="10"/>
  </dataFields>
  <formats count="2">
    <format dxfId="12">
      <pivotArea outline="0" collapsedLevelsAreSubtotals="1" fieldPosition="0"/>
    </format>
    <format dxfId="11">
      <pivotArea dataOnly="0" labelOnly="1" outline="0" axis="axisValues" fieldPosition="0"/>
    </format>
  </formats>
  <chartFormats count="2">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4"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I9:L16" firstHeaderRow="1" firstDataRow="2" firstDataCol="1"/>
  <pivotFields count="26">
    <pivotField dataField="1" showAll="0"/>
    <pivotField numFmtId="22"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1"/>
        <item x="4"/>
        <item x="2"/>
        <item t="default"/>
      </items>
    </pivotField>
    <pivotField showAll="0" defaultSubtotal="0"/>
    <pivotField showAll="0" defaultSubtotal="0"/>
  </pivotFields>
  <rowFields count="1">
    <field x="23"/>
  </rowFields>
  <rowItems count="6">
    <i>
      <x/>
    </i>
    <i>
      <x v="1"/>
    </i>
    <i>
      <x v="2"/>
    </i>
    <i>
      <x v="3"/>
    </i>
    <i>
      <x v="4"/>
    </i>
    <i t="grand">
      <x/>
    </i>
  </rowItems>
  <colFields count="1">
    <field x="2"/>
  </colFields>
  <colItems count="3">
    <i>
      <x/>
    </i>
    <i>
      <x v="1"/>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3"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24:B29" firstHeaderRow="1" firstDataRow="1" firstDataCol="1" rowPageCount="1" colPageCount="1"/>
  <pivotFields count="26">
    <pivotField showAll="0"/>
    <pivotField numFmtId="22" showAll="0"/>
    <pivotField axis="axisPage" showAll="0">
      <items count="3">
        <item x="0"/>
        <item x="1"/>
        <item t="default"/>
      </items>
    </pivotField>
    <pivotField showAll="0"/>
    <pivotField showAll="0"/>
    <pivotField showAll="0"/>
    <pivotField showAll="0"/>
    <pivotField showAll="0">
      <items count="8">
        <item x="1"/>
        <item x="3"/>
        <item x="4"/>
        <item x="2"/>
        <item x="0"/>
        <item x="6"/>
        <item x="5"/>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items count="6">
        <item x="2"/>
        <item x="1"/>
        <item x="0"/>
        <item x="3"/>
        <item h="1" x="4"/>
        <item t="default"/>
      </items>
    </pivotField>
    <pivotField showAll="0" defaultSubtotal="0"/>
    <pivotField showAll="0" defaultSubtotal="0"/>
    <pivotField dataField="1" showAll="0" defaultSubtotal="0"/>
  </pivotFields>
  <rowFields count="1">
    <field x="22"/>
  </rowFields>
  <rowItems count="5">
    <i>
      <x/>
    </i>
    <i>
      <x v="1"/>
    </i>
    <i>
      <x v="2"/>
    </i>
    <i>
      <x v="3"/>
    </i>
    <i t="grand">
      <x/>
    </i>
  </rowItems>
  <colItems count="1">
    <i/>
  </colItems>
  <pageFields count="1">
    <pageField fld="2" hier="-1"/>
  </pageFields>
  <dataFields count="1">
    <dataField name="Average of Attrition_Flag" fld="25" subtotal="average" baseField="22" baseItem="0" numFmtId="10"/>
  </dataFields>
  <formats count="1">
    <format dxfId="13">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7"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rowHeaderCaption="Job Satisfaction">
  <location ref="D21:G28" firstHeaderRow="1" firstDataRow="2" firstDataCol="1"/>
  <pivotFields count="26">
    <pivotField dataField="1" showAll="0"/>
    <pivotField numFmtId="22"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defaultSubtotal="0"/>
  </pivotFields>
  <rowFields count="1">
    <field x="16"/>
  </rowFields>
  <rowItems count="6">
    <i>
      <x/>
    </i>
    <i>
      <x v="1"/>
    </i>
    <i>
      <x v="2"/>
    </i>
    <i>
      <x v="3"/>
    </i>
    <i>
      <x v="4"/>
    </i>
    <i t="grand">
      <x/>
    </i>
  </rowItems>
  <colFields count="1">
    <field x="2"/>
  </colFields>
  <colItems count="3">
    <i>
      <x/>
    </i>
    <i>
      <x v="1"/>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rowHeaderCaption="Department">
  <location ref="A12:B20" firstHeaderRow="1" firstDataRow="1" firstDataCol="1" rowPageCount="1" colPageCount="1"/>
  <pivotFields count="26">
    <pivotField showAll="0"/>
    <pivotField numFmtId="22" showAll="0"/>
    <pivotField axis="axisPage" showAll="0">
      <items count="3">
        <item x="0"/>
        <item x="1"/>
        <item t="default"/>
      </items>
    </pivotField>
    <pivotField showAll="0"/>
    <pivotField showAll="0"/>
    <pivotField showAll="0"/>
    <pivotField showAll="0"/>
    <pivotField axis="axisRow" showAll="0">
      <items count="8">
        <item x="1"/>
        <item x="3"/>
        <item x="4"/>
        <item x="2"/>
        <item x="0"/>
        <item x="6"/>
        <item x="5"/>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defaultSubtotal="0"/>
    <pivotField showAll="0" defaultSubtotal="0"/>
    <pivotField showAll="0" defaultSubtotal="0"/>
    <pivotField dataField="1" showAll="0" defaultSubtotal="0"/>
  </pivotFields>
  <rowFields count="1">
    <field x="7"/>
  </rowFields>
  <rowItems count="8">
    <i>
      <x/>
    </i>
    <i>
      <x v="1"/>
    </i>
    <i>
      <x v="2"/>
    </i>
    <i>
      <x v="3"/>
    </i>
    <i>
      <x v="4"/>
    </i>
    <i>
      <x v="5"/>
    </i>
    <i>
      <x v="6"/>
    </i>
    <i t="grand">
      <x/>
    </i>
  </rowItems>
  <colItems count="1">
    <i/>
  </colItems>
  <pageFields count="1">
    <pageField fld="2" hier="-1"/>
  </pageFields>
  <dataFields count="1">
    <dataField name="Average of Attrition_Flag" fld="25" subtotal="average" baseField="7" baseItem="0"/>
  </dataFields>
  <formats count="1">
    <format dxfId="14">
      <pivotArea field="2" grandCol="1" outline="0" collapsedLevelsAreSubtotals="1" axis="axisPage" fieldPosition="0">
        <references count="1">
          <reference field="4294967294" count="1" selected="0">
            <x v="0"/>
          </reference>
        </references>
      </pivotArea>
    </format>
  </formats>
  <chartFormats count="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14:B20" firstHeaderRow="1" firstDataRow="1" firstDataCol="1"/>
  <pivotFields count="26">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showAll="0"/>
    <pivotField dataField="1" showAll="0"/>
  </pivotFields>
  <rowFields count="1">
    <field x="22"/>
  </rowFields>
  <rowItems count="6">
    <i>
      <x/>
    </i>
    <i>
      <x v="1"/>
    </i>
    <i>
      <x v="2"/>
    </i>
    <i>
      <x v="3"/>
    </i>
    <i>
      <x v="4"/>
    </i>
    <i t="grand">
      <x/>
    </i>
  </rowItems>
  <colItems count="1">
    <i/>
  </colItems>
  <dataFields count="1">
    <dataField name="Average of Attrition_Flag" fld="25" subtotal="average" baseField="22" baseItem="0" numFmtId="10"/>
  </dataFields>
  <formats count="1">
    <format dxfId="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11" firstHeaderRow="1" firstDataRow="1" firstDataCol="1"/>
  <pivotFields count="26">
    <pivotField showAll="0"/>
    <pivotField numFmtId="22" showAll="0"/>
    <pivotField showAll="0"/>
    <pivotField showAll="0"/>
    <pivotField showAll="0"/>
    <pivotField showAll="0"/>
    <pivotField showAll="0"/>
    <pivotField axis="axisRow" showAll="0">
      <items count="8">
        <item x="1"/>
        <item x="3"/>
        <item x="4"/>
        <item x="2"/>
        <item x="0"/>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7"/>
  </rowFields>
  <rowItems count="8">
    <i>
      <x/>
    </i>
    <i>
      <x v="1"/>
    </i>
    <i>
      <x v="2"/>
    </i>
    <i>
      <x v="3"/>
    </i>
    <i>
      <x v="4"/>
    </i>
    <i>
      <x v="5"/>
    </i>
    <i>
      <x v="6"/>
    </i>
    <i t="grand">
      <x/>
    </i>
  </rowItems>
  <colItems count="1">
    <i/>
  </colItems>
  <dataFields count="1">
    <dataField name="Average of Attrition_Flag" fld="25" subtotal="average" baseField="7" baseItem="4" numFmtId="10"/>
  </dataFields>
  <formats count="1">
    <format dxfId="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700-000001000000}" autoFormatId="0" applyNumberFormats="0" applyBorderFormats="0" applyFontFormats="1" applyPatternFormats="1" applyAlignmentFormats="0" applyWidthHeightFormats="0">
  <queryTableRefresh preserveSortFilterLayout="0" nextId="27">
    <queryTableFields count="26">
      <queryTableField id="1" name="Employee_ID" tableColumnId="27"/>
      <queryTableField id="2" name="Joining_Date" tableColumnId="28"/>
      <queryTableField id="3" name="Attrition" tableColumnId="29"/>
      <queryTableField id="4" name="Age" tableColumnId="30"/>
      <queryTableField id="5" name="Gender" tableColumnId="31"/>
      <queryTableField id="6" name="Marital_Status" tableColumnId="32"/>
      <queryTableField id="7" name="Education" tableColumnId="33"/>
      <queryTableField id="8" name="Department" tableColumnId="34"/>
      <queryTableField id="9" name="Job_Role" tableColumnId="35"/>
      <queryTableField id="10" name="Job_Level" tableColumnId="36"/>
      <queryTableField id="11" name="Location" tableColumnId="37"/>
      <queryTableField id="12" name="Monthly_Salary" tableColumnId="38"/>
      <queryTableField id="13" name="Salary_Hike_Pct" tableColumnId="39"/>
      <queryTableField id="14" name="Total_Work_Experience" tableColumnId="40"/>
      <queryTableField id="15" name="Years_at_Company" tableColumnId="41"/>
      <queryTableField id="16" name="Years_Since_Last_Promotion" tableColumnId="42"/>
      <queryTableField id="17" name="Job_Satisfaction" tableColumnId="43"/>
      <queryTableField id="18" name="Environment_Satisfaction" tableColumnId="44"/>
      <queryTableField id="19" name="Work_Life_Balance" tableColumnId="45"/>
      <queryTableField id="20" name="Overtime" tableColumnId="46"/>
      <queryTableField id="21" name="Performance_Rating" tableColumnId="47"/>
      <queryTableField id="22" name="Exit_Date" tableColumnId="48"/>
      <queryTableField id="23" name="Age_Band" tableColumnId="49"/>
      <queryTableField id="24" name="Salary_Band" tableColumnId="50"/>
      <queryTableField id="25" name="Tenure_Band" tableColumnId="51"/>
      <queryTableField id="26" name="Attrition_Flag" tableColumnId="5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400-000000000000}" autoFormatId="0" applyNumberFormats="0" applyBorderFormats="0" applyFontFormats="1" applyPatternFormats="1" applyAlignmentFormats="0" applyWidthHeightFormats="0">
  <queryTableRefresh preserveSortFilterLayout="0" nextId="25">
    <queryTableFields count="24">
      <queryTableField id="1" name="Employee_ID" tableColumnId="25"/>
      <queryTableField id="2" name="Joining_Date" tableColumnId="26"/>
      <queryTableField id="3" name="Exit_Date" tableColumnId="27"/>
      <queryTableField id="4" name="Attrition" tableColumnId="28"/>
      <queryTableField id="5" name="Age" tableColumnId="29"/>
      <queryTableField id="6" name="Gender" tableColumnId="30"/>
      <queryTableField id="7" name="Marital_Status" tableColumnId="31"/>
      <queryTableField id="8" name="Education" tableColumnId="32"/>
      <queryTableField id="9" name="Department" tableColumnId="33"/>
      <queryTableField id="10" name="Job_Role" tableColumnId="34"/>
      <queryTableField id="11" name="Job_Level" tableColumnId="35"/>
      <queryTableField id="12" name="Location" tableColumnId="36"/>
      <queryTableField id="13" name="Monthly_Salary" tableColumnId="37"/>
      <queryTableField id="14" name="Salary_Hike_Pct" tableColumnId="38"/>
      <queryTableField id="15" name="Total_Work_Experience" tableColumnId="39"/>
      <queryTableField id="16" name="Years_at_Company" tableColumnId="40"/>
      <queryTableField id="17" name="Years_Since_Last_Promotion" tableColumnId="41"/>
      <queryTableField id="18" name="Job_Satisfaction" tableColumnId="42"/>
      <queryTableField id="19" name="Environment_Satisfaction" tableColumnId="43"/>
      <queryTableField id="20" name="Work_Life_Balance" tableColumnId="44"/>
      <queryTableField id="21" name="Overtime" tableColumnId="45"/>
      <queryTableField id="22" name="Performance_Rating" tableColumnId="46"/>
      <queryTableField id="23" name="Column1" tableColumnId="47"/>
      <queryTableField id="24" name="Column2"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11" name="PivotTable1"/>
  </pivotTables>
  <data>
    <tabular pivotCacheId="1">
      <items count="7">
        <i x="1" s="1"/>
        <i x="3" s="1"/>
        <i x="4" s="1"/>
        <i x="2" s="1"/>
        <i x="0"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8DD8E78-953B-4435-A339-BAFBBA9EFCE3}" sourceName="Department">
  <pivotTables>
    <pivotTable tabId="8" name="PivotTable1"/>
    <pivotTable tabId="8" name="PivotTable2"/>
    <pivotTable tabId="8" name="PivotTable3"/>
    <pivotTable tabId="8" name="PivotTable9"/>
  </pivotTables>
  <data>
    <tabular pivotCacheId="1">
      <items count="7">
        <i x="1" s="1"/>
        <i x="3" s="1"/>
        <i x="4" s="1"/>
        <i x="2"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2014E863-BE8C-45FE-A095-56C2BE7A1D52}" sourceName="Job_Level">
  <pivotTables>
    <pivotTable tabId="8" name="PivotTable1"/>
    <pivotTable tabId="8" name="PivotTable2"/>
    <pivotTable tabId="8" name="PivotTable3"/>
    <pivotTable tabId="8" name="PivotTable9"/>
  </pivotTables>
  <data>
    <tabular pivotCacheId="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EFDD403A-07F5-4038-8E27-4E3CCF21AC1F}" sourceName="Overtime">
  <pivotTables>
    <pivotTable tabId="8" name="PivotTable1"/>
    <pivotTable tabId="8" name="PivotTable2"/>
    <pivotTable tabId="8" name="PivotTable3"/>
    <pivotTable tabId="8" name="PivotTable9"/>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F54957A-9EB9-426D-A773-99F2C7F8A8A2}" cache="Slicer_Department1" caption="Department" style="SlicerStyleDark1" rowHeight="241300"/>
  <slicer name="Job_Level" xr10:uid="{05E7BFF6-218F-4ECC-AB07-C106AEB54B5E}" cache="Slicer_Job_Level" caption="Job_Level" style="SlicerStyleDark1" rowHeight="241300"/>
  <slicer name="Overtime" xr10:uid="{36A2479B-CE35-46F2-A5FA-C4E32AAC9FD9}" cache="Slicer_Overtime" caption="Overtim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HR_Clean" displayName="tbl_HR_Clean" ref="A1:Z1501" tableType="queryTable" totalsRowShown="0">
  <autoFilter ref="A1:Z1501" xr:uid="{00000000-000C-0000-FFFF-FFFF02000000}"/>
  <tableColumns count="26">
    <tableColumn id="27" xr3:uid="{57D21613-EBBA-4F36-BED5-390892CEC098}" uniqueName="27" name="Employee_ID" queryTableFieldId="1"/>
    <tableColumn id="28" xr3:uid="{22D581C7-B6BC-47D0-BF76-48B701A239FF}" uniqueName="28" name="Joining_Date" queryTableFieldId="2" dataDxfId="6"/>
    <tableColumn id="29" xr3:uid="{DB5EDB00-151C-455F-9585-648D04F3D12C}" uniqueName="29" name="Attrition" queryTableFieldId="3"/>
    <tableColumn id="30" xr3:uid="{3BDE9C0E-9B14-4930-B3CF-7DE4856CB115}" uniqueName="30" name="Age" queryTableFieldId="4"/>
    <tableColumn id="31" xr3:uid="{209AC364-DC70-4A6A-83A0-05EF4ECC1655}" uniqueName="31" name="Gender" queryTableFieldId="5"/>
    <tableColumn id="32" xr3:uid="{751B5277-A5A2-454D-A9AB-19FDEC89DBF3}" uniqueName="32" name="Marital_Status" queryTableFieldId="6"/>
    <tableColumn id="33" xr3:uid="{EF0333DF-4869-4070-9347-5E6AB1DBC32D}" uniqueName="33" name="Education" queryTableFieldId="7"/>
    <tableColumn id="34" xr3:uid="{A28F87AF-A76C-4A0B-B4DD-7B7A3AC2AEF0}" uniqueName="34" name="Department" queryTableFieldId="8"/>
    <tableColumn id="35" xr3:uid="{2998A696-8A49-4B92-B41A-3C47D2953038}" uniqueName="35" name="Job_Role" queryTableFieldId="9"/>
    <tableColumn id="36" xr3:uid="{6FC8A3A8-FEC6-4DA2-BD7E-B96A1EA94490}" uniqueName="36" name="Job_Level" queryTableFieldId="10"/>
    <tableColumn id="37" xr3:uid="{6E62E0D4-E603-4DB7-8C2F-27DF93225B18}" uniqueName="37" name="Location" queryTableFieldId="11"/>
    <tableColumn id="38" xr3:uid="{C02DBD50-7CE8-436B-94CA-319699968C27}" uniqueName="38" name="Monthly_Salary" queryTableFieldId="12"/>
    <tableColumn id="39" xr3:uid="{F04559DE-5777-47D7-AE52-FD21154A234F}" uniqueName="39" name="Salary_Hike_Pct" queryTableFieldId="13"/>
    <tableColumn id="40" xr3:uid="{6EE778E5-5EF1-4A90-A162-4B087A6B4BCF}" uniqueName="40" name="Total_Work_Experience" queryTableFieldId="14"/>
    <tableColumn id="41" xr3:uid="{2366D3B5-2851-422A-8B6B-6E35BEA49186}" uniqueName="41" name="Years_at_Company" queryTableFieldId="15"/>
    <tableColumn id="42" xr3:uid="{8D370407-C177-47E0-9BD0-1387A9337B00}" uniqueName="42" name="Years_Since_Last_Promotion" queryTableFieldId="16"/>
    <tableColumn id="43" xr3:uid="{8B5EA896-4F7B-4919-808A-9E939403DD35}" uniqueName="43" name="Job_Satisfaction" queryTableFieldId="17"/>
    <tableColumn id="44" xr3:uid="{652A5D66-AE3B-4A98-801A-9DB435465B62}" uniqueName="44" name="Environment_Satisfaction" queryTableFieldId="18"/>
    <tableColumn id="45" xr3:uid="{92BE95FE-6AE4-4047-9CF0-2EB231E1DDB1}" uniqueName="45" name="Work_Life_Balance" queryTableFieldId="19"/>
    <tableColumn id="46" xr3:uid="{AF40D236-69A9-4B6A-B119-EBEF5D2833EF}" uniqueName="46" name="Overtime" queryTableFieldId="20"/>
    <tableColumn id="47" xr3:uid="{A66B36DF-6218-47AF-8A64-634CEE8F9881}" uniqueName="47" name="Performance_Rating" queryTableFieldId="21"/>
    <tableColumn id="48" xr3:uid="{640D81AC-808C-410A-8DF3-795AB06BA2D2}" uniqueName="48" name="Exit_Date" queryTableFieldId="22" dataDxfId="5"/>
    <tableColumn id="49" xr3:uid="{6382E8C6-2C65-4146-8903-71A3CEA8FDCB}" uniqueName="49" name="Age_Band" queryTableFieldId="23"/>
    <tableColumn id="50" xr3:uid="{126222E5-8500-49B7-80DC-AB9155B66234}" uniqueName="50" name="Salary_Band" queryTableFieldId="24"/>
    <tableColumn id="51" xr3:uid="{65B0C307-67FF-40A8-81F3-51DF5105C72C}" uniqueName="51" name="Tenure_Band" queryTableFieldId="25"/>
    <tableColumn id="52" xr3:uid="{E6FBC048-95DA-463D-9B47-BAC1A1581425}" uniqueName="52" name="Attrition_Flag"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HR_Raw" displayName="tbl_HR_Raw" ref="A1:X1507" totalsRowShown="0" headerRowDxfId="4">
  <autoFilter ref="A1:X1507" xr:uid="{00000000-0009-0000-0100-000001000000}"/>
  <sortState xmlns:xlrd2="http://schemas.microsoft.com/office/spreadsheetml/2017/richdata2" ref="A2:X1507">
    <sortCondition ref="A1:A1507"/>
  </sortState>
  <tableColumns count="24">
    <tableColumn id="1" xr3:uid="{00000000-0010-0000-0000-000001000000}" name="Employee_ID"/>
    <tableColumn id="2" xr3:uid="{00000000-0010-0000-0000-000002000000}" name="Joining_Date" dataDxfId="3"/>
    <tableColumn id="3" xr3:uid="{00000000-0010-0000-0000-000003000000}" name="Exit_Date"/>
    <tableColumn id="4" xr3:uid="{00000000-0010-0000-0000-000004000000}" name="Attrition"/>
    <tableColumn id="5" xr3:uid="{00000000-0010-0000-0000-000005000000}" name="Age"/>
    <tableColumn id="6" xr3:uid="{00000000-0010-0000-0000-000006000000}" name="Gender"/>
    <tableColumn id="7" xr3:uid="{00000000-0010-0000-0000-000007000000}" name="Marital_Status"/>
    <tableColumn id="8" xr3:uid="{00000000-0010-0000-0000-000008000000}" name="Education"/>
    <tableColumn id="9" xr3:uid="{00000000-0010-0000-0000-000009000000}" name="Department"/>
    <tableColumn id="10" xr3:uid="{00000000-0010-0000-0000-00000A000000}" name="Job_Role"/>
    <tableColumn id="11" xr3:uid="{00000000-0010-0000-0000-00000B000000}" name="Job_Level"/>
    <tableColumn id="12" xr3:uid="{00000000-0010-0000-0000-00000C000000}" name="Location"/>
    <tableColumn id="13" xr3:uid="{00000000-0010-0000-0000-00000D000000}" name="Monthly_Salary"/>
    <tableColumn id="14" xr3:uid="{00000000-0010-0000-0000-00000E000000}" name="Salary_Hike_Pct"/>
    <tableColumn id="15" xr3:uid="{00000000-0010-0000-0000-00000F000000}" name="Total_Work_Experience"/>
    <tableColumn id="16" xr3:uid="{00000000-0010-0000-0000-000010000000}" name="Years_at_Company"/>
    <tableColumn id="17" xr3:uid="{00000000-0010-0000-0000-000011000000}" name="Years_Since_Last_Promotion"/>
    <tableColumn id="18" xr3:uid="{00000000-0010-0000-0000-000012000000}" name="Job_Satisfaction"/>
    <tableColumn id="19" xr3:uid="{00000000-0010-0000-0000-000013000000}" name="Environment_Satisfaction"/>
    <tableColumn id="20" xr3:uid="{00000000-0010-0000-0000-000014000000}" name="Work_Life_Balance"/>
    <tableColumn id="21" xr3:uid="{00000000-0010-0000-0000-000015000000}" name="Overtime"/>
    <tableColumn id="22" xr3:uid="{00000000-0010-0000-0000-000016000000}" name="Performance_Rating"/>
    <tableColumn id="23" xr3:uid="{00000000-0010-0000-0000-000017000000}" name="Column1">
      <calculatedColumnFormula>COUNTIF($A$2:A2,A2)</calculatedColumnFormula>
    </tableColumn>
    <tableColumn id="24" xr3:uid="{00000000-0010-0000-0000-000018000000}" name="Column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HR_Raw_2" displayName="tbl_HR_Raw_2" ref="A1:X1507" tableType="queryTable" totalsRowShown="0">
  <autoFilter ref="A1:X1507" xr:uid="{00000000-000C-0000-FFFF-FFFF01000000}"/>
  <tableColumns count="24">
    <tableColumn id="25" xr3:uid="{36B8C6E6-CAA8-46F5-9689-3D75A1BD3F08}" uniqueName="25" name="Employee_ID" queryTableFieldId="1"/>
    <tableColumn id="26" xr3:uid="{2AA87FF6-F290-43A8-81EE-264648E6CF39}" uniqueName="26" name="Joining_Date" queryTableFieldId="2" dataDxfId="2"/>
    <tableColumn id="27" xr3:uid="{85CC5B55-AF35-46F9-BC6A-1583124D845F}" uniqueName="27" name="Exit_Date" queryTableFieldId="3"/>
    <tableColumn id="28" xr3:uid="{00EAB83D-DD0C-46AF-8A14-D9D1AD095D82}" uniqueName="28" name="Attrition" queryTableFieldId="4"/>
    <tableColumn id="29" xr3:uid="{844DFE8E-188D-4590-83AD-B7ECAD707CC8}" uniqueName="29" name="Age" queryTableFieldId="5"/>
    <tableColumn id="30" xr3:uid="{2B77C9D8-82C3-4B79-965A-477F1A0E4CD0}" uniqueName="30" name="Gender" queryTableFieldId="6"/>
    <tableColumn id="31" xr3:uid="{CB3644E8-EA1F-47CA-9D1C-57AC7FA5CD8D}" uniqueName="31" name="Marital_Status" queryTableFieldId="7"/>
    <tableColumn id="32" xr3:uid="{315EC5B7-EA45-436F-B4B0-B6F32730C122}" uniqueName="32" name="Education" queryTableFieldId="8"/>
    <tableColumn id="33" xr3:uid="{ABFFB57E-6BC1-4308-B53C-013D387B86CB}" uniqueName="33" name="Department" queryTableFieldId="9"/>
    <tableColumn id="34" xr3:uid="{C5B070A8-DBC7-45AD-B9EA-7D303E5CB86C}" uniqueName="34" name="Job_Role" queryTableFieldId="10"/>
    <tableColumn id="35" xr3:uid="{DC155FD4-604C-4403-A4E2-D0720CF72DE0}" uniqueName="35" name="Job_Level" queryTableFieldId="11"/>
    <tableColumn id="36" xr3:uid="{F5B2C041-59B6-42D3-B5EC-4241F4B21E21}" uniqueName="36" name="Location" queryTableFieldId="12"/>
    <tableColumn id="37" xr3:uid="{DE65BF08-A217-44C5-9E6D-D2FEF025DA94}" uniqueName="37" name="Monthly_Salary" queryTableFieldId="13"/>
    <tableColumn id="38" xr3:uid="{9CC766EE-8C24-4F2D-8E25-97A4D4411ED4}" uniqueName="38" name="Salary_Hike_Pct" queryTableFieldId="14"/>
    <tableColumn id="39" xr3:uid="{F93E4EC9-2596-4FC3-B519-14027E06CF7C}" uniqueName="39" name="Total_Work_Experience" queryTableFieldId="15"/>
    <tableColumn id="40" xr3:uid="{944D134B-7580-4DD7-898B-5AA89C3317F4}" uniqueName="40" name="Years_at_Company" queryTableFieldId="16"/>
    <tableColumn id="41" xr3:uid="{4E840F69-C23E-42E3-BEF7-4F62140B3906}" uniqueName="41" name="Years_Since_Last_Promotion" queryTableFieldId="17"/>
    <tableColumn id="42" xr3:uid="{1909E2C6-9B2E-4779-B288-1DC6B3D032AB}" uniqueName="42" name="Job_Satisfaction" queryTableFieldId="18"/>
    <tableColumn id="43" xr3:uid="{E76D4604-34FB-4375-8DA9-E6291450925C}" uniqueName="43" name="Environment_Satisfaction" queryTableFieldId="19"/>
    <tableColumn id="44" xr3:uid="{DFE39A7B-8607-49EB-B0FA-8DBD018B3FCD}" uniqueName="44" name="Work_Life_Balance" queryTableFieldId="20"/>
    <tableColumn id="45" xr3:uid="{ED9AC363-626D-4DF7-8577-9A58E1BDCB39}" uniqueName="45" name="Overtime" queryTableFieldId="21"/>
    <tableColumn id="46" xr3:uid="{E0B31BE6-45E9-456F-92EF-372173CEAA96}" uniqueName="46" name="Performance_Rating" queryTableFieldId="22"/>
    <tableColumn id="47" xr3:uid="{75F536C0-BF84-4BF7-B798-419154545191}" uniqueName="47" name="Column1" queryTableFieldId="23"/>
    <tableColumn id="48" xr3:uid="{2AFA97AC-C96B-4950-BB18-AA5F68420DAD}" uniqueName="48" name="Column2"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3.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14"/>
  <sheetViews>
    <sheetView workbookViewId="0">
      <selection activeCell="D11" sqref="D11"/>
    </sheetView>
  </sheetViews>
  <sheetFormatPr defaultRowHeight="14.5" x14ac:dyDescent="0.35"/>
  <cols>
    <col min="1" max="1" width="16.81640625" bestFit="1" customWidth="1"/>
  </cols>
  <sheetData>
    <row r="3" spans="1:1" x14ac:dyDescent="0.35">
      <c r="A3" s="4" t="s">
        <v>1630</v>
      </c>
    </row>
    <row r="4" spans="1:1" x14ac:dyDescent="0.35">
      <c r="A4" s="5" t="s">
        <v>459</v>
      </c>
    </row>
    <row r="5" spans="1:1" x14ac:dyDescent="0.35">
      <c r="A5" s="5" t="s">
        <v>1025</v>
      </c>
    </row>
    <row r="6" spans="1:1" x14ac:dyDescent="0.35">
      <c r="A6" s="5" t="s">
        <v>331</v>
      </c>
    </row>
    <row r="7" spans="1:1" x14ac:dyDescent="0.35">
      <c r="A7" s="5" t="s">
        <v>55</v>
      </c>
    </row>
    <row r="8" spans="1:1" x14ac:dyDescent="0.35">
      <c r="A8" s="5" t="s">
        <v>48</v>
      </c>
    </row>
    <row r="9" spans="1:1" x14ac:dyDescent="0.35">
      <c r="A9" s="5" t="s">
        <v>27</v>
      </c>
    </row>
    <row r="10" spans="1:1" x14ac:dyDescent="0.35">
      <c r="A10" s="5" t="s">
        <v>59</v>
      </c>
    </row>
    <row r="11" spans="1:1" x14ac:dyDescent="0.35">
      <c r="A11" s="5" t="s">
        <v>45</v>
      </c>
    </row>
    <row r="12" spans="1:1" x14ac:dyDescent="0.35">
      <c r="A12" s="5" t="s">
        <v>68</v>
      </c>
    </row>
    <row r="13" spans="1:1" x14ac:dyDescent="0.35">
      <c r="A13" s="5" t="s">
        <v>38</v>
      </c>
    </row>
    <row r="14" spans="1:1" x14ac:dyDescent="0.35">
      <c r="A14" s="5" t="s">
        <v>1631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62"/>
  <sheetViews>
    <sheetView showGridLines="0" showRowColHeaders="0" topLeftCell="A8" zoomScale="121" zoomScaleNormal="80" workbookViewId="0">
      <selection activeCell="Y2" sqref="Y2"/>
    </sheetView>
  </sheetViews>
  <sheetFormatPr defaultRowHeight="14.5" zeroHeight="1" x14ac:dyDescent="0.35"/>
  <cols>
    <col min="1" max="28" width="8.7265625" style="11"/>
  </cols>
  <sheetData>
    <row r="1" spans="1:21" ht="26" x14ac:dyDescent="0.35">
      <c r="A1" s="30" t="s">
        <v>1671</v>
      </c>
      <c r="B1" s="31"/>
      <c r="C1" s="31"/>
      <c r="D1" s="31"/>
      <c r="E1" s="31"/>
      <c r="F1" s="31"/>
      <c r="G1" s="31"/>
      <c r="H1" s="31"/>
      <c r="I1" s="31"/>
      <c r="J1" s="31"/>
      <c r="K1" s="31"/>
      <c r="L1" s="31"/>
      <c r="M1" s="31"/>
      <c r="N1" s="31"/>
      <c r="O1" s="31"/>
      <c r="P1" s="31"/>
      <c r="Q1" s="31"/>
      <c r="R1" s="31"/>
      <c r="S1" s="31"/>
      <c r="T1" s="31"/>
      <c r="U1" s="32"/>
    </row>
    <row r="2" spans="1:21" ht="21" x14ac:dyDescent="0.35">
      <c r="A2" s="33" t="s">
        <v>1672</v>
      </c>
      <c r="B2" s="34"/>
      <c r="C2" s="34"/>
      <c r="D2" s="34"/>
      <c r="E2" s="34"/>
      <c r="F2" s="34"/>
      <c r="G2" s="34"/>
      <c r="H2" s="34"/>
      <c r="I2" s="34"/>
      <c r="J2" s="34"/>
      <c r="K2" s="34"/>
      <c r="L2" s="34"/>
      <c r="M2" s="34"/>
      <c r="N2" s="34"/>
      <c r="O2" s="34"/>
      <c r="P2" s="34"/>
      <c r="Q2" s="34"/>
      <c r="R2" s="34"/>
      <c r="S2" s="34"/>
      <c r="T2" s="34"/>
      <c r="U2" s="35"/>
    </row>
    <row r="3" spans="1:21" ht="15.5" x14ac:dyDescent="0.35">
      <c r="A3" s="36" t="s">
        <v>1673</v>
      </c>
      <c r="B3" s="37"/>
      <c r="C3" s="37"/>
      <c r="D3" s="37"/>
      <c r="E3" s="37"/>
      <c r="F3" s="37"/>
      <c r="G3" s="37"/>
      <c r="H3" s="37"/>
      <c r="I3" s="37"/>
      <c r="J3" s="37"/>
      <c r="K3" s="37"/>
      <c r="L3" s="37"/>
      <c r="M3" s="37"/>
      <c r="N3" s="37"/>
      <c r="O3" s="37"/>
      <c r="P3" s="37"/>
      <c r="Q3" s="37"/>
      <c r="R3" s="37"/>
      <c r="S3" s="37"/>
      <c r="T3" s="37"/>
      <c r="U3" s="38"/>
    </row>
    <row r="4" spans="1:21" ht="15" thickBot="1" x14ac:dyDescent="0.4"/>
    <row r="5" spans="1:21" ht="15" customHeight="1" x14ac:dyDescent="0.35">
      <c r="A5" s="39" t="s">
        <v>1674</v>
      </c>
      <c r="B5" s="40"/>
      <c r="C5" s="40"/>
      <c r="D5" s="41"/>
      <c r="E5" s="39" t="s">
        <v>1675</v>
      </c>
      <c r="F5" s="40"/>
      <c r="G5" s="40"/>
      <c r="H5" s="41"/>
      <c r="I5" s="39" t="s">
        <v>1676</v>
      </c>
      <c r="J5" s="40"/>
      <c r="K5" s="40"/>
      <c r="L5" s="41"/>
      <c r="M5" s="39" t="s">
        <v>1677</v>
      </c>
      <c r="N5" s="40"/>
      <c r="O5" s="40"/>
      <c r="P5" s="41"/>
      <c r="Q5" s="39" t="s">
        <v>1678</v>
      </c>
      <c r="R5" s="40"/>
      <c r="S5" s="40"/>
      <c r="T5" s="40"/>
      <c r="U5" s="41"/>
    </row>
    <row r="6" spans="1:21" ht="15" customHeight="1" x14ac:dyDescent="0.35">
      <c r="A6" s="42"/>
      <c r="B6" s="43"/>
      <c r="C6" s="43"/>
      <c r="D6" s="44"/>
      <c r="E6" s="42"/>
      <c r="F6" s="43"/>
      <c r="G6" s="43"/>
      <c r="H6" s="44"/>
      <c r="I6" s="42"/>
      <c r="J6" s="43"/>
      <c r="K6" s="43"/>
      <c r="L6" s="44"/>
      <c r="M6" s="42"/>
      <c r="N6" s="43"/>
      <c r="O6" s="43"/>
      <c r="P6" s="44"/>
      <c r="Q6" s="42"/>
      <c r="R6" s="43"/>
      <c r="S6" s="43"/>
      <c r="T6" s="43"/>
      <c r="U6" s="44"/>
    </row>
    <row r="7" spans="1:21" ht="15" customHeight="1" x14ac:dyDescent="0.35">
      <c r="A7" s="45">
        <f>GETPIVOTDATA("Count of Employee_ID",HR_Analysis!$D$4)</f>
        <v>1500</v>
      </c>
      <c r="B7" s="46"/>
      <c r="C7" s="46"/>
      <c r="D7" s="47"/>
      <c r="E7" s="45">
        <f>GETPIVOTDATA("Count of Employee_ID",HR_Analysis!$D$4,"Attrition","No")</f>
        <v>1262</v>
      </c>
      <c r="F7" s="46"/>
      <c r="G7" s="46"/>
      <c r="H7" s="47"/>
      <c r="I7" s="45">
        <f>GETPIVOTDATA("Count of Employee_ID",HR_Analysis!$D$4,"Attrition","Yes")</f>
        <v>238</v>
      </c>
      <c r="J7" s="46"/>
      <c r="K7" s="46"/>
      <c r="L7" s="47"/>
      <c r="M7" s="51">
        <f>GETPIVOTDATA("Average of Attrition_Flag",HR_Analysis!$D$4)</f>
        <v>0.15866666666666668</v>
      </c>
      <c r="N7" s="52"/>
      <c r="O7" s="52"/>
      <c r="P7" s="53"/>
      <c r="Q7" s="24">
        <f>GETPIVOTDATA("Average of Age",HR_Analysis!$D$4)</f>
        <v>33.299999999999997</v>
      </c>
      <c r="R7" s="25"/>
      <c r="S7" s="25"/>
      <c r="T7" s="25"/>
      <c r="U7" s="26"/>
    </row>
    <row r="8" spans="1:21" ht="15" customHeight="1" thickBot="1" x14ac:dyDescent="0.4">
      <c r="A8" s="48"/>
      <c r="B8" s="49"/>
      <c r="C8" s="49"/>
      <c r="D8" s="50"/>
      <c r="E8" s="48"/>
      <c r="F8" s="49"/>
      <c r="G8" s="49"/>
      <c r="H8" s="50"/>
      <c r="I8" s="48"/>
      <c r="J8" s="49"/>
      <c r="K8" s="49"/>
      <c r="L8" s="50"/>
      <c r="M8" s="54"/>
      <c r="N8" s="55"/>
      <c r="O8" s="55"/>
      <c r="P8" s="56"/>
      <c r="Q8" s="27"/>
      <c r="R8" s="28"/>
      <c r="S8" s="28"/>
      <c r="T8" s="28"/>
      <c r="U8" s="29"/>
    </row>
    <row r="9" spans="1:21" x14ac:dyDescent="0.35"/>
    <row r="10" spans="1:21" x14ac:dyDescent="0.35"/>
    <row r="11" spans="1:21" x14ac:dyDescent="0.35"/>
    <row r="12" spans="1:21" x14ac:dyDescent="0.35"/>
    <row r="13" spans="1:21" x14ac:dyDescent="0.35"/>
    <row r="14" spans="1:21" x14ac:dyDescent="0.35"/>
    <row r="15" spans="1:21" x14ac:dyDescent="0.35"/>
    <row r="16" spans="1:21"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spans="1:21" x14ac:dyDescent="0.35">
      <c r="A49" s="57" t="s">
        <v>1686</v>
      </c>
      <c r="B49" s="58"/>
      <c r="C49" s="58"/>
      <c r="D49" s="58"/>
      <c r="E49" s="58"/>
      <c r="F49" s="58"/>
      <c r="G49" s="58"/>
      <c r="H49" s="58"/>
      <c r="I49" s="58"/>
      <c r="J49" s="58"/>
      <c r="K49" s="58"/>
      <c r="L49" s="58"/>
      <c r="M49" s="58"/>
      <c r="N49" s="58"/>
      <c r="O49" s="58"/>
      <c r="P49" s="58"/>
      <c r="Q49" s="58"/>
      <c r="R49" s="58"/>
      <c r="S49" s="58"/>
      <c r="T49" s="58"/>
      <c r="U49" s="58"/>
    </row>
    <row r="50" spans="1:21" x14ac:dyDescent="0.35">
      <c r="A50" s="58"/>
      <c r="B50" s="58"/>
      <c r="C50" s="58"/>
      <c r="D50" s="58"/>
      <c r="E50" s="58"/>
      <c r="F50" s="58"/>
      <c r="G50" s="58"/>
      <c r="H50" s="58"/>
      <c r="I50" s="58"/>
      <c r="J50" s="58"/>
      <c r="K50" s="58"/>
      <c r="L50" s="58"/>
      <c r="M50" s="58"/>
      <c r="N50" s="58"/>
      <c r="O50" s="58"/>
      <c r="P50" s="58"/>
      <c r="Q50" s="58"/>
      <c r="R50" s="58"/>
      <c r="S50" s="58"/>
      <c r="T50" s="58"/>
      <c r="U50" s="58"/>
    </row>
    <row r="51" spans="1:21" x14ac:dyDescent="0.35"/>
    <row r="52" spans="1:21" ht="15.5" x14ac:dyDescent="0.35">
      <c r="A52" s="59" t="s">
        <v>1687</v>
      </c>
      <c r="B52" s="60"/>
      <c r="C52" s="60"/>
      <c r="D52" s="60"/>
      <c r="E52" s="60"/>
      <c r="F52" s="60"/>
      <c r="G52" s="60"/>
      <c r="H52" s="60"/>
      <c r="I52" s="60"/>
      <c r="J52" s="61"/>
      <c r="L52" s="59" t="s">
        <v>1692</v>
      </c>
      <c r="M52" s="60"/>
      <c r="N52" s="60"/>
      <c r="O52" s="60"/>
      <c r="P52" s="60"/>
      <c r="Q52" s="60"/>
      <c r="R52" s="60"/>
      <c r="S52" s="60"/>
      <c r="T52" s="60"/>
      <c r="U52" s="61"/>
    </row>
    <row r="53" spans="1:21" ht="15.5" x14ac:dyDescent="0.35">
      <c r="A53" s="62" t="s">
        <v>1688</v>
      </c>
      <c r="B53" s="63"/>
      <c r="C53" s="63"/>
      <c r="D53" s="63"/>
      <c r="E53" s="63"/>
      <c r="F53" s="63"/>
      <c r="G53" s="63"/>
      <c r="H53" s="63"/>
      <c r="I53" s="63"/>
      <c r="J53" s="64"/>
      <c r="L53" s="62" t="s">
        <v>1693</v>
      </c>
      <c r="M53" s="63"/>
      <c r="N53" s="63"/>
      <c r="O53" s="63"/>
      <c r="P53" s="63"/>
      <c r="Q53" s="63"/>
      <c r="R53" s="63"/>
      <c r="S53" s="63"/>
      <c r="T53" s="63"/>
      <c r="U53" s="64"/>
    </row>
    <row r="54" spans="1:21" ht="15.5" x14ac:dyDescent="0.35">
      <c r="A54" s="62" t="s">
        <v>1689</v>
      </c>
      <c r="B54" s="63"/>
      <c r="C54" s="63"/>
      <c r="D54" s="63"/>
      <c r="E54" s="63"/>
      <c r="F54" s="63"/>
      <c r="G54" s="63"/>
      <c r="H54" s="63"/>
      <c r="I54" s="63"/>
      <c r="J54" s="64"/>
      <c r="L54" s="62" t="s">
        <v>1694</v>
      </c>
      <c r="M54" s="63"/>
      <c r="N54" s="63"/>
      <c r="O54" s="63"/>
      <c r="P54" s="63"/>
      <c r="Q54" s="63"/>
      <c r="R54" s="63"/>
      <c r="S54" s="63"/>
      <c r="T54" s="63"/>
      <c r="U54" s="64"/>
    </row>
    <row r="55" spans="1:21" ht="15.5" x14ac:dyDescent="0.35">
      <c r="A55" s="62" t="s">
        <v>1690</v>
      </c>
      <c r="B55" s="63"/>
      <c r="C55" s="63"/>
      <c r="D55" s="63"/>
      <c r="E55" s="63"/>
      <c r="F55" s="63"/>
      <c r="G55" s="63"/>
      <c r="H55" s="63"/>
      <c r="I55" s="63"/>
      <c r="J55" s="64"/>
      <c r="L55" s="62" t="s">
        <v>1695</v>
      </c>
      <c r="M55" s="63"/>
      <c r="N55" s="63"/>
      <c r="O55" s="63"/>
      <c r="P55" s="63"/>
      <c r="Q55" s="63"/>
      <c r="R55" s="63"/>
      <c r="S55" s="63"/>
      <c r="T55" s="63"/>
      <c r="U55" s="64"/>
    </row>
    <row r="56" spans="1:21" ht="15.5" x14ac:dyDescent="0.35">
      <c r="A56" s="67" t="s">
        <v>1691</v>
      </c>
      <c r="B56" s="68"/>
      <c r="C56" s="68"/>
      <c r="D56" s="68"/>
      <c r="E56" s="68"/>
      <c r="F56" s="68"/>
      <c r="G56" s="68"/>
      <c r="H56" s="68"/>
      <c r="I56" s="68"/>
      <c r="J56" s="69"/>
      <c r="L56" s="67" t="s">
        <v>1696</v>
      </c>
      <c r="M56" s="68"/>
      <c r="N56" s="68"/>
      <c r="O56" s="68"/>
      <c r="P56" s="68"/>
      <c r="Q56" s="68"/>
      <c r="R56" s="68"/>
      <c r="S56" s="68"/>
      <c r="T56" s="68"/>
      <c r="U56" s="69"/>
    </row>
    <row r="57" spans="1:21" x14ac:dyDescent="0.35"/>
    <row r="58" spans="1:21" x14ac:dyDescent="0.35"/>
    <row r="59" spans="1:21" x14ac:dyDescent="0.35">
      <c r="A59" s="65" t="s">
        <v>1697</v>
      </c>
      <c r="B59" s="65"/>
      <c r="C59" s="65"/>
      <c r="D59" s="65"/>
      <c r="E59" s="65"/>
      <c r="F59" s="65"/>
      <c r="G59" s="65"/>
      <c r="H59" s="65"/>
      <c r="I59" s="65"/>
      <c r="J59" s="65"/>
      <c r="K59" s="65"/>
      <c r="L59" s="65"/>
      <c r="M59" s="65"/>
      <c r="N59" s="65"/>
      <c r="O59" s="65"/>
      <c r="P59" s="65"/>
      <c r="Q59" s="65"/>
      <c r="R59" s="65"/>
      <c r="S59" s="65"/>
      <c r="T59" s="65"/>
      <c r="U59" s="65"/>
    </row>
    <row r="60" spans="1:21" x14ac:dyDescent="0.35">
      <c r="A60" s="65"/>
      <c r="B60" s="65"/>
      <c r="C60" s="65"/>
      <c r="D60" s="65"/>
      <c r="E60" s="65"/>
      <c r="F60" s="65"/>
      <c r="G60" s="65"/>
      <c r="H60" s="65"/>
      <c r="I60" s="65"/>
      <c r="J60" s="65"/>
      <c r="K60" s="65"/>
      <c r="L60" s="65"/>
      <c r="M60" s="65"/>
      <c r="N60" s="65"/>
      <c r="O60" s="65"/>
      <c r="P60" s="65"/>
      <c r="Q60" s="65"/>
      <c r="R60" s="65"/>
      <c r="S60" s="65"/>
      <c r="T60" s="65"/>
      <c r="U60" s="65"/>
    </row>
    <row r="61" spans="1:21" x14ac:dyDescent="0.35">
      <c r="A61" s="66" t="s">
        <v>1698</v>
      </c>
      <c r="B61" s="66"/>
      <c r="C61" s="66"/>
      <c r="D61" s="66"/>
      <c r="E61" s="66"/>
      <c r="F61" s="66"/>
      <c r="G61" s="66"/>
      <c r="H61" s="66"/>
      <c r="I61" s="66"/>
      <c r="J61" s="66"/>
      <c r="K61" s="66"/>
      <c r="L61" s="66"/>
      <c r="M61" s="66"/>
      <c r="N61" s="66"/>
      <c r="O61" s="66"/>
      <c r="P61" s="66"/>
      <c r="Q61" s="66"/>
      <c r="R61" s="66"/>
      <c r="S61" s="66"/>
      <c r="T61" s="66"/>
      <c r="U61" s="66"/>
    </row>
    <row r="62" spans="1:21" x14ac:dyDescent="0.35">
      <c r="A62" s="66"/>
      <c r="B62" s="66"/>
      <c r="C62" s="66"/>
      <c r="D62" s="66"/>
      <c r="E62" s="66"/>
      <c r="F62" s="66"/>
      <c r="G62" s="66"/>
      <c r="H62" s="66"/>
      <c r="I62" s="66"/>
      <c r="J62" s="66"/>
      <c r="K62" s="66"/>
      <c r="L62" s="66"/>
      <c r="M62" s="66"/>
      <c r="N62" s="66"/>
      <c r="O62" s="66"/>
      <c r="P62" s="66"/>
      <c r="Q62" s="66"/>
      <c r="R62" s="66"/>
      <c r="S62" s="66"/>
      <c r="T62" s="66"/>
      <c r="U62" s="66"/>
    </row>
  </sheetData>
  <mergeCells count="26">
    <mergeCell ref="A59:U60"/>
    <mergeCell ref="A61:U62"/>
    <mergeCell ref="A56:J56"/>
    <mergeCell ref="L52:U52"/>
    <mergeCell ref="L53:U53"/>
    <mergeCell ref="L54:U54"/>
    <mergeCell ref="L55:U55"/>
    <mergeCell ref="L56:U56"/>
    <mergeCell ref="A49:U50"/>
    <mergeCell ref="A52:J52"/>
    <mergeCell ref="A53:J53"/>
    <mergeCell ref="A54:J54"/>
    <mergeCell ref="A55:J55"/>
    <mergeCell ref="Q7:U8"/>
    <mergeCell ref="A1:U1"/>
    <mergeCell ref="A2:U2"/>
    <mergeCell ref="A3:U3"/>
    <mergeCell ref="A5:D6"/>
    <mergeCell ref="E5:H6"/>
    <mergeCell ref="I5:L6"/>
    <mergeCell ref="M5:P6"/>
    <mergeCell ref="Q5:U6"/>
    <mergeCell ref="A7:D8"/>
    <mergeCell ref="E7:H8"/>
    <mergeCell ref="I7:L8"/>
    <mergeCell ref="M7:P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5554-72E4-44C2-9975-0FDC4BC5E650}">
  <dimension ref="A1:H36"/>
  <sheetViews>
    <sheetView topLeftCell="A18" zoomScale="104" workbookViewId="0">
      <selection activeCell="I28" sqref="I28"/>
    </sheetView>
  </sheetViews>
  <sheetFormatPr defaultRowHeight="14.5" x14ac:dyDescent="0.35"/>
  <cols>
    <col min="1" max="1" width="30.1796875" bestFit="1" customWidth="1"/>
    <col min="2" max="2" width="27.7265625" bestFit="1" customWidth="1"/>
  </cols>
  <sheetData>
    <row r="1" spans="1:8" x14ac:dyDescent="0.35">
      <c r="A1" s="73" t="s">
        <v>1739</v>
      </c>
      <c r="B1" s="73"/>
      <c r="C1" s="73"/>
      <c r="D1" s="73"/>
      <c r="E1" s="73"/>
      <c r="F1" s="73"/>
      <c r="G1" s="73"/>
      <c r="H1" s="73"/>
    </row>
    <row r="2" spans="1:8" x14ac:dyDescent="0.35">
      <c r="A2" s="73"/>
      <c r="B2" s="73"/>
      <c r="C2" s="73"/>
      <c r="D2" s="73"/>
      <c r="E2" s="73"/>
      <c r="F2" s="73"/>
      <c r="G2" s="73"/>
      <c r="H2" s="73"/>
    </row>
    <row r="4" spans="1:8" x14ac:dyDescent="0.35">
      <c r="A4" s="71" t="s">
        <v>1740</v>
      </c>
      <c r="B4" s="74"/>
      <c r="C4" s="74"/>
      <c r="D4" s="74"/>
      <c r="E4" s="74"/>
      <c r="F4" s="74"/>
      <c r="G4" s="74"/>
      <c r="H4" s="74"/>
    </row>
    <row r="5" spans="1:8" x14ac:dyDescent="0.35">
      <c r="A5" s="75" t="s">
        <v>1741</v>
      </c>
      <c r="B5" s="75"/>
      <c r="C5" s="75"/>
      <c r="D5" s="75"/>
      <c r="E5" s="75"/>
      <c r="F5" s="75"/>
      <c r="G5" s="75"/>
      <c r="H5" s="75"/>
    </row>
    <row r="6" spans="1:8" x14ac:dyDescent="0.35">
      <c r="A6" s="75"/>
      <c r="B6" s="75"/>
      <c r="C6" s="75"/>
      <c r="D6" s="75"/>
      <c r="E6" s="75"/>
      <c r="F6" s="75"/>
      <c r="G6" s="75"/>
      <c r="H6" s="75"/>
    </row>
    <row r="7" spans="1:8" x14ac:dyDescent="0.35">
      <c r="A7" s="75"/>
      <c r="B7" s="75"/>
      <c r="C7" s="75"/>
      <c r="D7" s="75"/>
      <c r="E7" s="75"/>
      <c r="F7" s="75"/>
      <c r="G7" s="75"/>
      <c r="H7" s="75"/>
    </row>
    <row r="9" spans="1:8" x14ac:dyDescent="0.35">
      <c r="A9" s="71" t="s">
        <v>1742</v>
      </c>
      <c r="B9" s="71"/>
      <c r="C9" s="71"/>
      <c r="D9" s="71"/>
      <c r="E9" s="71"/>
      <c r="F9" s="71"/>
      <c r="G9" s="71"/>
      <c r="H9" s="71"/>
    </row>
    <row r="10" spans="1:8" x14ac:dyDescent="0.35">
      <c r="A10" s="76" t="s">
        <v>1743</v>
      </c>
      <c r="B10" s="76"/>
      <c r="C10" s="76"/>
      <c r="D10" s="76"/>
      <c r="E10" s="76"/>
      <c r="F10" s="76"/>
      <c r="G10" s="76"/>
      <c r="H10" s="76"/>
    </row>
    <row r="11" spans="1:8" x14ac:dyDescent="0.35">
      <c r="A11" s="76"/>
      <c r="B11" s="76"/>
      <c r="C11" s="76"/>
      <c r="D11" s="76"/>
      <c r="E11" s="76"/>
      <c r="F11" s="76"/>
      <c r="G11" s="76"/>
      <c r="H11" s="76"/>
    </row>
    <row r="12" spans="1:8" x14ac:dyDescent="0.35">
      <c r="A12" s="76"/>
      <c r="B12" s="76"/>
      <c r="C12" s="76"/>
      <c r="D12" s="76"/>
      <c r="E12" s="76"/>
      <c r="F12" s="76"/>
      <c r="G12" s="76"/>
      <c r="H12" s="76"/>
    </row>
    <row r="14" spans="1:8" x14ac:dyDescent="0.35">
      <c r="A14" s="70" t="s">
        <v>1744</v>
      </c>
      <c r="B14" s="70"/>
      <c r="C14" s="70"/>
      <c r="D14" s="70"/>
      <c r="E14" s="70"/>
      <c r="F14" s="70"/>
      <c r="G14" s="70"/>
      <c r="H14" s="70"/>
    </row>
    <row r="15" spans="1:8" x14ac:dyDescent="0.35">
      <c r="A15" s="11" t="s">
        <v>1745</v>
      </c>
    </row>
    <row r="16" spans="1:8" x14ac:dyDescent="0.35">
      <c r="A16" s="11" t="s">
        <v>1746</v>
      </c>
    </row>
    <row r="17" spans="1:8" x14ac:dyDescent="0.35">
      <c r="A17" s="11" t="s">
        <v>1747</v>
      </c>
    </row>
    <row r="18" spans="1:8" x14ac:dyDescent="0.35">
      <c r="A18" s="11" t="s">
        <v>1748</v>
      </c>
    </row>
    <row r="19" spans="1:8" x14ac:dyDescent="0.35">
      <c r="A19" s="11" t="s">
        <v>1749</v>
      </c>
    </row>
    <row r="21" spans="1:8" x14ac:dyDescent="0.35">
      <c r="A21" s="70" t="s">
        <v>1750</v>
      </c>
      <c r="B21" s="70"/>
      <c r="C21" s="70"/>
      <c r="D21" s="70"/>
      <c r="E21" s="70"/>
      <c r="F21" s="70"/>
      <c r="G21" s="70"/>
      <c r="H21" s="70"/>
    </row>
    <row r="22" spans="1:8" x14ac:dyDescent="0.35">
      <c r="A22" s="23" t="s">
        <v>1751</v>
      </c>
      <c r="B22" s="23" t="s">
        <v>1752</v>
      </c>
    </row>
    <row r="23" spans="1:8" x14ac:dyDescent="0.35">
      <c r="A23" s="21" t="s">
        <v>1753</v>
      </c>
      <c r="B23" s="22" t="s">
        <v>1754</v>
      </c>
    </row>
    <row r="24" spans="1:8" ht="29" x14ac:dyDescent="0.35">
      <c r="A24" s="21" t="s">
        <v>1755</v>
      </c>
      <c r="B24" s="21" t="s">
        <v>1756</v>
      </c>
    </row>
    <row r="25" spans="1:8" ht="29" x14ac:dyDescent="0.35">
      <c r="A25" s="21" t="s">
        <v>1757</v>
      </c>
      <c r="B25" s="21" t="s">
        <v>1758</v>
      </c>
    </row>
    <row r="26" spans="1:8" ht="29" x14ac:dyDescent="0.35">
      <c r="A26" s="21" t="s">
        <v>1759</v>
      </c>
      <c r="B26" s="21" t="s">
        <v>1760</v>
      </c>
    </row>
    <row r="27" spans="1:8" ht="29" x14ac:dyDescent="0.35">
      <c r="A27" s="21" t="s">
        <v>1761</v>
      </c>
      <c r="B27" s="21" t="s">
        <v>1762</v>
      </c>
    </row>
    <row r="28" spans="1:8" ht="29" x14ac:dyDescent="0.35">
      <c r="A28" s="21" t="s">
        <v>1763</v>
      </c>
      <c r="B28" s="21" t="s">
        <v>1764</v>
      </c>
    </row>
    <row r="29" spans="1:8" x14ac:dyDescent="0.35">
      <c r="A29" s="21" t="s">
        <v>1765</v>
      </c>
      <c r="B29" s="21" t="s">
        <v>1766</v>
      </c>
    </row>
    <row r="30" spans="1:8" ht="29" x14ac:dyDescent="0.35">
      <c r="A30" s="21" t="s">
        <v>1767</v>
      </c>
      <c r="B30" s="21" t="s">
        <v>1768</v>
      </c>
    </row>
    <row r="32" spans="1:8" x14ac:dyDescent="0.35">
      <c r="A32" s="71" t="s">
        <v>1769</v>
      </c>
      <c r="B32" s="71"/>
      <c r="C32" s="71"/>
      <c r="D32" s="71"/>
      <c r="E32" s="71"/>
      <c r="F32" s="71"/>
      <c r="G32" s="71"/>
      <c r="H32" s="71"/>
    </row>
    <row r="33" spans="1:8" x14ac:dyDescent="0.35">
      <c r="A33" s="72" t="s">
        <v>1770</v>
      </c>
      <c r="B33" s="72"/>
      <c r="C33" s="72"/>
      <c r="D33" s="72"/>
      <c r="E33" s="72"/>
      <c r="F33" s="72"/>
      <c r="G33" s="72"/>
      <c r="H33" s="72"/>
    </row>
    <row r="34" spans="1:8" x14ac:dyDescent="0.35">
      <c r="A34" s="72"/>
      <c r="B34" s="72"/>
      <c r="C34" s="72"/>
      <c r="D34" s="72"/>
      <c r="E34" s="72"/>
      <c r="F34" s="72"/>
      <c r="G34" s="72"/>
      <c r="H34" s="72"/>
    </row>
    <row r="35" spans="1:8" x14ac:dyDescent="0.35">
      <c r="A35" s="72"/>
      <c r="B35" s="72"/>
      <c r="C35" s="72"/>
      <c r="D35" s="72"/>
      <c r="E35" s="72"/>
      <c r="F35" s="72"/>
      <c r="G35" s="72"/>
      <c r="H35" s="72"/>
    </row>
    <row r="36" spans="1:8" x14ac:dyDescent="0.35">
      <c r="A36" s="72"/>
      <c r="B36" s="72"/>
      <c r="C36" s="72"/>
      <c r="D36" s="72"/>
      <c r="E36" s="72"/>
      <c r="F36" s="72"/>
      <c r="G36" s="72"/>
      <c r="H36" s="72"/>
    </row>
  </sheetData>
  <mergeCells count="9">
    <mergeCell ref="A21:H21"/>
    <mergeCell ref="A32:H32"/>
    <mergeCell ref="A33:H36"/>
    <mergeCell ref="A1:H2"/>
    <mergeCell ref="A4:H4"/>
    <mergeCell ref="A5:H7"/>
    <mergeCell ref="A9:H9"/>
    <mergeCell ref="A10:H12"/>
    <mergeCell ref="A14:H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9966-A40A-49FF-99FD-55AAE480A8CE}">
  <dimension ref="A1:H32"/>
  <sheetViews>
    <sheetView showGridLines="0" showRowColHeaders="0" tabSelected="1" zoomScale="92" zoomScaleNormal="40" workbookViewId="0">
      <selection activeCell="B20" sqref="B20"/>
    </sheetView>
  </sheetViews>
  <sheetFormatPr defaultRowHeight="14.5" x14ac:dyDescent="0.35"/>
  <cols>
    <col min="1" max="1" width="19.36328125" bestFit="1" customWidth="1"/>
    <col min="2" max="2" width="41.08984375" bestFit="1" customWidth="1"/>
    <col min="3" max="3" width="9.81640625" bestFit="1" customWidth="1"/>
    <col min="4" max="4" width="13.54296875" bestFit="1" customWidth="1"/>
    <col min="5" max="5" width="12.26953125" bestFit="1" customWidth="1"/>
    <col min="6" max="6" width="11" bestFit="1" customWidth="1"/>
    <col min="7" max="7" width="9.453125" bestFit="1" customWidth="1"/>
    <col min="8" max="8" width="22.6328125" bestFit="1" customWidth="1"/>
  </cols>
  <sheetData>
    <row r="1" spans="1:8" ht="14.5" customHeight="1" x14ac:dyDescent="0.35">
      <c r="A1" s="77" t="s">
        <v>1713</v>
      </c>
      <c r="B1" s="78"/>
      <c r="C1" s="78"/>
      <c r="D1" s="78"/>
      <c r="E1" s="78"/>
      <c r="F1" s="78"/>
      <c r="G1" s="78"/>
      <c r="H1" s="79"/>
    </row>
    <row r="2" spans="1:8" ht="14.5" customHeight="1" x14ac:dyDescent="0.35">
      <c r="A2" s="80"/>
      <c r="B2" s="81"/>
      <c r="C2" s="81"/>
      <c r="D2" s="81"/>
      <c r="E2" s="81"/>
      <c r="F2" s="81"/>
      <c r="G2" s="81"/>
      <c r="H2" s="82"/>
    </row>
    <row r="3" spans="1:8" ht="15.5" customHeight="1" x14ac:dyDescent="0.35">
      <c r="A3" s="83" t="s">
        <v>1714</v>
      </c>
      <c r="B3" s="84"/>
      <c r="C3" s="84"/>
      <c r="D3" s="84"/>
      <c r="E3" s="84"/>
      <c r="F3" s="84"/>
      <c r="G3" s="84"/>
      <c r="H3" s="85"/>
    </row>
    <row r="4" spans="1:8" ht="14.5" customHeight="1" x14ac:dyDescent="0.35">
      <c r="A4" s="86"/>
      <c r="B4" s="87"/>
      <c r="C4" s="87"/>
      <c r="D4" s="87"/>
      <c r="E4" s="87"/>
      <c r="F4" s="87"/>
      <c r="G4" s="87"/>
      <c r="H4" s="88"/>
    </row>
    <row r="5" spans="1:8" ht="14.5" customHeight="1" x14ac:dyDescent="0.35"/>
    <row r="7" spans="1:8" x14ac:dyDescent="0.35">
      <c r="A7" s="12" t="s">
        <v>1699</v>
      </c>
      <c r="B7" s="12" t="s">
        <v>1700</v>
      </c>
      <c r="C7" s="12" t="s">
        <v>1701</v>
      </c>
      <c r="D7" s="12" t="s">
        <v>1702</v>
      </c>
      <c r="E7" s="12" t="s">
        <v>1643</v>
      </c>
      <c r="F7" s="12" t="s">
        <v>1703</v>
      </c>
      <c r="G7" s="12" t="s">
        <v>1704</v>
      </c>
      <c r="H7" s="13" t="s">
        <v>1715</v>
      </c>
    </row>
    <row r="8" spans="1:8" ht="39.5" customHeight="1" x14ac:dyDescent="0.35">
      <c r="A8" s="14" t="s">
        <v>1705</v>
      </c>
      <c r="B8" s="14" t="s">
        <v>1664</v>
      </c>
      <c r="C8" s="14">
        <v>187</v>
      </c>
      <c r="D8" s="14">
        <v>52</v>
      </c>
      <c r="E8" s="15">
        <v>0.27810000000000001</v>
      </c>
      <c r="F8" s="15">
        <v>0.15870000000000001</v>
      </c>
      <c r="G8" s="14" t="s">
        <v>1706</v>
      </c>
      <c r="H8" s="16" t="s">
        <v>1716</v>
      </c>
    </row>
    <row r="9" spans="1:8" ht="29" x14ac:dyDescent="0.35">
      <c r="A9" s="14" t="s">
        <v>1666</v>
      </c>
      <c r="B9" s="14" t="s">
        <v>102</v>
      </c>
      <c r="C9" s="14">
        <v>45</v>
      </c>
      <c r="D9" s="14">
        <v>12</v>
      </c>
      <c r="E9" s="15">
        <v>0.26669999999999999</v>
      </c>
      <c r="F9" s="15">
        <v>0.15870000000000001</v>
      </c>
      <c r="G9" s="14" t="s">
        <v>1707</v>
      </c>
      <c r="H9" s="16" t="s">
        <v>1717</v>
      </c>
    </row>
    <row r="10" spans="1:8" ht="29" x14ac:dyDescent="0.35">
      <c r="A10" s="14" t="s">
        <v>1670</v>
      </c>
      <c r="B10" s="14" t="s">
        <v>1708</v>
      </c>
      <c r="C10" s="14">
        <v>191</v>
      </c>
      <c r="D10" s="14">
        <v>44</v>
      </c>
      <c r="E10" s="15">
        <v>0.23039999999999999</v>
      </c>
      <c r="F10" s="15">
        <v>0.15870000000000001</v>
      </c>
      <c r="G10" s="14" t="s">
        <v>1709</v>
      </c>
      <c r="H10" s="16" t="s">
        <v>1717</v>
      </c>
    </row>
    <row r="11" spans="1:8" ht="29" x14ac:dyDescent="0.35">
      <c r="A11" s="14" t="s">
        <v>1668</v>
      </c>
      <c r="B11" s="14" t="s">
        <v>1710</v>
      </c>
      <c r="C11" s="14">
        <v>179</v>
      </c>
      <c r="D11" s="14">
        <v>39</v>
      </c>
      <c r="E11" s="15">
        <v>0.218</v>
      </c>
      <c r="F11" s="15">
        <v>0.15870000000000001</v>
      </c>
      <c r="G11" s="14" t="s">
        <v>1711</v>
      </c>
      <c r="H11" s="16" t="s">
        <v>1717</v>
      </c>
    </row>
    <row r="12" spans="1:8" ht="29" x14ac:dyDescent="0.35">
      <c r="A12" s="14" t="s">
        <v>8</v>
      </c>
      <c r="B12" s="14" t="s">
        <v>68</v>
      </c>
      <c r="C12" s="14">
        <v>194</v>
      </c>
      <c r="D12" s="14">
        <v>40</v>
      </c>
      <c r="E12" s="15">
        <v>0.20619999999999999</v>
      </c>
      <c r="F12" s="15">
        <v>0.15870000000000001</v>
      </c>
      <c r="G12" s="14" t="s">
        <v>1712</v>
      </c>
      <c r="H12" s="16" t="s">
        <v>1718</v>
      </c>
    </row>
    <row r="15" spans="1:8" x14ac:dyDescent="0.35">
      <c r="A15" s="89" t="s">
        <v>1719</v>
      </c>
      <c r="B15" s="89"/>
      <c r="C15" s="89"/>
      <c r="D15" s="89"/>
      <c r="E15" s="89"/>
      <c r="F15" s="89"/>
      <c r="G15" s="89"/>
      <c r="H15" s="89"/>
    </row>
    <row r="16" spans="1:8" x14ac:dyDescent="0.35">
      <c r="A16" s="89"/>
      <c r="B16" s="89"/>
      <c r="C16" s="89"/>
      <c r="D16" s="89"/>
      <c r="E16" s="89"/>
      <c r="F16" s="89"/>
      <c r="G16" s="89"/>
      <c r="H16" s="89"/>
    </row>
    <row r="18" spans="1:8" x14ac:dyDescent="0.35">
      <c r="A18" s="17" t="s">
        <v>1699</v>
      </c>
      <c r="B18" s="17" t="s">
        <v>1720</v>
      </c>
    </row>
    <row r="19" spans="1:8" ht="58" x14ac:dyDescent="0.35">
      <c r="A19" s="17" t="s">
        <v>1721</v>
      </c>
      <c r="B19" s="18" t="s">
        <v>1722</v>
      </c>
    </row>
    <row r="20" spans="1:8" ht="58" x14ac:dyDescent="0.35">
      <c r="A20" s="17" t="s">
        <v>1723</v>
      </c>
      <c r="B20" s="18" t="s">
        <v>1724</v>
      </c>
    </row>
    <row r="21" spans="1:8" ht="43.5" x14ac:dyDescent="0.35">
      <c r="A21" s="17" t="s">
        <v>1725</v>
      </c>
      <c r="B21" s="18" t="s">
        <v>1726</v>
      </c>
    </row>
    <row r="22" spans="1:8" ht="58" x14ac:dyDescent="0.35">
      <c r="A22" s="17" t="s">
        <v>1668</v>
      </c>
      <c r="B22" s="18" t="s">
        <v>1727</v>
      </c>
    </row>
    <row r="25" spans="1:8" x14ac:dyDescent="0.35">
      <c r="A25" s="90" t="s">
        <v>1728</v>
      </c>
      <c r="B25" s="90"/>
      <c r="C25" s="90"/>
      <c r="D25" s="90"/>
      <c r="E25" s="90"/>
      <c r="F25" s="90"/>
      <c r="G25" s="90"/>
      <c r="H25" s="90"/>
    </row>
    <row r="26" spans="1:8" x14ac:dyDescent="0.35">
      <c r="A26" s="90"/>
      <c r="B26" s="90"/>
      <c r="C26" s="90"/>
      <c r="D26" s="90"/>
      <c r="E26" s="90"/>
      <c r="F26" s="90"/>
      <c r="G26" s="90"/>
      <c r="H26" s="90"/>
    </row>
    <row r="28" spans="1:8" x14ac:dyDescent="0.35">
      <c r="A28" s="19" t="s">
        <v>1729</v>
      </c>
      <c r="B28" s="19" t="s">
        <v>1730</v>
      </c>
    </row>
    <row r="29" spans="1:8" ht="43.5" x14ac:dyDescent="0.35">
      <c r="A29" s="20" t="s">
        <v>1731</v>
      </c>
      <c r="B29" s="20" t="s">
        <v>1732</v>
      </c>
    </row>
    <row r="30" spans="1:8" ht="29" x14ac:dyDescent="0.35">
      <c r="A30" s="20" t="s">
        <v>1733</v>
      </c>
      <c r="B30" s="20" t="s">
        <v>1734</v>
      </c>
    </row>
    <row r="31" spans="1:8" ht="43.5" x14ac:dyDescent="0.35">
      <c r="A31" s="20" t="s">
        <v>1735</v>
      </c>
      <c r="B31" s="20" t="s">
        <v>1736</v>
      </c>
    </row>
    <row r="32" spans="1:8" ht="43.5" x14ac:dyDescent="0.35">
      <c r="A32" s="20" t="s">
        <v>1737</v>
      </c>
      <c r="B32" s="20" t="s">
        <v>1738</v>
      </c>
    </row>
  </sheetData>
  <mergeCells count="4">
    <mergeCell ref="A1:H2"/>
    <mergeCell ref="A3:H4"/>
    <mergeCell ref="A15:H16"/>
    <mergeCell ref="A25:H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8"/>
  <sheetViews>
    <sheetView showGridLines="0" showRowColHeaders="0" zoomScale="55" workbookViewId="0">
      <selection activeCell="K19" sqref="K19"/>
    </sheetView>
  </sheetViews>
  <sheetFormatPr defaultRowHeight="14.5" x14ac:dyDescent="0.35"/>
  <cols>
    <col min="1" max="1" width="29.26953125" bestFit="1" customWidth="1"/>
    <col min="2" max="2" width="22" bestFit="1" customWidth="1"/>
    <col min="3" max="3" width="19" customWidth="1"/>
    <col min="4" max="4" width="19.7265625" bestFit="1" customWidth="1"/>
    <col min="5" max="5" width="16.36328125" bestFit="1" customWidth="1"/>
    <col min="6" max="6" width="3.81640625" bestFit="1" customWidth="1"/>
    <col min="7" max="7" width="10.7265625" bestFit="1" customWidth="1"/>
    <col min="8" max="8" width="22" bestFit="1" customWidth="1"/>
    <col min="9" max="9" width="13.453125" bestFit="1" customWidth="1"/>
    <col min="10" max="10" width="22" bestFit="1" customWidth="1"/>
    <col min="11" max="11" width="24.54296875" bestFit="1" customWidth="1"/>
    <col min="12" max="12" width="26.7265625" bestFit="1" customWidth="1"/>
    <col min="13" max="13" width="10.7265625" customWidth="1"/>
    <col min="14" max="14" width="11.453125" bestFit="1" customWidth="1"/>
    <col min="16" max="16" width="19.7265625" bestFit="1" customWidth="1"/>
    <col min="17" max="17" width="15.6328125" bestFit="1" customWidth="1"/>
    <col min="18" max="18" width="4.08984375" bestFit="1" customWidth="1"/>
    <col min="19" max="19" width="10.7265625" bestFit="1" customWidth="1"/>
  </cols>
  <sheetData>
    <row r="1" spans="1:20" x14ac:dyDescent="0.35">
      <c r="A1" t="s">
        <v>1639</v>
      </c>
      <c r="D1" s="4" t="s">
        <v>1646</v>
      </c>
    </row>
    <row r="2" spans="1:20" x14ac:dyDescent="0.35">
      <c r="A2" t="s">
        <v>1640</v>
      </c>
      <c r="B2">
        <f>COUNTA(tbl_HR_Clean[Employee_ID])</f>
        <v>1500</v>
      </c>
      <c r="D2" t="s">
        <v>23</v>
      </c>
      <c r="G2" t="s">
        <v>30</v>
      </c>
      <c r="J2" t="s">
        <v>1684</v>
      </c>
      <c r="K2" t="s">
        <v>1682</v>
      </c>
      <c r="L2" t="s">
        <v>1683</v>
      </c>
    </row>
    <row r="3" spans="1:20" x14ac:dyDescent="0.35">
      <c r="A3" t="s">
        <v>1641</v>
      </c>
      <c r="B3">
        <f>COUNTIF(tbl_HR_Clean[Attrition],"No")</f>
        <v>1262</v>
      </c>
      <c r="D3" t="s">
        <v>1685</v>
      </c>
      <c r="E3" t="s">
        <v>1647</v>
      </c>
      <c r="F3" t="s">
        <v>1680</v>
      </c>
      <c r="G3" t="s">
        <v>1685</v>
      </c>
      <c r="H3" t="s">
        <v>1647</v>
      </c>
      <c r="I3" t="s">
        <v>1680</v>
      </c>
    </row>
    <row r="4" spans="1:20" x14ac:dyDescent="0.35">
      <c r="A4" t="s">
        <v>1642</v>
      </c>
      <c r="B4">
        <f>COUNTIF(tbl_HR_Clean[Attrition],"Yes")</f>
        <v>238</v>
      </c>
      <c r="D4" s="10">
        <v>33.395404120443743</v>
      </c>
      <c r="E4" s="10">
        <v>1262</v>
      </c>
      <c r="F4" s="10">
        <v>0</v>
      </c>
      <c r="G4" s="8">
        <v>32.794117647058826</v>
      </c>
      <c r="H4" s="10">
        <v>238</v>
      </c>
      <c r="I4" s="10">
        <v>1</v>
      </c>
      <c r="J4" s="10">
        <v>33.299999999999997</v>
      </c>
      <c r="K4" s="10">
        <v>1500</v>
      </c>
      <c r="L4" s="8">
        <v>0.15866666666666668</v>
      </c>
      <c r="N4" s="8"/>
      <c r="T4" s="8"/>
    </row>
    <row r="5" spans="1:20" x14ac:dyDescent="0.35">
      <c r="A5" t="s">
        <v>1643</v>
      </c>
      <c r="B5" s="8">
        <f>B4/B2</f>
        <v>0.15866666666666668</v>
      </c>
      <c r="H5" s="8"/>
      <c r="N5" s="8"/>
      <c r="T5" s="8"/>
    </row>
    <row r="6" spans="1:20" x14ac:dyDescent="0.35">
      <c r="A6" t="s">
        <v>1644</v>
      </c>
      <c r="B6">
        <f>AVERAGE(tbl_HR_Clean[Age])</f>
        <v>33.299999999999997</v>
      </c>
      <c r="H6" s="8"/>
      <c r="N6" s="8"/>
      <c r="T6" s="8"/>
    </row>
    <row r="7" spans="1:20" x14ac:dyDescent="0.35">
      <c r="A7" t="s">
        <v>1645</v>
      </c>
      <c r="B7" s="9">
        <f>AVERAGE(tbl_HR_Clean[Monthly_Salary])</f>
        <v>66657.333333333328</v>
      </c>
      <c r="H7" s="8"/>
      <c r="N7" s="8"/>
      <c r="T7" s="8"/>
    </row>
    <row r="8" spans="1:20" x14ac:dyDescent="0.35">
      <c r="H8" s="8"/>
      <c r="N8" s="8"/>
      <c r="T8" s="8"/>
    </row>
    <row r="9" spans="1:20" x14ac:dyDescent="0.35">
      <c r="D9" s="4" t="s">
        <v>1647</v>
      </c>
      <c r="E9" s="4" t="s">
        <v>1646</v>
      </c>
      <c r="H9" s="8"/>
      <c r="I9" s="4" t="s">
        <v>1647</v>
      </c>
      <c r="J9" s="4" t="s">
        <v>1646</v>
      </c>
    </row>
    <row r="10" spans="1:20" x14ac:dyDescent="0.35">
      <c r="A10" s="4" t="s">
        <v>3</v>
      </c>
      <c r="B10" t="s">
        <v>1681</v>
      </c>
      <c r="D10" s="4" t="s">
        <v>1669</v>
      </c>
      <c r="E10" t="s">
        <v>23</v>
      </c>
      <c r="F10" t="s">
        <v>30</v>
      </c>
      <c r="G10" t="s">
        <v>1631</v>
      </c>
      <c r="H10" s="8"/>
      <c r="I10" s="4" t="s">
        <v>1630</v>
      </c>
      <c r="J10" t="s">
        <v>23</v>
      </c>
      <c r="K10" t="s">
        <v>30</v>
      </c>
      <c r="L10" t="s">
        <v>1631</v>
      </c>
    </row>
    <row r="11" spans="1:20" x14ac:dyDescent="0.35">
      <c r="D11" s="5">
        <v>1</v>
      </c>
      <c r="E11" s="10">
        <v>84</v>
      </c>
      <c r="F11" s="10">
        <v>14</v>
      </c>
      <c r="G11" s="10">
        <v>98</v>
      </c>
      <c r="I11" s="5" t="s">
        <v>1655</v>
      </c>
      <c r="J11" s="10">
        <v>259</v>
      </c>
      <c r="K11" s="10">
        <v>55</v>
      </c>
      <c r="L11" s="10">
        <v>314</v>
      </c>
    </row>
    <row r="12" spans="1:20" x14ac:dyDescent="0.35">
      <c r="A12" s="4" t="s">
        <v>8</v>
      </c>
      <c r="B12" t="s">
        <v>1680</v>
      </c>
      <c r="D12" s="5">
        <v>2</v>
      </c>
      <c r="E12" s="10">
        <v>233</v>
      </c>
      <c r="F12" s="10">
        <v>48</v>
      </c>
      <c r="G12" s="10">
        <v>281</v>
      </c>
      <c r="I12" s="5" t="s">
        <v>1658</v>
      </c>
      <c r="J12" s="10">
        <v>198</v>
      </c>
      <c r="K12" s="10">
        <v>38</v>
      </c>
      <c r="L12" s="10">
        <v>236</v>
      </c>
    </row>
    <row r="13" spans="1:20" x14ac:dyDescent="0.35">
      <c r="A13" s="5" t="s">
        <v>55</v>
      </c>
      <c r="B13" s="8">
        <v>0.13761467889908258</v>
      </c>
      <c r="D13" s="5">
        <v>3</v>
      </c>
      <c r="E13" s="10">
        <v>607</v>
      </c>
      <c r="F13" s="10">
        <v>110</v>
      </c>
      <c r="G13" s="10">
        <v>717</v>
      </c>
      <c r="I13" s="5" t="s">
        <v>1656</v>
      </c>
      <c r="J13" s="10">
        <v>366</v>
      </c>
      <c r="K13" s="10">
        <v>60</v>
      </c>
      <c r="L13" s="10">
        <v>426</v>
      </c>
    </row>
    <row r="14" spans="1:20" x14ac:dyDescent="0.35">
      <c r="A14" s="5" t="s">
        <v>48</v>
      </c>
      <c r="B14" s="8">
        <v>0.13235294117647059</v>
      </c>
      <c r="D14" s="5">
        <v>4</v>
      </c>
      <c r="E14" s="10">
        <v>334</v>
      </c>
      <c r="F14" s="10">
        <v>65</v>
      </c>
      <c r="G14" s="10">
        <v>399</v>
      </c>
      <c r="I14" s="5" t="s">
        <v>1659</v>
      </c>
      <c r="J14" s="10">
        <v>283</v>
      </c>
      <c r="K14" s="10">
        <v>50</v>
      </c>
      <c r="L14" s="10">
        <v>333</v>
      </c>
      <c r="P14" s="5"/>
      <c r="Q14" s="8"/>
    </row>
    <row r="15" spans="1:20" x14ac:dyDescent="0.35">
      <c r="A15" s="5" t="s">
        <v>27</v>
      </c>
      <c r="B15" s="8">
        <v>0.16086956521739129</v>
      </c>
      <c r="D15" s="5" t="s">
        <v>1667</v>
      </c>
      <c r="E15" s="10">
        <v>4</v>
      </c>
      <c r="F15" s="10">
        <v>1</v>
      </c>
      <c r="G15" s="10">
        <v>5</v>
      </c>
      <c r="I15" s="5" t="s">
        <v>1657</v>
      </c>
      <c r="J15" s="10">
        <v>156</v>
      </c>
      <c r="K15" s="10">
        <v>35</v>
      </c>
      <c r="L15" s="10">
        <v>191</v>
      </c>
      <c r="P15" s="5"/>
      <c r="Q15" s="8"/>
    </row>
    <row r="16" spans="1:20" x14ac:dyDescent="0.35">
      <c r="A16" s="5" t="s">
        <v>1634</v>
      </c>
      <c r="B16" s="8">
        <v>0.1388888888888889</v>
      </c>
      <c r="D16" s="5" t="s">
        <v>1631</v>
      </c>
      <c r="E16" s="10">
        <v>1262</v>
      </c>
      <c r="F16" s="10">
        <v>238</v>
      </c>
      <c r="G16" s="10">
        <v>1500</v>
      </c>
      <c r="H16" s="8"/>
      <c r="I16" s="5" t="s">
        <v>1631</v>
      </c>
      <c r="J16" s="10">
        <v>1262</v>
      </c>
      <c r="K16" s="10">
        <v>238</v>
      </c>
      <c r="L16" s="10">
        <v>1500</v>
      </c>
      <c r="N16" s="8"/>
      <c r="P16" s="5"/>
      <c r="Q16" s="8"/>
    </row>
    <row r="17" spans="1:17" x14ac:dyDescent="0.35">
      <c r="A17" s="5" t="s">
        <v>45</v>
      </c>
      <c r="B17" s="8">
        <v>0.17889908256880735</v>
      </c>
      <c r="H17" s="8"/>
      <c r="N17" s="8"/>
      <c r="P17" s="5"/>
      <c r="Q17" s="8"/>
    </row>
    <row r="18" spans="1:17" x14ac:dyDescent="0.35">
      <c r="A18" s="5" t="s">
        <v>68</v>
      </c>
      <c r="B18" s="8">
        <v>0.20618556701030927</v>
      </c>
      <c r="H18" s="8"/>
      <c r="N18" s="8"/>
      <c r="P18" s="5"/>
      <c r="Q18" s="8"/>
    </row>
    <row r="19" spans="1:17" x14ac:dyDescent="0.35">
      <c r="A19" s="5" t="s">
        <v>38</v>
      </c>
      <c r="B19" s="8">
        <v>0.15909090909090909</v>
      </c>
      <c r="H19" s="8"/>
      <c r="N19" s="8"/>
      <c r="P19" s="5"/>
      <c r="Q19" s="8"/>
    </row>
    <row r="20" spans="1:17" x14ac:dyDescent="0.35">
      <c r="A20" s="5" t="s">
        <v>1631</v>
      </c>
      <c r="B20" s="8">
        <v>0.15866666666666668</v>
      </c>
      <c r="H20" s="8"/>
      <c r="I20" s="4" t="s">
        <v>3</v>
      </c>
      <c r="J20" t="s">
        <v>1681</v>
      </c>
      <c r="N20" s="8"/>
      <c r="P20" s="5"/>
      <c r="Q20" s="8"/>
    </row>
    <row r="21" spans="1:17" x14ac:dyDescent="0.35">
      <c r="D21" s="4" t="s">
        <v>1647</v>
      </c>
      <c r="E21" s="4" t="s">
        <v>1646</v>
      </c>
      <c r="H21" s="8"/>
      <c r="P21" s="5"/>
      <c r="Q21" s="8"/>
    </row>
    <row r="22" spans="1:17" x14ac:dyDescent="0.35">
      <c r="A22" s="4" t="s">
        <v>3</v>
      </c>
      <c r="B22" t="s">
        <v>1681</v>
      </c>
      <c r="D22" s="4" t="s">
        <v>1668</v>
      </c>
      <c r="E22" t="s">
        <v>23</v>
      </c>
      <c r="F22" t="s">
        <v>30</v>
      </c>
      <c r="G22" t="s">
        <v>1631</v>
      </c>
      <c r="H22" s="8"/>
      <c r="I22" s="4" t="s">
        <v>1630</v>
      </c>
      <c r="J22" s="8" t="s">
        <v>1680</v>
      </c>
      <c r="P22" s="5"/>
      <c r="Q22" s="8"/>
    </row>
    <row r="23" spans="1:17" x14ac:dyDescent="0.35">
      <c r="D23" s="5">
        <v>1</v>
      </c>
      <c r="E23" s="10">
        <v>102</v>
      </c>
      <c r="F23" s="10">
        <v>19</v>
      </c>
      <c r="G23" s="10">
        <v>121</v>
      </c>
      <c r="H23" s="8"/>
      <c r="I23" s="5" t="s">
        <v>1664</v>
      </c>
      <c r="J23" s="8">
        <v>0.27807486631016043</v>
      </c>
      <c r="P23" s="5"/>
      <c r="Q23" s="8"/>
    </row>
    <row r="24" spans="1:17" x14ac:dyDescent="0.35">
      <c r="A24" s="4" t="s">
        <v>1630</v>
      </c>
      <c r="B24" t="s">
        <v>1680</v>
      </c>
      <c r="D24" s="5">
        <v>2</v>
      </c>
      <c r="E24" s="10">
        <v>208</v>
      </c>
      <c r="F24" s="10">
        <v>58</v>
      </c>
      <c r="G24" s="10">
        <v>266</v>
      </c>
      <c r="H24" s="8"/>
      <c r="I24" s="5" t="s">
        <v>1665</v>
      </c>
      <c r="J24" s="8">
        <v>0.18808777429467086</v>
      </c>
      <c r="P24" s="5"/>
      <c r="Q24" s="8"/>
    </row>
    <row r="25" spans="1:17" x14ac:dyDescent="0.35">
      <c r="A25" s="5" t="s">
        <v>1651</v>
      </c>
      <c r="B25" s="8">
        <v>0.23036649214659685</v>
      </c>
      <c r="D25" s="5">
        <v>3</v>
      </c>
      <c r="E25" s="10">
        <v>609</v>
      </c>
      <c r="F25" s="10">
        <v>97</v>
      </c>
      <c r="G25" s="10">
        <v>706</v>
      </c>
      <c r="H25" s="8"/>
      <c r="I25" s="5" t="s">
        <v>1661</v>
      </c>
      <c r="J25" s="8">
        <v>0.13084112149532709</v>
      </c>
      <c r="P25" s="5"/>
      <c r="Q25" s="8"/>
    </row>
    <row r="26" spans="1:17" x14ac:dyDescent="0.35">
      <c r="A26" s="5" t="s">
        <v>1650</v>
      </c>
      <c r="B26" s="8">
        <v>0.14756258234519104</v>
      </c>
      <c r="D26" s="5">
        <v>4</v>
      </c>
      <c r="E26" s="10">
        <v>338</v>
      </c>
      <c r="F26" s="10">
        <v>63</v>
      </c>
      <c r="G26" s="10">
        <v>401</v>
      </c>
      <c r="H26" s="8"/>
      <c r="I26" s="5" t="s">
        <v>1662</v>
      </c>
      <c r="J26" s="8">
        <v>0.12106537530266344</v>
      </c>
      <c r="N26" s="8"/>
      <c r="P26" s="5"/>
      <c r="Q26" s="8"/>
    </row>
    <row r="27" spans="1:17" x14ac:dyDescent="0.35">
      <c r="A27" s="5" t="s">
        <v>1649</v>
      </c>
      <c r="B27" s="8">
        <v>0.14545454545454545</v>
      </c>
      <c r="D27" s="5" t="s">
        <v>1667</v>
      </c>
      <c r="E27" s="10">
        <v>5</v>
      </c>
      <c r="F27" s="10">
        <v>1</v>
      </c>
      <c r="G27" s="10">
        <v>6</v>
      </c>
      <c r="H27" s="8"/>
      <c r="I27" s="5" t="s">
        <v>1663</v>
      </c>
      <c r="J27" s="8">
        <v>0.13071895424836602</v>
      </c>
      <c r="N27" s="8"/>
      <c r="P27" s="5"/>
      <c r="Q27" s="8"/>
    </row>
    <row r="28" spans="1:17" x14ac:dyDescent="0.35">
      <c r="A28" s="5" t="s">
        <v>1652</v>
      </c>
      <c r="B28" s="8">
        <v>0.16666666666666666</v>
      </c>
      <c r="D28" s="5" t="s">
        <v>1631</v>
      </c>
      <c r="E28" s="10">
        <v>1262</v>
      </c>
      <c r="F28" s="10">
        <v>238</v>
      </c>
      <c r="G28" s="10">
        <v>1500</v>
      </c>
      <c r="H28" s="8"/>
      <c r="I28" s="5" t="s">
        <v>1631</v>
      </c>
      <c r="J28" s="8">
        <v>0.15866666666666668</v>
      </c>
      <c r="N28" s="8"/>
      <c r="P28" s="5"/>
      <c r="Q28" s="8"/>
    </row>
    <row r="29" spans="1:17" x14ac:dyDescent="0.35">
      <c r="A29" s="5" t="s">
        <v>1631</v>
      </c>
      <c r="B29" s="8">
        <v>0.15810540360240161</v>
      </c>
      <c r="H29" s="8"/>
      <c r="N29" s="8"/>
      <c r="P29" s="5"/>
      <c r="Q29" s="8"/>
    </row>
    <row r="30" spans="1:17" x14ac:dyDescent="0.35">
      <c r="H30" s="8"/>
      <c r="N30" s="8"/>
      <c r="P30" s="5"/>
      <c r="Q30" s="8"/>
    </row>
    <row r="31" spans="1:17" x14ac:dyDescent="0.35">
      <c r="A31" s="4" t="s">
        <v>3</v>
      </c>
      <c r="B31" t="s">
        <v>1681</v>
      </c>
      <c r="H31" s="8"/>
      <c r="P31" s="5"/>
      <c r="Q31" s="8"/>
    </row>
    <row r="32" spans="1:17" x14ac:dyDescent="0.35">
      <c r="D32" s="4" t="s">
        <v>1647</v>
      </c>
      <c r="E32" s="4" t="s">
        <v>1646</v>
      </c>
      <c r="H32" s="8"/>
      <c r="P32" s="5"/>
      <c r="Q32" s="8"/>
    </row>
    <row r="33" spans="1:17" x14ac:dyDescent="0.35">
      <c r="A33" s="4" t="s">
        <v>1666</v>
      </c>
      <c r="B33" s="8" t="s">
        <v>1680</v>
      </c>
      <c r="D33" s="4" t="s">
        <v>20</v>
      </c>
      <c r="E33" t="s">
        <v>23</v>
      </c>
      <c r="F33" t="s">
        <v>30</v>
      </c>
      <c r="G33" t="s">
        <v>1631</v>
      </c>
      <c r="H33" s="8"/>
      <c r="P33" s="5"/>
      <c r="Q33" s="8"/>
    </row>
    <row r="34" spans="1:17" x14ac:dyDescent="0.35">
      <c r="A34" s="5" t="s">
        <v>102</v>
      </c>
      <c r="B34" s="8">
        <v>0.26666666666666666</v>
      </c>
      <c r="D34" s="5" t="s">
        <v>23</v>
      </c>
      <c r="E34" s="10">
        <v>916</v>
      </c>
      <c r="F34" s="10">
        <v>169</v>
      </c>
      <c r="G34" s="10">
        <v>1085</v>
      </c>
      <c r="H34" s="8"/>
      <c r="P34" s="5"/>
      <c r="Q34" s="8"/>
    </row>
    <row r="35" spans="1:17" x14ac:dyDescent="0.35">
      <c r="A35" s="5" t="s">
        <v>28</v>
      </c>
      <c r="B35" s="8">
        <v>0.2608695652173913</v>
      </c>
      <c r="D35" s="5" t="s">
        <v>30</v>
      </c>
      <c r="E35" s="10">
        <v>346</v>
      </c>
      <c r="F35" s="10">
        <v>69</v>
      </c>
      <c r="G35" s="10">
        <v>415</v>
      </c>
      <c r="H35" s="8"/>
      <c r="P35" s="5"/>
      <c r="Q35" s="8"/>
    </row>
    <row r="36" spans="1:17" x14ac:dyDescent="0.35">
      <c r="A36" s="5" t="s">
        <v>46</v>
      </c>
      <c r="B36" s="8">
        <v>0.25</v>
      </c>
      <c r="D36" s="5" t="s">
        <v>1631</v>
      </c>
      <c r="E36" s="10">
        <v>1262</v>
      </c>
      <c r="F36" s="10">
        <v>238</v>
      </c>
      <c r="G36" s="10">
        <v>1500</v>
      </c>
      <c r="H36" s="8"/>
      <c r="N36" s="8"/>
      <c r="P36" s="5"/>
      <c r="Q36" s="8"/>
    </row>
    <row r="37" spans="1:17" x14ac:dyDescent="0.35">
      <c r="A37" s="5" t="s">
        <v>109</v>
      </c>
      <c r="B37" s="8">
        <v>0.22641509433962265</v>
      </c>
      <c r="H37" s="8"/>
      <c r="N37" s="8"/>
      <c r="P37" s="5"/>
      <c r="Q37" s="8"/>
    </row>
    <row r="38" spans="1:17" x14ac:dyDescent="0.35">
      <c r="A38" s="5" t="s">
        <v>75</v>
      </c>
      <c r="B38" s="8">
        <v>0.22413793103448276</v>
      </c>
      <c r="H38" s="8"/>
      <c r="P38" s="5"/>
      <c r="Q38" s="8"/>
    </row>
    <row r="39" spans="1:17" x14ac:dyDescent="0.35">
      <c r="A39" s="5" t="s">
        <v>1631</v>
      </c>
      <c r="B39" s="8">
        <v>0.2441860465116279</v>
      </c>
      <c r="H39" s="8"/>
      <c r="P39" s="5"/>
      <c r="Q39" s="8"/>
    </row>
    <row r="40" spans="1:17" x14ac:dyDescent="0.35">
      <c r="H40" s="8"/>
      <c r="P40" s="5"/>
      <c r="Q40" s="8"/>
    </row>
    <row r="41" spans="1:17" x14ac:dyDescent="0.35">
      <c r="H41" s="8"/>
      <c r="P41" s="5"/>
      <c r="Q41" s="8"/>
    </row>
    <row r="42" spans="1:17" x14ac:dyDescent="0.35">
      <c r="H42" s="8"/>
      <c r="N42" s="8"/>
    </row>
    <row r="43" spans="1:17" x14ac:dyDescent="0.35">
      <c r="H43" s="8"/>
      <c r="N43" s="8"/>
    </row>
    <row r="44" spans="1:17" x14ac:dyDescent="0.35">
      <c r="N44" s="8"/>
    </row>
    <row r="45" spans="1:17" x14ac:dyDescent="0.35">
      <c r="N45" s="8"/>
    </row>
    <row r="46" spans="1:17" x14ac:dyDescent="0.35">
      <c r="N46" s="8"/>
    </row>
    <row r="51" spans="7:11" x14ac:dyDescent="0.35">
      <c r="J51" s="5"/>
      <c r="K51" s="8"/>
    </row>
    <row r="52" spans="7:11" x14ac:dyDescent="0.35">
      <c r="G52" s="5"/>
      <c r="H52" s="8"/>
      <c r="J52" s="5"/>
      <c r="K52" s="8"/>
    </row>
    <row r="53" spans="7:11" x14ac:dyDescent="0.35">
      <c r="G53" s="5"/>
      <c r="H53" s="8"/>
      <c r="J53" s="5"/>
      <c r="K53" s="8"/>
    </row>
    <row r="54" spans="7:11" x14ac:dyDescent="0.35">
      <c r="G54" s="5"/>
      <c r="H54" s="8"/>
      <c r="J54" s="5"/>
      <c r="K54" s="8"/>
    </row>
    <row r="55" spans="7:11" x14ac:dyDescent="0.35">
      <c r="G55" s="5"/>
      <c r="H55" s="8"/>
    </row>
    <row r="56" spans="7:11" x14ac:dyDescent="0.35">
      <c r="G56" s="5"/>
      <c r="H56" s="8"/>
    </row>
    <row r="57" spans="7:11" x14ac:dyDescent="0.35">
      <c r="G57" s="5"/>
      <c r="H57" s="8"/>
    </row>
    <row r="58" spans="7:11" x14ac:dyDescent="0.35">
      <c r="G58" s="5"/>
      <c r="H58" s="8"/>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zoomScale="173" workbookViewId="0">
      <selection activeCell="B12" sqref="B12"/>
    </sheetView>
  </sheetViews>
  <sheetFormatPr defaultRowHeight="14.5" x14ac:dyDescent="0.35"/>
  <cols>
    <col min="1" max="1" width="27.1796875" bestFit="1" customWidth="1"/>
  </cols>
  <sheetData>
    <row r="1" spans="1:2" x14ac:dyDescent="0.35">
      <c r="A1" t="s">
        <v>1616</v>
      </c>
      <c r="B1">
        <f>COUNTA(Raw_HR_Data!A:A)-1</f>
        <v>1506</v>
      </c>
    </row>
    <row r="2" spans="1:2" x14ac:dyDescent="0.35">
      <c r="A2" t="s">
        <v>1617</v>
      </c>
      <c r="B2">
        <f>SUMPRODUCT((Raw_HR_Data!A2:A1507&lt;&gt;"")/COUNTIF(Raw_HR_Data!A2:A1507,Raw_HR_Data!A2:A1507&amp;""))</f>
        <v>1500</v>
      </c>
    </row>
    <row r="3" spans="1:2" x14ac:dyDescent="0.35">
      <c r="A3" t="s">
        <v>1618</v>
      </c>
      <c r="B3">
        <v>6</v>
      </c>
    </row>
    <row r="4" spans="1:2" x14ac:dyDescent="0.35">
      <c r="A4" t="s">
        <v>1619</v>
      </c>
      <c r="B4">
        <f>COUNTBLANK(Raw_HR_Data!G2:G1507)</f>
        <v>12</v>
      </c>
    </row>
    <row r="5" spans="1:2" x14ac:dyDescent="0.35">
      <c r="A5" t="s">
        <v>1620</v>
      </c>
      <c r="B5">
        <f>COUNTBLANK(Raw_HR_Data!L2:L1507)</f>
        <v>8</v>
      </c>
    </row>
    <row r="6" spans="1:2" x14ac:dyDescent="0.35">
      <c r="A6" t="s">
        <v>1621</v>
      </c>
      <c r="B6">
        <f>COUNTBLANK(Raw_HR_Data!N2:N1507)</f>
        <v>4</v>
      </c>
    </row>
    <row r="7" spans="1:2" x14ac:dyDescent="0.35">
      <c r="A7" t="s">
        <v>1622</v>
      </c>
      <c r="B7">
        <f>COUNTBLANK(Raw_HR_Data!R2:R1507)</f>
        <v>6</v>
      </c>
    </row>
    <row r="8" spans="1:2" x14ac:dyDescent="0.35">
      <c r="A8" t="s">
        <v>1623</v>
      </c>
      <c r="B8">
        <f>COUNTBLANK(Raw_HR_Data!S2:S1507)</f>
        <v>5</v>
      </c>
    </row>
    <row r="9" spans="1:2" x14ac:dyDescent="0.35">
      <c r="A9" t="s">
        <v>1624</v>
      </c>
      <c r="B9">
        <f>COUNTBLANK(Raw_HR_Data!C2:C1507)</f>
        <v>1268</v>
      </c>
    </row>
    <row r="10" spans="1:2" x14ac:dyDescent="0.35">
      <c r="A10" t="s">
        <v>1625</v>
      </c>
      <c r="B10">
        <f>SUMPRODUCT(--(Raw_HR_Data!C2:C1507&lt;Raw_HR_Data!B2:B1507),--(Raw_HR_Data!C2:C1507&lt;&gt;""))</f>
        <v>3</v>
      </c>
    </row>
    <row r="11" spans="1:2" x14ac:dyDescent="0.35">
      <c r="A11" t="s">
        <v>1626</v>
      </c>
      <c r="B11">
        <v>1</v>
      </c>
    </row>
    <row r="12" spans="1:2" x14ac:dyDescent="0.35">
      <c r="A12" t="s">
        <v>1627</v>
      </c>
      <c r="B12">
        <f>SUMPRODUCT(--ISTEXT(Raw_HR_Data!M2:M1507))</f>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501"/>
  <sheetViews>
    <sheetView topLeftCell="O1" workbookViewId="0">
      <selection activeCell="F14" sqref="F14"/>
    </sheetView>
  </sheetViews>
  <sheetFormatPr defaultRowHeight="14.5" x14ac:dyDescent="0.35"/>
  <cols>
    <col min="1" max="1" width="14.08984375" bestFit="1" customWidth="1"/>
    <col min="2" max="2" width="13.81640625" bestFit="1" customWidth="1"/>
    <col min="3" max="3" width="10.26953125" bestFit="1" customWidth="1"/>
    <col min="4" max="4" width="6.1796875" bestFit="1" customWidth="1"/>
    <col min="5" max="5" width="10.1796875" bestFit="1" customWidth="1"/>
    <col min="6" max="6" width="15.54296875" bestFit="1" customWidth="1"/>
    <col min="7" max="7" width="11.453125" bestFit="1" customWidth="1"/>
    <col min="8" max="8" width="15.90625" bestFit="1" customWidth="1"/>
    <col min="9" max="9" width="28.26953125" bestFit="1" customWidth="1"/>
    <col min="10" max="10" width="11.08984375" bestFit="1" customWidth="1"/>
    <col min="11" max="11" width="10.1796875" bestFit="1" customWidth="1"/>
    <col min="12" max="12" width="16.26953125" bestFit="1" customWidth="1"/>
    <col min="13" max="13" width="16.54296875" bestFit="1" customWidth="1"/>
    <col min="14" max="14" width="23.36328125" bestFit="1" customWidth="1"/>
    <col min="15" max="15" width="19.453125" bestFit="1" customWidth="1"/>
    <col min="16" max="16" width="27.6328125" bestFit="1" customWidth="1"/>
    <col min="17" max="17" width="16.7265625" bestFit="1" customWidth="1"/>
    <col min="18" max="18" width="24.90625" bestFit="1" customWidth="1"/>
    <col min="19" max="19" width="19.26953125" bestFit="1" customWidth="1"/>
    <col min="20" max="20" width="10.90625" bestFit="1" customWidth="1"/>
    <col min="21" max="21" width="20.36328125" bestFit="1" customWidth="1"/>
    <col min="22" max="22" width="11.1796875" style="7" bestFit="1" customWidth="1"/>
    <col min="23" max="23" width="11.453125" style="7" bestFit="1" customWidth="1"/>
    <col min="24" max="24" width="13.36328125" style="7" bestFit="1" customWidth="1"/>
    <col min="25" max="25" width="14.26953125" style="7" bestFit="1" customWidth="1"/>
    <col min="26" max="26" width="14.54296875" style="7" bestFit="1" customWidth="1"/>
    <col min="29" max="29" width="11.81640625" bestFit="1" customWidth="1"/>
    <col min="30" max="30" width="10.81640625" bestFit="1" customWidth="1"/>
    <col min="31" max="31" width="10.453125" bestFit="1" customWidth="1"/>
    <col min="32" max="32" width="12" bestFit="1" customWidth="1"/>
    <col min="33" max="33" width="13.90625" bestFit="1" customWidth="1"/>
  </cols>
  <sheetData>
    <row r="1" spans="1:26" x14ac:dyDescent="0.35">
      <c r="A1" t="s">
        <v>0</v>
      </c>
      <c r="B1" t="s">
        <v>1</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s="7" t="s">
        <v>2</v>
      </c>
      <c r="W1" s="7" t="s">
        <v>1648</v>
      </c>
      <c r="X1" s="7" t="s">
        <v>1654</v>
      </c>
      <c r="Y1" s="7" t="s">
        <v>1660</v>
      </c>
      <c r="Z1" s="7" t="s">
        <v>1679</v>
      </c>
    </row>
    <row r="2" spans="1:26" x14ac:dyDescent="0.35">
      <c r="A2" t="s">
        <v>1008</v>
      </c>
      <c r="B2" s="6">
        <v>44738</v>
      </c>
      <c r="C2" t="s">
        <v>23</v>
      </c>
      <c r="D2">
        <v>36</v>
      </c>
      <c r="E2" t="s">
        <v>62</v>
      </c>
      <c r="F2" t="s">
        <v>25</v>
      </c>
      <c r="G2" t="s">
        <v>26</v>
      </c>
      <c r="H2" t="s">
        <v>45</v>
      </c>
      <c r="I2" t="s">
        <v>164</v>
      </c>
      <c r="J2" t="s">
        <v>1632</v>
      </c>
      <c r="K2" t="s">
        <v>66</v>
      </c>
      <c r="L2">
        <v>30000</v>
      </c>
      <c r="M2">
        <v>11.6</v>
      </c>
      <c r="N2">
        <v>10.7</v>
      </c>
      <c r="O2">
        <v>3.5</v>
      </c>
      <c r="P2">
        <v>0.3</v>
      </c>
      <c r="Q2">
        <v>4</v>
      </c>
      <c r="R2">
        <v>3</v>
      </c>
      <c r="S2">
        <v>1</v>
      </c>
      <c r="T2" t="s">
        <v>30</v>
      </c>
      <c r="U2">
        <v>3</v>
      </c>
      <c r="W2" t="s">
        <v>1649</v>
      </c>
      <c r="X2" t="s">
        <v>1655</v>
      </c>
      <c r="Y2" t="s">
        <v>1661</v>
      </c>
      <c r="Z2">
        <v>0</v>
      </c>
    </row>
    <row r="3" spans="1:26" x14ac:dyDescent="0.35">
      <c r="A3" t="s">
        <v>1020</v>
      </c>
      <c r="B3" s="6">
        <v>43610</v>
      </c>
      <c r="C3" t="s">
        <v>23</v>
      </c>
      <c r="D3">
        <v>31</v>
      </c>
      <c r="E3" t="s">
        <v>24</v>
      </c>
      <c r="F3" t="s">
        <v>42</v>
      </c>
      <c r="G3" t="s">
        <v>26</v>
      </c>
      <c r="H3" t="s">
        <v>55</v>
      </c>
      <c r="I3" t="s">
        <v>80</v>
      </c>
      <c r="J3" t="s">
        <v>1633</v>
      </c>
      <c r="K3" t="s">
        <v>84</v>
      </c>
      <c r="L3">
        <v>59000</v>
      </c>
      <c r="M3">
        <v>15.3</v>
      </c>
      <c r="N3">
        <v>12.2</v>
      </c>
      <c r="O3">
        <v>6.6</v>
      </c>
      <c r="P3">
        <v>2</v>
      </c>
      <c r="Q3">
        <v>1</v>
      </c>
      <c r="R3">
        <v>2</v>
      </c>
      <c r="S3">
        <v>4</v>
      </c>
      <c r="T3" t="s">
        <v>23</v>
      </c>
      <c r="U3">
        <v>3</v>
      </c>
      <c r="W3" t="s">
        <v>1650</v>
      </c>
      <c r="X3" t="s">
        <v>1656</v>
      </c>
      <c r="Y3" t="s">
        <v>1662</v>
      </c>
      <c r="Z3">
        <v>0</v>
      </c>
    </row>
    <row r="4" spans="1:26" x14ac:dyDescent="0.35">
      <c r="A4" t="s">
        <v>314</v>
      </c>
      <c r="B4" s="6">
        <v>43053</v>
      </c>
      <c r="C4" t="s">
        <v>23</v>
      </c>
      <c r="D4">
        <v>30</v>
      </c>
      <c r="E4" t="s">
        <v>62</v>
      </c>
      <c r="F4" t="s">
        <v>37</v>
      </c>
      <c r="G4" t="s">
        <v>26</v>
      </c>
      <c r="H4" t="s">
        <v>1634</v>
      </c>
      <c r="I4" t="s">
        <v>150</v>
      </c>
      <c r="J4" t="s">
        <v>1635</v>
      </c>
      <c r="K4" t="s">
        <v>50</v>
      </c>
      <c r="L4">
        <v>80000</v>
      </c>
      <c r="M4">
        <v>7.1</v>
      </c>
      <c r="N4">
        <v>11.2</v>
      </c>
      <c r="O4">
        <v>8.1</v>
      </c>
      <c r="P4">
        <v>3.3</v>
      </c>
      <c r="Q4">
        <v>3</v>
      </c>
      <c r="R4">
        <v>4</v>
      </c>
      <c r="S4">
        <v>3</v>
      </c>
      <c r="T4" t="s">
        <v>23</v>
      </c>
      <c r="U4">
        <v>4</v>
      </c>
      <c r="W4" t="s">
        <v>1650</v>
      </c>
      <c r="X4" t="s">
        <v>1657</v>
      </c>
      <c r="Y4" t="s">
        <v>1662</v>
      </c>
      <c r="Z4">
        <v>0</v>
      </c>
    </row>
    <row r="5" spans="1:26" x14ac:dyDescent="0.35">
      <c r="A5" t="s">
        <v>533</v>
      </c>
      <c r="B5" s="6">
        <v>41703</v>
      </c>
      <c r="C5" t="s">
        <v>23</v>
      </c>
      <c r="D5">
        <v>35</v>
      </c>
      <c r="E5" t="s">
        <v>62</v>
      </c>
      <c r="F5" t="s">
        <v>25</v>
      </c>
      <c r="G5" t="s">
        <v>26</v>
      </c>
      <c r="H5" t="s">
        <v>45</v>
      </c>
      <c r="I5" t="s">
        <v>97</v>
      </c>
      <c r="J5" t="s">
        <v>1635</v>
      </c>
      <c r="K5" t="s">
        <v>66</v>
      </c>
      <c r="L5">
        <v>55000</v>
      </c>
      <c r="M5">
        <v>2.1</v>
      </c>
      <c r="N5">
        <v>15.5</v>
      </c>
      <c r="O5">
        <v>11.8</v>
      </c>
      <c r="P5">
        <v>5</v>
      </c>
      <c r="Q5">
        <v>4</v>
      </c>
      <c r="R5">
        <v>2</v>
      </c>
      <c r="S5">
        <v>3</v>
      </c>
      <c r="T5" t="s">
        <v>23</v>
      </c>
      <c r="U5">
        <v>4</v>
      </c>
      <c r="W5" t="s">
        <v>1650</v>
      </c>
      <c r="X5" t="s">
        <v>1656</v>
      </c>
      <c r="Y5" t="s">
        <v>1663</v>
      </c>
      <c r="Z5">
        <v>0</v>
      </c>
    </row>
    <row r="6" spans="1:26" x14ac:dyDescent="0.35">
      <c r="A6" t="s">
        <v>615</v>
      </c>
      <c r="B6" s="6">
        <v>44801</v>
      </c>
      <c r="C6" t="s">
        <v>23</v>
      </c>
      <c r="D6">
        <v>26</v>
      </c>
      <c r="E6" t="s">
        <v>24</v>
      </c>
      <c r="F6" t="s">
        <v>37</v>
      </c>
      <c r="G6" t="s">
        <v>26</v>
      </c>
      <c r="H6" t="s">
        <v>45</v>
      </c>
      <c r="I6" t="s">
        <v>97</v>
      </c>
      <c r="J6" t="s">
        <v>1632</v>
      </c>
      <c r="K6" t="s">
        <v>84</v>
      </c>
      <c r="L6">
        <v>34000</v>
      </c>
      <c r="M6">
        <v>5.4</v>
      </c>
      <c r="N6">
        <v>10.7</v>
      </c>
      <c r="O6">
        <v>3.3</v>
      </c>
      <c r="P6">
        <v>2.2999999999999998</v>
      </c>
      <c r="Q6">
        <v>3</v>
      </c>
      <c r="R6">
        <v>2</v>
      </c>
      <c r="S6">
        <v>3</v>
      </c>
      <c r="T6" t="s">
        <v>30</v>
      </c>
      <c r="U6">
        <v>4</v>
      </c>
      <c r="W6" t="s">
        <v>1650</v>
      </c>
      <c r="X6" t="s">
        <v>1655</v>
      </c>
      <c r="Y6" t="s">
        <v>1661</v>
      </c>
      <c r="Z6">
        <v>0</v>
      </c>
    </row>
    <row r="7" spans="1:26" x14ac:dyDescent="0.35">
      <c r="A7" t="s">
        <v>594</v>
      </c>
      <c r="B7" s="6">
        <v>42011</v>
      </c>
      <c r="C7" t="s">
        <v>23</v>
      </c>
      <c r="D7">
        <v>43</v>
      </c>
      <c r="E7" t="s">
        <v>62</v>
      </c>
      <c r="F7" t="s">
        <v>25</v>
      </c>
      <c r="G7" t="s">
        <v>58</v>
      </c>
      <c r="H7" t="s">
        <v>48</v>
      </c>
      <c r="I7" t="s">
        <v>129</v>
      </c>
      <c r="J7" t="s">
        <v>1632</v>
      </c>
      <c r="K7" t="s">
        <v>29</v>
      </c>
      <c r="L7">
        <v>33000</v>
      </c>
      <c r="M7">
        <v>9.3000000000000007</v>
      </c>
      <c r="N7">
        <v>15</v>
      </c>
      <c r="O7">
        <v>11</v>
      </c>
      <c r="P7">
        <v>5.3</v>
      </c>
      <c r="Q7">
        <v>3</v>
      </c>
      <c r="R7">
        <v>3</v>
      </c>
      <c r="S7">
        <v>2</v>
      </c>
      <c r="T7" t="s">
        <v>23</v>
      </c>
      <c r="U7">
        <v>2</v>
      </c>
      <c r="W7" t="s">
        <v>1649</v>
      </c>
      <c r="X7" t="s">
        <v>1655</v>
      </c>
      <c r="Y7" t="s">
        <v>1663</v>
      </c>
      <c r="Z7">
        <v>0</v>
      </c>
    </row>
    <row r="8" spans="1:26" x14ac:dyDescent="0.35">
      <c r="A8" t="s">
        <v>261</v>
      </c>
      <c r="B8" s="6">
        <v>44644</v>
      </c>
      <c r="C8" t="s">
        <v>23</v>
      </c>
      <c r="D8">
        <v>29</v>
      </c>
      <c r="E8" t="s">
        <v>36</v>
      </c>
      <c r="F8" t="s">
        <v>25</v>
      </c>
      <c r="G8" t="s">
        <v>26</v>
      </c>
      <c r="H8" t="s">
        <v>27</v>
      </c>
      <c r="I8" t="s">
        <v>33</v>
      </c>
      <c r="J8" t="s">
        <v>1636</v>
      </c>
      <c r="K8" t="s">
        <v>34</v>
      </c>
      <c r="L8">
        <v>107000</v>
      </c>
      <c r="M8">
        <v>4.4000000000000004</v>
      </c>
      <c r="N8">
        <v>4.5</v>
      </c>
      <c r="O8">
        <v>3.8</v>
      </c>
      <c r="P8">
        <v>0.2</v>
      </c>
      <c r="Q8">
        <v>4</v>
      </c>
      <c r="R8">
        <v>2</v>
      </c>
      <c r="S8">
        <v>3</v>
      </c>
      <c r="T8" t="s">
        <v>30</v>
      </c>
      <c r="U8">
        <v>4</v>
      </c>
      <c r="W8" t="s">
        <v>1650</v>
      </c>
      <c r="X8" t="s">
        <v>1658</v>
      </c>
      <c r="Y8" t="s">
        <v>1661</v>
      </c>
      <c r="Z8">
        <v>0</v>
      </c>
    </row>
    <row r="9" spans="1:26" x14ac:dyDescent="0.35">
      <c r="A9" t="s">
        <v>650</v>
      </c>
      <c r="B9" s="6">
        <v>42827</v>
      </c>
      <c r="C9" t="s">
        <v>23</v>
      </c>
      <c r="D9">
        <v>29</v>
      </c>
      <c r="E9" t="s">
        <v>36</v>
      </c>
      <c r="F9" t="s">
        <v>37</v>
      </c>
      <c r="G9" t="s">
        <v>54</v>
      </c>
      <c r="H9" t="s">
        <v>48</v>
      </c>
      <c r="I9" t="s">
        <v>201</v>
      </c>
      <c r="J9" t="s">
        <v>1635</v>
      </c>
      <c r="K9" t="s">
        <v>50</v>
      </c>
      <c r="L9">
        <v>77000</v>
      </c>
      <c r="M9">
        <v>6.6</v>
      </c>
      <c r="N9">
        <v>14.2</v>
      </c>
      <c r="O9">
        <v>8.6999999999999993</v>
      </c>
      <c r="P9">
        <v>3.2</v>
      </c>
      <c r="Q9">
        <v>1</v>
      </c>
      <c r="R9">
        <v>3</v>
      </c>
      <c r="S9">
        <v>3</v>
      </c>
      <c r="T9" t="s">
        <v>23</v>
      </c>
      <c r="U9">
        <v>2</v>
      </c>
      <c r="W9" t="s">
        <v>1650</v>
      </c>
      <c r="X9" t="s">
        <v>1659</v>
      </c>
      <c r="Y9" t="s">
        <v>1662</v>
      </c>
      <c r="Z9">
        <v>0</v>
      </c>
    </row>
    <row r="10" spans="1:26" x14ac:dyDescent="0.35">
      <c r="A10" t="s">
        <v>1247</v>
      </c>
      <c r="B10" s="6">
        <v>42657</v>
      </c>
      <c r="C10" t="s">
        <v>23</v>
      </c>
      <c r="D10">
        <v>33</v>
      </c>
      <c r="E10" t="s">
        <v>62</v>
      </c>
      <c r="F10" t="s">
        <v>37</v>
      </c>
      <c r="G10" t="s">
        <v>58</v>
      </c>
      <c r="H10" t="s">
        <v>45</v>
      </c>
      <c r="I10" t="s">
        <v>77</v>
      </c>
      <c r="J10" t="s">
        <v>1637</v>
      </c>
      <c r="K10" t="s">
        <v>34</v>
      </c>
      <c r="L10">
        <v>134000</v>
      </c>
      <c r="M10">
        <v>12.3</v>
      </c>
      <c r="N10">
        <v>15.9</v>
      </c>
      <c r="O10">
        <v>9.1999999999999993</v>
      </c>
      <c r="P10">
        <v>3</v>
      </c>
      <c r="Q10">
        <v>2</v>
      </c>
      <c r="R10">
        <v>2</v>
      </c>
      <c r="S10">
        <v>3</v>
      </c>
      <c r="T10" t="s">
        <v>23</v>
      </c>
      <c r="U10">
        <v>2</v>
      </c>
      <c r="W10" t="s">
        <v>1650</v>
      </c>
      <c r="X10" t="s">
        <v>1658</v>
      </c>
      <c r="Y10" t="s">
        <v>1662</v>
      </c>
      <c r="Z10">
        <v>0</v>
      </c>
    </row>
    <row r="11" spans="1:26" x14ac:dyDescent="0.35">
      <c r="A11" t="s">
        <v>971</v>
      </c>
      <c r="B11" s="6">
        <v>42158</v>
      </c>
      <c r="C11" t="s">
        <v>30</v>
      </c>
      <c r="D11">
        <v>34</v>
      </c>
      <c r="E11" t="s">
        <v>24</v>
      </c>
      <c r="F11" t="s">
        <v>37</v>
      </c>
      <c r="G11" t="s">
        <v>54</v>
      </c>
      <c r="H11" t="s">
        <v>38</v>
      </c>
      <c r="I11" t="s">
        <v>118</v>
      </c>
      <c r="J11" t="s">
        <v>1636</v>
      </c>
      <c r="K11" t="s">
        <v>66</v>
      </c>
      <c r="L11">
        <v>107000</v>
      </c>
      <c r="M11">
        <v>3.7</v>
      </c>
      <c r="N11">
        <v>18</v>
      </c>
      <c r="O11">
        <v>10.4</v>
      </c>
      <c r="P11">
        <v>0.5</v>
      </c>
      <c r="Q11">
        <v>3</v>
      </c>
      <c r="R11">
        <v>3</v>
      </c>
      <c r="S11">
        <v>2</v>
      </c>
      <c r="T11" t="s">
        <v>23</v>
      </c>
      <c r="U11">
        <v>4</v>
      </c>
      <c r="V11" s="7">
        <v>45948</v>
      </c>
      <c r="W11" t="s">
        <v>1650</v>
      </c>
      <c r="X11" t="s">
        <v>1658</v>
      </c>
      <c r="Y11" t="s">
        <v>1663</v>
      </c>
      <c r="Z11">
        <v>1</v>
      </c>
    </row>
    <row r="12" spans="1:26" x14ac:dyDescent="0.35">
      <c r="A12" t="s">
        <v>972</v>
      </c>
      <c r="B12" s="6">
        <v>43321</v>
      </c>
      <c r="C12" t="s">
        <v>23</v>
      </c>
      <c r="D12">
        <v>38</v>
      </c>
      <c r="E12" t="s">
        <v>62</v>
      </c>
      <c r="F12" t="s">
        <v>42</v>
      </c>
      <c r="G12" t="s">
        <v>26</v>
      </c>
      <c r="H12" t="s">
        <v>55</v>
      </c>
      <c r="I12" t="s">
        <v>88</v>
      </c>
      <c r="J12" t="s">
        <v>1635</v>
      </c>
      <c r="K12" t="s">
        <v>40</v>
      </c>
      <c r="L12">
        <v>91000</v>
      </c>
      <c r="M12">
        <v>8.5</v>
      </c>
      <c r="N12">
        <v>12.9</v>
      </c>
      <c r="O12">
        <v>7.4</v>
      </c>
      <c r="P12">
        <v>4.3</v>
      </c>
      <c r="Q12">
        <v>4</v>
      </c>
      <c r="R12">
        <v>3</v>
      </c>
      <c r="S12">
        <v>3</v>
      </c>
      <c r="T12" t="s">
        <v>23</v>
      </c>
      <c r="U12">
        <v>3</v>
      </c>
      <c r="W12" t="s">
        <v>1649</v>
      </c>
      <c r="X12" t="s">
        <v>1657</v>
      </c>
      <c r="Y12" t="s">
        <v>1662</v>
      </c>
      <c r="Z12">
        <v>0</v>
      </c>
    </row>
    <row r="13" spans="1:26" x14ac:dyDescent="0.35">
      <c r="A13" t="s">
        <v>1542</v>
      </c>
      <c r="B13" s="6">
        <v>45580</v>
      </c>
      <c r="C13" t="s">
        <v>30</v>
      </c>
      <c r="D13">
        <v>23</v>
      </c>
      <c r="E13" t="s">
        <v>62</v>
      </c>
      <c r="F13" t="s">
        <v>37</v>
      </c>
      <c r="G13" t="s">
        <v>58</v>
      </c>
      <c r="H13" t="s">
        <v>55</v>
      </c>
      <c r="I13" t="s">
        <v>56</v>
      </c>
      <c r="J13" t="s">
        <v>1632</v>
      </c>
      <c r="K13" t="s">
        <v>29</v>
      </c>
      <c r="L13">
        <v>33000</v>
      </c>
      <c r="M13">
        <v>7.2</v>
      </c>
      <c r="N13">
        <v>6</v>
      </c>
      <c r="O13">
        <v>0.3</v>
      </c>
      <c r="P13">
        <v>0</v>
      </c>
      <c r="Q13">
        <v>2</v>
      </c>
      <c r="R13">
        <v>1</v>
      </c>
      <c r="S13">
        <v>1</v>
      </c>
      <c r="T13" t="s">
        <v>23</v>
      </c>
      <c r="U13">
        <v>3</v>
      </c>
      <c r="V13" s="7">
        <v>45694</v>
      </c>
      <c r="W13" t="s">
        <v>1651</v>
      </c>
      <c r="X13" t="s">
        <v>1655</v>
      </c>
      <c r="Y13" t="s">
        <v>1664</v>
      </c>
      <c r="Z13">
        <v>1</v>
      </c>
    </row>
    <row r="14" spans="1:26" x14ac:dyDescent="0.35">
      <c r="A14" t="s">
        <v>272</v>
      </c>
      <c r="B14" s="6">
        <v>42822</v>
      </c>
      <c r="C14" t="s">
        <v>23</v>
      </c>
      <c r="D14">
        <v>35</v>
      </c>
      <c r="E14" t="s">
        <v>36</v>
      </c>
      <c r="F14" t="s">
        <v>42</v>
      </c>
      <c r="G14" t="s">
        <v>26</v>
      </c>
      <c r="H14" t="s">
        <v>48</v>
      </c>
      <c r="I14" t="s">
        <v>49</v>
      </c>
      <c r="J14" t="s">
        <v>1635</v>
      </c>
      <c r="K14" t="s">
        <v>29</v>
      </c>
      <c r="L14">
        <v>64000</v>
      </c>
      <c r="M14">
        <v>10.3</v>
      </c>
      <c r="N14">
        <v>12.5</v>
      </c>
      <c r="O14">
        <v>8.8000000000000007</v>
      </c>
      <c r="P14">
        <v>2.4</v>
      </c>
      <c r="Q14">
        <v>3</v>
      </c>
      <c r="R14">
        <v>2</v>
      </c>
      <c r="S14">
        <v>3</v>
      </c>
      <c r="T14" t="s">
        <v>23</v>
      </c>
      <c r="U14">
        <v>3</v>
      </c>
      <c r="W14" t="s">
        <v>1650</v>
      </c>
      <c r="X14" t="s">
        <v>1659</v>
      </c>
      <c r="Y14" t="s">
        <v>1662</v>
      </c>
      <c r="Z14">
        <v>0</v>
      </c>
    </row>
    <row r="15" spans="1:26" x14ac:dyDescent="0.35">
      <c r="A15" t="s">
        <v>1478</v>
      </c>
      <c r="B15" s="6">
        <v>43865</v>
      </c>
      <c r="C15" t="s">
        <v>23</v>
      </c>
      <c r="D15">
        <v>28</v>
      </c>
      <c r="E15" t="s">
        <v>24</v>
      </c>
      <c r="F15" t="s">
        <v>42</v>
      </c>
      <c r="G15" t="s">
        <v>26</v>
      </c>
      <c r="H15" t="s">
        <v>45</v>
      </c>
      <c r="I15" t="s">
        <v>164</v>
      </c>
      <c r="J15" t="s">
        <v>1632</v>
      </c>
      <c r="K15" t="s">
        <v>50</v>
      </c>
      <c r="L15">
        <v>37000</v>
      </c>
      <c r="M15">
        <v>13.1</v>
      </c>
      <c r="N15">
        <v>10.199999999999999</v>
      </c>
      <c r="O15">
        <v>5.9</v>
      </c>
      <c r="P15">
        <v>0.8</v>
      </c>
      <c r="Q15">
        <v>2</v>
      </c>
      <c r="R15">
        <v>2</v>
      </c>
      <c r="S15">
        <v>3</v>
      </c>
      <c r="T15" t="s">
        <v>23</v>
      </c>
      <c r="U15">
        <v>5</v>
      </c>
      <c r="W15" t="s">
        <v>1650</v>
      </c>
      <c r="X15" t="s">
        <v>1655</v>
      </c>
      <c r="Y15" t="s">
        <v>1661</v>
      </c>
      <c r="Z15">
        <v>0</v>
      </c>
    </row>
    <row r="16" spans="1:26" x14ac:dyDescent="0.35">
      <c r="A16" t="s">
        <v>211</v>
      </c>
      <c r="B16" s="6">
        <v>43542</v>
      </c>
      <c r="C16" t="s">
        <v>23</v>
      </c>
      <c r="D16">
        <v>27</v>
      </c>
      <c r="E16" t="s">
        <v>36</v>
      </c>
      <c r="F16" t="s">
        <v>42</v>
      </c>
      <c r="G16" t="s">
        <v>54</v>
      </c>
      <c r="H16" t="s">
        <v>45</v>
      </c>
      <c r="I16" t="s">
        <v>164</v>
      </c>
      <c r="J16" t="s">
        <v>1632</v>
      </c>
      <c r="K16" t="s">
        <v>84</v>
      </c>
      <c r="L16">
        <v>29000</v>
      </c>
      <c r="M16">
        <v>10.3</v>
      </c>
      <c r="N16">
        <v>10.7</v>
      </c>
      <c r="O16">
        <v>6.8</v>
      </c>
      <c r="P16">
        <v>1.3</v>
      </c>
      <c r="Q16">
        <v>4</v>
      </c>
      <c r="R16">
        <v>3</v>
      </c>
      <c r="S16">
        <v>1</v>
      </c>
      <c r="T16" t="s">
        <v>23</v>
      </c>
      <c r="U16">
        <v>3</v>
      </c>
      <c r="W16" t="s">
        <v>1650</v>
      </c>
      <c r="X16" t="s">
        <v>1655</v>
      </c>
      <c r="Y16" t="s">
        <v>1662</v>
      </c>
      <c r="Z16">
        <v>0</v>
      </c>
    </row>
    <row r="17" spans="1:26" x14ac:dyDescent="0.35">
      <c r="A17" t="s">
        <v>389</v>
      </c>
      <c r="B17" s="6">
        <v>44862</v>
      </c>
      <c r="C17" t="s">
        <v>23</v>
      </c>
      <c r="D17">
        <v>30</v>
      </c>
      <c r="E17" t="s">
        <v>24</v>
      </c>
      <c r="F17" t="s">
        <v>37</v>
      </c>
      <c r="G17" t="s">
        <v>26</v>
      </c>
      <c r="H17" t="s">
        <v>48</v>
      </c>
      <c r="I17" t="s">
        <v>201</v>
      </c>
      <c r="J17" t="s">
        <v>1633</v>
      </c>
      <c r="K17" t="s">
        <v>40</v>
      </c>
      <c r="L17">
        <v>53000</v>
      </c>
      <c r="M17">
        <v>4.5999999999999996</v>
      </c>
      <c r="N17">
        <v>9.1999999999999993</v>
      </c>
      <c r="O17">
        <v>3.2</v>
      </c>
      <c r="P17">
        <v>0.2</v>
      </c>
      <c r="Q17">
        <v>3</v>
      </c>
      <c r="R17">
        <v>3</v>
      </c>
      <c r="S17">
        <v>3</v>
      </c>
      <c r="T17" t="s">
        <v>23</v>
      </c>
      <c r="U17">
        <v>4</v>
      </c>
      <c r="W17" t="s">
        <v>1650</v>
      </c>
      <c r="X17" t="s">
        <v>1656</v>
      </c>
      <c r="Y17" t="s">
        <v>1661</v>
      </c>
      <c r="Z17">
        <v>0</v>
      </c>
    </row>
    <row r="18" spans="1:26" x14ac:dyDescent="0.35">
      <c r="A18" t="s">
        <v>559</v>
      </c>
      <c r="B18" s="6">
        <v>44908</v>
      </c>
      <c r="C18" t="s">
        <v>23</v>
      </c>
      <c r="D18">
        <v>39</v>
      </c>
      <c r="E18" t="s">
        <v>36</v>
      </c>
      <c r="F18" t="s">
        <v>37</v>
      </c>
      <c r="G18" t="s">
        <v>58</v>
      </c>
      <c r="H18" t="s">
        <v>38</v>
      </c>
      <c r="I18" t="s">
        <v>118</v>
      </c>
      <c r="J18" t="s">
        <v>1635</v>
      </c>
      <c r="K18" t="s">
        <v>40</v>
      </c>
      <c r="L18">
        <v>99000</v>
      </c>
      <c r="M18">
        <v>8.6999999999999993</v>
      </c>
      <c r="N18">
        <v>7.8</v>
      </c>
      <c r="O18">
        <v>3</v>
      </c>
      <c r="P18">
        <v>1.9</v>
      </c>
      <c r="Q18">
        <v>4</v>
      </c>
      <c r="R18">
        <v>3</v>
      </c>
      <c r="S18">
        <v>3</v>
      </c>
      <c r="T18" t="s">
        <v>30</v>
      </c>
      <c r="U18">
        <v>4</v>
      </c>
      <c r="W18" t="s">
        <v>1649</v>
      </c>
      <c r="X18" t="s">
        <v>1657</v>
      </c>
      <c r="Y18" t="s">
        <v>1665</v>
      </c>
      <c r="Z18">
        <v>0</v>
      </c>
    </row>
    <row r="19" spans="1:26" x14ac:dyDescent="0.35">
      <c r="A19" t="s">
        <v>409</v>
      </c>
      <c r="B19" s="6">
        <v>43154</v>
      </c>
      <c r="C19" t="s">
        <v>23</v>
      </c>
      <c r="D19">
        <v>36</v>
      </c>
      <c r="E19" t="s">
        <v>62</v>
      </c>
      <c r="F19" t="s">
        <v>42</v>
      </c>
      <c r="G19" t="s">
        <v>32</v>
      </c>
      <c r="H19" t="s">
        <v>68</v>
      </c>
      <c r="I19" t="s">
        <v>121</v>
      </c>
      <c r="J19" t="s">
        <v>1633</v>
      </c>
      <c r="K19" t="s">
        <v>84</v>
      </c>
      <c r="L19">
        <v>47000</v>
      </c>
      <c r="M19">
        <v>10.4</v>
      </c>
      <c r="N19">
        <v>7.9</v>
      </c>
      <c r="O19">
        <v>7.9</v>
      </c>
      <c r="P19">
        <v>3.7</v>
      </c>
      <c r="Q19">
        <v>4</v>
      </c>
      <c r="R19">
        <v>3</v>
      </c>
      <c r="S19">
        <v>2</v>
      </c>
      <c r="T19" t="s">
        <v>23</v>
      </c>
      <c r="U19">
        <v>4</v>
      </c>
      <c r="W19" t="s">
        <v>1649</v>
      </c>
      <c r="X19" t="s">
        <v>1656</v>
      </c>
      <c r="Y19" t="s">
        <v>1662</v>
      </c>
      <c r="Z19">
        <v>0</v>
      </c>
    </row>
    <row r="20" spans="1:26" x14ac:dyDescent="0.35">
      <c r="A20" t="s">
        <v>581</v>
      </c>
      <c r="B20" s="6">
        <v>45239</v>
      </c>
      <c r="C20" t="s">
        <v>23</v>
      </c>
      <c r="D20">
        <v>33</v>
      </c>
      <c r="E20" t="s">
        <v>62</v>
      </c>
      <c r="F20" t="s">
        <v>37</v>
      </c>
      <c r="G20" t="s">
        <v>32</v>
      </c>
      <c r="H20" t="s">
        <v>38</v>
      </c>
      <c r="I20" t="s">
        <v>139</v>
      </c>
      <c r="J20" t="s">
        <v>1633</v>
      </c>
      <c r="K20" t="s">
        <v>84</v>
      </c>
      <c r="L20">
        <v>73000</v>
      </c>
      <c r="M20">
        <v>0</v>
      </c>
      <c r="N20">
        <v>10</v>
      </c>
      <c r="O20">
        <v>2.1</v>
      </c>
      <c r="P20">
        <v>1.4</v>
      </c>
      <c r="Q20">
        <v>3</v>
      </c>
      <c r="R20">
        <v>1</v>
      </c>
      <c r="S20">
        <v>4</v>
      </c>
      <c r="T20" t="s">
        <v>23</v>
      </c>
      <c r="U20">
        <v>3</v>
      </c>
      <c r="W20" t="s">
        <v>1650</v>
      </c>
      <c r="X20" t="s">
        <v>1659</v>
      </c>
      <c r="Y20" t="s">
        <v>1665</v>
      </c>
      <c r="Z20">
        <v>0</v>
      </c>
    </row>
    <row r="21" spans="1:26" x14ac:dyDescent="0.35">
      <c r="A21" t="s">
        <v>1300</v>
      </c>
      <c r="B21" s="6">
        <v>45249</v>
      </c>
      <c r="C21" t="s">
        <v>23</v>
      </c>
      <c r="D21">
        <v>34</v>
      </c>
      <c r="E21" t="s">
        <v>24</v>
      </c>
      <c r="F21" t="s">
        <v>37</v>
      </c>
      <c r="G21" t="s">
        <v>54</v>
      </c>
      <c r="H21" t="s">
        <v>38</v>
      </c>
      <c r="I21" t="s">
        <v>118</v>
      </c>
      <c r="J21" t="s">
        <v>1635</v>
      </c>
      <c r="K21" t="s">
        <v>84</v>
      </c>
      <c r="L21">
        <v>84000</v>
      </c>
      <c r="M21">
        <v>9.4</v>
      </c>
      <c r="N21">
        <v>7.6</v>
      </c>
      <c r="O21">
        <v>2.1</v>
      </c>
      <c r="P21">
        <v>1.8</v>
      </c>
      <c r="Q21">
        <v>2</v>
      </c>
      <c r="R21">
        <v>3</v>
      </c>
      <c r="S21">
        <v>2</v>
      </c>
      <c r="T21" t="s">
        <v>23</v>
      </c>
      <c r="U21">
        <v>5</v>
      </c>
      <c r="W21" t="s">
        <v>1650</v>
      </c>
      <c r="X21" t="s">
        <v>1657</v>
      </c>
      <c r="Y21" t="s">
        <v>1665</v>
      </c>
      <c r="Z21">
        <v>0</v>
      </c>
    </row>
    <row r="22" spans="1:26" x14ac:dyDescent="0.35">
      <c r="A22" t="s">
        <v>492</v>
      </c>
      <c r="B22" s="6">
        <v>45402</v>
      </c>
      <c r="C22" t="s">
        <v>23</v>
      </c>
      <c r="D22">
        <v>31</v>
      </c>
      <c r="E22" t="s">
        <v>24</v>
      </c>
      <c r="F22" t="s">
        <v>25</v>
      </c>
      <c r="G22" t="s">
        <v>26</v>
      </c>
      <c r="H22" t="s">
        <v>38</v>
      </c>
      <c r="I22" t="s">
        <v>118</v>
      </c>
      <c r="J22" t="s">
        <v>1633</v>
      </c>
      <c r="K22" t="s">
        <v>84</v>
      </c>
      <c r="L22">
        <v>63000</v>
      </c>
      <c r="M22">
        <v>14.9</v>
      </c>
      <c r="N22">
        <v>7.3</v>
      </c>
      <c r="O22">
        <v>1.7</v>
      </c>
      <c r="P22">
        <v>1</v>
      </c>
      <c r="Q22">
        <v>2</v>
      </c>
      <c r="R22">
        <v>2</v>
      </c>
      <c r="S22">
        <v>4</v>
      </c>
      <c r="T22" t="s">
        <v>23</v>
      </c>
      <c r="U22">
        <v>4</v>
      </c>
      <c r="W22" t="s">
        <v>1650</v>
      </c>
      <c r="X22" t="s">
        <v>1659</v>
      </c>
      <c r="Y22" t="s">
        <v>1665</v>
      </c>
      <c r="Z22">
        <v>0</v>
      </c>
    </row>
    <row r="23" spans="1:26" x14ac:dyDescent="0.35">
      <c r="A23" t="s">
        <v>1438</v>
      </c>
      <c r="B23" s="6">
        <v>44861</v>
      </c>
      <c r="C23" t="s">
        <v>23</v>
      </c>
      <c r="D23">
        <v>27</v>
      </c>
      <c r="E23" t="s">
        <v>36</v>
      </c>
      <c r="F23" t="s">
        <v>25</v>
      </c>
      <c r="G23" t="s">
        <v>54</v>
      </c>
      <c r="H23" t="s">
        <v>27</v>
      </c>
      <c r="I23" t="s">
        <v>95</v>
      </c>
      <c r="J23" t="s">
        <v>1632</v>
      </c>
      <c r="K23" t="s">
        <v>66</v>
      </c>
      <c r="L23">
        <v>28000</v>
      </c>
      <c r="M23">
        <v>12.7</v>
      </c>
      <c r="N23">
        <v>11</v>
      </c>
      <c r="O23">
        <v>3.2</v>
      </c>
      <c r="P23">
        <v>0.1</v>
      </c>
      <c r="Q23">
        <v>3</v>
      </c>
      <c r="R23">
        <v>3</v>
      </c>
      <c r="S23">
        <v>3</v>
      </c>
      <c r="T23" t="s">
        <v>30</v>
      </c>
      <c r="U23">
        <v>4</v>
      </c>
      <c r="W23" t="s">
        <v>1650</v>
      </c>
      <c r="X23" t="s">
        <v>1655</v>
      </c>
      <c r="Y23" t="s">
        <v>1661</v>
      </c>
      <c r="Z23">
        <v>0</v>
      </c>
    </row>
    <row r="24" spans="1:26" x14ac:dyDescent="0.35">
      <c r="A24" t="s">
        <v>493</v>
      </c>
      <c r="B24" s="6">
        <v>45161</v>
      </c>
      <c r="C24" t="s">
        <v>23</v>
      </c>
      <c r="D24">
        <v>29</v>
      </c>
      <c r="E24" t="s">
        <v>62</v>
      </c>
      <c r="F24" t="s">
        <v>25</v>
      </c>
      <c r="G24" t="s">
        <v>32</v>
      </c>
      <c r="H24" t="s">
        <v>45</v>
      </c>
      <c r="I24" t="s">
        <v>97</v>
      </c>
      <c r="J24" t="s">
        <v>1636</v>
      </c>
      <c r="K24" t="s">
        <v>84</v>
      </c>
      <c r="L24">
        <v>108000</v>
      </c>
      <c r="M24">
        <v>9.4</v>
      </c>
      <c r="N24">
        <v>5.7</v>
      </c>
      <c r="O24">
        <v>2.4</v>
      </c>
      <c r="P24">
        <v>0.4</v>
      </c>
      <c r="Q24">
        <v>4</v>
      </c>
      <c r="R24">
        <v>4</v>
      </c>
      <c r="S24">
        <v>4</v>
      </c>
      <c r="T24" t="s">
        <v>30</v>
      </c>
      <c r="U24">
        <v>3</v>
      </c>
      <c r="W24" t="s">
        <v>1650</v>
      </c>
      <c r="X24" t="s">
        <v>1658</v>
      </c>
      <c r="Y24" t="s">
        <v>1665</v>
      </c>
      <c r="Z24">
        <v>0</v>
      </c>
    </row>
    <row r="25" spans="1:26" x14ac:dyDescent="0.35">
      <c r="A25" t="s">
        <v>448</v>
      </c>
      <c r="B25" s="6">
        <v>45804</v>
      </c>
      <c r="C25" t="s">
        <v>23</v>
      </c>
      <c r="D25">
        <v>28</v>
      </c>
      <c r="E25" t="s">
        <v>36</v>
      </c>
      <c r="F25" t="s">
        <v>42</v>
      </c>
      <c r="G25" t="s">
        <v>58</v>
      </c>
      <c r="H25" t="s">
        <v>55</v>
      </c>
      <c r="I25" t="s">
        <v>56</v>
      </c>
      <c r="J25" t="s">
        <v>1633</v>
      </c>
      <c r="K25" t="s">
        <v>50</v>
      </c>
      <c r="L25">
        <v>59000</v>
      </c>
      <c r="M25">
        <v>7.4</v>
      </c>
      <c r="N25">
        <v>3.4</v>
      </c>
      <c r="O25">
        <v>0.6</v>
      </c>
      <c r="P25">
        <v>0</v>
      </c>
      <c r="Q25">
        <v>2</v>
      </c>
      <c r="R25">
        <v>4</v>
      </c>
      <c r="S25">
        <v>2</v>
      </c>
      <c r="T25" t="s">
        <v>23</v>
      </c>
      <c r="U25">
        <v>4</v>
      </c>
      <c r="W25" t="s">
        <v>1650</v>
      </c>
      <c r="X25" t="s">
        <v>1656</v>
      </c>
      <c r="Y25" t="s">
        <v>1664</v>
      </c>
      <c r="Z25">
        <v>0</v>
      </c>
    </row>
    <row r="26" spans="1:26" x14ac:dyDescent="0.35">
      <c r="A26" t="s">
        <v>1257</v>
      </c>
      <c r="B26" s="6">
        <v>43736</v>
      </c>
      <c r="C26" t="s">
        <v>23</v>
      </c>
      <c r="D26">
        <v>35</v>
      </c>
      <c r="E26" t="s">
        <v>24</v>
      </c>
      <c r="F26" t="s">
        <v>37</v>
      </c>
      <c r="G26" t="s">
        <v>54</v>
      </c>
      <c r="H26" t="s">
        <v>1634</v>
      </c>
      <c r="I26" t="s">
        <v>150</v>
      </c>
      <c r="J26" t="s">
        <v>1633</v>
      </c>
      <c r="K26" t="s">
        <v>84</v>
      </c>
      <c r="L26">
        <v>54000</v>
      </c>
      <c r="M26">
        <v>9</v>
      </c>
      <c r="N26">
        <v>6.5</v>
      </c>
      <c r="O26">
        <v>6.3</v>
      </c>
      <c r="P26">
        <v>5.3</v>
      </c>
      <c r="Q26">
        <v>4</v>
      </c>
      <c r="R26">
        <v>3</v>
      </c>
      <c r="S26">
        <v>3</v>
      </c>
      <c r="T26" t="s">
        <v>23</v>
      </c>
      <c r="U26">
        <v>5</v>
      </c>
      <c r="W26" t="s">
        <v>1650</v>
      </c>
      <c r="X26" t="s">
        <v>1656</v>
      </c>
      <c r="Y26" t="s">
        <v>1662</v>
      </c>
      <c r="Z26">
        <v>0</v>
      </c>
    </row>
    <row r="27" spans="1:26" x14ac:dyDescent="0.35">
      <c r="A27" t="s">
        <v>403</v>
      </c>
      <c r="B27" s="6">
        <v>45483</v>
      </c>
      <c r="C27" t="s">
        <v>23</v>
      </c>
      <c r="D27">
        <v>23</v>
      </c>
      <c r="E27" t="s">
        <v>62</v>
      </c>
      <c r="F27" t="s">
        <v>25</v>
      </c>
      <c r="G27" t="s">
        <v>32</v>
      </c>
      <c r="H27" t="s">
        <v>45</v>
      </c>
      <c r="I27" t="s">
        <v>77</v>
      </c>
      <c r="J27" t="s">
        <v>1632</v>
      </c>
      <c r="K27" t="s">
        <v>84</v>
      </c>
      <c r="L27">
        <v>28000</v>
      </c>
      <c r="M27">
        <v>7.6</v>
      </c>
      <c r="N27">
        <v>3</v>
      </c>
      <c r="O27">
        <v>1.5</v>
      </c>
      <c r="P27">
        <v>0.1</v>
      </c>
      <c r="Q27">
        <v>2</v>
      </c>
      <c r="R27">
        <v>3</v>
      </c>
      <c r="S27">
        <v>3</v>
      </c>
      <c r="T27" t="s">
        <v>23</v>
      </c>
      <c r="U27">
        <v>4</v>
      </c>
      <c r="W27" t="s">
        <v>1651</v>
      </c>
      <c r="X27" t="s">
        <v>1655</v>
      </c>
      <c r="Y27" t="s">
        <v>1665</v>
      </c>
      <c r="Z27">
        <v>0</v>
      </c>
    </row>
    <row r="28" spans="1:26" x14ac:dyDescent="0.35">
      <c r="A28" t="s">
        <v>765</v>
      </c>
      <c r="B28" s="6">
        <v>41978</v>
      </c>
      <c r="C28" t="s">
        <v>23</v>
      </c>
      <c r="D28">
        <v>32</v>
      </c>
      <c r="E28" t="s">
        <v>62</v>
      </c>
      <c r="F28" t="s">
        <v>37</v>
      </c>
      <c r="G28" t="s">
        <v>32</v>
      </c>
      <c r="H28" t="s">
        <v>48</v>
      </c>
      <c r="I28" t="s">
        <v>63</v>
      </c>
      <c r="J28" t="s">
        <v>1636</v>
      </c>
      <c r="K28" t="s">
        <v>34</v>
      </c>
      <c r="L28">
        <v>119000</v>
      </c>
      <c r="M28">
        <v>16.5</v>
      </c>
      <c r="N28">
        <v>18.3</v>
      </c>
      <c r="O28">
        <v>11.1</v>
      </c>
      <c r="P28">
        <v>3</v>
      </c>
      <c r="Q28">
        <v>3</v>
      </c>
      <c r="R28">
        <v>3</v>
      </c>
      <c r="S28">
        <v>3</v>
      </c>
      <c r="T28" t="s">
        <v>23</v>
      </c>
      <c r="U28">
        <v>4</v>
      </c>
      <c r="W28" t="s">
        <v>1650</v>
      </c>
      <c r="X28" t="s">
        <v>1658</v>
      </c>
      <c r="Y28" t="s">
        <v>1663</v>
      </c>
      <c r="Z28">
        <v>0</v>
      </c>
    </row>
    <row r="29" spans="1:26" x14ac:dyDescent="0.35">
      <c r="A29" t="s">
        <v>660</v>
      </c>
      <c r="B29" s="6">
        <v>42055</v>
      </c>
      <c r="C29" t="s">
        <v>23</v>
      </c>
      <c r="D29">
        <v>35</v>
      </c>
      <c r="E29" t="s">
        <v>36</v>
      </c>
      <c r="F29" t="s">
        <v>42</v>
      </c>
      <c r="G29" t="s">
        <v>54</v>
      </c>
      <c r="H29" t="s">
        <v>45</v>
      </c>
      <c r="I29" t="s">
        <v>46</v>
      </c>
      <c r="J29" t="s">
        <v>1635</v>
      </c>
      <c r="K29" t="s">
        <v>29</v>
      </c>
      <c r="L29">
        <v>71000</v>
      </c>
      <c r="M29">
        <v>1.3</v>
      </c>
      <c r="N29">
        <v>10.9</v>
      </c>
      <c r="O29">
        <v>10.9</v>
      </c>
      <c r="P29">
        <v>1.7</v>
      </c>
      <c r="Q29">
        <v>3</v>
      </c>
      <c r="R29">
        <v>3</v>
      </c>
      <c r="S29">
        <v>3</v>
      </c>
      <c r="T29" t="s">
        <v>23</v>
      </c>
      <c r="U29">
        <v>4</v>
      </c>
      <c r="W29" t="s">
        <v>1650</v>
      </c>
      <c r="X29" t="s">
        <v>1659</v>
      </c>
      <c r="Y29" t="s">
        <v>1663</v>
      </c>
      <c r="Z29">
        <v>0</v>
      </c>
    </row>
    <row r="30" spans="1:26" x14ac:dyDescent="0.35">
      <c r="A30" t="s">
        <v>245</v>
      </c>
      <c r="B30" s="6">
        <v>41811</v>
      </c>
      <c r="C30" t="s">
        <v>23</v>
      </c>
      <c r="D30">
        <v>33</v>
      </c>
      <c r="E30" t="s">
        <v>36</v>
      </c>
      <c r="F30" t="s">
        <v>37</v>
      </c>
      <c r="G30" t="s">
        <v>32</v>
      </c>
      <c r="H30" t="s">
        <v>55</v>
      </c>
      <c r="I30" t="s">
        <v>80</v>
      </c>
      <c r="J30" t="s">
        <v>1635</v>
      </c>
      <c r="K30" t="s">
        <v>40</v>
      </c>
      <c r="L30">
        <v>112000</v>
      </c>
      <c r="M30">
        <v>8.1999999999999993</v>
      </c>
      <c r="N30">
        <v>16.8</v>
      </c>
      <c r="O30">
        <v>11.5</v>
      </c>
      <c r="P30">
        <v>3.7</v>
      </c>
      <c r="Q30">
        <v>3</v>
      </c>
      <c r="R30">
        <v>2</v>
      </c>
      <c r="S30">
        <v>4</v>
      </c>
      <c r="T30" t="s">
        <v>23</v>
      </c>
      <c r="U30">
        <v>3</v>
      </c>
      <c r="W30" t="s">
        <v>1650</v>
      </c>
      <c r="X30" t="s">
        <v>1658</v>
      </c>
      <c r="Y30" t="s">
        <v>1663</v>
      </c>
      <c r="Z30">
        <v>0</v>
      </c>
    </row>
    <row r="31" spans="1:26" x14ac:dyDescent="0.35">
      <c r="A31" t="s">
        <v>1517</v>
      </c>
      <c r="B31" s="6">
        <v>43882</v>
      </c>
      <c r="C31" t="s">
        <v>23</v>
      </c>
      <c r="D31">
        <v>33</v>
      </c>
      <c r="E31" t="s">
        <v>62</v>
      </c>
      <c r="F31" t="s">
        <v>25</v>
      </c>
      <c r="G31" t="s">
        <v>26</v>
      </c>
      <c r="H31" t="s">
        <v>38</v>
      </c>
      <c r="I31" t="s">
        <v>118</v>
      </c>
      <c r="J31" t="s">
        <v>1633</v>
      </c>
      <c r="K31" t="s">
        <v>50</v>
      </c>
      <c r="L31">
        <v>49000</v>
      </c>
      <c r="M31">
        <v>13.6</v>
      </c>
      <c r="N31">
        <v>10.9</v>
      </c>
      <c r="O31">
        <v>5.9</v>
      </c>
      <c r="P31">
        <v>1.1000000000000001</v>
      </c>
      <c r="Q31">
        <v>1</v>
      </c>
      <c r="R31">
        <v>3</v>
      </c>
      <c r="S31">
        <v>3</v>
      </c>
      <c r="T31" t="s">
        <v>23</v>
      </c>
      <c r="U31">
        <v>3</v>
      </c>
      <c r="W31" t="s">
        <v>1650</v>
      </c>
      <c r="X31" t="s">
        <v>1656</v>
      </c>
      <c r="Y31" t="s">
        <v>1661</v>
      </c>
      <c r="Z31">
        <v>0</v>
      </c>
    </row>
    <row r="32" spans="1:26" x14ac:dyDescent="0.35">
      <c r="A32" t="s">
        <v>532</v>
      </c>
      <c r="B32" s="6">
        <v>42477</v>
      </c>
      <c r="C32" t="s">
        <v>23</v>
      </c>
      <c r="D32">
        <v>39</v>
      </c>
      <c r="E32" t="s">
        <v>62</v>
      </c>
      <c r="F32" t="s">
        <v>25</v>
      </c>
      <c r="G32" t="s">
        <v>58</v>
      </c>
      <c r="H32" t="s">
        <v>1634</v>
      </c>
      <c r="I32" t="s">
        <v>60</v>
      </c>
      <c r="J32" t="s">
        <v>1633</v>
      </c>
      <c r="K32" t="s">
        <v>34</v>
      </c>
      <c r="L32">
        <v>44000</v>
      </c>
      <c r="M32">
        <v>14.6</v>
      </c>
      <c r="N32">
        <v>17</v>
      </c>
      <c r="O32">
        <v>9.6999999999999993</v>
      </c>
      <c r="P32">
        <v>0.7</v>
      </c>
      <c r="Q32">
        <v>3</v>
      </c>
      <c r="R32">
        <v>2</v>
      </c>
      <c r="S32">
        <v>3</v>
      </c>
      <c r="T32" t="s">
        <v>23</v>
      </c>
      <c r="U32">
        <v>4</v>
      </c>
      <c r="W32" t="s">
        <v>1649</v>
      </c>
      <c r="X32" t="s">
        <v>1656</v>
      </c>
      <c r="Y32" t="s">
        <v>1662</v>
      </c>
      <c r="Z32">
        <v>0</v>
      </c>
    </row>
    <row r="33" spans="1:26" x14ac:dyDescent="0.35">
      <c r="A33" t="s">
        <v>1414</v>
      </c>
      <c r="B33" s="6">
        <v>43572</v>
      </c>
      <c r="C33" t="s">
        <v>23</v>
      </c>
      <c r="D33">
        <v>37</v>
      </c>
      <c r="E33" t="s">
        <v>62</v>
      </c>
      <c r="F33" t="s">
        <v>37</v>
      </c>
      <c r="G33" t="s">
        <v>58</v>
      </c>
      <c r="H33" t="s">
        <v>27</v>
      </c>
      <c r="I33" t="s">
        <v>33</v>
      </c>
      <c r="J33" t="s">
        <v>1636</v>
      </c>
      <c r="K33" t="s">
        <v>34</v>
      </c>
      <c r="L33">
        <v>126000</v>
      </c>
      <c r="M33">
        <v>5</v>
      </c>
      <c r="N33">
        <v>8.8000000000000007</v>
      </c>
      <c r="O33">
        <v>6.7</v>
      </c>
      <c r="P33">
        <v>1.5</v>
      </c>
      <c r="Q33">
        <v>4</v>
      </c>
      <c r="R33">
        <v>3</v>
      </c>
      <c r="S33">
        <v>4</v>
      </c>
      <c r="T33" t="s">
        <v>23</v>
      </c>
      <c r="U33">
        <v>4</v>
      </c>
      <c r="W33" t="s">
        <v>1649</v>
      </c>
      <c r="X33" t="s">
        <v>1658</v>
      </c>
      <c r="Y33" t="s">
        <v>1662</v>
      </c>
      <c r="Z33">
        <v>0</v>
      </c>
    </row>
    <row r="34" spans="1:26" x14ac:dyDescent="0.35">
      <c r="A34" t="s">
        <v>175</v>
      </c>
      <c r="B34" s="6">
        <v>44478</v>
      </c>
      <c r="C34" t="s">
        <v>30</v>
      </c>
      <c r="D34">
        <v>34</v>
      </c>
      <c r="E34" t="s">
        <v>36</v>
      </c>
      <c r="F34" t="s">
        <v>37</v>
      </c>
      <c r="G34" t="s">
        <v>32</v>
      </c>
      <c r="H34" t="s">
        <v>38</v>
      </c>
      <c r="I34" t="s">
        <v>39</v>
      </c>
      <c r="J34" t="s">
        <v>1633</v>
      </c>
      <c r="K34" t="s">
        <v>34</v>
      </c>
      <c r="L34">
        <v>55000</v>
      </c>
      <c r="M34">
        <v>2.8</v>
      </c>
      <c r="N34">
        <v>9.3000000000000007</v>
      </c>
      <c r="O34">
        <v>3.8</v>
      </c>
      <c r="P34">
        <v>2.7</v>
      </c>
      <c r="Q34">
        <v>2</v>
      </c>
      <c r="R34">
        <v>1</v>
      </c>
      <c r="S34">
        <v>3</v>
      </c>
      <c r="T34" t="s">
        <v>23</v>
      </c>
      <c r="U34">
        <v>4</v>
      </c>
      <c r="V34" s="7">
        <v>45854</v>
      </c>
      <c r="W34" t="s">
        <v>1650</v>
      </c>
      <c r="X34" t="s">
        <v>1656</v>
      </c>
      <c r="Y34" t="s">
        <v>1661</v>
      </c>
      <c r="Z34">
        <v>1</v>
      </c>
    </row>
    <row r="35" spans="1:26" x14ac:dyDescent="0.35">
      <c r="A35" t="s">
        <v>907</v>
      </c>
      <c r="B35" s="6">
        <v>44129</v>
      </c>
      <c r="C35" t="s">
        <v>30</v>
      </c>
      <c r="D35">
        <v>26</v>
      </c>
      <c r="E35" t="s">
        <v>62</v>
      </c>
      <c r="F35" t="s">
        <v>25</v>
      </c>
      <c r="G35" t="s">
        <v>32</v>
      </c>
      <c r="H35" t="s">
        <v>48</v>
      </c>
      <c r="I35" t="s">
        <v>63</v>
      </c>
      <c r="J35" t="s">
        <v>1632</v>
      </c>
      <c r="K35" t="s">
        <v>34</v>
      </c>
      <c r="L35">
        <v>39000</v>
      </c>
      <c r="M35">
        <v>5.3</v>
      </c>
      <c r="N35">
        <v>7.1</v>
      </c>
      <c r="O35">
        <v>4.7</v>
      </c>
      <c r="P35">
        <v>1.8</v>
      </c>
      <c r="Q35">
        <v>3</v>
      </c>
      <c r="R35">
        <v>4</v>
      </c>
      <c r="S35">
        <v>4</v>
      </c>
      <c r="T35" t="s">
        <v>23</v>
      </c>
      <c r="U35">
        <v>4</v>
      </c>
      <c r="V35" s="7">
        <v>45838</v>
      </c>
      <c r="W35" t="s">
        <v>1650</v>
      </c>
      <c r="X35" t="s">
        <v>1655</v>
      </c>
      <c r="Y35" t="s">
        <v>1661</v>
      </c>
      <c r="Z35">
        <v>1</v>
      </c>
    </row>
    <row r="36" spans="1:26" x14ac:dyDescent="0.35">
      <c r="A36" t="s">
        <v>1187</v>
      </c>
      <c r="B36" s="6">
        <v>45831</v>
      </c>
      <c r="C36" t="s">
        <v>23</v>
      </c>
      <c r="D36">
        <v>28</v>
      </c>
      <c r="E36" t="s">
        <v>36</v>
      </c>
      <c r="F36" t="s">
        <v>25</v>
      </c>
      <c r="G36" t="s">
        <v>26</v>
      </c>
      <c r="H36" t="s">
        <v>55</v>
      </c>
      <c r="I36" t="s">
        <v>88</v>
      </c>
      <c r="J36" t="s">
        <v>1633</v>
      </c>
      <c r="K36" t="s">
        <v>50</v>
      </c>
      <c r="L36">
        <v>59000</v>
      </c>
      <c r="M36">
        <v>12.3</v>
      </c>
      <c r="N36">
        <v>1.8</v>
      </c>
      <c r="O36">
        <v>0.5</v>
      </c>
      <c r="P36">
        <v>0</v>
      </c>
      <c r="Q36">
        <v>3</v>
      </c>
      <c r="R36">
        <v>2</v>
      </c>
      <c r="S36">
        <v>3</v>
      </c>
      <c r="T36" t="s">
        <v>23</v>
      </c>
      <c r="U36">
        <v>1</v>
      </c>
      <c r="W36" t="s">
        <v>1650</v>
      </c>
      <c r="X36" t="s">
        <v>1656</v>
      </c>
      <c r="Y36" t="s">
        <v>1664</v>
      </c>
      <c r="Z36">
        <v>0</v>
      </c>
    </row>
    <row r="37" spans="1:26" x14ac:dyDescent="0.35">
      <c r="A37" t="s">
        <v>1166</v>
      </c>
      <c r="B37" s="6">
        <v>43940</v>
      </c>
      <c r="C37" t="s">
        <v>23</v>
      </c>
      <c r="D37">
        <v>35</v>
      </c>
      <c r="E37" t="s">
        <v>36</v>
      </c>
      <c r="F37" t="s">
        <v>37</v>
      </c>
      <c r="G37" t="s">
        <v>54</v>
      </c>
      <c r="H37" t="s">
        <v>45</v>
      </c>
      <c r="I37" t="s">
        <v>46</v>
      </c>
      <c r="J37" t="s">
        <v>1633</v>
      </c>
      <c r="K37" t="s">
        <v>50</v>
      </c>
      <c r="L37">
        <v>61000</v>
      </c>
      <c r="M37">
        <v>2.6</v>
      </c>
      <c r="N37">
        <v>8.3000000000000007</v>
      </c>
      <c r="O37">
        <v>5.7</v>
      </c>
      <c r="P37">
        <v>4.3</v>
      </c>
      <c r="Q37">
        <v>3</v>
      </c>
      <c r="R37">
        <v>3</v>
      </c>
      <c r="S37">
        <v>3</v>
      </c>
      <c r="T37" t="s">
        <v>30</v>
      </c>
      <c r="U37">
        <v>4</v>
      </c>
      <c r="W37" t="s">
        <v>1650</v>
      </c>
      <c r="X37" t="s">
        <v>1659</v>
      </c>
      <c r="Y37" t="s">
        <v>1661</v>
      </c>
      <c r="Z37">
        <v>0</v>
      </c>
    </row>
    <row r="38" spans="1:26" x14ac:dyDescent="0.35">
      <c r="A38" t="s">
        <v>1041</v>
      </c>
      <c r="B38" s="6">
        <v>44417</v>
      </c>
      <c r="C38" t="s">
        <v>23</v>
      </c>
      <c r="D38">
        <v>35</v>
      </c>
      <c r="E38" t="s">
        <v>24</v>
      </c>
      <c r="F38" t="s">
        <v>42</v>
      </c>
      <c r="G38" t="s">
        <v>26</v>
      </c>
      <c r="H38" t="s">
        <v>45</v>
      </c>
      <c r="I38" t="s">
        <v>164</v>
      </c>
      <c r="J38" t="s">
        <v>1637</v>
      </c>
      <c r="K38" t="s">
        <v>66</v>
      </c>
      <c r="L38">
        <v>151000</v>
      </c>
      <c r="M38">
        <v>4.0999999999999996</v>
      </c>
      <c r="N38">
        <v>10.4</v>
      </c>
      <c r="O38">
        <v>4.4000000000000004</v>
      </c>
      <c r="P38">
        <v>4.2</v>
      </c>
      <c r="Q38">
        <v>4</v>
      </c>
      <c r="R38">
        <v>2</v>
      </c>
      <c r="S38">
        <v>1</v>
      </c>
      <c r="T38" t="s">
        <v>23</v>
      </c>
      <c r="U38">
        <v>2</v>
      </c>
      <c r="W38" t="s">
        <v>1650</v>
      </c>
      <c r="X38" t="s">
        <v>1658</v>
      </c>
      <c r="Y38" t="s">
        <v>1661</v>
      </c>
      <c r="Z38">
        <v>0</v>
      </c>
    </row>
    <row r="39" spans="1:26" x14ac:dyDescent="0.35">
      <c r="A39" t="s">
        <v>803</v>
      </c>
      <c r="B39" s="6">
        <v>42636</v>
      </c>
      <c r="C39" t="s">
        <v>23</v>
      </c>
      <c r="D39">
        <v>37</v>
      </c>
      <c r="E39" t="s">
        <v>36</v>
      </c>
      <c r="F39" t="s">
        <v>25</v>
      </c>
      <c r="G39" t="s">
        <v>54</v>
      </c>
      <c r="H39" t="s">
        <v>55</v>
      </c>
      <c r="I39" t="s">
        <v>80</v>
      </c>
      <c r="J39" t="s">
        <v>1635</v>
      </c>
      <c r="K39" t="s">
        <v>34</v>
      </c>
      <c r="L39">
        <v>92000</v>
      </c>
      <c r="M39">
        <v>10</v>
      </c>
      <c r="N39">
        <v>10.199999999999999</v>
      </c>
      <c r="O39">
        <v>9.3000000000000007</v>
      </c>
      <c r="P39">
        <v>4.9000000000000004</v>
      </c>
      <c r="Q39">
        <v>3</v>
      </c>
      <c r="R39">
        <v>4</v>
      </c>
      <c r="S39">
        <v>2</v>
      </c>
      <c r="T39" t="s">
        <v>30</v>
      </c>
      <c r="U39">
        <v>1</v>
      </c>
      <c r="W39" t="s">
        <v>1649</v>
      </c>
      <c r="X39" t="s">
        <v>1657</v>
      </c>
      <c r="Y39" t="s">
        <v>1662</v>
      </c>
      <c r="Z39">
        <v>0</v>
      </c>
    </row>
    <row r="40" spans="1:26" x14ac:dyDescent="0.35">
      <c r="A40" t="s">
        <v>1024</v>
      </c>
      <c r="B40" s="6">
        <v>43971</v>
      </c>
      <c r="C40" t="s">
        <v>23</v>
      </c>
      <c r="D40">
        <v>28</v>
      </c>
      <c r="E40" t="s">
        <v>36</v>
      </c>
      <c r="F40" t="s">
        <v>25</v>
      </c>
      <c r="G40" t="s">
        <v>54</v>
      </c>
      <c r="H40" t="s">
        <v>45</v>
      </c>
      <c r="I40" t="s">
        <v>97</v>
      </c>
      <c r="J40" t="s">
        <v>1632</v>
      </c>
      <c r="K40" t="s">
        <v>29</v>
      </c>
      <c r="L40">
        <v>34000</v>
      </c>
      <c r="M40">
        <v>10.199999999999999</v>
      </c>
      <c r="N40">
        <v>12.4</v>
      </c>
      <c r="O40">
        <v>5.6</v>
      </c>
      <c r="P40">
        <v>3.4</v>
      </c>
      <c r="Q40">
        <v>2</v>
      </c>
      <c r="R40">
        <v>2</v>
      </c>
      <c r="S40">
        <v>4</v>
      </c>
      <c r="T40" t="s">
        <v>23</v>
      </c>
      <c r="U40">
        <v>4</v>
      </c>
      <c r="W40" t="s">
        <v>1650</v>
      </c>
      <c r="X40" t="s">
        <v>1655</v>
      </c>
      <c r="Y40" t="s">
        <v>1661</v>
      </c>
      <c r="Z40">
        <v>0</v>
      </c>
    </row>
    <row r="41" spans="1:26" x14ac:dyDescent="0.35">
      <c r="A41" t="s">
        <v>1435</v>
      </c>
      <c r="B41" s="6">
        <v>44455</v>
      </c>
      <c r="C41" t="s">
        <v>30</v>
      </c>
      <c r="D41">
        <v>46</v>
      </c>
      <c r="E41" t="s">
        <v>62</v>
      </c>
      <c r="F41" t="s">
        <v>42</v>
      </c>
      <c r="G41" t="s">
        <v>54</v>
      </c>
      <c r="H41" t="s">
        <v>68</v>
      </c>
      <c r="I41" t="s">
        <v>102</v>
      </c>
      <c r="J41" t="s">
        <v>1635</v>
      </c>
      <c r="K41" t="s">
        <v>34</v>
      </c>
      <c r="L41">
        <v>81000</v>
      </c>
      <c r="M41">
        <v>4.2</v>
      </c>
      <c r="N41">
        <v>8.9</v>
      </c>
      <c r="O41">
        <v>3.8</v>
      </c>
      <c r="P41">
        <v>3.1</v>
      </c>
      <c r="Q41">
        <v>4</v>
      </c>
      <c r="R41">
        <v>3</v>
      </c>
      <c r="S41">
        <v>3</v>
      </c>
      <c r="T41" t="s">
        <v>23</v>
      </c>
      <c r="U41">
        <v>4</v>
      </c>
      <c r="V41" s="7">
        <v>45843</v>
      </c>
      <c r="W41" t="s">
        <v>1652</v>
      </c>
      <c r="X41" t="s">
        <v>1657</v>
      </c>
      <c r="Y41" t="s">
        <v>1661</v>
      </c>
      <c r="Z41">
        <v>1</v>
      </c>
    </row>
    <row r="42" spans="1:26" x14ac:dyDescent="0.35">
      <c r="A42" t="s">
        <v>347</v>
      </c>
      <c r="B42" s="6">
        <v>45242</v>
      </c>
      <c r="C42" t="s">
        <v>23</v>
      </c>
      <c r="D42">
        <v>26</v>
      </c>
      <c r="E42" t="s">
        <v>36</v>
      </c>
      <c r="F42" t="s">
        <v>42</v>
      </c>
      <c r="G42" t="s">
        <v>32</v>
      </c>
      <c r="H42" t="s">
        <v>48</v>
      </c>
      <c r="I42" t="s">
        <v>129</v>
      </c>
      <c r="J42" t="s">
        <v>1632</v>
      </c>
      <c r="K42" t="s">
        <v>34</v>
      </c>
      <c r="L42">
        <v>42000</v>
      </c>
      <c r="M42">
        <v>13.6</v>
      </c>
      <c r="N42">
        <v>5.7</v>
      </c>
      <c r="O42">
        <v>2.1</v>
      </c>
      <c r="P42">
        <v>1.6</v>
      </c>
      <c r="Q42">
        <v>4</v>
      </c>
      <c r="R42">
        <v>3</v>
      </c>
      <c r="S42">
        <v>3</v>
      </c>
      <c r="T42" t="s">
        <v>30</v>
      </c>
      <c r="U42">
        <v>3</v>
      </c>
      <c r="W42" t="s">
        <v>1650</v>
      </c>
      <c r="X42" t="s">
        <v>1656</v>
      </c>
      <c r="Y42" t="s">
        <v>1665</v>
      </c>
      <c r="Z42">
        <v>0</v>
      </c>
    </row>
    <row r="43" spans="1:26" x14ac:dyDescent="0.35">
      <c r="A43" t="s">
        <v>1507</v>
      </c>
      <c r="B43" s="6">
        <v>44459</v>
      </c>
      <c r="C43" t="s">
        <v>23</v>
      </c>
      <c r="D43">
        <v>40</v>
      </c>
      <c r="E43" t="s">
        <v>24</v>
      </c>
      <c r="F43" t="s">
        <v>25</v>
      </c>
      <c r="G43" t="s">
        <v>54</v>
      </c>
      <c r="H43" t="s">
        <v>55</v>
      </c>
      <c r="I43" t="s">
        <v>88</v>
      </c>
      <c r="J43" t="s">
        <v>1635</v>
      </c>
      <c r="K43" t="s">
        <v>29</v>
      </c>
      <c r="L43">
        <v>93000</v>
      </c>
      <c r="M43">
        <v>12.3</v>
      </c>
      <c r="N43">
        <v>4.4000000000000004</v>
      </c>
      <c r="O43">
        <v>4.3</v>
      </c>
      <c r="P43">
        <v>4.0999999999999996</v>
      </c>
      <c r="Q43">
        <v>3</v>
      </c>
      <c r="R43">
        <v>2</v>
      </c>
      <c r="S43">
        <v>3</v>
      </c>
      <c r="T43" t="s">
        <v>23</v>
      </c>
      <c r="U43">
        <v>3</v>
      </c>
      <c r="W43" t="s">
        <v>1649</v>
      </c>
      <c r="X43" t="s">
        <v>1657</v>
      </c>
      <c r="Y43" t="s">
        <v>1661</v>
      </c>
      <c r="Z43">
        <v>0</v>
      </c>
    </row>
    <row r="44" spans="1:26" x14ac:dyDescent="0.35">
      <c r="A44" t="s">
        <v>72</v>
      </c>
      <c r="B44" s="6">
        <v>45846</v>
      </c>
      <c r="C44" t="s">
        <v>23</v>
      </c>
      <c r="D44">
        <v>31</v>
      </c>
      <c r="E44" t="s">
        <v>62</v>
      </c>
      <c r="F44" t="s">
        <v>42</v>
      </c>
      <c r="G44" t="s">
        <v>58</v>
      </c>
      <c r="H44" t="s">
        <v>45</v>
      </c>
      <c r="I44" t="s">
        <v>46</v>
      </c>
      <c r="J44" t="s">
        <v>1633</v>
      </c>
      <c r="K44" t="s">
        <v>29</v>
      </c>
      <c r="L44">
        <v>43000</v>
      </c>
      <c r="M44">
        <v>5.4</v>
      </c>
      <c r="N44">
        <v>5.8</v>
      </c>
      <c r="O44">
        <v>0.5</v>
      </c>
      <c r="P44">
        <v>0</v>
      </c>
      <c r="Q44">
        <v>3</v>
      </c>
      <c r="R44">
        <v>3</v>
      </c>
      <c r="S44">
        <v>3</v>
      </c>
      <c r="T44" t="s">
        <v>23</v>
      </c>
      <c r="U44">
        <v>5</v>
      </c>
      <c r="W44" t="s">
        <v>1650</v>
      </c>
      <c r="X44" t="s">
        <v>1656</v>
      </c>
      <c r="Y44" t="s">
        <v>1664</v>
      </c>
      <c r="Z44">
        <v>0</v>
      </c>
    </row>
    <row r="45" spans="1:26" x14ac:dyDescent="0.35">
      <c r="A45" t="s">
        <v>580</v>
      </c>
      <c r="B45" s="6">
        <v>44928</v>
      </c>
      <c r="C45" t="s">
        <v>23</v>
      </c>
      <c r="D45">
        <v>32</v>
      </c>
      <c r="E45" t="s">
        <v>62</v>
      </c>
      <c r="F45" t="s">
        <v>25</v>
      </c>
      <c r="G45" t="s">
        <v>58</v>
      </c>
      <c r="H45" t="s">
        <v>48</v>
      </c>
      <c r="I45" t="s">
        <v>129</v>
      </c>
      <c r="J45" t="s">
        <v>1633</v>
      </c>
      <c r="K45" t="s">
        <v>50</v>
      </c>
      <c r="L45">
        <v>58000</v>
      </c>
      <c r="M45">
        <v>10.1</v>
      </c>
      <c r="N45">
        <v>10.6</v>
      </c>
      <c r="O45">
        <v>3</v>
      </c>
      <c r="P45">
        <v>2.1</v>
      </c>
      <c r="Q45">
        <v>3</v>
      </c>
      <c r="R45">
        <v>2</v>
      </c>
      <c r="S45">
        <v>3</v>
      </c>
      <c r="T45" t="s">
        <v>23</v>
      </c>
      <c r="U45">
        <v>3</v>
      </c>
      <c r="W45" t="s">
        <v>1650</v>
      </c>
      <c r="X45" t="s">
        <v>1656</v>
      </c>
      <c r="Y45" t="s">
        <v>1665</v>
      </c>
      <c r="Z45">
        <v>0</v>
      </c>
    </row>
    <row r="46" spans="1:26" x14ac:dyDescent="0.35">
      <c r="A46" t="s">
        <v>239</v>
      </c>
      <c r="B46" s="6">
        <v>44371</v>
      </c>
      <c r="C46" t="s">
        <v>23</v>
      </c>
      <c r="D46">
        <v>33</v>
      </c>
      <c r="E46" t="s">
        <v>36</v>
      </c>
      <c r="F46" t="s">
        <v>37</v>
      </c>
      <c r="G46" t="s">
        <v>26</v>
      </c>
      <c r="H46" t="s">
        <v>1634</v>
      </c>
      <c r="I46" t="s">
        <v>86</v>
      </c>
      <c r="J46" t="s">
        <v>1633</v>
      </c>
      <c r="K46" t="s">
        <v>66</v>
      </c>
      <c r="L46">
        <v>65000</v>
      </c>
      <c r="M46">
        <v>7.9</v>
      </c>
      <c r="N46">
        <v>4.9000000000000004</v>
      </c>
      <c r="O46">
        <v>4.5</v>
      </c>
      <c r="P46">
        <v>0.2</v>
      </c>
      <c r="Q46">
        <v>3</v>
      </c>
      <c r="R46">
        <v>3</v>
      </c>
      <c r="S46">
        <v>4</v>
      </c>
      <c r="T46" t="s">
        <v>23</v>
      </c>
      <c r="U46">
        <v>4</v>
      </c>
      <c r="W46" t="s">
        <v>1650</v>
      </c>
      <c r="X46" t="s">
        <v>1659</v>
      </c>
      <c r="Y46" t="s">
        <v>1661</v>
      </c>
      <c r="Z46">
        <v>0</v>
      </c>
    </row>
    <row r="47" spans="1:26" x14ac:dyDescent="0.35">
      <c r="A47" t="s">
        <v>1513</v>
      </c>
      <c r="B47" s="6">
        <v>44457</v>
      </c>
      <c r="C47" t="s">
        <v>23</v>
      </c>
      <c r="D47">
        <v>37</v>
      </c>
      <c r="E47" t="s">
        <v>24</v>
      </c>
      <c r="F47" t="s">
        <v>37</v>
      </c>
      <c r="G47" t="s">
        <v>58</v>
      </c>
      <c r="H47" t="s">
        <v>68</v>
      </c>
      <c r="I47" t="s">
        <v>121</v>
      </c>
      <c r="J47" t="s">
        <v>1635</v>
      </c>
      <c r="K47" t="s">
        <v>50</v>
      </c>
      <c r="L47">
        <v>69000</v>
      </c>
      <c r="M47">
        <v>4.7</v>
      </c>
      <c r="N47">
        <v>5.2</v>
      </c>
      <c r="O47">
        <v>4.3</v>
      </c>
      <c r="P47">
        <v>0.3</v>
      </c>
      <c r="Q47">
        <v>3</v>
      </c>
      <c r="R47">
        <v>3</v>
      </c>
      <c r="S47">
        <v>3</v>
      </c>
      <c r="T47" t="s">
        <v>23</v>
      </c>
      <c r="U47">
        <v>4</v>
      </c>
      <c r="W47" t="s">
        <v>1649</v>
      </c>
      <c r="X47" t="s">
        <v>1659</v>
      </c>
      <c r="Y47" t="s">
        <v>1661</v>
      </c>
      <c r="Z47">
        <v>0</v>
      </c>
    </row>
    <row r="48" spans="1:26" x14ac:dyDescent="0.35">
      <c r="A48" t="s">
        <v>608</v>
      </c>
      <c r="B48" s="6">
        <v>44286</v>
      </c>
      <c r="C48" t="s">
        <v>23</v>
      </c>
      <c r="D48">
        <v>31</v>
      </c>
      <c r="E48" t="s">
        <v>62</v>
      </c>
      <c r="F48" t="s">
        <v>25</v>
      </c>
      <c r="G48" t="s">
        <v>26</v>
      </c>
      <c r="H48" t="s">
        <v>55</v>
      </c>
      <c r="I48" t="s">
        <v>56</v>
      </c>
      <c r="J48" t="s">
        <v>1635</v>
      </c>
      <c r="K48" t="s">
        <v>66</v>
      </c>
      <c r="L48">
        <v>96000</v>
      </c>
      <c r="M48">
        <v>10.9</v>
      </c>
      <c r="N48">
        <v>7.8</v>
      </c>
      <c r="O48">
        <v>4.8</v>
      </c>
      <c r="P48">
        <v>4.4000000000000004</v>
      </c>
      <c r="Q48">
        <v>3</v>
      </c>
      <c r="R48">
        <v>3</v>
      </c>
      <c r="S48">
        <v>3</v>
      </c>
      <c r="T48" t="s">
        <v>23</v>
      </c>
      <c r="U48">
        <v>3</v>
      </c>
      <c r="W48" t="s">
        <v>1650</v>
      </c>
      <c r="X48" t="s">
        <v>1657</v>
      </c>
      <c r="Y48" t="s">
        <v>1661</v>
      </c>
      <c r="Z48">
        <v>0</v>
      </c>
    </row>
    <row r="49" spans="1:26" x14ac:dyDescent="0.35">
      <c r="A49" t="s">
        <v>1565</v>
      </c>
      <c r="B49" s="6">
        <v>43594</v>
      </c>
      <c r="C49" t="s">
        <v>23</v>
      </c>
      <c r="D49">
        <v>27</v>
      </c>
      <c r="E49" t="s">
        <v>62</v>
      </c>
      <c r="F49" t="s">
        <v>42</v>
      </c>
      <c r="G49" t="s">
        <v>58</v>
      </c>
      <c r="H49" t="s">
        <v>45</v>
      </c>
      <c r="I49" t="s">
        <v>164</v>
      </c>
      <c r="J49" t="s">
        <v>1632</v>
      </c>
      <c r="K49" t="s">
        <v>50</v>
      </c>
      <c r="L49">
        <v>22000</v>
      </c>
      <c r="M49">
        <v>7.2</v>
      </c>
      <c r="N49">
        <v>7.9</v>
      </c>
      <c r="O49">
        <v>6.6</v>
      </c>
      <c r="P49">
        <v>1</v>
      </c>
      <c r="Q49">
        <v>2</v>
      </c>
      <c r="R49">
        <v>2</v>
      </c>
      <c r="S49">
        <v>1</v>
      </c>
      <c r="T49" t="s">
        <v>30</v>
      </c>
      <c r="U49">
        <v>3</v>
      </c>
      <c r="W49" t="s">
        <v>1650</v>
      </c>
      <c r="X49" t="s">
        <v>1655</v>
      </c>
      <c r="Y49" t="s">
        <v>1662</v>
      </c>
      <c r="Z49">
        <v>0</v>
      </c>
    </row>
    <row r="50" spans="1:26" x14ac:dyDescent="0.35">
      <c r="A50" t="s">
        <v>517</v>
      </c>
      <c r="B50" s="6">
        <v>42909</v>
      </c>
      <c r="C50" t="s">
        <v>23</v>
      </c>
      <c r="D50">
        <v>34</v>
      </c>
      <c r="E50" t="s">
        <v>62</v>
      </c>
      <c r="F50" t="s">
        <v>37</v>
      </c>
      <c r="G50" t="s">
        <v>32</v>
      </c>
      <c r="H50" t="s">
        <v>55</v>
      </c>
      <c r="I50" t="s">
        <v>88</v>
      </c>
      <c r="J50" t="s">
        <v>1635</v>
      </c>
      <c r="K50" t="s">
        <v>84</v>
      </c>
      <c r="L50">
        <v>78000</v>
      </c>
      <c r="M50">
        <v>9.6999999999999993</v>
      </c>
      <c r="N50">
        <v>14.8</v>
      </c>
      <c r="O50">
        <v>8.5</v>
      </c>
      <c r="P50">
        <v>3.8</v>
      </c>
      <c r="Q50">
        <v>3</v>
      </c>
      <c r="R50">
        <v>3</v>
      </c>
      <c r="S50">
        <v>4</v>
      </c>
      <c r="T50" t="s">
        <v>23</v>
      </c>
      <c r="U50">
        <v>3</v>
      </c>
      <c r="W50" t="s">
        <v>1650</v>
      </c>
      <c r="X50" t="s">
        <v>1659</v>
      </c>
      <c r="Y50" t="s">
        <v>1662</v>
      </c>
      <c r="Z50">
        <v>0</v>
      </c>
    </row>
    <row r="51" spans="1:26" x14ac:dyDescent="0.35">
      <c r="A51" t="s">
        <v>892</v>
      </c>
      <c r="B51" s="6">
        <v>45738</v>
      </c>
      <c r="C51" t="s">
        <v>23</v>
      </c>
      <c r="D51">
        <v>27</v>
      </c>
      <c r="E51" t="s">
        <v>36</v>
      </c>
      <c r="F51" t="s">
        <v>25</v>
      </c>
      <c r="G51" t="s">
        <v>54</v>
      </c>
      <c r="H51" t="s">
        <v>1634</v>
      </c>
      <c r="I51" t="s">
        <v>86</v>
      </c>
      <c r="J51" t="s">
        <v>1632</v>
      </c>
      <c r="K51" t="s">
        <v>34</v>
      </c>
      <c r="L51">
        <v>34000</v>
      </c>
      <c r="M51">
        <v>9.1999999999999993</v>
      </c>
      <c r="N51">
        <v>5.3</v>
      </c>
      <c r="O51">
        <v>0.8</v>
      </c>
      <c r="P51">
        <v>0</v>
      </c>
      <c r="Q51">
        <v>3</v>
      </c>
      <c r="R51">
        <v>2</v>
      </c>
      <c r="S51">
        <v>3</v>
      </c>
      <c r="T51" t="s">
        <v>30</v>
      </c>
      <c r="U51">
        <v>4</v>
      </c>
      <c r="W51" t="s">
        <v>1650</v>
      </c>
      <c r="X51" t="s">
        <v>1655</v>
      </c>
      <c r="Y51" t="s">
        <v>1664</v>
      </c>
      <c r="Z51">
        <v>0</v>
      </c>
    </row>
    <row r="52" spans="1:26" x14ac:dyDescent="0.35">
      <c r="A52" t="s">
        <v>612</v>
      </c>
      <c r="B52" s="6">
        <v>42774</v>
      </c>
      <c r="C52" t="s">
        <v>23</v>
      </c>
      <c r="D52">
        <v>36</v>
      </c>
      <c r="E52" t="s">
        <v>36</v>
      </c>
      <c r="F52" t="s">
        <v>25</v>
      </c>
      <c r="G52" t="s">
        <v>26</v>
      </c>
      <c r="H52" t="s">
        <v>38</v>
      </c>
      <c r="I52" t="s">
        <v>118</v>
      </c>
      <c r="J52" t="s">
        <v>1636</v>
      </c>
      <c r="K52" t="s">
        <v>40</v>
      </c>
      <c r="L52">
        <v>129000</v>
      </c>
      <c r="M52">
        <v>13.3</v>
      </c>
      <c r="N52">
        <v>14.3</v>
      </c>
      <c r="O52">
        <v>8.9</v>
      </c>
      <c r="P52">
        <v>5.2</v>
      </c>
      <c r="Q52">
        <v>1</v>
      </c>
      <c r="R52">
        <v>3</v>
      </c>
      <c r="S52">
        <v>1</v>
      </c>
      <c r="T52" t="s">
        <v>23</v>
      </c>
      <c r="U52">
        <v>4</v>
      </c>
      <c r="W52" t="s">
        <v>1649</v>
      </c>
      <c r="X52" t="s">
        <v>1658</v>
      </c>
      <c r="Y52" t="s">
        <v>1662</v>
      </c>
      <c r="Z52">
        <v>0</v>
      </c>
    </row>
    <row r="53" spans="1:26" x14ac:dyDescent="0.35">
      <c r="A53" t="s">
        <v>886</v>
      </c>
      <c r="B53" s="6">
        <v>45010</v>
      </c>
      <c r="C53" t="s">
        <v>23</v>
      </c>
      <c r="D53">
        <v>23</v>
      </c>
      <c r="E53" t="s">
        <v>24</v>
      </c>
      <c r="F53" t="s">
        <v>42</v>
      </c>
      <c r="G53" t="s">
        <v>54</v>
      </c>
      <c r="H53" t="s">
        <v>48</v>
      </c>
      <c r="I53" t="s">
        <v>201</v>
      </c>
      <c r="J53" t="s">
        <v>1632</v>
      </c>
      <c r="K53" t="s">
        <v>29</v>
      </c>
      <c r="L53">
        <v>27000</v>
      </c>
      <c r="M53">
        <v>11.1</v>
      </c>
      <c r="N53">
        <v>6.7</v>
      </c>
      <c r="O53">
        <v>2.8</v>
      </c>
      <c r="P53">
        <v>0.3</v>
      </c>
      <c r="Q53">
        <v>3</v>
      </c>
      <c r="R53">
        <v>3</v>
      </c>
      <c r="S53">
        <v>3</v>
      </c>
      <c r="T53" t="s">
        <v>30</v>
      </c>
      <c r="U53">
        <v>4</v>
      </c>
      <c r="W53" t="s">
        <v>1651</v>
      </c>
      <c r="X53" t="s">
        <v>1655</v>
      </c>
      <c r="Y53" t="s">
        <v>1665</v>
      </c>
      <c r="Z53">
        <v>0</v>
      </c>
    </row>
    <row r="54" spans="1:26" x14ac:dyDescent="0.35">
      <c r="A54" t="s">
        <v>664</v>
      </c>
      <c r="B54" s="6">
        <v>44202</v>
      </c>
      <c r="C54" t="s">
        <v>30</v>
      </c>
      <c r="D54">
        <v>37</v>
      </c>
      <c r="E54" t="s">
        <v>62</v>
      </c>
      <c r="F54" t="s">
        <v>25</v>
      </c>
      <c r="G54" t="s">
        <v>54</v>
      </c>
      <c r="H54" t="s">
        <v>48</v>
      </c>
      <c r="I54" t="s">
        <v>129</v>
      </c>
      <c r="J54" t="s">
        <v>1635</v>
      </c>
      <c r="K54" t="s">
        <v>34</v>
      </c>
      <c r="L54">
        <v>115000</v>
      </c>
      <c r="M54">
        <v>11.3</v>
      </c>
      <c r="N54">
        <v>6.9</v>
      </c>
      <c r="O54">
        <v>4.3</v>
      </c>
      <c r="P54">
        <v>4.2</v>
      </c>
      <c r="Q54">
        <v>1</v>
      </c>
      <c r="R54">
        <v>3</v>
      </c>
      <c r="S54">
        <v>3</v>
      </c>
      <c r="T54" t="s">
        <v>23</v>
      </c>
      <c r="U54">
        <v>5</v>
      </c>
      <c r="V54" s="7">
        <v>45787</v>
      </c>
      <c r="W54" t="s">
        <v>1649</v>
      </c>
      <c r="X54" t="s">
        <v>1658</v>
      </c>
      <c r="Y54" t="s">
        <v>1661</v>
      </c>
      <c r="Z54">
        <v>1</v>
      </c>
    </row>
    <row r="55" spans="1:26" x14ac:dyDescent="0.35">
      <c r="A55" t="s">
        <v>402</v>
      </c>
      <c r="B55" s="6">
        <v>43252</v>
      </c>
      <c r="C55" t="s">
        <v>30</v>
      </c>
      <c r="D55">
        <v>40</v>
      </c>
      <c r="E55" t="s">
        <v>62</v>
      </c>
      <c r="F55" t="s">
        <v>25</v>
      </c>
      <c r="G55" t="s">
        <v>32</v>
      </c>
      <c r="H55" t="s">
        <v>38</v>
      </c>
      <c r="I55" t="s">
        <v>139</v>
      </c>
      <c r="J55" t="s">
        <v>1635</v>
      </c>
      <c r="K55" t="s">
        <v>29</v>
      </c>
      <c r="L55">
        <v>92000</v>
      </c>
      <c r="M55">
        <v>7.7</v>
      </c>
      <c r="N55">
        <v>11.4</v>
      </c>
      <c r="O55">
        <v>7</v>
      </c>
      <c r="P55">
        <v>5.6</v>
      </c>
      <c r="Q55">
        <v>3</v>
      </c>
      <c r="R55">
        <v>3</v>
      </c>
      <c r="S55">
        <v>3</v>
      </c>
      <c r="T55" t="s">
        <v>23</v>
      </c>
      <c r="U55">
        <v>2</v>
      </c>
      <c r="V55" s="7">
        <v>45794</v>
      </c>
      <c r="W55" t="s">
        <v>1649</v>
      </c>
      <c r="X55" t="s">
        <v>1657</v>
      </c>
      <c r="Y55" t="s">
        <v>1662</v>
      </c>
      <c r="Z55">
        <v>1</v>
      </c>
    </row>
    <row r="56" spans="1:26" x14ac:dyDescent="0.35">
      <c r="A56" t="s">
        <v>1303</v>
      </c>
      <c r="B56" s="6">
        <v>44360</v>
      </c>
      <c r="C56" t="s">
        <v>23</v>
      </c>
      <c r="D56">
        <v>28</v>
      </c>
      <c r="E56" t="s">
        <v>62</v>
      </c>
      <c r="F56" t="s">
        <v>25</v>
      </c>
      <c r="G56" t="s">
        <v>58</v>
      </c>
      <c r="H56" t="s">
        <v>55</v>
      </c>
      <c r="I56" t="s">
        <v>88</v>
      </c>
      <c r="J56" t="s">
        <v>1635</v>
      </c>
      <c r="K56" t="s">
        <v>34</v>
      </c>
      <c r="L56">
        <v>87000</v>
      </c>
      <c r="M56">
        <v>7.1</v>
      </c>
      <c r="N56">
        <v>8.1999999999999993</v>
      </c>
      <c r="O56">
        <v>4.5999999999999996</v>
      </c>
      <c r="P56">
        <v>0.5</v>
      </c>
      <c r="Q56">
        <v>4</v>
      </c>
      <c r="R56">
        <v>4</v>
      </c>
      <c r="S56">
        <v>3</v>
      </c>
      <c r="T56" t="s">
        <v>30</v>
      </c>
      <c r="U56">
        <v>4</v>
      </c>
      <c r="W56" t="s">
        <v>1650</v>
      </c>
      <c r="X56" t="s">
        <v>1657</v>
      </c>
      <c r="Y56" t="s">
        <v>1661</v>
      </c>
      <c r="Z56">
        <v>0</v>
      </c>
    </row>
    <row r="57" spans="1:26" x14ac:dyDescent="0.35">
      <c r="A57" t="s">
        <v>1582</v>
      </c>
      <c r="B57" s="6">
        <v>44871</v>
      </c>
      <c r="C57" t="s">
        <v>23</v>
      </c>
      <c r="D57">
        <v>49</v>
      </c>
      <c r="E57" t="s">
        <v>36</v>
      </c>
      <c r="F57" t="s">
        <v>42</v>
      </c>
      <c r="G57" t="s">
        <v>58</v>
      </c>
      <c r="H57" t="s">
        <v>1634</v>
      </c>
      <c r="I57" t="s">
        <v>60</v>
      </c>
      <c r="J57" t="s">
        <v>1637</v>
      </c>
      <c r="K57" t="s">
        <v>50</v>
      </c>
      <c r="L57">
        <v>134000</v>
      </c>
      <c r="M57">
        <v>11.7</v>
      </c>
      <c r="N57">
        <v>7.2</v>
      </c>
      <c r="O57">
        <v>3.2</v>
      </c>
      <c r="P57">
        <v>2.8</v>
      </c>
      <c r="Q57">
        <v>3</v>
      </c>
      <c r="R57">
        <v>4</v>
      </c>
      <c r="S57">
        <v>3</v>
      </c>
      <c r="T57" t="s">
        <v>23</v>
      </c>
      <c r="U57">
        <v>4</v>
      </c>
      <c r="W57" t="s">
        <v>1652</v>
      </c>
      <c r="X57" t="s">
        <v>1658</v>
      </c>
      <c r="Y57" t="s">
        <v>1661</v>
      </c>
      <c r="Z57">
        <v>0</v>
      </c>
    </row>
    <row r="58" spans="1:26" x14ac:dyDescent="0.35">
      <c r="A58" t="s">
        <v>1351</v>
      </c>
      <c r="B58" s="6">
        <v>43858</v>
      </c>
      <c r="C58" t="s">
        <v>23</v>
      </c>
      <c r="D58">
        <v>30</v>
      </c>
      <c r="E58" t="s">
        <v>24</v>
      </c>
      <c r="F58" t="s">
        <v>25</v>
      </c>
      <c r="G58" t="s">
        <v>32</v>
      </c>
      <c r="H58" t="s">
        <v>68</v>
      </c>
      <c r="I58" t="s">
        <v>69</v>
      </c>
      <c r="J58" t="s">
        <v>1636</v>
      </c>
      <c r="K58" t="s">
        <v>66</v>
      </c>
      <c r="L58">
        <v>120000</v>
      </c>
      <c r="M58">
        <v>9.3000000000000007</v>
      </c>
      <c r="N58">
        <v>9.8000000000000007</v>
      </c>
      <c r="O58">
        <v>5.9</v>
      </c>
      <c r="P58">
        <v>2</v>
      </c>
      <c r="Q58">
        <v>4</v>
      </c>
      <c r="R58">
        <v>4</v>
      </c>
      <c r="S58">
        <v>3</v>
      </c>
      <c r="T58" t="s">
        <v>23</v>
      </c>
      <c r="U58">
        <v>5</v>
      </c>
      <c r="W58" t="s">
        <v>1650</v>
      </c>
      <c r="X58" t="s">
        <v>1658</v>
      </c>
      <c r="Y58" t="s">
        <v>1661</v>
      </c>
      <c r="Z58">
        <v>0</v>
      </c>
    </row>
    <row r="59" spans="1:26" x14ac:dyDescent="0.35">
      <c r="A59" t="s">
        <v>127</v>
      </c>
      <c r="B59" s="6">
        <v>44758</v>
      </c>
      <c r="C59" t="s">
        <v>23</v>
      </c>
      <c r="D59">
        <v>28</v>
      </c>
      <c r="E59" t="s">
        <v>24</v>
      </c>
      <c r="F59" t="s">
        <v>37</v>
      </c>
      <c r="G59" t="s">
        <v>58</v>
      </c>
      <c r="H59" t="s">
        <v>48</v>
      </c>
      <c r="I59" t="s">
        <v>49</v>
      </c>
      <c r="J59" t="s">
        <v>1636</v>
      </c>
      <c r="K59" t="s">
        <v>50</v>
      </c>
      <c r="L59">
        <v>121000</v>
      </c>
      <c r="M59">
        <v>6.1</v>
      </c>
      <c r="N59">
        <v>6.5</v>
      </c>
      <c r="O59">
        <v>3.5</v>
      </c>
      <c r="P59">
        <v>3.5</v>
      </c>
      <c r="Q59">
        <v>3</v>
      </c>
      <c r="R59">
        <v>4</v>
      </c>
      <c r="S59">
        <v>3</v>
      </c>
      <c r="T59" t="s">
        <v>23</v>
      </c>
      <c r="U59">
        <v>2</v>
      </c>
      <c r="W59" t="s">
        <v>1650</v>
      </c>
      <c r="X59" t="s">
        <v>1658</v>
      </c>
      <c r="Y59" t="s">
        <v>1661</v>
      </c>
      <c r="Z59">
        <v>0</v>
      </c>
    </row>
    <row r="60" spans="1:26" x14ac:dyDescent="0.35">
      <c r="A60" t="s">
        <v>399</v>
      </c>
      <c r="B60" s="6">
        <v>42022</v>
      </c>
      <c r="C60" t="s">
        <v>23</v>
      </c>
      <c r="D60">
        <v>33</v>
      </c>
      <c r="E60" t="s">
        <v>36</v>
      </c>
      <c r="F60" t="s">
        <v>25</v>
      </c>
      <c r="G60" t="s">
        <v>26</v>
      </c>
      <c r="H60" t="s">
        <v>1634</v>
      </c>
      <c r="I60" t="s">
        <v>60</v>
      </c>
      <c r="J60" t="s">
        <v>1632</v>
      </c>
      <c r="K60" t="s">
        <v>84</v>
      </c>
      <c r="L60">
        <v>27000</v>
      </c>
      <c r="M60">
        <v>17.600000000000001</v>
      </c>
      <c r="N60">
        <v>18.7</v>
      </c>
      <c r="O60">
        <v>11</v>
      </c>
      <c r="P60">
        <v>0.4</v>
      </c>
      <c r="Q60">
        <v>2</v>
      </c>
      <c r="R60">
        <v>4</v>
      </c>
      <c r="S60">
        <v>3</v>
      </c>
      <c r="T60" t="s">
        <v>30</v>
      </c>
      <c r="U60">
        <v>4</v>
      </c>
      <c r="W60" t="s">
        <v>1650</v>
      </c>
      <c r="X60" t="s">
        <v>1655</v>
      </c>
      <c r="Y60" t="s">
        <v>1663</v>
      </c>
      <c r="Z60">
        <v>0</v>
      </c>
    </row>
    <row r="61" spans="1:26" x14ac:dyDescent="0.35">
      <c r="A61" t="s">
        <v>1578</v>
      </c>
      <c r="B61" s="6">
        <v>45669</v>
      </c>
      <c r="C61" t="s">
        <v>23</v>
      </c>
      <c r="D61">
        <v>21</v>
      </c>
      <c r="E61" t="s">
        <v>24</v>
      </c>
      <c r="F61" t="s">
        <v>25</v>
      </c>
      <c r="G61" t="s">
        <v>26</v>
      </c>
      <c r="H61" t="s">
        <v>1634</v>
      </c>
      <c r="I61" t="s">
        <v>60</v>
      </c>
      <c r="J61" t="s">
        <v>1632</v>
      </c>
      <c r="K61" t="s">
        <v>34</v>
      </c>
      <c r="L61">
        <v>35000</v>
      </c>
      <c r="M61">
        <v>6.4</v>
      </c>
      <c r="N61">
        <v>5.3</v>
      </c>
      <c r="O61">
        <v>1</v>
      </c>
      <c r="P61">
        <v>0.6</v>
      </c>
      <c r="Q61">
        <v>4</v>
      </c>
      <c r="R61">
        <v>2</v>
      </c>
      <c r="S61">
        <v>3</v>
      </c>
      <c r="T61" t="s">
        <v>23</v>
      </c>
      <c r="U61">
        <v>3</v>
      </c>
      <c r="W61" t="s">
        <v>1651</v>
      </c>
      <c r="X61" t="s">
        <v>1655</v>
      </c>
      <c r="Y61" t="s">
        <v>1665</v>
      </c>
      <c r="Z61">
        <v>0</v>
      </c>
    </row>
    <row r="62" spans="1:26" x14ac:dyDescent="0.35">
      <c r="A62" t="s">
        <v>1522</v>
      </c>
      <c r="B62" s="6">
        <v>44827</v>
      </c>
      <c r="C62" t="s">
        <v>30</v>
      </c>
      <c r="D62">
        <v>27</v>
      </c>
      <c r="E62" t="s">
        <v>24</v>
      </c>
      <c r="F62" t="s">
        <v>37</v>
      </c>
      <c r="G62" t="s">
        <v>32</v>
      </c>
      <c r="H62" t="s">
        <v>38</v>
      </c>
      <c r="I62" t="s">
        <v>118</v>
      </c>
      <c r="J62" t="s">
        <v>1632</v>
      </c>
      <c r="K62" t="s">
        <v>50</v>
      </c>
      <c r="L62">
        <v>37000</v>
      </c>
      <c r="M62">
        <v>11</v>
      </c>
      <c r="N62">
        <v>4.7</v>
      </c>
      <c r="O62">
        <v>2.4</v>
      </c>
      <c r="P62">
        <v>0.9</v>
      </c>
      <c r="Q62">
        <v>4</v>
      </c>
      <c r="R62">
        <v>2</v>
      </c>
      <c r="S62">
        <v>3</v>
      </c>
      <c r="T62" t="s">
        <v>23</v>
      </c>
      <c r="U62">
        <v>4</v>
      </c>
      <c r="V62" s="7">
        <v>45686</v>
      </c>
      <c r="W62" t="s">
        <v>1650</v>
      </c>
      <c r="X62" t="s">
        <v>1655</v>
      </c>
      <c r="Y62" t="s">
        <v>1665</v>
      </c>
      <c r="Z62">
        <v>1</v>
      </c>
    </row>
    <row r="63" spans="1:26" x14ac:dyDescent="0.35">
      <c r="A63" t="s">
        <v>935</v>
      </c>
      <c r="B63" s="6">
        <v>44849</v>
      </c>
      <c r="C63" t="s">
        <v>30</v>
      </c>
      <c r="D63">
        <v>25</v>
      </c>
      <c r="E63" t="s">
        <v>36</v>
      </c>
      <c r="F63" t="s">
        <v>25</v>
      </c>
      <c r="G63" t="s">
        <v>32</v>
      </c>
      <c r="H63" t="s">
        <v>27</v>
      </c>
      <c r="I63" t="s">
        <v>33</v>
      </c>
      <c r="J63" t="s">
        <v>1632</v>
      </c>
      <c r="K63" t="s">
        <v>50</v>
      </c>
      <c r="L63">
        <v>29000</v>
      </c>
      <c r="M63">
        <v>7.1</v>
      </c>
      <c r="N63">
        <v>8</v>
      </c>
      <c r="O63">
        <v>2.9</v>
      </c>
      <c r="P63">
        <v>1.3</v>
      </c>
      <c r="Q63">
        <v>4</v>
      </c>
      <c r="R63">
        <v>3</v>
      </c>
      <c r="S63">
        <v>4</v>
      </c>
      <c r="T63" t="s">
        <v>30</v>
      </c>
      <c r="U63">
        <v>3</v>
      </c>
      <c r="V63" s="7">
        <v>45894</v>
      </c>
      <c r="W63" t="s">
        <v>1651</v>
      </c>
      <c r="X63" t="s">
        <v>1655</v>
      </c>
      <c r="Y63" t="s">
        <v>1665</v>
      </c>
      <c r="Z63">
        <v>1</v>
      </c>
    </row>
    <row r="64" spans="1:26" x14ac:dyDescent="0.35">
      <c r="A64" t="s">
        <v>234</v>
      </c>
      <c r="B64" s="6">
        <v>44635</v>
      </c>
      <c r="C64" t="s">
        <v>23</v>
      </c>
      <c r="D64">
        <v>45</v>
      </c>
      <c r="E64" t="s">
        <v>36</v>
      </c>
      <c r="F64" t="s">
        <v>25</v>
      </c>
      <c r="G64" t="s">
        <v>58</v>
      </c>
      <c r="H64" t="s">
        <v>48</v>
      </c>
      <c r="I64" t="s">
        <v>129</v>
      </c>
      <c r="J64" t="s">
        <v>1637</v>
      </c>
      <c r="K64" t="s">
        <v>29</v>
      </c>
      <c r="L64">
        <v>164000</v>
      </c>
      <c r="M64">
        <v>4</v>
      </c>
      <c r="N64">
        <v>6.2</v>
      </c>
      <c r="O64">
        <v>3.8</v>
      </c>
      <c r="P64">
        <v>3.8</v>
      </c>
      <c r="Q64">
        <v>3</v>
      </c>
      <c r="R64">
        <v>4</v>
      </c>
      <c r="S64">
        <v>2</v>
      </c>
      <c r="T64" t="s">
        <v>23</v>
      </c>
      <c r="U64">
        <v>3</v>
      </c>
      <c r="W64" t="s">
        <v>1649</v>
      </c>
      <c r="X64" t="s">
        <v>1658</v>
      </c>
      <c r="Y64" t="s">
        <v>1661</v>
      </c>
      <c r="Z64">
        <v>0</v>
      </c>
    </row>
    <row r="65" spans="1:26" x14ac:dyDescent="0.35">
      <c r="A65" t="s">
        <v>280</v>
      </c>
      <c r="B65" s="6">
        <v>43100</v>
      </c>
      <c r="C65" t="s">
        <v>23</v>
      </c>
      <c r="D65">
        <v>48</v>
      </c>
      <c r="E65" t="s">
        <v>36</v>
      </c>
      <c r="F65" t="s">
        <v>37</v>
      </c>
      <c r="G65" t="s">
        <v>58</v>
      </c>
      <c r="H65" t="s">
        <v>68</v>
      </c>
      <c r="I65" t="s">
        <v>102</v>
      </c>
      <c r="J65" t="s">
        <v>1637</v>
      </c>
      <c r="K65" t="s">
        <v>40</v>
      </c>
      <c r="L65">
        <v>163000</v>
      </c>
      <c r="M65">
        <v>2.9</v>
      </c>
      <c r="N65">
        <v>14</v>
      </c>
      <c r="O65">
        <v>8</v>
      </c>
      <c r="P65">
        <v>0.3</v>
      </c>
      <c r="Q65">
        <v>3</v>
      </c>
      <c r="R65">
        <v>3</v>
      </c>
      <c r="S65">
        <v>3</v>
      </c>
      <c r="T65" t="s">
        <v>30</v>
      </c>
      <c r="U65">
        <v>5</v>
      </c>
      <c r="W65" t="s">
        <v>1652</v>
      </c>
      <c r="X65" t="s">
        <v>1658</v>
      </c>
      <c r="Y65" t="s">
        <v>1662</v>
      </c>
      <c r="Z65">
        <v>0</v>
      </c>
    </row>
    <row r="66" spans="1:26" x14ac:dyDescent="0.35">
      <c r="A66" t="s">
        <v>673</v>
      </c>
      <c r="B66" s="6">
        <v>43017</v>
      </c>
      <c r="C66" t="s">
        <v>23</v>
      </c>
      <c r="D66">
        <v>42</v>
      </c>
      <c r="E66" t="s">
        <v>62</v>
      </c>
      <c r="F66" t="s">
        <v>42</v>
      </c>
      <c r="G66" t="s">
        <v>32</v>
      </c>
      <c r="H66" t="s">
        <v>45</v>
      </c>
      <c r="I66" t="s">
        <v>97</v>
      </c>
      <c r="J66" t="s">
        <v>1635</v>
      </c>
      <c r="K66" t="s">
        <v>50</v>
      </c>
      <c r="L66">
        <v>66000</v>
      </c>
      <c r="M66">
        <v>10.8</v>
      </c>
      <c r="N66">
        <v>13.3</v>
      </c>
      <c r="O66">
        <v>8.1999999999999993</v>
      </c>
      <c r="P66">
        <v>5.4</v>
      </c>
      <c r="Q66">
        <v>3</v>
      </c>
      <c r="R66">
        <v>3</v>
      </c>
      <c r="S66">
        <v>3</v>
      </c>
      <c r="T66" t="s">
        <v>23</v>
      </c>
      <c r="U66">
        <v>3</v>
      </c>
      <c r="W66" t="s">
        <v>1649</v>
      </c>
      <c r="X66" t="s">
        <v>1659</v>
      </c>
      <c r="Y66" t="s">
        <v>1662</v>
      </c>
      <c r="Z66">
        <v>0</v>
      </c>
    </row>
    <row r="67" spans="1:26" x14ac:dyDescent="0.35">
      <c r="A67" t="s">
        <v>394</v>
      </c>
      <c r="B67" s="6">
        <v>44084</v>
      </c>
      <c r="C67" t="s">
        <v>23</v>
      </c>
      <c r="D67">
        <v>27</v>
      </c>
      <c r="E67" t="s">
        <v>36</v>
      </c>
      <c r="F67" t="s">
        <v>42</v>
      </c>
      <c r="G67" t="s">
        <v>58</v>
      </c>
      <c r="H67" t="s">
        <v>68</v>
      </c>
      <c r="I67" t="s">
        <v>69</v>
      </c>
      <c r="J67" t="s">
        <v>1632</v>
      </c>
      <c r="K67" t="s">
        <v>50</v>
      </c>
      <c r="L67">
        <v>33000</v>
      </c>
      <c r="M67">
        <v>0</v>
      </c>
      <c r="N67">
        <v>13.1</v>
      </c>
      <c r="O67">
        <v>5.3</v>
      </c>
      <c r="P67">
        <v>2.8</v>
      </c>
      <c r="Q67">
        <v>2</v>
      </c>
      <c r="R67">
        <v>4</v>
      </c>
      <c r="S67">
        <v>4</v>
      </c>
      <c r="T67" t="s">
        <v>30</v>
      </c>
      <c r="U67">
        <v>3</v>
      </c>
      <c r="W67" t="s">
        <v>1650</v>
      </c>
      <c r="X67" t="s">
        <v>1655</v>
      </c>
      <c r="Y67" t="s">
        <v>1661</v>
      </c>
      <c r="Z67">
        <v>0</v>
      </c>
    </row>
    <row r="68" spans="1:26" x14ac:dyDescent="0.35">
      <c r="A68" t="s">
        <v>1396</v>
      </c>
      <c r="B68" s="6">
        <v>42136</v>
      </c>
      <c r="C68" t="s">
        <v>23</v>
      </c>
      <c r="D68">
        <v>31</v>
      </c>
      <c r="E68" t="s">
        <v>62</v>
      </c>
      <c r="F68" t="s">
        <v>37</v>
      </c>
      <c r="G68" t="s">
        <v>54</v>
      </c>
      <c r="H68" t="s">
        <v>48</v>
      </c>
      <c r="I68" t="s">
        <v>63</v>
      </c>
      <c r="J68" t="s">
        <v>1633</v>
      </c>
      <c r="K68" t="s">
        <v>84</v>
      </c>
      <c r="L68">
        <v>44000</v>
      </c>
      <c r="M68">
        <v>15.5</v>
      </c>
      <c r="N68">
        <v>18.399999999999999</v>
      </c>
      <c r="O68">
        <v>10.6</v>
      </c>
      <c r="P68">
        <v>4.8</v>
      </c>
      <c r="Q68">
        <v>3</v>
      </c>
      <c r="R68">
        <v>3</v>
      </c>
      <c r="S68">
        <v>4</v>
      </c>
      <c r="T68" t="s">
        <v>23</v>
      </c>
      <c r="U68">
        <v>1</v>
      </c>
      <c r="W68" t="s">
        <v>1650</v>
      </c>
      <c r="X68" t="s">
        <v>1656</v>
      </c>
      <c r="Y68" t="s">
        <v>1663</v>
      </c>
      <c r="Z68">
        <v>0</v>
      </c>
    </row>
    <row r="69" spans="1:26" x14ac:dyDescent="0.35">
      <c r="A69" t="s">
        <v>1299</v>
      </c>
      <c r="B69" s="6">
        <v>42999</v>
      </c>
      <c r="C69" t="s">
        <v>23</v>
      </c>
      <c r="D69">
        <v>30</v>
      </c>
      <c r="E69" t="s">
        <v>24</v>
      </c>
      <c r="F69" t="s">
        <v>25</v>
      </c>
      <c r="G69" t="s">
        <v>54</v>
      </c>
      <c r="H69" t="s">
        <v>45</v>
      </c>
      <c r="I69" t="s">
        <v>77</v>
      </c>
      <c r="J69" t="s">
        <v>1635</v>
      </c>
      <c r="K69" t="s">
        <v>29</v>
      </c>
      <c r="L69">
        <v>73000</v>
      </c>
      <c r="M69">
        <v>14.8</v>
      </c>
      <c r="N69">
        <v>8.5</v>
      </c>
      <c r="O69">
        <v>8.3000000000000007</v>
      </c>
      <c r="P69">
        <v>5.3</v>
      </c>
      <c r="Q69">
        <v>2</v>
      </c>
      <c r="R69">
        <v>3</v>
      </c>
      <c r="S69">
        <v>4</v>
      </c>
      <c r="T69" t="s">
        <v>23</v>
      </c>
      <c r="U69">
        <v>3</v>
      </c>
      <c r="W69" t="s">
        <v>1650</v>
      </c>
      <c r="X69" t="s">
        <v>1659</v>
      </c>
      <c r="Y69" t="s">
        <v>1662</v>
      </c>
      <c r="Z69">
        <v>0</v>
      </c>
    </row>
    <row r="70" spans="1:26" x14ac:dyDescent="0.35">
      <c r="A70" t="s">
        <v>1251</v>
      </c>
      <c r="B70" s="6">
        <v>45719</v>
      </c>
      <c r="C70" t="s">
        <v>30</v>
      </c>
      <c r="D70">
        <v>41</v>
      </c>
      <c r="E70" t="s">
        <v>62</v>
      </c>
      <c r="F70" t="s">
        <v>42</v>
      </c>
      <c r="G70" t="s">
        <v>32</v>
      </c>
      <c r="H70" t="s">
        <v>68</v>
      </c>
      <c r="I70" t="s">
        <v>121</v>
      </c>
      <c r="J70" t="s">
        <v>1633</v>
      </c>
      <c r="K70" t="s">
        <v>34</v>
      </c>
      <c r="L70">
        <v>53000</v>
      </c>
      <c r="M70">
        <v>5.0999999999999996</v>
      </c>
      <c r="N70">
        <v>7.4</v>
      </c>
      <c r="O70">
        <v>0.3</v>
      </c>
      <c r="P70">
        <v>0</v>
      </c>
      <c r="Q70">
        <v>4</v>
      </c>
      <c r="R70">
        <v>3</v>
      </c>
      <c r="S70">
        <v>3</v>
      </c>
      <c r="T70" t="s">
        <v>30</v>
      </c>
      <c r="U70">
        <v>4</v>
      </c>
      <c r="V70" s="7">
        <v>45839</v>
      </c>
      <c r="W70" t="s">
        <v>1649</v>
      </c>
      <c r="X70" t="s">
        <v>1656</v>
      </c>
      <c r="Y70" t="s">
        <v>1664</v>
      </c>
      <c r="Z70">
        <v>1</v>
      </c>
    </row>
    <row r="71" spans="1:26" x14ac:dyDescent="0.35">
      <c r="A71" t="s">
        <v>675</v>
      </c>
      <c r="B71" s="6">
        <v>43282</v>
      </c>
      <c r="C71" t="s">
        <v>23</v>
      </c>
      <c r="D71">
        <v>34</v>
      </c>
      <c r="E71" t="s">
        <v>36</v>
      </c>
      <c r="F71" t="s">
        <v>25</v>
      </c>
      <c r="G71" t="s">
        <v>58</v>
      </c>
      <c r="H71" t="s">
        <v>45</v>
      </c>
      <c r="I71" t="s">
        <v>164</v>
      </c>
      <c r="J71" t="s">
        <v>1636</v>
      </c>
      <c r="K71" t="s">
        <v>50</v>
      </c>
      <c r="L71">
        <v>98000</v>
      </c>
      <c r="M71">
        <v>9.3000000000000007</v>
      </c>
      <c r="N71">
        <v>9.1999999999999993</v>
      </c>
      <c r="O71">
        <v>7.5</v>
      </c>
      <c r="P71">
        <v>2.7</v>
      </c>
      <c r="Q71">
        <v>3</v>
      </c>
      <c r="R71">
        <v>2</v>
      </c>
      <c r="S71">
        <v>3</v>
      </c>
      <c r="T71" t="s">
        <v>23</v>
      </c>
      <c r="U71">
        <v>5</v>
      </c>
      <c r="W71" t="s">
        <v>1650</v>
      </c>
      <c r="X71" t="s">
        <v>1657</v>
      </c>
      <c r="Y71" t="s">
        <v>1662</v>
      </c>
      <c r="Z71">
        <v>0</v>
      </c>
    </row>
    <row r="72" spans="1:26" x14ac:dyDescent="0.35">
      <c r="A72" t="s">
        <v>606</v>
      </c>
      <c r="B72" s="6">
        <v>45391</v>
      </c>
      <c r="C72" t="s">
        <v>23</v>
      </c>
      <c r="D72">
        <v>34</v>
      </c>
      <c r="E72" t="s">
        <v>24</v>
      </c>
      <c r="F72" t="s">
        <v>25</v>
      </c>
      <c r="G72" t="s">
        <v>32</v>
      </c>
      <c r="H72" t="s">
        <v>48</v>
      </c>
      <c r="I72" t="s">
        <v>129</v>
      </c>
      <c r="J72" t="s">
        <v>1633</v>
      </c>
      <c r="K72" t="s">
        <v>50</v>
      </c>
      <c r="L72">
        <v>61000</v>
      </c>
      <c r="M72">
        <v>15.3</v>
      </c>
      <c r="N72">
        <v>6.9</v>
      </c>
      <c r="O72">
        <v>1.7</v>
      </c>
      <c r="P72">
        <v>1</v>
      </c>
      <c r="Q72">
        <v>3</v>
      </c>
      <c r="R72">
        <v>1</v>
      </c>
      <c r="S72">
        <v>4</v>
      </c>
      <c r="T72" t="s">
        <v>23</v>
      </c>
      <c r="U72">
        <v>3</v>
      </c>
      <c r="W72" t="s">
        <v>1650</v>
      </c>
      <c r="X72" t="s">
        <v>1659</v>
      </c>
      <c r="Y72" t="s">
        <v>1665</v>
      </c>
      <c r="Z72">
        <v>0</v>
      </c>
    </row>
    <row r="73" spans="1:26" x14ac:dyDescent="0.35">
      <c r="A73" t="s">
        <v>1068</v>
      </c>
      <c r="B73" s="6">
        <v>42438</v>
      </c>
      <c r="C73" t="s">
        <v>23</v>
      </c>
      <c r="D73">
        <v>48</v>
      </c>
      <c r="E73" t="s">
        <v>24</v>
      </c>
      <c r="F73" t="s">
        <v>37</v>
      </c>
      <c r="G73" t="s">
        <v>26</v>
      </c>
      <c r="H73" t="s">
        <v>1634</v>
      </c>
      <c r="I73" t="s">
        <v>86</v>
      </c>
      <c r="J73" t="s">
        <v>1635</v>
      </c>
      <c r="K73" t="s">
        <v>40</v>
      </c>
      <c r="L73">
        <v>58000</v>
      </c>
      <c r="M73">
        <v>8.4</v>
      </c>
      <c r="N73">
        <v>14.6</v>
      </c>
      <c r="O73">
        <v>9.8000000000000007</v>
      </c>
      <c r="P73">
        <v>1.7</v>
      </c>
      <c r="Q73">
        <v>4</v>
      </c>
      <c r="R73">
        <v>4</v>
      </c>
      <c r="S73">
        <v>4</v>
      </c>
      <c r="T73" t="s">
        <v>30</v>
      </c>
      <c r="U73">
        <v>4</v>
      </c>
      <c r="W73" t="s">
        <v>1652</v>
      </c>
      <c r="X73" t="s">
        <v>1656</v>
      </c>
      <c r="Y73" t="s">
        <v>1662</v>
      </c>
      <c r="Z73">
        <v>0</v>
      </c>
    </row>
    <row r="74" spans="1:26" x14ac:dyDescent="0.35">
      <c r="A74" t="s">
        <v>714</v>
      </c>
      <c r="B74" s="6">
        <v>44896</v>
      </c>
      <c r="C74" t="s">
        <v>30</v>
      </c>
      <c r="D74">
        <v>35</v>
      </c>
      <c r="E74" t="s">
        <v>24</v>
      </c>
      <c r="F74" t="s">
        <v>42</v>
      </c>
      <c r="G74" t="s">
        <v>32</v>
      </c>
      <c r="H74" t="s">
        <v>38</v>
      </c>
      <c r="I74" t="s">
        <v>39</v>
      </c>
      <c r="J74" t="s">
        <v>1635</v>
      </c>
      <c r="K74" t="s">
        <v>66</v>
      </c>
      <c r="L74">
        <v>81000</v>
      </c>
      <c r="M74">
        <v>8.1999999999999993</v>
      </c>
      <c r="N74">
        <v>6.9</v>
      </c>
      <c r="O74">
        <v>2.7</v>
      </c>
      <c r="P74">
        <v>2</v>
      </c>
      <c r="Q74">
        <v>2</v>
      </c>
      <c r="R74">
        <v>3</v>
      </c>
      <c r="S74">
        <v>4</v>
      </c>
      <c r="T74" t="s">
        <v>23</v>
      </c>
      <c r="U74">
        <v>3</v>
      </c>
      <c r="V74" s="7">
        <v>45873</v>
      </c>
      <c r="W74" t="s">
        <v>1650</v>
      </c>
      <c r="X74" t="s">
        <v>1657</v>
      </c>
      <c r="Y74" t="s">
        <v>1665</v>
      </c>
      <c r="Z74">
        <v>1</v>
      </c>
    </row>
    <row r="75" spans="1:26" x14ac:dyDescent="0.35">
      <c r="A75" t="s">
        <v>1558</v>
      </c>
      <c r="B75" s="6">
        <v>42850</v>
      </c>
      <c r="C75" t="s">
        <v>23</v>
      </c>
      <c r="D75">
        <v>29</v>
      </c>
      <c r="E75" t="s">
        <v>62</v>
      </c>
      <c r="F75" t="s">
        <v>37</v>
      </c>
      <c r="G75" t="s">
        <v>26</v>
      </c>
      <c r="H75" t="s">
        <v>38</v>
      </c>
      <c r="I75" t="s">
        <v>39</v>
      </c>
      <c r="J75" t="s">
        <v>1635</v>
      </c>
      <c r="K75" t="s">
        <v>40</v>
      </c>
      <c r="L75">
        <v>94000</v>
      </c>
      <c r="M75">
        <v>10.4</v>
      </c>
      <c r="N75">
        <v>14.2</v>
      </c>
      <c r="O75">
        <v>8.6999999999999993</v>
      </c>
      <c r="P75">
        <v>2.9</v>
      </c>
      <c r="Q75">
        <v>3</v>
      </c>
      <c r="R75">
        <v>4</v>
      </c>
      <c r="S75">
        <v>2</v>
      </c>
      <c r="T75" t="s">
        <v>30</v>
      </c>
      <c r="U75">
        <v>2</v>
      </c>
      <c r="W75" t="s">
        <v>1650</v>
      </c>
      <c r="X75" t="s">
        <v>1657</v>
      </c>
      <c r="Y75" t="s">
        <v>1662</v>
      </c>
      <c r="Z75">
        <v>0</v>
      </c>
    </row>
    <row r="76" spans="1:26" x14ac:dyDescent="0.35">
      <c r="A76" t="s">
        <v>67</v>
      </c>
      <c r="B76" s="6">
        <v>43360</v>
      </c>
      <c r="C76" t="s">
        <v>23</v>
      </c>
      <c r="D76">
        <v>39</v>
      </c>
      <c r="E76" t="s">
        <v>24</v>
      </c>
      <c r="F76" t="s">
        <v>42</v>
      </c>
      <c r="G76" t="s">
        <v>54</v>
      </c>
      <c r="H76" t="s">
        <v>68</v>
      </c>
      <c r="I76" t="s">
        <v>69</v>
      </c>
      <c r="J76" t="s">
        <v>1633</v>
      </c>
      <c r="K76" t="s">
        <v>40</v>
      </c>
      <c r="L76">
        <v>56000</v>
      </c>
      <c r="M76">
        <v>12.3</v>
      </c>
      <c r="N76">
        <v>13.6</v>
      </c>
      <c r="O76">
        <v>7.3</v>
      </c>
      <c r="P76">
        <v>0.7</v>
      </c>
      <c r="Q76">
        <v>3</v>
      </c>
      <c r="R76">
        <v>3</v>
      </c>
      <c r="S76">
        <v>4</v>
      </c>
      <c r="T76" t="s">
        <v>23</v>
      </c>
      <c r="U76">
        <v>4</v>
      </c>
      <c r="W76" t="s">
        <v>1649</v>
      </c>
      <c r="X76" t="s">
        <v>1656</v>
      </c>
      <c r="Y76" t="s">
        <v>1662</v>
      </c>
      <c r="Z76">
        <v>0</v>
      </c>
    </row>
    <row r="77" spans="1:26" x14ac:dyDescent="0.35">
      <c r="A77" t="s">
        <v>1188</v>
      </c>
      <c r="B77" s="6">
        <v>43888</v>
      </c>
      <c r="C77" t="s">
        <v>23</v>
      </c>
      <c r="D77">
        <v>27</v>
      </c>
      <c r="E77" t="s">
        <v>24</v>
      </c>
      <c r="F77" t="s">
        <v>37</v>
      </c>
      <c r="G77" t="s">
        <v>26</v>
      </c>
      <c r="H77" t="s">
        <v>48</v>
      </c>
      <c r="I77" t="s">
        <v>129</v>
      </c>
      <c r="J77" t="s">
        <v>1632</v>
      </c>
      <c r="K77" t="s">
        <v>34</v>
      </c>
      <c r="L77">
        <v>30000</v>
      </c>
      <c r="M77">
        <v>12</v>
      </c>
      <c r="N77">
        <v>8.3000000000000007</v>
      </c>
      <c r="O77">
        <v>5.8</v>
      </c>
      <c r="P77">
        <v>1.5</v>
      </c>
      <c r="Q77">
        <v>3</v>
      </c>
      <c r="R77">
        <v>4</v>
      </c>
      <c r="S77">
        <v>3</v>
      </c>
      <c r="T77" t="s">
        <v>23</v>
      </c>
      <c r="U77">
        <v>3</v>
      </c>
      <c r="W77" t="s">
        <v>1650</v>
      </c>
      <c r="X77" t="s">
        <v>1655</v>
      </c>
      <c r="Y77" t="s">
        <v>1661</v>
      </c>
      <c r="Z77">
        <v>0</v>
      </c>
    </row>
    <row r="78" spans="1:26" x14ac:dyDescent="0.35">
      <c r="A78" t="s">
        <v>294</v>
      </c>
      <c r="B78" s="6">
        <v>43535</v>
      </c>
      <c r="C78" t="s">
        <v>23</v>
      </c>
      <c r="D78">
        <v>33</v>
      </c>
      <c r="E78" t="s">
        <v>62</v>
      </c>
      <c r="F78" t="s">
        <v>37</v>
      </c>
      <c r="G78" t="s">
        <v>58</v>
      </c>
      <c r="H78" t="s">
        <v>38</v>
      </c>
      <c r="I78" t="s">
        <v>39</v>
      </c>
      <c r="J78" t="s">
        <v>1636</v>
      </c>
      <c r="K78" t="s">
        <v>66</v>
      </c>
      <c r="L78">
        <v>125000</v>
      </c>
      <c r="M78">
        <v>14.1</v>
      </c>
      <c r="N78">
        <v>7.8</v>
      </c>
      <c r="O78">
        <v>6.8</v>
      </c>
      <c r="P78">
        <v>2.1</v>
      </c>
      <c r="Q78">
        <v>3</v>
      </c>
      <c r="R78">
        <v>3</v>
      </c>
      <c r="S78">
        <v>3</v>
      </c>
      <c r="T78" t="s">
        <v>23</v>
      </c>
      <c r="U78">
        <v>4</v>
      </c>
      <c r="W78" t="s">
        <v>1650</v>
      </c>
      <c r="X78" t="s">
        <v>1658</v>
      </c>
      <c r="Y78" t="s">
        <v>1662</v>
      </c>
      <c r="Z78">
        <v>0</v>
      </c>
    </row>
    <row r="79" spans="1:26" x14ac:dyDescent="0.35">
      <c r="A79" t="s">
        <v>545</v>
      </c>
      <c r="B79" s="6">
        <v>43745</v>
      </c>
      <c r="C79" t="s">
        <v>23</v>
      </c>
      <c r="D79">
        <v>37</v>
      </c>
      <c r="E79" t="s">
        <v>36</v>
      </c>
      <c r="F79" t="s">
        <v>25</v>
      </c>
      <c r="G79" t="s">
        <v>26</v>
      </c>
      <c r="H79" t="s">
        <v>68</v>
      </c>
      <c r="I79" t="s">
        <v>69</v>
      </c>
      <c r="J79" t="s">
        <v>1633</v>
      </c>
      <c r="K79" t="s">
        <v>66</v>
      </c>
      <c r="L79">
        <v>51000</v>
      </c>
      <c r="M79">
        <v>8.1</v>
      </c>
      <c r="N79">
        <v>9</v>
      </c>
      <c r="O79">
        <v>6.2</v>
      </c>
      <c r="P79">
        <v>3.3</v>
      </c>
      <c r="Q79">
        <v>3</v>
      </c>
      <c r="R79">
        <v>2</v>
      </c>
      <c r="S79">
        <v>3</v>
      </c>
      <c r="T79" t="s">
        <v>30</v>
      </c>
      <c r="U79">
        <v>3</v>
      </c>
      <c r="W79" t="s">
        <v>1649</v>
      </c>
      <c r="X79" t="s">
        <v>1656</v>
      </c>
      <c r="Y79" t="s">
        <v>1662</v>
      </c>
      <c r="Z79">
        <v>0</v>
      </c>
    </row>
    <row r="80" spans="1:26" x14ac:dyDescent="0.35">
      <c r="A80" t="s">
        <v>789</v>
      </c>
      <c r="B80" s="6">
        <v>44745</v>
      </c>
      <c r="C80" t="s">
        <v>23</v>
      </c>
      <c r="D80">
        <v>39</v>
      </c>
      <c r="E80" t="s">
        <v>24</v>
      </c>
      <c r="F80" t="s">
        <v>37</v>
      </c>
      <c r="G80" t="s">
        <v>32</v>
      </c>
      <c r="H80" t="s">
        <v>45</v>
      </c>
      <c r="I80" t="s">
        <v>77</v>
      </c>
      <c r="J80" t="s">
        <v>1632</v>
      </c>
      <c r="K80" t="s">
        <v>34</v>
      </c>
      <c r="L80">
        <v>39000</v>
      </c>
      <c r="M80">
        <v>14.2</v>
      </c>
      <c r="N80">
        <v>4.9000000000000004</v>
      </c>
      <c r="O80">
        <v>3.5</v>
      </c>
      <c r="P80">
        <v>0.5</v>
      </c>
      <c r="Q80">
        <v>4</v>
      </c>
      <c r="R80">
        <v>3</v>
      </c>
      <c r="S80">
        <v>2</v>
      </c>
      <c r="T80" t="s">
        <v>23</v>
      </c>
      <c r="U80">
        <v>4</v>
      </c>
      <c r="W80" t="s">
        <v>1649</v>
      </c>
      <c r="X80" t="s">
        <v>1655</v>
      </c>
      <c r="Y80" t="s">
        <v>1661</v>
      </c>
      <c r="Z80">
        <v>0</v>
      </c>
    </row>
    <row r="81" spans="1:26" x14ac:dyDescent="0.35">
      <c r="A81" t="s">
        <v>864</v>
      </c>
      <c r="B81" s="6">
        <v>44332</v>
      </c>
      <c r="C81" t="s">
        <v>23</v>
      </c>
      <c r="D81">
        <v>38</v>
      </c>
      <c r="E81" t="s">
        <v>36</v>
      </c>
      <c r="F81" t="s">
        <v>42</v>
      </c>
      <c r="G81" t="s">
        <v>54</v>
      </c>
      <c r="H81" t="s">
        <v>48</v>
      </c>
      <c r="I81" t="s">
        <v>201</v>
      </c>
      <c r="J81" t="s">
        <v>1633</v>
      </c>
      <c r="K81" t="s">
        <v>34</v>
      </c>
      <c r="L81">
        <v>52000</v>
      </c>
      <c r="M81">
        <v>10.3</v>
      </c>
      <c r="N81">
        <v>5.3</v>
      </c>
      <c r="O81">
        <v>4.5999999999999996</v>
      </c>
      <c r="P81">
        <v>0.2</v>
      </c>
      <c r="Q81">
        <v>4</v>
      </c>
      <c r="R81">
        <v>2</v>
      </c>
      <c r="S81">
        <v>3</v>
      </c>
      <c r="T81" t="s">
        <v>23</v>
      </c>
      <c r="U81">
        <v>4</v>
      </c>
      <c r="W81" t="s">
        <v>1649</v>
      </c>
      <c r="X81" t="s">
        <v>1656</v>
      </c>
      <c r="Y81" t="s">
        <v>1661</v>
      </c>
      <c r="Z81">
        <v>0</v>
      </c>
    </row>
    <row r="82" spans="1:26" x14ac:dyDescent="0.35">
      <c r="A82" t="s">
        <v>387</v>
      </c>
      <c r="B82" s="6">
        <v>44992</v>
      </c>
      <c r="C82" t="s">
        <v>23</v>
      </c>
      <c r="D82">
        <v>34</v>
      </c>
      <c r="E82" t="s">
        <v>62</v>
      </c>
      <c r="F82" t="s">
        <v>37</v>
      </c>
      <c r="G82" t="s">
        <v>26</v>
      </c>
      <c r="H82" t="s">
        <v>27</v>
      </c>
      <c r="I82" t="s">
        <v>33</v>
      </c>
      <c r="J82" t="s">
        <v>1633</v>
      </c>
      <c r="K82" t="s">
        <v>40</v>
      </c>
      <c r="L82">
        <v>56000</v>
      </c>
      <c r="M82">
        <v>5.7</v>
      </c>
      <c r="N82">
        <v>8.1999999999999993</v>
      </c>
      <c r="O82">
        <v>2.8</v>
      </c>
      <c r="P82">
        <v>1.7</v>
      </c>
      <c r="Q82">
        <v>3</v>
      </c>
      <c r="R82">
        <v>3</v>
      </c>
      <c r="S82">
        <v>3</v>
      </c>
      <c r="T82" t="s">
        <v>23</v>
      </c>
      <c r="U82">
        <v>3</v>
      </c>
      <c r="W82" t="s">
        <v>1650</v>
      </c>
      <c r="X82" t="s">
        <v>1656</v>
      </c>
      <c r="Y82" t="s">
        <v>1665</v>
      </c>
      <c r="Z82">
        <v>0</v>
      </c>
    </row>
    <row r="83" spans="1:26" x14ac:dyDescent="0.35">
      <c r="A83" t="s">
        <v>557</v>
      </c>
      <c r="B83" s="6">
        <v>44315</v>
      </c>
      <c r="C83" t="s">
        <v>30</v>
      </c>
      <c r="D83">
        <v>26</v>
      </c>
      <c r="E83" t="s">
        <v>62</v>
      </c>
      <c r="F83" t="s">
        <v>42</v>
      </c>
      <c r="G83" t="s">
        <v>26</v>
      </c>
      <c r="H83" t="s">
        <v>68</v>
      </c>
      <c r="I83" t="s">
        <v>109</v>
      </c>
      <c r="J83" t="s">
        <v>1632</v>
      </c>
      <c r="K83" t="s">
        <v>34</v>
      </c>
      <c r="L83">
        <v>23000</v>
      </c>
      <c r="M83">
        <v>13.6</v>
      </c>
      <c r="N83">
        <v>10.3</v>
      </c>
      <c r="O83">
        <v>4.4000000000000004</v>
      </c>
      <c r="P83">
        <v>0.8</v>
      </c>
      <c r="Q83">
        <v>3</v>
      </c>
      <c r="R83">
        <v>3</v>
      </c>
      <c r="S83">
        <v>3</v>
      </c>
      <c r="T83" t="s">
        <v>23</v>
      </c>
      <c r="U83">
        <v>3</v>
      </c>
      <c r="V83" s="7">
        <v>45912</v>
      </c>
      <c r="W83" t="s">
        <v>1650</v>
      </c>
      <c r="X83" t="s">
        <v>1655</v>
      </c>
      <c r="Y83" t="s">
        <v>1661</v>
      </c>
      <c r="Z83">
        <v>1</v>
      </c>
    </row>
    <row r="84" spans="1:26" x14ac:dyDescent="0.35">
      <c r="A84" t="s">
        <v>946</v>
      </c>
      <c r="B84" s="6">
        <v>43948</v>
      </c>
      <c r="C84" t="s">
        <v>23</v>
      </c>
      <c r="D84">
        <v>37</v>
      </c>
      <c r="E84" t="s">
        <v>24</v>
      </c>
      <c r="F84" t="s">
        <v>25</v>
      </c>
      <c r="G84" t="s">
        <v>54</v>
      </c>
      <c r="H84" t="s">
        <v>1634</v>
      </c>
      <c r="I84" t="s">
        <v>75</v>
      </c>
      <c r="J84" t="s">
        <v>1633</v>
      </c>
      <c r="K84" t="s">
        <v>29</v>
      </c>
      <c r="L84">
        <v>57000</v>
      </c>
      <c r="M84">
        <v>9</v>
      </c>
      <c r="N84">
        <v>8.9</v>
      </c>
      <c r="O84">
        <v>5.7</v>
      </c>
      <c r="P84">
        <v>3.6</v>
      </c>
      <c r="Q84">
        <v>3</v>
      </c>
      <c r="R84">
        <v>3</v>
      </c>
      <c r="S84">
        <v>3</v>
      </c>
      <c r="T84" t="s">
        <v>30</v>
      </c>
      <c r="U84">
        <v>5</v>
      </c>
      <c r="W84" t="s">
        <v>1649</v>
      </c>
      <c r="X84" t="s">
        <v>1656</v>
      </c>
      <c r="Y84" t="s">
        <v>1661</v>
      </c>
      <c r="Z84">
        <v>0</v>
      </c>
    </row>
    <row r="85" spans="1:26" x14ac:dyDescent="0.35">
      <c r="A85" t="s">
        <v>1119</v>
      </c>
      <c r="B85" s="6">
        <v>45461</v>
      </c>
      <c r="C85" t="s">
        <v>30</v>
      </c>
      <c r="D85">
        <v>34</v>
      </c>
      <c r="E85" t="s">
        <v>62</v>
      </c>
      <c r="F85" t="s">
        <v>25</v>
      </c>
      <c r="G85" t="s">
        <v>32</v>
      </c>
      <c r="H85" t="s">
        <v>68</v>
      </c>
      <c r="I85" t="s">
        <v>102</v>
      </c>
      <c r="J85" t="s">
        <v>1633</v>
      </c>
      <c r="K85" t="s">
        <v>84</v>
      </c>
      <c r="L85">
        <v>47000</v>
      </c>
      <c r="M85">
        <v>12.9</v>
      </c>
      <c r="N85">
        <v>6.9</v>
      </c>
      <c r="O85">
        <v>1</v>
      </c>
      <c r="P85">
        <v>0.2</v>
      </c>
      <c r="Q85">
        <v>3</v>
      </c>
      <c r="R85">
        <v>4</v>
      </c>
      <c r="S85">
        <v>2</v>
      </c>
      <c r="T85" t="s">
        <v>23</v>
      </c>
      <c r="U85">
        <v>4</v>
      </c>
      <c r="V85" s="7">
        <v>45816</v>
      </c>
      <c r="W85" t="s">
        <v>1650</v>
      </c>
      <c r="X85" t="s">
        <v>1656</v>
      </c>
      <c r="Y85" t="s">
        <v>1665</v>
      </c>
      <c r="Z85">
        <v>1</v>
      </c>
    </row>
    <row r="86" spans="1:26" x14ac:dyDescent="0.35">
      <c r="A86" t="s">
        <v>716</v>
      </c>
      <c r="B86" s="6">
        <v>45335</v>
      </c>
      <c r="C86" t="s">
        <v>23</v>
      </c>
      <c r="D86">
        <v>27</v>
      </c>
      <c r="E86" t="s">
        <v>62</v>
      </c>
      <c r="F86" t="s">
        <v>25</v>
      </c>
      <c r="G86" t="s">
        <v>54</v>
      </c>
      <c r="H86" t="s">
        <v>68</v>
      </c>
      <c r="I86" t="s">
        <v>109</v>
      </c>
      <c r="J86" t="s">
        <v>1632</v>
      </c>
      <c r="K86" t="s">
        <v>29</v>
      </c>
      <c r="L86">
        <v>31000</v>
      </c>
      <c r="M86">
        <v>10.7</v>
      </c>
      <c r="N86">
        <v>8</v>
      </c>
      <c r="O86">
        <v>1.9</v>
      </c>
      <c r="P86">
        <v>1.2</v>
      </c>
      <c r="Q86">
        <v>2</v>
      </c>
      <c r="R86">
        <v>2</v>
      </c>
      <c r="S86">
        <v>4</v>
      </c>
      <c r="T86" t="s">
        <v>30</v>
      </c>
      <c r="U86">
        <v>3</v>
      </c>
      <c r="W86" t="s">
        <v>1650</v>
      </c>
      <c r="X86" t="s">
        <v>1655</v>
      </c>
      <c r="Y86" t="s">
        <v>1665</v>
      </c>
      <c r="Z86">
        <v>0</v>
      </c>
    </row>
    <row r="87" spans="1:26" x14ac:dyDescent="0.35">
      <c r="A87" t="s">
        <v>1118</v>
      </c>
      <c r="B87" s="6">
        <v>43798</v>
      </c>
      <c r="C87" t="s">
        <v>30</v>
      </c>
      <c r="D87">
        <v>27</v>
      </c>
      <c r="E87" t="s">
        <v>36</v>
      </c>
      <c r="F87" t="s">
        <v>42</v>
      </c>
      <c r="G87" t="s">
        <v>26</v>
      </c>
      <c r="H87" t="s">
        <v>27</v>
      </c>
      <c r="I87" t="s">
        <v>28</v>
      </c>
      <c r="J87" t="s">
        <v>1632</v>
      </c>
      <c r="K87" t="s">
        <v>50</v>
      </c>
      <c r="L87">
        <v>34000</v>
      </c>
      <c r="M87">
        <v>10</v>
      </c>
      <c r="N87">
        <v>10.8</v>
      </c>
      <c r="O87">
        <v>5.7</v>
      </c>
      <c r="P87">
        <v>4.5</v>
      </c>
      <c r="Q87">
        <v>2</v>
      </c>
      <c r="R87">
        <v>3</v>
      </c>
      <c r="S87">
        <v>3</v>
      </c>
      <c r="T87" t="s">
        <v>23</v>
      </c>
      <c r="U87">
        <v>2</v>
      </c>
      <c r="V87" s="7">
        <v>45884</v>
      </c>
      <c r="W87" t="s">
        <v>1650</v>
      </c>
      <c r="X87" t="s">
        <v>1655</v>
      </c>
      <c r="Y87" t="s">
        <v>1661</v>
      </c>
      <c r="Z87">
        <v>1</v>
      </c>
    </row>
    <row r="88" spans="1:26" x14ac:dyDescent="0.35">
      <c r="A88" t="s">
        <v>148</v>
      </c>
      <c r="B88" s="6">
        <v>42851</v>
      </c>
      <c r="C88" t="s">
        <v>23</v>
      </c>
      <c r="D88">
        <v>30</v>
      </c>
      <c r="E88" t="s">
        <v>62</v>
      </c>
      <c r="F88" t="s">
        <v>25</v>
      </c>
      <c r="G88" t="s">
        <v>32</v>
      </c>
      <c r="H88" t="s">
        <v>68</v>
      </c>
      <c r="I88" t="s">
        <v>69</v>
      </c>
      <c r="J88" t="s">
        <v>1632</v>
      </c>
      <c r="K88" t="s">
        <v>84</v>
      </c>
      <c r="L88">
        <v>36000</v>
      </c>
      <c r="M88">
        <v>3.2</v>
      </c>
      <c r="N88">
        <v>12.4</v>
      </c>
      <c r="O88">
        <v>8.6999999999999993</v>
      </c>
      <c r="P88">
        <v>3.3</v>
      </c>
      <c r="Q88">
        <v>3</v>
      </c>
      <c r="R88">
        <v>4</v>
      </c>
      <c r="S88">
        <v>4</v>
      </c>
      <c r="T88" t="s">
        <v>23</v>
      </c>
      <c r="U88">
        <v>3</v>
      </c>
      <c r="W88" t="s">
        <v>1650</v>
      </c>
      <c r="X88" t="s">
        <v>1655</v>
      </c>
      <c r="Y88" t="s">
        <v>1662</v>
      </c>
      <c r="Z88">
        <v>0</v>
      </c>
    </row>
    <row r="89" spans="1:26" x14ac:dyDescent="0.35">
      <c r="A89" t="s">
        <v>1151</v>
      </c>
      <c r="B89" s="6">
        <v>43219</v>
      </c>
      <c r="C89" t="s">
        <v>23</v>
      </c>
      <c r="D89">
        <v>28</v>
      </c>
      <c r="E89" t="s">
        <v>36</v>
      </c>
      <c r="F89" t="s">
        <v>25</v>
      </c>
      <c r="G89" t="s">
        <v>32</v>
      </c>
      <c r="H89" t="s">
        <v>27</v>
      </c>
      <c r="I89" t="s">
        <v>33</v>
      </c>
      <c r="J89" t="s">
        <v>1635</v>
      </c>
      <c r="K89" t="s">
        <v>84</v>
      </c>
      <c r="L89">
        <v>72000</v>
      </c>
      <c r="M89">
        <v>10.199999999999999</v>
      </c>
      <c r="N89">
        <v>15.5</v>
      </c>
      <c r="O89">
        <v>7.7</v>
      </c>
      <c r="P89">
        <v>0.5</v>
      </c>
      <c r="Q89">
        <v>4</v>
      </c>
      <c r="R89">
        <v>3</v>
      </c>
      <c r="S89">
        <v>1</v>
      </c>
      <c r="T89" t="s">
        <v>23</v>
      </c>
      <c r="U89">
        <v>4</v>
      </c>
      <c r="W89" t="s">
        <v>1650</v>
      </c>
      <c r="X89" t="s">
        <v>1659</v>
      </c>
      <c r="Y89" t="s">
        <v>1662</v>
      </c>
      <c r="Z89">
        <v>0</v>
      </c>
    </row>
    <row r="90" spans="1:26" x14ac:dyDescent="0.35">
      <c r="A90" t="s">
        <v>401</v>
      </c>
      <c r="B90" s="6">
        <v>42603</v>
      </c>
      <c r="C90" t="s">
        <v>23</v>
      </c>
      <c r="D90">
        <v>39</v>
      </c>
      <c r="E90" t="s">
        <v>62</v>
      </c>
      <c r="F90" t="s">
        <v>25</v>
      </c>
      <c r="G90" t="s">
        <v>32</v>
      </c>
      <c r="H90" t="s">
        <v>68</v>
      </c>
      <c r="I90" t="s">
        <v>69</v>
      </c>
      <c r="J90" t="s">
        <v>1633</v>
      </c>
      <c r="K90" t="s">
        <v>84</v>
      </c>
      <c r="L90">
        <v>51000</v>
      </c>
      <c r="M90">
        <v>8.9</v>
      </c>
      <c r="N90">
        <v>12</v>
      </c>
      <c r="O90">
        <v>9.4</v>
      </c>
      <c r="P90">
        <v>2</v>
      </c>
      <c r="Q90">
        <v>1</v>
      </c>
      <c r="R90">
        <v>3</v>
      </c>
      <c r="S90">
        <v>3</v>
      </c>
      <c r="T90" t="s">
        <v>23</v>
      </c>
      <c r="U90">
        <v>3</v>
      </c>
      <c r="W90" t="s">
        <v>1649</v>
      </c>
      <c r="X90" t="s">
        <v>1656</v>
      </c>
      <c r="Y90" t="s">
        <v>1662</v>
      </c>
      <c r="Z90">
        <v>0</v>
      </c>
    </row>
    <row r="91" spans="1:26" x14ac:dyDescent="0.35">
      <c r="A91" t="s">
        <v>1071</v>
      </c>
      <c r="B91" s="6">
        <v>44587</v>
      </c>
      <c r="C91" t="s">
        <v>23</v>
      </c>
      <c r="D91">
        <v>33</v>
      </c>
      <c r="E91" t="s">
        <v>24</v>
      </c>
      <c r="F91" t="s">
        <v>25</v>
      </c>
      <c r="G91" t="s">
        <v>26</v>
      </c>
      <c r="H91" t="s">
        <v>38</v>
      </c>
      <c r="I91" t="s">
        <v>139</v>
      </c>
      <c r="J91" t="s">
        <v>1636</v>
      </c>
      <c r="K91" t="s">
        <v>29</v>
      </c>
      <c r="L91">
        <v>122000</v>
      </c>
      <c r="M91">
        <v>10.3</v>
      </c>
      <c r="N91">
        <v>9.6</v>
      </c>
      <c r="O91">
        <v>3.9</v>
      </c>
      <c r="P91">
        <v>0.3</v>
      </c>
      <c r="Q91">
        <v>3</v>
      </c>
      <c r="R91">
        <v>3</v>
      </c>
      <c r="S91">
        <v>3</v>
      </c>
      <c r="T91" t="s">
        <v>23</v>
      </c>
      <c r="U91">
        <v>3</v>
      </c>
      <c r="W91" t="s">
        <v>1650</v>
      </c>
      <c r="X91" t="s">
        <v>1658</v>
      </c>
      <c r="Y91" t="s">
        <v>1661</v>
      </c>
      <c r="Z91">
        <v>0</v>
      </c>
    </row>
    <row r="92" spans="1:26" x14ac:dyDescent="0.35">
      <c r="A92" t="s">
        <v>1347</v>
      </c>
      <c r="B92" s="6">
        <v>45835</v>
      </c>
      <c r="C92" t="s">
        <v>23</v>
      </c>
      <c r="D92">
        <v>37</v>
      </c>
      <c r="E92" t="s">
        <v>24</v>
      </c>
      <c r="F92" t="s">
        <v>25</v>
      </c>
      <c r="G92" t="s">
        <v>26</v>
      </c>
      <c r="H92" t="s">
        <v>45</v>
      </c>
      <c r="I92" t="s">
        <v>46</v>
      </c>
      <c r="J92" t="s">
        <v>1635</v>
      </c>
      <c r="K92" t="s">
        <v>29</v>
      </c>
      <c r="L92">
        <v>86000</v>
      </c>
      <c r="M92">
        <v>8.6</v>
      </c>
      <c r="N92">
        <v>6.6</v>
      </c>
      <c r="O92">
        <v>0.5</v>
      </c>
      <c r="P92">
        <v>0</v>
      </c>
      <c r="Q92">
        <v>4</v>
      </c>
      <c r="R92">
        <v>4</v>
      </c>
      <c r="S92">
        <v>2</v>
      </c>
      <c r="T92" t="s">
        <v>23</v>
      </c>
      <c r="U92">
        <v>3</v>
      </c>
      <c r="W92" t="s">
        <v>1649</v>
      </c>
      <c r="X92" t="s">
        <v>1657</v>
      </c>
      <c r="Y92" t="s">
        <v>1664</v>
      </c>
      <c r="Z92">
        <v>0</v>
      </c>
    </row>
    <row r="93" spans="1:26" x14ac:dyDescent="0.35">
      <c r="A93" t="s">
        <v>737</v>
      </c>
      <c r="B93" s="6">
        <v>45254</v>
      </c>
      <c r="C93" t="s">
        <v>23</v>
      </c>
      <c r="D93">
        <v>38</v>
      </c>
      <c r="E93" t="s">
        <v>36</v>
      </c>
      <c r="F93" t="s">
        <v>25</v>
      </c>
      <c r="G93" t="s">
        <v>58</v>
      </c>
      <c r="H93" t="s">
        <v>68</v>
      </c>
      <c r="I93" t="s">
        <v>109</v>
      </c>
      <c r="J93" t="s">
        <v>1635</v>
      </c>
      <c r="K93" t="s">
        <v>29</v>
      </c>
      <c r="L93">
        <v>73000</v>
      </c>
      <c r="M93">
        <v>9.9</v>
      </c>
      <c r="N93">
        <v>9.3000000000000007</v>
      </c>
      <c r="O93">
        <v>2.1</v>
      </c>
      <c r="P93">
        <v>1.5</v>
      </c>
      <c r="Q93">
        <v>3</v>
      </c>
      <c r="R93">
        <v>1</v>
      </c>
      <c r="S93">
        <v>3</v>
      </c>
      <c r="T93" t="s">
        <v>30</v>
      </c>
      <c r="U93">
        <v>4</v>
      </c>
      <c r="W93" t="s">
        <v>1649</v>
      </c>
      <c r="X93" t="s">
        <v>1659</v>
      </c>
      <c r="Y93" t="s">
        <v>1665</v>
      </c>
      <c r="Z93">
        <v>0</v>
      </c>
    </row>
    <row r="94" spans="1:26" x14ac:dyDescent="0.35">
      <c r="A94" t="s">
        <v>1232</v>
      </c>
      <c r="B94" s="6">
        <v>44891</v>
      </c>
      <c r="C94" t="s">
        <v>23</v>
      </c>
      <c r="D94">
        <v>34</v>
      </c>
      <c r="E94" t="s">
        <v>36</v>
      </c>
      <c r="F94" t="s">
        <v>25</v>
      </c>
      <c r="G94" t="s">
        <v>54</v>
      </c>
      <c r="H94" t="s">
        <v>1634</v>
      </c>
      <c r="I94" t="s">
        <v>60</v>
      </c>
      <c r="J94" t="s">
        <v>1633</v>
      </c>
      <c r="K94" t="s">
        <v>40</v>
      </c>
      <c r="L94">
        <v>45000</v>
      </c>
      <c r="M94">
        <v>9.1</v>
      </c>
      <c r="N94">
        <v>4.5999999999999996</v>
      </c>
      <c r="O94">
        <v>3.1</v>
      </c>
      <c r="P94">
        <v>2.1</v>
      </c>
      <c r="R94">
        <v>3</v>
      </c>
      <c r="S94">
        <v>3</v>
      </c>
      <c r="T94" t="s">
        <v>23</v>
      </c>
      <c r="U94">
        <v>4</v>
      </c>
      <c r="W94" t="s">
        <v>1650</v>
      </c>
      <c r="X94" t="s">
        <v>1656</v>
      </c>
      <c r="Y94" t="s">
        <v>1661</v>
      </c>
      <c r="Z94">
        <v>0</v>
      </c>
    </row>
    <row r="95" spans="1:26" x14ac:dyDescent="0.35">
      <c r="A95" t="s">
        <v>875</v>
      </c>
      <c r="B95" s="6">
        <v>45321</v>
      </c>
      <c r="C95" t="s">
        <v>23</v>
      </c>
      <c r="D95">
        <v>43</v>
      </c>
      <c r="E95" t="s">
        <v>24</v>
      </c>
      <c r="F95" t="s">
        <v>42</v>
      </c>
      <c r="G95" t="s">
        <v>54</v>
      </c>
      <c r="H95" t="s">
        <v>1634</v>
      </c>
      <c r="I95" t="s">
        <v>86</v>
      </c>
      <c r="J95" t="s">
        <v>1636</v>
      </c>
      <c r="K95" t="s">
        <v>66</v>
      </c>
      <c r="L95">
        <v>117000</v>
      </c>
      <c r="M95">
        <v>17.600000000000001</v>
      </c>
      <c r="N95">
        <v>6.4</v>
      </c>
      <c r="O95">
        <v>1.9</v>
      </c>
      <c r="P95">
        <v>0.2</v>
      </c>
      <c r="Q95">
        <v>3</v>
      </c>
      <c r="R95">
        <v>4</v>
      </c>
      <c r="S95">
        <v>4</v>
      </c>
      <c r="T95" t="s">
        <v>30</v>
      </c>
      <c r="U95">
        <v>3</v>
      </c>
      <c r="W95" t="s">
        <v>1649</v>
      </c>
      <c r="X95" t="s">
        <v>1658</v>
      </c>
      <c r="Y95" t="s">
        <v>1665</v>
      </c>
      <c r="Z95">
        <v>0</v>
      </c>
    </row>
    <row r="96" spans="1:26" x14ac:dyDescent="0.35">
      <c r="A96" t="s">
        <v>759</v>
      </c>
      <c r="B96" s="6">
        <v>42022</v>
      </c>
      <c r="C96" t="s">
        <v>23</v>
      </c>
      <c r="D96">
        <v>39</v>
      </c>
      <c r="E96" t="s">
        <v>24</v>
      </c>
      <c r="F96" t="s">
        <v>37</v>
      </c>
      <c r="G96" t="s">
        <v>58</v>
      </c>
      <c r="H96" t="s">
        <v>55</v>
      </c>
      <c r="I96" t="s">
        <v>80</v>
      </c>
      <c r="J96" t="s">
        <v>1632</v>
      </c>
      <c r="K96" t="s">
        <v>50</v>
      </c>
      <c r="L96">
        <v>41000</v>
      </c>
      <c r="M96">
        <v>17.8</v>
      </c>
      <c r="N96">
        <v>14.3</v>
      </c>
      <c r="O96">
        <v>11</v>
      </c>
      <c r="P96">
        <v>2.4</v>
      </c>
      <c r="Q96">
        <v>4</v>
      </c>
      <c r="R96">
        <v>3</v>
      </c>
      <c r="S96">
        <v>3</v>
      </c>
      <c r="T96" t="s">
        <v>23</v>
      </c>
      <c r="U96">
        <v>2</v>
      </c>
      <c r="W96" t="s">
        <v>1649</v>
      </c>
      <c r="X96" t="s">
        <v>1656</v>
      </c>
      <c r="Y96" t="s">
        <v>1663</v>
      </c>
      <c r="Z96">
        <v>0</v>
      </c>
    </row>
    <row r="97" spans="1:26" x14ac:dyDescent="0.35">
      <c r="A97" t="s">
        <v>1400</v>
      </c>
      <c r="B97" s="6">
        <v>43976</v>
      </c>
      <c r="C97" t="s">
        <v>23</v>
      </c>
      <c r="D97">
        <v>27</v>
      </c>
      <c r="E97" t="s">
        <v>24</v>
      </c>
      <c r="F97" t="s">
        <v>37</v>
      </c>
      <c r="G97" t="s">
        <v>58</v>
      </c>
      <c r="H97" t="s">
        <v>1634</v>
      </c>
      <c r="I97" t="s">
        <v>150</v>
      </c>
      <c r="J97" t="s">
        <v>1632</v>
      </c>
      <c r="K97" t="s">
        <v>40</v>
      </c>
      <c r="L97">
        <v>28000</v>
      </c>
      <c r="M97">
        <v>0.5</v>
      </c>
      <c r="N97">
        <v>11.2</v>
      </c>
      <c r="O97">
        <v>5.6</v>
      </c>
      <c r="P97">
        <v>0.8</v>
      </c>
      <c r="Q97">
        <v>3</v>
      </c>
      <c r="R97">
        <v>3</v>
      </c>
      <c r="S97">
        <v>3</v>
      </c>
      <c r="T97" t="s">
        <v>30</v>
      </c>
      <c r="U97">
        <v>1</v>
      </c>
      <c r="W97" t="s">
        <v>1650</v>
      </c>
      <c r="X97" t="s">
        <v>1655</v>
      </c>
      <c r="Y97" t="s">
        <v>1661</v>
      </c>
      <c r="Z97">
        <v>0</v>
      </c>
    </row>
    <row r="98" spans="1:26" x14ac:dyDescent="0.35">
      <c r="A98" t="s">
        <v>418</v>
      </c>
      <c r="B98" s="6">
        <v>43868</v>
      </c>
      <c r="C98" t="s">
        <v>23</v>
      </c>
      <c r="D98">
        <v>28</v>
      </c>
      <c r="E98" t="s">
        <v>24</v>
      </c>
      <c r="F98" t="s">
        <v>42</v>
      </c>
      <c r="G98" t="s">
        <v>26</v>
      </c>
      <c r="H98" t="s">
        <v>1634</v>
      </c>
      <c r="I98" t="s">
        <v>86</v>
      </c>
      <c r="J98" t="s">
        <v>1635</v>
      </c>
      <c r="K98" t="s">
        <v>29</v>
      </c>
      <c r="L98">
        <v>77000</v>
      </c>
      <c r="M98">
        <v>10.4</v>
      </c>
      <c r="N98">
        <v>8.3000000000000007</v>
      </c>
      <c r="O98">
        <v>5.9</v>
      </c>
      <c r="P98">
        <v>0.3</v>
      </c>
      <c r="Q98">
        <v>2</v>
      </c>
      <c r="R98">
        <v>3</v>
      </c>
      <c r="S98">
        <v>4</v>
      </c>
      <c r="T98" t="s">
        <v>23</v>
      </c>
      <c r="U98">
        <v>3</v>
      </c>
      <c r="W98" t="s">
        <v>1650</v>
      </c>
      <c r="X98" t="s">
        <v>1659</v>
      </c>
      <c r="Y98" t="s">
        <v>1661</v>
      </c>
      <c r="Z98">
        <v>0</v>
      </c>
    </row>
    <row r="99" spans="1:26" x14ac:dyDescent="0.35">
      <c r="A99" t="s">
        <v>1356</v>
      </c>
      <c r="B99" s="6">
        <v>44668</v>
      </c>
      <c r="C99" t="s">
        <v>23</v>
      </c>
      <c r="D99">
        <v>40</v>
      </c>
      <c r="E99" t="s">
        <v>62</v>
      </c>
      <c r="F99" t="s">
        <v>25</v>
      </c>
      <c r="G99" t="s">
        <v>26</v>
      </c>
      <c r="H99" t="s">
        <v>27</v>
      </c>
      <c r="I99" t="s">
        <v>95</v>
      </c>
      <c r="J99" t="s">
        <v>1635</v>
      </c>
      <c r="K99" t="s">
        <v>34</v>
      </c>
      <c r="L99">
        <v>68000</v>
      </c>
      <c r="M99">
        <v>5.4</v>
      </c>
      <c r="N99">
        <v>5.2</v>
      </c>
      <c r="O99">
        <v>3.7</v>
      </c>
      <c r="P99">
        <v>2.5</v>
      </c>
      <c r="Q99">
        <v>3</v>
      </c>
      <c r="R99">
        <v>3</v>
      </c>
      <c r="S99">
        <v>3</v>
      </c>
      <c r="T99" t="s">
        <v>30</v>
      </c>
      <c r="U99">
        <v>5</v>
      </c>
      <c r="W99" t="s">
        <v>1649</v>
      </c>
      <c r="X99" t="s">
        <v>1659</v>
      </c>
      <c r="Y99" t="s">
        <v>1661</v>
      </c>
      <c r="Z99">
        <v>0</v>
      </c>
    </row>
    <row r="100" spans="1:26" x14ac:dyDescent="0.35">
      <c r="A100" t="s">
        <v>1364</v>
      </c>
      <c r="B100" s="6">
        <v>45854</v>
      </c>
      <c r="C100" t="s">
        <v>23</v>
      </c>
      <c r="D100">
        <v>24</v>
      </c>
      <c r="E100" t="s">
        <v>62</v>
      </c>
      <c r="F100" t="s">
        <v>25</v>
      </c>
      <c r="G100" t="s">
        <v>58</v>
      </c>
      <c r="H100" t="s">
        <v>1634</v>
      </c>
      <c r="I100" t="s">
        <v>60</v>
      </c>
      <c r="J100" t="s">
        <v>1632</v>
      </c>
      <c r="K100" t="s">
        <v>40</v>
      </c>
      <c r="L100">
        <v>49000</v>
      </c>
      <c r="M100">
        <v>13.7</v>
      </c>
      <c r="N100">
        <v>3.3</v>
      </c>
      <c r="O100">
        <v>0.5</v>
      </c>
      <c r="P100">
        <v>0</v>
      </c>
      <c r="Q100">
        <v>3</v>
      </c>
      <c r="R100">
        <v>2</v>
      </c>
      <c r="S100">
        <v>3</v>
      </c>
      <c r="T100" t="s">
        <v>23</v>
      </c>
      <c r="U100">
        <v>2</v>
      </c>
      <c r="W100" t="s">
        <v>1651</v>
      </c>
      <c r="X100" t="s">
        <v>1656</v>
      </c>
      <c r="Y100" t="s">
        <v>1664</v>
      </c>
      <c r="Z100">
        <v>0</v>
      </c>
    </row>
    <row r="101" spans="1:26" x14ac:dyDescent="0.35">
      <c r="A101" t="s">
        <v>429</v>
      </c>
      <c r="B101" s="6">
        <v>45773</v>
      </c>
      <c r="C101" t="s">
        <v>23</v>
      </c>
      <c r="D101">
        <v>21</v>
      </c>
      <c r="E101" t="s">
        <v>36</v>
      </c>
      <c r="F101" t="s">
        <v>37</v>
      </c>
      <c r="G101" t="s">
        <v>58</v>
      </c>
      <c r="H101" t="s">
        <v>38</v>
      </c>
      <c r="I101" t="s">
        <v>39</v>
      </c>
      <c r="J101" t="s">
        <v>1632</v>
      </c>
      <c r="K101" t="s">
        <v>40</v>
      </c>
      <c r="L101">
        <v>50000</v>
      </c>
      <c r="M101">
        <v>8.5</v>
      </c>
      <c r="N101">
        <v>4.4000000000000004</v>
      </c>
      <c r="O101">
        <v>0.7</v>
      </c>
      <c r="P101">
        <v>0</v>
      </c>
      <c r="Q101">
        <v>2</v>
      </c>
      <c r="R101">
        <v>3</v>
      </c>
      <c r="S101">
        <v>4</v>
      </c>
      <c r="T101" t="s">
        <v>23</v>
      </c>
      <c r="U101">
        <v>2</v>
      </c>
      <c r="W101" t="s">
        <v>1651</v>
      </c>
      <c r="X101" t="s">
        <v>1656</v>
      </c>
      <c r="Y101" t="s">
        <v>1664</v>
      </c>
      <c r="Z101">
        <v>0</v>
      </c>
    </row>
    <row r="102" spans="1:26" x14ac:dyDescent="0.35">
      <c r="A102" t="s">
        <v>697</v>
      </c>
      <c r="B102" s="6">
        <v>45363</v>
      </c>
      <c r="C102" t="s">
        <v>23</v>
      </c>
      <c r="D102">
        <v>22</v>
      </c>
      <c r="E102" t="s">
        <v>24</v>
      </c>
      <c r="F102" t="s">
        <v>25</v>
      </c>
      <c r="G102" t="s">
        <v>58</v>
      </c>
      <c r="H102" t="s">
        <v>38</v>
      </c>
      <c r="I102" t="s">
        <v>139</v>
      </c>
      <c r="J102" t="s">
        <v>1632</v>
      </c>
      <c r="K102" t="s">
        <v>84</v>
      </c>
      <c r="L102">
        <v>32000</v>
      </c>
      <c r="M102">
        <v>9</v>
      </c>
      <c r="N102">
        <v>8.3000000000000007</v>
      </c>
      <c r="O102">
        <v>1.8</v>
      </c>
      <c r="P102">
        <v>0.9</v>
      </c>
      <c r="Q102">
        <v>3</v>
      </c>
      <c r="R102">
        <v>1</v>
      </c>
      <c r="S102">
        <v>3</v>
      </c>
      <c r="T102" t="s">
        <v>23</v>
      </c>
      <c r="U102">
        <v>3</v>
      </c>
      <c r="W102" t="s">
        <v>1651</v>
      </c>
      <c r="X102" t="s">
        <v>1655</v>
      </c>
      <c r="Y102" t="s">
        <v>1665</v>
      </c>
      <c r="Z102">
        <v>0</v>
      </c>
    </row>
    <row r="103" spans="1:26" x14ac:dyDescent="0.35">
      <c r="A103" t="s">
        <v>491</v>
      </c>
      <c r="B103" s="6">
        <v>44496</v>
      </c>
      <c r="C103" t="s">
        <v>23</v>
      </c>
      <c r="D103">
        <v>30</v>
      </c>
      <c r="E103" t="s">
        <v>24</v>
      </c>
      <c r="F103" t="s">
        <v>25</v>
      </c>
      <c r="G103" t="s">
        <v>54</v>
      </c>
      <c r="H103" t="s">
        <v>38</v>
      </c>
      <c r="I103" t="s">
        <v>39</v>
      </c>
      <c r="J103" t="s">
        <v>1633</v>
      </c>
      <c r="K103" t="s">
        <v>50</v>
      </c>
      <c r="L103">
        <v>65000</v>
      </c>
      <c r="M103">
        <v>4.7</v>
      </c>
      <c r="N103">
        <v>5.7</v>
      </c>
      <c r="O103">
        <v>4.2</v>
      </c>
      <c r="P103">
        <v>2.9</v>
      </c>
      <c r="Q103">
        <v>4</v>
      </c>
      <c r="R103">
        <v>3</v>
      </c>
      <c r="S103">
        <v>4</v>
      </c>
      <c r="T103" t="s">
        <v>23</v>
      </c>
      <c r="U103">
        <v>3</v>
      </c>
      <c r="W103" t="s">
        <v>1650</v>
      </c>
      <c r="X103" t="s">
        <v>1659</v>
      </c>
      <c r="Y103" t="s">
        <v>1661</v>
      </c>
      <c r="Z103">
        <v>0</v>
      </c>
    </row>
    <row r="104" spans="1:26" x14ac:dyDescent="0.35">
      <c r="A104" t="s">
        <v>600</v>
      </c>
      <c r="B104" s="6">
        <v>44540</v>
      </c>
      <c r="C104" t="s">
        <v>23</v>
      </c>
      <c r="D104">
        <v>34</v>
      </c>
      <c r="E104" t="s">
        <v>36</v>
      </c>
      <c r="F104" t="s">
        <v>25</v>
      </c>
      <c r="G104" t="s">
        <v>54</v>
      </c>
      <c r="H104" t="s">
        <v>48</v>
      </c>
      <c r="I104" t="s">
        <v>49</v>
      </c>
      <c r="J104" t="s">
        <v>1635</v>
      </c>
      <c r="K104" t="s">
        <v>84</v>
      </c>
      <c r="L104">
        <v>85000</v>
      </c>
      <c r="M104">
        <v>11.8</v>
      </c>
      <c r="N104">
        <v>8.9</v>
      </c>
      <c r="O104">
        <v>4.0999999999999996</v>
      </c>
      <c r="P104">
        <v>1.7</v>
      </c>
      <c r="Q104">
        <v>3</v>
      </c>
      <c r="R104">
        <v>3</v>
      </c>
      <c r="S104">
        <v>3</v>
      </c>
      <c r="T104" t="s">
        <v>30</v>
      </c>
      <c r="U104">
        <v>1</v>
      </c>
      <c r="W104" t="s">
        <v>1650</v>
      </c>
      <c r="X104" t="s">
        <v>1657</v>
      </c>
      <c r="Y104" t="s">
        <v>1661</v>
      </c>
      <c r="Z104">
        <v>0</v>
      </c>
    </row>
    <row r="105" spans="1:26" x14ac:dyDescent="0.35">
      <c r="A105" t="s">
        <v>1121</v>
      </c>
      <c r="B105" s="6">
        <v>45866</v>
      </c>
      <c r="C105" t="s">
        <v>23</v>
      </c>
      <c r="D105">
        <v>22</v>
      </c>
      <c r="E105" t="s">
        <v>24</v>
      </c>
      <c r="F105" t="s">
        <v>37</v>
      </c>
      <c r="G105" t="s">
        <v>26</v>
      </c>
      <c r="H105" t="s">
        <v>45</v>
      </c>
      <c r="I105" t="s">
        <v>164</v>
      </c>
      <c r="J105" t="s">
        <v>1632</v>
      </c>
      <c r="K105" t="s">
        <v>40</v>
      </c>
      <c r="L105">
        <v>43000</v>
      </c>
      <c r="M105">
        <v>10.3</v>
      </c>
      <c r="N105">
        <v>5.9</v>
      </c>
      <c r="O105">
        <v>0.4</v>
      </c>
      <c r="P105">
        <v>0</v>
      </c>
      <c r="Q105">
        <v>3</v>
      </c>
      <c r="R105">
        <v>2</v>
      </c>
      <c r="S105">
        <v>3</v>
      </c>
      <c r="T105" t="s">
        <v>23</v>
      </c>
      <c r="U105">
        <v>4</v>
      </c>
      <c r="W105" t="s">
        <v>1651</v>
      </c>
      <c r="X105" t="s">
        <v>1656</v>
      </c>
      <c r="Y105" t="s">
        <v>1664</v>
      </c>
      <c r="Z105">
        <v>0</v>
      </c>
    </row>
    <row r="106" spans="1:26" x14ac:dyDescent="0.35">
      <c r="A106" t="s">
        <v>1521</v>
      </c>
      <c r="B106" s="6">
        <v>41855</v>
      </c>
      <c r="C106" t="s">
        <v>23</v>
      </c>
      <c r="D106">
        <v>44</v>
      </c>
      <c r="E106" t="s">
        <v>36</v>
      </c>
      <c r="F106" t="s">
        <v>25</v>
      </c>
      <c r="G106" t="s">
        <v>58</v>
      </c>
      <c r="H106" t="s">
        <v>1634</v>
      </c>
      <c r="I106" t="s">
        <v>150</v>
      </c>
      <c r="J106" t="s">
        <v>1633</v>
      </c>
      <c r="K106" t="s">
        <v>40</v>
      </c>
      <c r="L106">
        <v>53000</v>
      </c>
      <c r="M106">
        <v>13.7</v>
      </c>
      <c r="N106">
        <v>14.4</v>
      </c>
      <c r="O106">
        <v>11.4</v>
      </c>
      <c r="P106">
        <v>2.7</v>
      </c>
      <c r="Q106">
        <v>2</v>
      </c>
      <c r="R106">
        <v>2</v>
      </c>
      <c r="S106">
        <v>2</v>
      </c>
      <c r="T106" t="s">
        <v>30</v>
      </c>
      <c r="U106">
        <v>3</v>
      </c>
      <c r="W106" t="s">
        <v>1649</v>
      </c>
      <c r="X106" t="s">
        <v>1656</v>
      </c>
      <c r="Y106" t="s">
        <v>1663</v>
      </c>
      <c r="Z106">
        <v>0</v>
      </c>
    </row>
    <row r="107" spans="1:26" x14ac:dyDescent="0.35">
      <c r="A107" t="s">
        <v>810</v>
      </c>
      <c r="B107" s="6">
        <v>43780</v>
      </c>
      <c r="C107" t="s">
        <v>23</v>
      </c>
      <c r="D107">
        <v>47</v>
      </c>
      <c r="E107" t="s">
        <v>36</v>
      </c>
      <c r="F107" t="s">
        <v>37</v>
      </c>
      <c r="G107" t="s">
        <v>26</v>
      </c>
      <c r="H107" t="s">
        <v>38</v>
      </c>
      <c r="I107" t="s">
        <v>118</v>
      </c>
      <c r="J107" t="s">
        <v>1635</v>
      </c>
      <c r="K107" t="s">
        <v>40</v>
      </c>
      <c r="L107">
        <v>102000</v>
      </c>
      <c r="M107">
        <v>8</v>
      </c>
      <c r="N107">
        <v>8.1999999999999993</v>
      </c>
      <c r="O107">
        <v>6.1</v>
      </c>
      <c r="P107">
        <v>2.7</v>
      </c>
      <c r="Q107">
        <v>3</v>
      </c>
      <c r="R107">
        <v>4</v>
      </c>
      <c r="S107">
        <v>3</v>
      </c>
      <c r="T107" t="s">
        <v>23</v>
      </c>
      <c r="U107">
        <v>5</v>
      </c>
      <c r="W107" t="s">
        <v>1652</v>
      </c>
      <c r="X107" t="s">
        <v>1658</v>
      </c>
      <c r="Y107" t="s">
        <v>1662</v>
      </c>
      <c r="Z107">
        <v>0</v>
      </c>
    </row>
    <row r="108" spans="1:26" x14ac:dyDescent="0.35">
      <c r="A108" t="s">
        <v>756</v>
      </c>
      <c r="B108" s="6">
        <v>42072</v>
      </c>
      <c r="C108" t="s">
        <v>23</v>
      </c>
      <c r="D108">
        <v>38</v>
      </c>
      <c r="E108" t="s">
        <v>36</v>
      </c>
      <c r="F108" t="s">
        <v>37</v>
      </c>
      <c r="G108" t="s">
        <v>32</v>
      </c>
      <c r="H108" t="s">
        <v>1634</v>
      </c>
      <c r="I108" t="s">
        <v>75</v>
      </c>
      <c r="J108" t="s">
        <v>1635</v>
      </c>
      <c r="K108" t="s">
        <v>84</v>
      </c>
      <c r="L108">
        <v>88000</v>
      </c>
      <c r="M108">
        <v>5.0999999999999996</v>
      </c>
      <c r="N108">
        <v>17.600000000000001</v>
      </c>
      <c r="O108">
        <v>10.8</v>
      </c>
      <c r="P108">
        <v>1.9</v>
      </c>
      <c r="Q108">
        <v>2</v>
      </c>
      <c r="R108">
        <v>3</v>
      </c>
      <c r="S108">
        <v>2</v>
      </c>
      <c r="T108" t="s">
        <v>23</v>
      </c>
      <c r="U108">
        <v>4</v>
      </c>
      <c r="W108" t="s">
        <v>1649</v>
      </c>
      <c r="X108" t="s">
        <v>1657</v>
      </c>
      <c r="Y108" t="s">
        <v>1663</v>
      </c>
      <c r="Z108">
        <v>0</v>
      </c>
    </row>
    <row r="109" spans="1:26" x14ac:dyDescent="0.35">
      <c r="A109" t="s">
        <v>259</v>
      </c>
      <c r="B109" s="6">
        <v>45054</v>
      </c>
      <c r="C109" t="s">
        <v>30</v>
      </c>
      <c r="D109">
        <v>40</v>
      </c>
      <c r="E109" t="s">
        <v>24</v>
      </c>
      <c r="F109" t="s">
        <v>42</v>
      </c>
      <c r="G109" t="s">
        <v>54</v>
      </c>
      <c r="H109" t="s">
        <v>27</v>
      </c>
      <c r="I109" t="s">
        <v>95</v>
      </c>
      <c r="J109" t="s">
        <v>1633</v>
      </c>
      <c r="K109" t="s">
        <v>29</v>
      </c>
      <c r="L109">
        <v>35000</v>
      </c>
      <c r="M109">
        <v>4.3</v>
      </c>
      <c r="N109">
        <v>7</v>
      </c>
      <c r="O109">
        <v>2.4</v>
      </c>
      <c r="P109">
        <v>1.1000000000000001</v>
      </c>
      <c r="Q109">
        <v>4</v>
      </c>
      <c r="R109">
        <v>4</v>
      </c>
      <c r="S109">
        <v>2</v>
      </c>
      <c r="T109" t="s">
        <v>30</v>
      </c>
      <c r="U109">
        <v>5</v>
      </c>
      <c r="V109" s="7">
        <v>45941</v>
      </c>
      <c r="W109" t="s">
        <v>1649</v>
      </c>
      <c r="X109" t="s">
        <v>1655</v>
      </c>
      <c r="Y109" t="s">
        <v>1665</v>
      </c>
      <c r="Z109">
        <v>1</v>
      </c>
    </row>
    <row r="110" spans="1:26" x14ac:dyDescent="0.35">
      <c r="A110" t="s">
        <v>1516</v>
      </c>
      <c r="B110" s="6">
        <v>42907</v>
      </c>
      <c r="C110" t="s">
        <v>23</v>
      </c>
      <c r="D110">
        <v>31</v>
      </c>
      <c r="E110" t="s">
        <v>62</v>
      </c>
      <c r="F110" t="s">
        <v>25</v>
      </c>
      <c r="G110" t="s">
        <v>32</v>
      </c>
      <c r="H110" t="s">
        <v>45</v>
      </c>
      <c r="I110" t="s">
        <v>46</v>
      </c>
      <c r="J110" t="s">
        <v>1635</v>
      </c>
      <c r="K110" t="s">
        <v>40</v>
      </c>
      <c r="L110">
        <v>78000</v>
      </c>
      <c r="M110">
        <v>15</v>
      </c>
      <c r="N110">
        <v>13.7</v>
      </c>
      <c r="O110">
        <v>8.5</v>
      </c>
      <c r="P110">
        <v>2.7</v>
      </c>
      <c r="Q110">
        <v>1</v>
      </c>
      <c r="R110">
        <v>3</v>
      </c>
      <c r="S110">
        <v>3</v>
      </c>
      <c r="T110" t="s">
        <v>23</v>
      </c>
      <c r="U110">
        <v>5</v>
      </c>
      <c r="W110" t="s">
        <v>1650</v>
      </c>
      <c r="X110" t="s">
        <v>1659</v>
      </c>
      <c r="Y110" t="s">
        <v>1662</v>
      </c>
      <c r="Z110">
        <v>0</v>
      </c>
    </row>
    <row r="111" spans="1:26" x14ac:dyDescent="0.35">
      <c r="A111" t="s">
        <v>654</v>
      </c>
      <c r="B111" s="6">
        <v>43699</v>
      </c>
      <c r="C111" t="s">
        <v>23</v>
      </c>
      <c r="D111">
        <v>44</v>
      </c>
      <c r="E111" t="s">
        <v>24</v>
      </c>
      <c r="F111" t="s">
        <v>25</v>
      </c>
      <c r="G111" t="s">
        <v>58</v>
      </c>
      <c r="H111" t="s">
        <v>48</v>
      </c>
      <c r="I111" t="s">
        <v>63</v>
      </c>
      <c r="J111" t="s">
        <v>1636</v>
      </c>
      <c r="K111" t="s">
        <v>40</v>
      </c>
      <c r="L111">
        <v>103000</v>
      </c>
      <c r="M111">
        <v>2.2000000000000002</v>
      </c>
      <c r="N111">
        <v>8.1999999999999993</v>
      </c>
      <c r="O111">
        <v>6.4</v>
      </c>
      <c r="P111">
        <v>5.7</v>
      </c>
      <c r="Q111">
        <v>2</v>
      </c>
      <c r="R111">
        <v>3</v>
      </c>
      <c r="S111">
        <v>3</v>
      </c>
      <c r="T111" t="s">
        <v>23</v>
      </c>
      <c r="U111">
        <v>2</v>
      </c>
      <c r="W111" t="s">
        <v>1649</v>
      </c>
      <c r="X111" t="s">
        <v>1658</v>
      </c>
      <c r="Y111" t="s">
        <v>1662</v>
      </c>
      <c r="Z111">
        <v>0</v>
      </c>
    </row>
    <row r="112" spans="1:26" x14ac:dyDescent="0.35">
      <c r="A112" t="s">
        <v>1042</v>
      </c>
      <c r="B112" s="6">
        <v>45514</v>
      </c>
      <c r="C112" t="s">
        <v>23</v>
      </c>
      <c r="D112">
        <v>36</v>
      </c>
      <c r="E112" t="s">
        <v>24</v>
      </c>
      <c r="F112" t="s">
        <v>37</v>
      </c>
      <c r="G112" t="s">
        <v>26</v>
      </c>
      <c r="H112" t="s">
        <v>45</v>
      </c>
      <c r="I112" t="s">
        <v>77</v>
      </c>
      <c r="J112" t="s">
        <v>1635</v>
      </c>
      <c r="K112" t="s">
        <v>50</v>
      </c>
      <c r="L112">
        <v>72000</v>
      </c>
      <c r="M112">
        <v>0.7</v>
      </c>
      <c r="N112">
        <v>2.8</v>
      </c>
      <c r="O112">
        <v>1.4</v>
      </c>
      <c r="P112">
        <v>0.9</v>
      </c>
      <c r="Q112">
        <v>3</v>
      </c>
      <c r="R112">
        <v>4</v>
      </c>
      <c r="S112">
        <v>3</v>
      </c>
      <c r="T112" t="s">
        <v>23</v>
      </c>
      <c r="U112">
        <v>5</v>
      </c>
      <c r="W112" t="s">
        <v>1649</v>
      </c>
      <c r="X112" t="s">
        <v>1659</v>
      </c>
      <c r="Y112" t="s">
        <v>1665</v>
      </c>
      <c r="Z112">
        <v>0</v>
      </c>
    </row>
    <row r="113" spans="1:26" x14ac:dyDescent="0.35">
      <c r="A113" t="s">
        <v>1092</v>
      </c>
      <c r="B113" s="6">
        <v>45033</v>
      </c>
      <c r="C113" t="s">
        <v>23</v>
      </c>
      <c r="D113">
        <v>24</v>
      </c>
      <c r="E113" t="s">
        <v>62</v>
      </c>
      <c r="F113" t="s">
        <v>42</v>
      </c>
      <c r="G113" t="s">
        <v>58</v>
      </c>
      <c r="H113" t="s">
        <v>45</v>
      </c>
      <c r="I113" t="s">
        <v>77</v>
      </c>
      <c r="J113" t="s">
        <v>1632</v>
      </c>
      <c r="K113" t="s">
        <v>34</v>
      </c>
      <c r="L113">
        <v>38000</v>
      </c>
      <c r="M113">
        <v>10.5</v>
      </c>
      <c r="N113">
        <v>6.7</v>
      </c>
      <c r="O113">
        <v>2.7</v>
      </c>
      <c r="P113">
        <v>1.7</v>
      </c>
      <c r="Q113">
        <v>3</v>
      </c>
      <c r="R113">
        <v>3</v>
      </c>
      <c r="S113">
        <v>4</v>
      </c>
      <c r="T113" t="s">
        <v>23</v>
      </c>
      <c r="U113">
        <v>3</v>
      </c>
      <c r="W113" t="s">
        <v>1651</v>
      </c>
      <c r="X113" t="s">
        <v>1655</v>
      </c>
      <c r="Y113" t="s">
        <v>1665</v>
      </c>
      <c r="Z113">
        <v>0</v>
      </c>
    </row>
    <row r="114" spans="1:26" x14ac:dyDescent="0.35">
      <c r="A114" t="s">
        <v>995</v>
      </c>
      <c r="B114" s="6">
        <v>44592</v>
      </c>
      <c r="C114" t="s">
        <v>23</v>
      </c>
      <c r="D114">
        <v>29</v>
      </c>
      <c r="E114" t="s">
        <v>36</v>
      </c>
      <c r="F114" t="s">
        <v>25</v>
      </c>
      <c r="G114" t="s">
        <v>26</v>
      </c>
      <c r="H114" t="s">
        <v>38</v>
      </c>
      <c r="I114" t="s">
        <v>118</v>
      </c>
      <c r="J114" t="s">
        <v>1633</v>
      </c>
      <c r="K114" t="s">
        <v>84</v>
      </c>
      <c r="L114">
        <v>50000</v>
      </c>
      <c r="M114">
        <v>8.6999999999999993</v>
      </c>
      <c r="N114">
        <v>10.8</v>
      </c>
      <c r="O114">
        <v>3.9</v>
      </c>
      <c r="P114">
        <v>1.2</v>
      </c>
      <c r="Q114">
        <v>3</v>
      </c>
      <c r="R114">
        <v>4</v>
      </c>
      <c r="S114">
        <v>3</v>
      </c>
      <c r="T114" t="s">
        <v>23</v>
      </c>
      <c r="U114">
        <v>3</v>
      </c>
      <c r="W114" t="s">
        <v>1650</v>
      </c>
      <c r="X114" t="s">
        <v>1656</v>
      </c>
      <c r="Y114" t="s">
        <v>1661</v>
      </c>
      <c r="Z114">
        <v>0</v>
      </c>
    </row>
    <row r="115" spans="1:26" x14ac:dyDescent="0.35">
      <c r="A115" t="s">
        <v>591</v>
      </c>
      <c r="B115" s="6">
        <v>45658</v>
      </c>
      <c r="C115" t="s">
        <v>30</v>
      </c>
      <c r="D115">
        <v>26</v>
      </c>
      <c r="E115" t="s">
        <v>62</v>
      </c>
      <c r="F115" t="s">
        <v>25</v>
      </c>
      <c r="G115" t="s">
        <v>58</v>
      </c>
      <c r="H115" t="s">
        <v>55</v>
      </c>
      <c r="I115" t="s">
        <v>80</v>
      </c>
      <c r="J115" t="s">
        <v>1632</v>
      </c>
      <c r="K115" t="s">
        <v>40</v>
      </c>
      <c r="L115">
        <v>44000</v>
      </c>
      <c r="M115">
        <v>6.9</v>
      </c>
      <c r="N115">
        <v>7.6</v>
      </c>
      <c r="O115">
        <v>0.7</v>
      </c>
      <c r="P115">
        <v>0</v>
      </c>
      <c r="Q115">
        <v>2</v>
      </c>
      <c r="R115">
        <v>4</v>
      </c>
      <c r="S115">
        <v>4</v>
      </c>
      <c r="T115" t="s">
        <v>23</v>
      </c>
      <c r="U115">
        <v>4</v>
      </c>
      <c r="V115" s="7">
        <v>45914</v>
      </c>
      <c r="W115" t="s">
        <v>1650</v>
      </c>
      <c r="X115" t="s">
        <v>1656</v>
      </c>
      <c r="Y115" t="s">
        <v>1664</v>
      </c>
      <c r="Z115">
        <v>1</v>
      </c>
    </row>
    <row r="116" spans="1:26" x14ac:dyDescent="0.35">
      <c r="A116" t="s">
        <v>1543</v>
      </c>
      <c r="B116" s="6">
        <v>43713</v>
      </c>
      <c r="C116" t="s">
        <v>30</v>
      </c>
      <c r="D116">
        <v>32</v>
      </c>
      <c r="E116" t="s">
        <v>36</v>
      </c>
      <c r="F116" t="s">
        <v>25</v>
      </c>
      <c r="G116" t="s">
        <v>54</v>
      </c>
      <c r="H116" t="s">
        <v>1634</v>
      </c>
      <c r="I116" t="s">
        <v>86</v>
      </c>
      <c r="J116" t="s">
        <v>1635</v>
      </c>
      <c r="K116" t="s">
        <v>84</v>
      </c>
      <c r="L116">
        <v>66000</v>
      </c>
      <c r="M116">
        <v>6.8</v>
      </c>
      <c r="N116">
        <v>9.9</v>
      </c>
      <c r="O116">
        <v>5.9</v>
      </c>
      <c r="P116">
        <v>5.7</v>
      </c>
      <c r="Q116">
        <v>3</v>
      </c>
      <c r="S116">
        <v>3</v>
      </c>
      <c r="T116" t="s">
        <v>23</v>
      </c>
      <c r="U116">
        <v>2</v>
      </c>
      <c r="V116" s="7">
        <v>45859</v>
      </c>
      <c r="W116" t="s">
        <v>1650</v>
      </c>
      <c r="X116" t="s">
        <v>1659</v>
      </c>
      <c r="Y116" t="s">
        <v>1661</v>
      </c>
      <c r="Z116">
        <v>1</v>
      </c>
    </row>
    <row r="117" spans="1:26" x14ac:dyDescent="0.35">
      <c r="A117" t="s">
        <v>538</v>
      </c>
      <c r="B117" s="6">
        <v>44071</v>
      </c>
      <c r="C117" t="s">
        <v>23</v>
      </c>
      <c r="D117">
        <v>47</v>
      </c>
      <c r="E117" t="s">
        <v>24</v>
      </c>
      <c r="F117" t="s">
        <v>42</v>
      </c>
      <c r="G117" t="s">
        <v>54</v>
      </c>
      <c r="H117" t="s">
        <v>27</v>
      </c>
      <c r="I117" t="s">
        <v>43</v>
      </c>
      <c r="J117" t="s">
        <v>1636</v>
      </c>
      <c r="K117" t="s">
        <v>66</v>
      </c>
      <c r="L117">
        <v>106000</v>
      </c>
      <c r="M117">
        <v>6.2</v>
      </c>
      <c r="N117">
        <v>8.3000000000000007</v>
      </c>
      <c r="O117">
        <v>5.3</v>
      </c>
      <c r="P117">
        <v>2.1</v>
      </c>
      <c r="Q117">
        <v>3</v>
      </c>
      <c r="R117">
        <v>3</v>
      </c>
      <c r="S117">
        <v>2</v>
      </c>
      <c r="T117" t="s">
        <v>23</v>
      </c>
      <c r="U117">
        <v>4</v>
      </c>
      <c r="W117" t="s">
        <v>1652</v>
      </c>
      <c r="X117" t="s">
        <v>1658</v>
      </c>
      <c r="Y117" t="s">
        <v>1661</v>
      </c>
      <c r="Z117">
        <v>0</v>
      </c>
    </row>
    <row r="118" spans="1:26" x14ac:dyDescent="0.35">
      <c r="A118" t="s">
        <v>320</v>
      </c>
      <c r="B118" s="6">
        <v>45500</v>
      </c>
      <c r="C118" t="s">
        <v>23</v>
      </c>
      <c r="D118">
        <v>32</v>
      </c>
      <c r="E118" t="s">
        <v>24</v>
      </c>
      <c r="F118" t="s">
        <v>37</v>
      </c>
      <c r="G118" t="s">
        <v>58</v>
      </c>
      <c r="H118" t="s">
        <v>68</v>
      </c>
      <c r="I118" t="s">
        <v>102</v>
      </c>
      <c r="J118" t="s">
        <v>1633</v>
      </c>
      <c r="K118" t="s">
        <v>34</v>
      </c>
      <c r="L118">
        <v>51000</v>
      </c>
      <c r="M118">
        <v>11.5</v>
      </c>
      <c r="N118">
        <v>4.4000000000000004</v>
      </c>
      <c r="O118">
        <v>1.4</v>
      </c>
      <c r="P118">
        <v>0.2</v>
      </c>
      <c r="Q118">
        <v>4</v>
      </c>
      <c r="R118">
        <v>3</v>
      </c>
      <c r="S118">
        <v>3</v>
      </c>
      <c r="T118" t="s">
        <v>23</v>
      </c>
      <c r="U118">
        <v>1</v>
      </c>
      <c r="W118" t="s">
        <v>1650</v>
      </c>
      <c r="X118" t="s">
        <v>1656</v>
      </c>
      <c r="Y118" t="s">
        <v>1665</v>
      </c>
      <c r="Z118">
        <v>0</v>
      </c>
    </row>
    <row r="119" spans="1:26" x14ac:dyDescent="0.35">
      <c r="A119" t="s">
        <v>1072</v>
      </c>
      <c r="B119" s="6">
        <v>43075</v>
      </c>
      <c r="C119" t="s">
        <v>23</v>
      </c>
      <c r="D119">
        <v>29</v>
      </c>
      <c r="E119" t="s">
        <v>62</v>
      </c>
      <c r="F119" t="s">
        <v>25</v>
      </c>
      <c r="G119" t="s">
        <v>54</v>
      </c>
      <c r="H119" t="s">
        <v>27</v>
      </c>
      <c r="I119" t="s">
        <v>33</v>
      </c>
      <c r="J119" t="s">
        <v>1633</v>
      </c>
      <c r="K119" t="s">
        <v>29</v>
      </c>
      <c r="L119">
        <v>45000</v>
      </c>
      <c r="M119">
        <v>7.9</v>
      </c>
      <c r="N119">
        <v>11.2</v>
      </c>
      <c r="O119">
        <v>8.1</v>
      </c>
      <c r="P119">
        <v>3.7</v>
      </c>
      <c r="Q119">
        <v>4</v>
      </c>
      <c r="R119">
        <v>4</v>
      </c>
      <c r="S119">
        <v>3</v>
      </c>
      <c r="T119" t="s">
        <v>30</v>
      </c>
      <c r="U119">
        <v>3</v>
      </c>
      <c r="W119" t="s">
        <v>1650</v>
      </c>
      <c r="X119" t="s">
        <v>1656</v>
      </c>
      <c r="Y119" t="s">
        <v>1662</v>
      </c>
      <c r="Z119">
        <v>0</v>
      </c>
    </row>
    <row r="120" spans="1:26" x14ac:dyDescent="0.35">
      <c r="A120" t="s">
        <v>837</v>
      </c>
      <c r="B120" s="6">
        <v>45618</v>
      </c>
      <c r="C120" t="s">
        <v>30</v>
      </c>
      <c r="D120">
        <v>22</v>
      </c>
      <c r="E120" t="s">
        <v>36</v>
      </c>
      <c r="F120" t="s">
        <v>42</v>
      </c>
      <c r="G120" t="s">
        <v>32</v>
      </c>
      <c r="H120" t="s">
        <v>27</v>
      </c>
      <c r="I120" t="s">
        <v>28</v>
      </c>
      <c r="J120" t="s">
        <v>1632</v>
      </c>
      <c r="K120" t="s">
        <v>29</v>
      </c>
      <c r="L120">
        <v>45000</v>
      </c>
      <c r="M120">
        <v>15.6</v>
      </c>
      <c r="N120">
        <v>5.4</v>
      </c>
      <c r="O120">
        <v>0.7</v>
      </c>
      <c r="P120">
        <v>0</v>
      </c>
      <c r="Q120">
        <v>3</v>
      </c>
      <c r="R120">
        <v>3</v>
      </c>
      <c r="S120">
        <v>3</v>
      </c>
      <c r="T120" t="s">
        <v>30</v>
      </c>
      <c r="U120">
        <v>1</v>
      </c>
      <c r="V120" s="7">
        <v>45891</v>
      </c>
      <c r="W120" t="s">
        <v>1651</v>
      </c>
      <c r="X120" t="s">
        <v>1656</v>
      </c>
      <c r="Y120" t="s">
        <v>1664</v>
      </c>
      <c r="Z120">
        <v>1</v>
      </c>
    </row>
    <row r="121" spans="1:26" x14ac:dyDescent="0.35">
      <c r="A121" t="s">
        <v>249</v>
      </c>
      <c r="B121" s="6">
        <v>43225</v>
      </c>
      <c r="C121" t="s">
        <v>23</v>
      </c>
      <c r="D121">
        <v>37</v>
      </c>
      <c r="E121" t="s">
        <v>36</v>
      </c>
      <c r="F121" t="s">
        <v>42</v>
      </c>
      <c r="G121" t="s">
        <v>32</v>
      </c>
      <c r="H121" t="s">
        <v>38</v>
      </c>
      <c r="I121" t="s">
        <v>52</v>
      </c>
      <c r="J121" t="s">
        <v>1633</v>
      </c>
      <c r="K121" t="s">
        <v>34</v>
      </c>
      <c r="L121">
        <v>62000</v>
      </c>
      <c r="M121">
        <v>21.3</v>
      </c>
      <c r="N121">
        <v>13.1</v>
      </c>
      <c r="O121">
        <v>7.7</v>
      </c>
      <c r="P121">
        <v>0.2</v>
      </c>
      <c r="Q121">
        <v>4</v>
      </c>
      <c r="R121">
        <v>4</v>
      </c>
      <c r="S121">
        <v>2</v>
      </c>
      <c r="T121" t="s">
        <v>23</v>
      </c>
      <c r="U121">
        <v>1</v>
      </c>
      <c r="W121" t="s">
        <v>1649</v>
      </c>
      <c r="X121" t="s">
        <v>1659</v>
      </c>
      <c r="Y121" t="s">
        <v>1662</v>
      </c>
      <c r="Z121">
        <v>0</v>
      </c>
    </row>
    <row r="122" spans="1:26" x14ac:dyDescent="0.35">
      <c r="A122" t="s">
        <v>1265</v>
      </c>
      <c r="B122" s="6">
        <v>42601</v>
      </c>
      <c r="C122" t="s">
        <v>23</v>
      </c>
      <c r="D122">
        <v>32</v>
      </c>
      <c r="E122" t="s">
        <v>62</v>
      </c>
      <c r="F122" t="s">
        <v>42</v>
      </c>
      <c r="G122" t="s">
        <v>58</v>
      </c>
      <c r="H122" t="s">
        <v>45</v>
      </c>
      <c r="I122" t="s">
        <v>97</v>
      </c>
      <c r="J122" t="s">
        <v>1633</v>
      </c>
      <c r="K122" t="s">
        <v>40</v>
      </c>
      <c r="L122">
        <v>41000</v>
      </c>
      <c r="M122">
        <v>2.6</v>
      </c>
      <c r="N122">
        <v>9.9</v>
      </c>
      <c r="O122">
        <v>9.4</v>
      </c>
      <c r="P122">
        <v>0.8</v>
      </c>
      <c r="Q122">
        <v>4</v>
      </c>
      <c r="R122">
        <v>2</v>
      </c>
      <c r="S122">
        <v>3</v>
      </c>
      <c r="T122" t="s">
        <v>23</v>
      </c>
      <c r="U122">
        <v>4</v>
      </c>
      <c r="W122" t="s">
        <v>1650</v>
      </c>
      <c r="X122" t="s">
        <v>1656</v>
      </c>
      <c r="Y122" t="s">
        <v>1662</v>
      </c>
      <c r="Z122">
        <v>0</v>
      </c>
    </row>
    <row r="123" spans="1:26" x14ac:dyDescent="0.35">
      <c r="A123" t="s">
        <v>989</v>
      </c>
      <c r="B123" s="6">
        <v>44012</v>
      </c>
      <c r="C123" t="s">
        <v>23</v>
      </c>
      <c r="D123">
        <v>28</v>
      </c>
      <c r="E123" t="s">
        <v>36</v>
      </c>
      <c r="F123" t="s">
        <v>42</v>
      </c>
      <c r="G123" t="s">
        <v>32</v>
      </c>
      <c r="H123" t="s">
        <v>48</v>
      </c>
      <c r="I123" t="s">
        <v>129</v>
      </c>
      <c r="J123" t="s">
        <v>1635</v>
      </c>
      <c r="K123" t="s">
        <v>29</v>
      </c>
      <c r="L123">
        <v>67000</v>
      </c>
      <c r="M123">
        <v>6.4</v>
      </c>
      <c r="N123">
        <v>7.6</v>
      </c>
      <c r="O123">
        <v>5.5</v>
      </c>
      <c r="P123">
        <v>2.7</v>
      </c>
      <c r="Q123">
        <v>3</v>
      </c>
      <c r="R123">
        <v>4</v>
      </c>
      <c r="S123">
        <v>3</v>
      </c>
      <c r="T123" t="s">
        <v>23</v>
      </c>
      <c r="U123">
        <v>3</v>
      </c>
      <c r="W123" t="s">
        <v>1650</v>
      </c>
      <c r="X123" t="s">
        <v>1659</v>
      </c>
      <c r="Y123" t="s">
        <v>1661</v>
      </c>
      <c r="Z123">
        <v>0</v>
      </c>
    </row>
    <row r="124" spans="1:26" x14ac:dyDescent="0.35">
      <c r="A124" t="s">
        <v>1448</v>
      </c>
      <c r="B124" s="6">
        <v>44422</v>
      </c>
      <c r="C124" t="s">
        <v>23</v>
      </c>
      <c r="D124">
        <v>45</v>
      </c>
      <c r="E124" t="s">
        <v>24</v>
      </c>
      <c r="F124" t="s">
        <v>42</v>
      </c>
      <c r="G124" t="s">
        <v>26</v>
      </c>
      <c r="H124" t="s">
        <v>45</v>
      </c>
      <c r="I124" t="s">
        <v>46</v>
      </c>
      <c r="J124" t="s">
        <v>1633</v>
      </c>
      <c r="K124" t="s">
        <v>84</v>
      </c>
      <c r="L124">
        <v>57000</v>
      </c>
      <c r="M124">
        <v>9</v>
      </c>
      <c r="N124">
        <v>5.4</v>
      </c>
      <c r="O124">
        <v>4.4000000000000004</v>
      </c>
      <c r="P124">
        <v>3</v>
      </c>
      <c r="Q124">
        <v>4</v>
      </c>
      <c r="R124">
        <v>3</v>
      </c>
      <c r="S124">
        <v>4</v>
      </c>
      <c r="T124" t="s">
        <v>23</v>
      </c>
      <c r="U124">
        <v>4</v>
      </c>
      <c r="W124" t="s">
        <v>1649</v>
      </c>
      <c r="X124" t="s">
        <v>1656</v>
      </c>
      <c r="Y124" t="s">
        <v>1661</v>
      </c>
      <c r="Z124">
        <v>0</v>
      </c>
    </row>
    <row r="125" spans="1:26" x14ac:dyDescent="0.35">
      <c r="A125" t="s">
        <v>352</v>
      </c>
      <c r="B125" s="6">
        <v>44022</v>
      </c>
      <c r="C125" t="s">
        <v>23</v>
      </c>
      <c r="D125">
        <v>34</v>
      </c>
      <c r="E125" t="s">
        <v>62</v>
      </c>
      <c r="F125" t="s">
        <v>37</v>
      </c>
      <c r="G125" t="s">
        <v>32</v>
      </c>
      <c r="H125" t="s">
        <v>45</v>
      </c>
      <c r="I125" t="s">
        <v>164</v>
      </c>
      <c r="J125" t="s">
        <v>1633</v>
      </c>
      <c r="K125" t="s">
        <v>50</v>
      </c>
      <c r="L125">
        <v>42000</v>
      </c>
      <c r="M125">
        <v>15.1</v>
      </c>
      <c r="N125">
        <v>9.8000000000000007</v>
      </c>
      <c r="O125">
        <v>5.5</v>
      </c>
      <c r="P125">
        <v>5.0999999999999996</v>
      </c>
      <c r="Q125">
        <v>3</v>
      </c>
      <c r="R125">
        <v>3</v>
      </c>
      <c r="S125">
        <v>2</v>
      </c>
      <c r="T125" t="s">
        <v>30</v>
      </c>
      <c r="U125">
        <v>4</v>
      </c>
      <c r="W125" t="s">
        <v>1650</v>
      </c>
      <c r="X125" t="s">
        <v>1656</v>
      </c>
      <c r="Y125" t="s">
        <v>1661</v>
      </c>
      <c r="Z125">
        <v>0</v>
      </c>
    </row>
    <row r="126" spans="1:26" x14ac:dyDescent="0.35">
      <c r="A126" t="s">
        <v>353</v>
      </c>
      <c r="B126" s="6">
        <v>44585</v>
      </c>
      <c r="C126" t="s">
        <v>23</v>
      </c>
      <c r="D126">
        <v>26</v>
      </c>
      <c r="E126" t="s">
        <v>36</v>
      </c>
      <c r="F126" t="s">
        <v>25</v>
      </c>
      <c r="G126" t="s">
        <v>54</v>
      </c>
      <c r="H126" t="s">
        <v>45</v>
      </c>
      <c r="I126" t="s">
        <v>97</v>
      </c>
      <c r="J126" t="s">
        <v>1632</v>
      </c>
      <c r="K126" t="s">
        <v>34</v>
      </c>
      <c r="L126">
        <v>30000</v>
      </c>
      <c r="M126">
        <v>5.5</v>
      </c>
      <c r="N126">
        <v>4.7</v>
      </c>
      <c r="O126">
        <v>3.9</v>
      </c>
      <c r="P126">
        <v>3</v>
      </c>
      <c r="Q126">
        <v>3</v>
      </c>
      <c r="R126">
        <v>1</v>
      </c>
      <c r="S126">
        <v>3</v>
      </c>
      <c r="T126" t="s">
        <v>30</v>
      </c>
      <c r="U126">
        <v>5</v>
      </c>
      <c r="W126" t="s">
        <v>1650</v>
      </c>
      <c r="X126" t="s">
        <v>1655</v>
      </c>
      <c r="Y126" t="s">
        <v>1661</v>
      </c>
      <c r="Z126">
        <v>0</v>
      </c>
    </row>
    <row r="127" spans="1:26" x14ac:dyDescent="0.35">
      <c r="A127" t="s">
        <v>813</v>
      </c>
      <c r="B127" s="6">
        <v>44685</v>
      </c>
      <c r="C127" t="s">
        <v>23</v>
      </c>
      <c r="D127">
        <v>39</v>
      </c>
      <c r="E127" t="s">
        <v>24</v>
      </c>
      <c r="F127" t="s">
        <v>42</v>
      </c>
      <c r="G127" t="s">
        <v>32</v>
      </c>
      <c r="H127" t="s">
        <v>45</v>
      </c>
      <c r="I127" t="s">
        <v>97</v>
      </c>
      <c r="J127" t="s">
        <v>1635</v>
      </c>
      <c r="K127" t="s">
        <v>50</v>
      </c>
      <c r="L127">
        <v>89000</v>
      </c>
      <c r="M127">
        <v>3.4</v>
      </c>
      <c r="N127">
        <v>8.9</v>
      </c>
      <c r="O127">
        <v>3.7</v>
      </c>
      <c r="P127">
        <v>0.9</v>
      </c>
      <c r="Q127">
        <v>1</v>
      </c>
      <c r="R127">
        <v>3</v>
      </c>
      <c r="S127">
        <v>4</v>
      </c>
      <c r="T127" t="s">
        <v>23</v>
      </c>
      <c r="U127">
        <v>1</v>
      </c>
      <c r="W127" t="s">
        <v>1649</v>
      </c>
      <c r="X127" t="s">
        <v>1657</v>
      </c>
      <c r="Y127" t="s">
        <v>1661</v>
      </c>
      <c r="Z127">
        <v>0</v>
      </c>
    </row>
    <row r="128" spans="1:26" x14ac:dyDescent="0.35">
      <c r="A128" t="s">
        <v>212</v>
      </c>
      <c r="B128" s="6">
        <v>45389</v>
      </c>
      <c r="C128" t="s">
        <v>23</v>
      </c>
      <c r="D128">
        <v>28</v>
      </c>
      <c r="E128" t="s">
        <v>36</v>
      </c>
      <c r="F128" t="s">
        <v>25</v>
      </c>
      <c r="G128" t="s">
        <v>54</v>
      </c>
      <c r="H128" t="s">
        <v>1634</v>
      </c>
      <c r="I128" t="s">
        <v>60</v>
      </c>
      <c r="J128" t="s">
        <v>1635</v>
      </c>
      <c r="K128" t="s">
        <v>40</v>
      </c>
      <c r="L128">
        <v>71000</v>
      </c>
      <c r="M128">
        <v>6.6</v>
      </c>
      <c r="N128">
        <v>2</v>
      </c>
      <c r="O128">
        <v>1.7</v>
      </c>
      <c r="P128">
        <v>0.5</v>
      </c>
      <c r="Q128">
        <v>4</v>
      </c>
      <c r="R128">
        <v>3</v>
      </c>
      <c r="S128">
        <v>4</v>
      </c>
      <c r="T128" t="s">
        <v>23</v>
      </c>
      <c r="U128">
        <v>3</v>
      </c>
      <c r="W128" t="s">
        <v>1650</v>
      </c>
      <c r="X128" t="s">
        <v>1659</v>
      </c>
      <c r="Y128" t="s">
        <v>1665</v>
      </c>
      <c r="Z128">
        <v>0</v>
      </c>
    </row>
    <row r="129" spans="1:26" x14ac:dyDescent="0.35">
      <c r="A129" t="s">
        <v>846</v>
      </c>
      <c r="B129" s="6">
        <v>42457</v>
      </c>
      <c r="C129" t="s">
        <v>23</v>
      </c>
      <c r="D129">
        <v>33</v>
      </c>
      <c r="E129" t="s">
        <v>24</v>
      </c>
      <c r="F129" t="s">
        <v>37</v>
      </c>
      <c r="G129" t="s">
        <v>54</v>
      </c>
      <c r="H129" t="s">
        <v>1634</v>
      </c>
      <c r="I129" t="s">
        <v>60</v>
      </c>
      <c r="J129" t="s">
        <v>1633</v>
      </c>
      <c r="K129" t="s">
        <v>34</v>
      </c>
      <c r="L129">
        <v>44000</v>
      </c>
      <c r="M129">
        <v>10.1</v>
      </c>
      <c r="N129">
        <v>15.5</v>
      </c>
      <c r="O129">
        <v>9.8000000000000007</v>
      </c>
      <c r="P129">
        <v>0.1</v>
      </c>
      <c r="Q129">
        <v>4</v>
      </c>
      <c r="R129">
        <v>3</v>
      </c>
      <c r="S129">
        <v>3</v>
      </c>
      <c r="T129" t="s">
        <v>23</v>
      </c>
      <c r="U129">
        <v>4</v>
      </c>
      <c r="W129" t="s">
        <v>1650</v>
      </c>
      <c r="X129" t="s">
        <v>1656</v>
      </c>
      <c r="Y129" t="s">
        <v>1662</v>
      </c>
      <c r="Z129">
        <v>0</v>
      </c>
    </row>
    <row r="130" spans="1:26" x14ac:dyDescent="0.35">
      <c r="A130" t="s">
        <v>342</v>
      </c>
      <c r="B130" s="6">
        <v>43297</v>
      </c>
      <c r="C130" t="s">
        <v>23</v>
      </c>
      <c r="D130">
        <v>31</v>
      </c>
      <c r="E130" t="s">
        <v>36</v>
      </c>
      <c r="F130" t="s">
        <v>25</v>
      </c>
      <c r="G130" t="s">
        <v>26</v>
      </c>
      <c r="H130" t="s">
        <v>27</v>
      </c>
      <c r="I130" t="s">
        <v>28</v>
      </c>
      <c r="J130" t="s">
        <v>1632</v>
      </c>
      <c r="K130" t="s">
        <v>84</v>
      </c>
      <c r="L130">
        <v>24000</v>
      </c>
      <c r="M130">
        <v>6.7</v>
      </c>
      <c r="N130">
        <v>9.4</v>
      </c>
      <c r="O130">
        <v>7.5</v>
      </c>
      <c r="P130">
        <v>1.6</v>
      </c>
      <c r="Q130">
        <v>2</v>
      </c>
      <c r="R130">
        <v>2</v>
      </c>
      <c r="S130">
        <v>3</v>
      </c>
      <c r="T130" t="s">
        <v>30</v>
      </c>
      <c r="U130">
        <v>5</v>
      </c>
      <c r="W130" t="s">
        <v>1650</v>
      </c>
      <c r="X130" t="s">
        <v>1655</v>
      </c>
      <c r="Y130" t="s">
        <v>1662</v>
      </c>
      <c r="Z130">
        <v>0</v>
      </c>
    </row>
    <row r="131" spans="1:26" x14ac:dyDescent="0.35">
      <c r="A131" t="s">
        <v>273</v>
      </c>
      <c r="B131" s="6">
        <v>45647</v>
      </c>
      <c r="C131" t="s">
        <v>23</v>
      </c>
      <c r="D131">
        <v>37</v>
      </c>
      <c r="E131" t="s">
        <v>36</v>
      </c>
      <c r="F131" t="s">
        <v>42</v>
      </c>
      <c r="G131" t="s">
        <v>32</v>
      </c>
      <c r="H131" t="s">
        <v>45</v>
      </c>
      <c r="I131" t="s">
        <v>77</v>
      </c>
      <c r="J131" t="s">
        <v>1635</v>
      </c>
      <c r="K131" t="s">
        <v>40</v>
      </c>
      <c r="L131">
        <v>63000</v>
      </c>
      <c r="M131">
        <v>9.4</v>
      </c>
      <c r="N131">
        <v>5</v>
      </c>
      <c r="O131">
        <v>1</v>
      </c>
      <c r="P131">
        <v>0.9</v>
      </c>
      <c r="Q131">
        <v>3</v>
      </c>
      <c r="R131">
        <v>3</v>
      </c>
      <c r="S131">
        <v>3</v>
      </c>
      <c r="T131" t="s">
        <v>30</v>
      </c>
      <c r="U131">
        <v>2</v>
      </c>
      <c r="W131" t="s">
        <v>1649</v>
      </c>
      <c r="X131" t="s">
        <v>1659</v>
      </c>
      <c r="Y131" t="s">
        <v>1665</v>
      </c>
      <c r="Z131">
        <v>0</v>
      </c>
    </row>
    <row r="132" spans="1:26" x14ac:dyDescent="0.35">
      <c r="A132" t="s">
        <v>1003</v>
      </c>
      <c r="B132" s="6">
        <v>45874</v>
      </c>
      <c r="C132" t="s">
        <v>23</v>
      </c>
      <c r="D132">
        <v>21</v>
      </c>
      <c r="E132" t="s">
        <v>24</v>
      </c>
      <c r="F132" t="s">
        <v>25</v>
      </c>
      <c r="G132" t="s">
        <v>26</v>
      </c>
      <c r="H132" t="s">
        <v>55</v>
      </c>
      <c r="I132" t="s">
        <v>80</v>
      </c>
      <c r="J132" t="s">
        <v>1632</v>
      </c>
      <c r="K132" t="s">
        <v>66</v>
      </c>
      <c r="L132">
        <v>44000</v>
      </c>
      <c r="M132">
        <v>6.3</v>
      </c>
      <c r="N132">
        <v>4.8</v>
      </c>
      <c r="O132">
        <v>0.4</v>
      </c>
      <c r="P132">
        <v>0</v>
      </c>
      <c r="Q132">
        <v>3</v>
      </c>
      <c r="R132">
        <v>3</v>
      </c>
      <c r="S132">
        <v>3</v>
      </c>
      <c r="T132" t="s">
        <v>23</v>
      </c>
      <c r="U132">
        <v>3</v>
      </c>
      <c r="W132" t="s">
        <v>1651</v>
      </c>
      <c r="X132" t="s">
        <v>1656</v>
      </c>
      <c r="Y132" t="s">
        <v>1664</v>
      </c>
      <c r="Z132">
        <v>0</v>
      </c>
    </row>
    <row r="133" spans="1:26" x14ac:dyDescent="0.35">
      <c r="A133" t="s">
        <v>229</v>
      </c>
      <c r="B133" s="6">
        <v>44326</v>
      </c>
      <c r="C133" t="s">
        <v>23</v>
      </c>
      <c r="D133">
        <v>28</v>
      </c>
      <c r="E133" t="s">
        <v>24</v>
      </c>
      <c r="F133" t="s">
        <v>25</v>
      </c>
      <c r="G133" t="s">
        <v>54</v>
      </c>
      <c r="H133" t="s">
        <v>48</v>
      </c>
      <c r="I133" t="s">
        <v>129</v>
      </c>
      <c r="J133" t="s">
        <v>1632</v>
      </c>
      <c r="K133" t="s">
        <v>50</v>
      </c>
      <c r="L133">
        <v>22000</v>
      </c>
      <c r="M133">
        <v>2.5</v>
      </c>
      <c r="N133">
        <v>9.1999999999999993</v>
      </c>
      <c r="O133">
        <v>4.5999999999999996</v>
      </c>
      <c r="P133">
        <v>0.7</v>
      </c>
      <c r="Q133">
        <v>3</v>
      </c>
      <c r="R133">
        <v>3</v>
      </c>
      <c r="S133">
        <v>3</v>
      </c>
      <c r="T133" t="s">
        <v>30</v>
      </c>
      <c r="U133">
        <v>2</v>
      </c>
      <c r="W133" t="s">
        <v>1650</v>
      </c>
      <c r="X133" t="s">
        <v>1655</v>
      </c>
      <c r="Y133" t="s">
        <v>1661</v>
      </c>
      <c r="Z133">
        <v>0</v>
      </c>
    </row>
    <row r="134" spans="1:26" x14ac:dyDescent="0.35">
      <c r="A134" t="s">
        <v>736</v>
      </c>
      <c r="B134" s="6">
        <v>43975</v>
      </c>
      <c r="C134" t="s">
        <v>30</v>
      </c>
      <c r="D134">
        <v>35</v>
      </c>
      <c r="E134" t="s">
        <v>24</v>
      </c>
      <c r="F134" t="s">
        <v>25</v>
      </c>
      <c r="G134" t="s">
        <v>26</v>
      </c>
      <c r="H134" t="s">
        <v>27</v>
      </c>
      <c r="I134" t="s">
        <v>33</v>
      </c>
      <c r="J134" t="s">
        <v>1636</v>
      </c>
      <c r="K134" t="s">
        <v>50</v>
      </c>
      <c r="L134">
        <v>98000</v>
      </c>
      <c r="M134">
        <v>11.6</v>
      </c>
      <c r="N134">
        <v>10.6</v>
      </c>
      <c r="O134">
        <v>5.3</v>
      </c>
      <c r="P134">
        <v>1.6</v>
      </c>
      <c r="Q134">
        <v>3</v>
      </c>
      <c r="R134">
        <v>1</v>
      </c>
      <c r="S134">
        <v>2</v>
      </c>
      <c r="T134" t="s">
        <v>23</v>
      </c>
      <c r="U134">
        <v>1</v>
      </c>
      <c r="V134" s="7">
        <v>45894</v>
      </c>
      <c r="W134" t="s">
        <v>1650</v>
      </c>
      <c r="X134" t="s">
        <v>1657</v>
      </c>
      <c r="Y134" t="s">
        <v>1661</v>
      </c>
      <c r="Z134">
        <v>1</v>
      </c>
    </row>
    <row r="135" spans="1:26" x14ac:dyDescent="0.35">
      <c r="A135" t="s">
        <v>1007</v>
      </c>
      <c r="B135" s="6">
        <v>43600</v>
      </c>
      <c r="C135" t="s">
        <v>23</v>
      </c>
      <c r="D135">
        <v>33</v>
      </c>
      <c r="E135" t="s">
        <v>62</v>
      </c>
      <c r="F135" t="s">
        <v>25</v>
      </c>
      <c r="G135" t="s">
        <v>54</v>
      </c>
      <c r="H135" t="s">
        <v>48</v>
      </c>
      <c r="I135" t="s">
        <v>129</v>
      </c>
      <c r="J135" t="s">
        <v>1635</v>
      </c>
      <c r="K135" t="s">
        <v>84</v>
      </c>
      <c r="L135">
        <v>69000</v>
      </c>
      <c r="M135">
        <v>6.4</v>
      </c>
      <c r="N135">
        <v>10.4</v>
      </c>
      <c r="O135">
        <v>6.6</v>
      </c>
      <c r="P135">
        <v>1.7</v>
      </c>
      <c r="Q135">
        <v>4</v>
      </c>
      <c r="R135">
        <v>2</v>
      </c>
      <c r="S135">
        <v>2</v>
      </c>
      <c r="T135" t="s">
        <v>30</v>
      </c>
      <c r="U135">
        <v>4</v>
      </c>
      <c r="W135" t="s">
        <v>1650</v>
      </c>
      <c r="X135" t="s">
        <v>1659</v>
      </c>
      <c r="Y135" t="s">
        <v>1662</v>
      </c>
      <c r="Z135">
        <v>0</v>
      </c>
    </row>
    <row r="136" spans="1:26" x14ac:dyDescent="0.35">
      <c r="A136" t="s">
        <v>521</v>
      </c>
      <c r="B136" s="6">
        <v>43785</v>
      </c>
      <c r="C136" t="s">
        <v>23</v>
      </c>
      <c r="D136">
        <v>27</v>
      </c>
      <c r="E136" t="s">
        <v>62</v>
      </c>
      <c r="F136" t="s">
        <v>42</v>
      </c>
      <c r="G136" t="s">
        <v>32</v>
      </c>
      <c r="H136" t="s">
        <v>48</v>
      </c>
      <c r="I136" t="s">
        <v>201</v>
      </c>
      <c r="J136" t="s">
        <v>1632</v>
      </c>
      <c r="K136" t="s">
        <v>29</v>
      </c>
      <c r="L136">
        <v>32000</v>
      </c>
      <c r="M136">
        <v>13</v>
      </c>
      <c r="N136">
        <v>11.4</v>
      </c>
      <c r="O136">
        <v>6.1</v>
      </c>
      <c r="P136">
        <v>3.2</v>
      </c>
      <c r="Q136">
        <v>3</v>
      </c>
      <c r="R136">
        <v>3</v>
      </c>
      <c r="S136">
        <v>3</v>
      </c>
      <c r="T136" t="s">
        <v>23</v>
      </c>
      <c r="U136">
        <v>3</v>
      </c>
      <c r="W136" t="s">
        <v>1650</v>
      </c>
      <c r="X136" t="s">
        <v>1655</v>
      </c>
      <c r="Y136" t="s">
        <v>1662</v>
      </c>
      <c r="Z136">
        <v>0</v>
      </c>
    </row>
    <row r="137" spans="1:26" x14ac:dyDescent="0.35">
      <c r="A137" t="s">
        <v>883</v>
      </c>
      <c r="B137" s="6">
        <v>41731</v>
      </c>
      <c r="C137" t="s">
        <v>23</v>
      </c>
      <c r="D137">
        <v>39</v>
      </c>
      <c r="E137" t="s">
        <v>62</v>
      </c>
      <c r="F137" t="s">
        <v>37</v>
      </c>
      <c r="G137" t="s">
        <v>26</v>
      </c>
      <c r="H137" t="s">
        <v>55</v>
      </c>
      <c r="I137" t="s">
        <v>56</v>
      </c>
      <c r="J137" t="s">
        <v>1635</v>
      </c>
      <c r="K137" t="s">
        <v>29</v>
      </c>
      <c r="L137">
        <v>79000</v>
      </c>
      <c r="M137">
        <v>11.1</v>
      </c>
      <c r="N137">
        <v>14.8</v>
      </c>
      <c r="O137">
        <v>11.7</v>
      </c>
      <c r="P137">
        <v>1.4</v>
      </c>
      <c r="Q137">
        <v>3</v>
      </c>
      <c r="R137">
        <v>3</v>
      </c>
      <c r="S137">
        <v>2</v>
      </c>
      <c r="T137" t="s">
        <v>23</v>
      </c>
      <c r="U137">
        <v>3</v>
      </c>
      <c r="W137" t="s">
        <v>1649</v>
      </c>
      <c r="X137" t="s">
        <v>1659</v>
      </c>
      <c r="Y137" t="s">
        <v>1663</v>
      </c>
      <c r="Z137">
        <v>0</v>
      </c>
    </row>
    <row r="138" spans="1:26" x14ac:dyDescent="0.35">
      <c r="A138" t="s">
        <v>534</v>
      </c>
      <c r="B138" s="6">
        <v>45851</v>
      </c>
      <c r="C138" t="s">
        <v>23</v>
      </c>
      <c r="D138">
        <v>21</v>
      </c>
      <c r="E138" t="s">
        <v>62</v>
      </c>
      <c r="F138" t="s">
        <v>37</v>
      </c>
      <c r="G138" t="s">
        <v>26</v>
      </c>
      <c r="H138" t="s">
        <v>48</v>
      </c>
      <c r="I138" t="s">
        <v>63</v>
      </c>
      <c r="J138" t="s">
        <v>1632</v>
      </c>
      <c r="K138" t="s">
        <v>40</v>
      </c>
      <c r="L138">
        <v>28000</v>
      </c>
      <c r="M138">
        <v>11.3</v>
      </c>
      <c r="N138">
        <v>5.8</v>
      </c>
      <c r="O138">
        <v>0.5</v>
      </c>
      <c r="P138">
        <v>0</v>
      </c>
      <c r="Q138">
        <v>3</v>
      </c>
      <c r="R138">
        <v>2</v>
      </c>
      <c r="S138">
        <v>1</v>
      </c>
      <c r="T138" t="s">
        <v>30</v>
      </c>
      <c r="U138">
        <v>3</v>
      </c>
      <c r="W138" t="s">
        <v>1651</v>
      </c>
      <c r="X138" t="s">
        <v>1655</v>
      </c>
      <c r="Y138" t="s">
        <v>1664</v>
      </c>
      <c r="Z138">
        <v>0</v>
      </c>
    </row>
    <row r="139" spans="1:26" x14ac:dyDescent="0.35">
      <c r="A139" t="s">
        <v>425</v>
      </c>
      <c r="B139" s="6">
        <v>41997</v>
      </c>
      <c r="C139" t="s">
        <v>23</v>
      </c>
      <c r="D139">
        <v>36</v>
      </c>
      <c r="E139" t="s">
        <v>36</v>
      </c>
      <c r="F139" t="s">
        <v>42</v>
      </c>
      <c r="G139" t="s">
        <v>58</v>
      </c>
      <c r="H139" t="s">
        <v>27</v>
      </c>
      <c r="I139" t="s">
        <v>28</v>
      </c>
      <c r="J139" t="s">
        <v>1633</v>
      </c>
      <c r="K139" t="s">
        <v>50</v>
      </c>
      <c r="L139">
        <v>45000</v>
      </c>
      <c r="M139">
        <v>9.3000000000000007</v>
      </c>
      <c r="N139">
        <v>17.600000000000001</v>
      </c>
      <c r="O139">
        <v>11</v>
      </c>
      <c r="P139">
        <v>1.4</v>
      </c>
      <c r="Q139">
        <v>3</v>
      </c>
      <c r="R139">
        <v>4</v>
      </c>
      <c r="S139">
        <v>4</v>
      </c>
      <c r="T139" t="s">
        <v>23</v>
      </c>
      <c r="U139">
        <v>4</v>
      </c>
      <c r="W139" t="s">
        <v>1649</v>
      </c>
      <c r="X139" t="s">
        <v>1656</v>
      </c>
      <c r="Y139" t="s">
        <v>1663</v>
      </c>
      <c r="Z139">
        <v>0</v>
      </c>
    </row>
    <row r="140" spans="1:26" x14ac:dyDescent="0.35">
      <c r="A140" t="s">
        <v>682</v>
      </c>
      <c r="B140" s="6">
        <v>44087</v>
      </c>
      <c r="C140" t="s">
        <v>23</v>
      </c>
      <c r="D140">
        <v>41</v>
      </c>
      <c r="E140" t="s">
        <v>36</v>
      </c>
      <c r="F140" t="s">
        <v>37</v>
      </c>
      <c r="G140" t="s">
        <v>54</v>
      </c>
      <c r="H140" t="s">
        <v>27</v>
      </c>
      <c r="I140" t="s">
        <v>95</v>
      </c>
      <c r="J140" t="s">
        <v>1635</v>
      </c>
      <c r="K140" t="s">
        <v>40</v>
      </c>
      <c r="L140">
        <v>76000</v>
      </c>
      <c r="M140">
        <v>10.4</v>
      </c>
      <c r="N140">
        <v>10.7</v>
      </c>
      <c r="O140">
        <v>5.3</v>
      </c>
      <c r="P140">
        <v>4.2</v>
      </c>
      <c r="Q140">
        <v>4</v>
      </c>
      <c r="R140">
        <v>3</v>
      </c>
      <c r="S140">
        <v>3</v>
      </c>
      <c r="T140" t="s">
        <v>23</v>
      </c>
      <c r="U140">
        <v>2</v>
      </c>
      <c r="W140" t="s">
        <v>1649</v>
      </c>
      <c r="X140" t="s">
        <v>1659</v>
      </c>
      <c r="Y140" t="s">
        <v>1661</v>
      </c>
      <c r="Z140">
        <v>0</v>
      </c>
    </row>
    <row r="141" spans="1:26" x14ac:dyDescent="0.35">
      <c r="A141" t="s">
        <v>1424</v>
      </c>
      <c r="B141" s="6">
        <v>43406</v>
      </c>
      <c r="C141" t="s">
        <v>23</v>
      </c>
      <c r="D141">
        <v>30</v>
      </c>
      <c r="E141" t="s">
        <v>62</v>
      </c>
      <c r="F141" t="s">
        <v>37</v>
      </c>
      <c r="G141" t="s">
        <v>54</v>
      </c>
      <c r="H141" t="s">
        <v>1634</v>
      </c>
      <c r="I141" t="s">
        <v>86</v>
      </c>
      <c r="J141" t="s">
        <v>1633</v>
      </c>
      <c r="K141" t="s">
        <v>84</v>
      </c>
      <c r="L141">
        <v>48000</v>
      </c>
      <c r="M141">
        <v>10.6</v>
      </c>
      <c r="N141">
        <v>14.9</v>
      </c>
      <c r="O141">
        <v>7.2</v>
      </c>
      <c r="P141">
        <v>3.3</v>
      </c>
      <c r="Q141">
        <v>4</v>
      </c>
      <c r="R141">
        <v>2</v>
      </c>
      <c r="S141">
        <v>2</v>
      </c>
      <c r="T141" t="s">
        <v>23</v>
      </c>
      <c r="U141">
        <v>3</v>
      </c>
      <c r="W141" t="s">
        <v>1650</v>
      </c>
      <c r="X141" t="s">
        <v>1656</v>
      </c>
      <c r="Y141" t="s">
        <v>1662</v>
      </c>
      <c r="Z141">
        <v>0</v>
      </c>
    </row>
    <row r="142" spans="1:26" x14ac:dyDescent="0.35">
      <c r="A142" t="s">
        <v>563</v>
      </c>
      <c r="B142" s="6">
        <v>44301</v>
      </c>
      <c r="C142" t="s">
        <v>30</v>
      </c>
      <c r="D142">
        <v>35</v>
      </c>
      <c r="E142" t="s">
        <v>24</v>
      </c>
      <c r="F142" t="s">
        <v>37</v>
      </c>
      <c r="G142" t="s">
        <v>32</v>
      </c>
      <c r="H142" t="s">
        <v>38</v>
      </c>
      <c r="I142" t="s">
        <v>139</v>
      </c>
      <c r="J142" t="s">
        <v>1632</v>
      </c>
      <c r="K142" t="s">
        <v>29</v>
      </c>
      <c r="L142">
        <v>56000</v>
      </c>
      <c r="M142">
        <v>12.5</v>
      </c>
      <c r="N142">
        <v>10.3</v>
      </c>
      <c r="O142">
        <v>4.5</v>
      </c>
      <c r="P142">
        <v>2.5</v>
      </c>
      <c r="Q142">
        <v>1</v>
      </c>
      <c r="R142">
        <v>3</v>
      </c>
      <c r="S142">
        <v>4</v>
      </c>
      <c r="T142" t="s">
        <v>23</v>
      </c>
      <c r="U142">
        <v>3</v>
      </c>
      <c r="V142" s="7">
        <v>45958</v>
      </c>
      <c r="W142" t="s">
        <v>1650</v>
      </c>
      <c r="X142" t="s">
        <v>1656</v>
      </c>
      <c r="Y142" t="s">
        <v>1661</v>
      </c>
      <c r="Z142">
        <v>1</v>
      </c>
    </row>
    <row r="143" spans="1:26" x14ac:dyDescent="0.35">
      <c r="A143" t="s">
        <v>157</v>
      </c>
      <c r="B143" s="6">
        <v>42940</v>
      </c>
      <c r="C143" t="s">
        <v>23</v>
      </c>
      <c r="D143">
        <v>41</v>
      </c>
      <c r="E143" t="s">
        <v>36</v>
      </c>
      <c r="F143" t="s">
        <v>25</v>
      </c>
      <c r="G143" t="s">
        <v>54</v>
      </c>
      <c r="H143" t="s">
        <v>38</v>
      </c>
      <c r="I143" t="s">
        <v>52</v>
      </c>
      <c r="J143" t="s">
        <v>1636</v>
      </c>
      <c r="K143" t="s">
        <v>34</v>
      </c>
      <c r="L143">
        <v>121000</v>
      </c>
      <c r="M143">
        <v>0.8</v>
      </c>
      <c r="N143">
        <v>11</v>
      </c>
      <c r="O143">
        <v>8.4</v>
      </c>
      <c r="P143">
        <v>1.7</v>
      </c>
      <c r="Q143">
        <v>3</v>
      </c>
      <c r="R143">
        <v>3</v>
      </c>
      <c r="S143">
        <v>3</v>
      </c>
      <c r="T143" t="s">
        <v>23</v>
      </c>
      <c r="U143">
        <v>3</v>
      </c>
      <c r="W143" t="s">
        <v>1649</v>
      </c>
      <c r="X143" t="s">
        <v>1658</v>
      </c>
      <c r="Y143" t="s">
        <v>1662</v>
      </c>
      <c r="Z143">
        <v>0</v>
      </c>
    </row>
    <row r="144" spans="1:26" x14ac:dyDescent="0.35">
      <c r="A144" t="s">
        <v>1131</v>
      </c>
      <c r="B144" s="6">
        <v>45718</v>
      </c>
      <c r="C144" t="s">
        <v>23</v>
      </c>
      <c r="D144">
        <v>21</v>
      </c>
      <c r="E144" t="s">
        <v>62</v>
      </c>
      <c r="F144" t="s">
        <v>25</v>
      </c>
      <c r="G144" t="s">
        <v>54</v>
      </c>
      <c r="H144" t="s">
        <v>38</v>
      </c>
      <c r="I144" t="s">
        <v>52</v>
      </c>
      <c r="J144" t="s">
        <v>1632</v>
      </c>
      <c r="K144" t="s">
        <v>84</v>
      </c>
      <c r="L144">
        <v>35000</v>
      </c>
      <c r="M144">
        <v>9.1</v>
      </c>
      <c r="N144">
        <v>1.2</v>
      </c>
      <c r="O144">
        <v>0.8</v>
      </c>
      <c r="P144">
        <v>0</v>
      </c>
      <c r="Q144">
        <v>2</v>
      </c>
      <c r="R144">
        <v>4</v>
      </c>
      <c r="S144">
        <v>1</v>
      </c>
      <c r="T144" t="s">
        <v>23</v>
      </c>
      <c r="U144">
        <v>4</v>
      </c>
      <c r="W144" t="s">
        <v>1651</v>
      </c>
      <c r="X144" t="s">
        <v>1655</v>
      </c>
      <c r="Y144" t="s">
        <v>1664</v>
      </c>
      <c r="Z144">
        <v>0</v>
      </c>
    </row>
    <row r="145" spans="1:26" x14ac:dyDescent="0.35">
      <c r="A145" t="s">
        <v>456</v>
      </c>
      <c r="B145" s="6">
        <v>44290</v>
      </c>
      <c r="C145" t="s">
        <v>23</v>
      </c>
      <c r="D145">
        <v>35</v>
      </c>
      <c r="E145" t="s">
        <v>36</v>
      </c>
      <c r="F145" t="s">
        <v>42</v>
      </c>
      <c r="G145" t="s">
        <v>32</v>
      </c>
      <c r="H145" t="s">
        <v>55</v>
      </c>
      <c r="I145" t="s">
        <v>179</v>
      </c>
      <c r="J145" t="s">
        <v>1633</v>
      </c>
      <c r="K145" t="s">
        <v>29</v>
      </c>
      <c r="L145">
        <v>60000</v>
      </c>
      <c r="M145">
        <v>12.3</v>
      </c>
      <c r="N145">
        <v>10.199999999999999</v>
      </c>
      <c r="O145">
        <v>4.7</v>
      </c>
      <c r="P145">
        <v>1.2</v>
      </c>
      <c r="Q145">
        <v>3</v>
      </c>
      <c r="R145">
        <v>4</v>
      </c>
      <c r="S145">
        <v>4</v>
      </c>
      <c r="T145" t="s">
        <v>23</v>
      </c>
      <c r="U145">
        <v>4</v>
      </c>
      <c r="W145" t="s">
        <v>1650</v>
      </c>
      <c r="X145" t="s">
        <v>1659</v>
      </c>
      <c r="Y145" t="s">
        <v>1661</v>
      </c>
      <c r="Z145">
        <v>0</v>
      </c>
    </row>
    <row r="146" spans="1:26" x14ac:dyDescent="0.35">
      <c r="A146" t="s">
        <v>291</v>
      </c>
      <c r="B146" s="6">
        <v>42835</v>
      </c>
      <c r="C146" t="s">
        <v>23</v>
      </c>
      <c r="D146">
        <v>35</v>
      </c>
      <c r="E146" t="s">
        <v>62</v>
      </c>
      <c r="F146" t="s">
        <v>37</v>
      </c>
      <c r="G146" t="s">
        <v>26</v>
      </c>
      <c r="H146" t="s">
        <v>1634</v>
      </c>
      <c r="I146" t="s">
        <v>150</v>
      </c>
      <c r="J146" t="s">
        <v>1633</v>
      </c>
      <c r="K146" t="s">
        <v>34</v>
      </c>
      <c r="L146">
        <v>59000</v>
      </c>
      <c r="M146">
        <v>3.1</v>
      </c>
      <c r="N146">
        <v>13.9</v>
      </c>
      <c r="O146">
        <v>8.6999999999999993</v>
      </c>
      <c r="P146">
        <v>0.4</v>
      </c>
      <c r="Q146">
        <v>4</v>
      </c>
      <c r="R146">
        <v>1</v>
      </c>
      <c r="S146">
        <v>4</v>
      </c>
      <c r="T146" t="s">
        <v>23</v>
      </c>
      <c r="U146">
        <v>5</v>
      </c>
      <c r="W146" t="s">
        <v>1650</v>
      </c>
      <c r="X146" t="s">
        <v>1656</v>
      </c>
      <c r="Y146" t="s">
        <v>1662</v>
      </c>
      <c r="Z146">
        <v>0</v>
      </c>
    </row>
    <row r="147" spans="1:26" x14ac:dyDescent="0.35">
      <c r="A147" t="s">
        <v>1338</v>
      </c>
      <c r="B147" s="6">
        <v>45268</v>
      </c>
      <c r="C147" t="s">
        <v>30</v>
      </c>
      <c r="D147">
        <v>35</v>
      </c>
      <c r="E147" t="s">
        <v>62</v>
      </c>
      <c r="F147" t="s">
        <v>42</v>
      </c>
      <c r="G147" t="s">
        <v>26</v>
      </c>
      <c r="H147" t="s">
        <v>55</v>
      </c>
      <c r="I147" t="s">
        <v>179</v>
      </c>
      <c r="J147" t="s">
        <v>1632</v>
      </c>
      <c r="K147" t="s">
        <v>50</v>
      </c>
      <c r="L147">
        <v>35000</v>
      </c>
      <c r="M147">
        <v>11.5</v>
      </c>
      <c r="N147">
        <v>7.3</v>
      </c>
      <c r="O147">
        <v>2</v>
      </c>
      <c r="P147">
        <v>1.2</v>
      </c>
      <c r="Q147">
        <v>3</v>
      </c>
      <c r="R147">
        <v>3</v>
      </c>
      <c r="S147">
        <v>3</v>
      </c>
      <c r="T147" t="s">
        <v>30</v>
      </c>
      <c r="U147">
        <v>1</v>
      </c>
      <c r="V147" s="7">
        <v>45984</v>
      </c>
      <c r="W147" t="s">
        <v>1650</v>
      </c>
      <c r="X147" t="s">
        <v>1655</v>
      </c>
      <c r="Y147" t="s">
        <v>1665</v>
      </c>
      <c r="Z147">
        <v>1</v>
      </c>
    </row>
    <row r="148" spans="1:26" x14ac:dyDescent="0.35">
      <c r="A148" t="s">
        <v>265</v>
      </c>
      <c r="B148" s="6">
        <v>44688</v>
      </c>
      <c r="C148" t="s">
        <v>23</v>
      </c>
      <c r="D148">
        <v>34</v>
      </c>
      <c r="E148" t="s">
        <v>62</v>
      </c>
      <c r="F148" t="s">
        <v>25</v>
      </c>
      <c r="G148" t="s">
        <v>58</v>
      </c>
      <c r="H148" t="s">
        <v>27</v>
      </c>
      <c r="I148" t="s">
        <v>28</v>
      </c>
      <c r="J148" t="s">
        <v>1635</v>
      </c>
      <c r="K148" t="s">
        <v>84</v>
      </c>
      <c r="L148">
        <v>76000</v>
      </c>
      <c r="M148">
        <v>7.2</v>
      </c>
      <c r="N148">
        <v>11.2</v>
      </c>
      <c r="O148">
        <v>3.7</v>
      </c>
      <c r="P148">
        <v>0.7</v>
      </c>
      <c r="Q148">
        <v>3</v>
      </c>
      <c r="R148">
        <v>4</v>
      </c>
      <c r="S148">
        <v>3</v>
      </c>
      <c r="T148" t="s">
        <v>23</v>
      </c>
      <c r="U148">
        <v>3</v>
      </c>
      <c r="W148" t="s">
        <v>1650</v>
      </c>
      <c r="X148" t="s">
        <v>1659</v>
      </c>
      <c r="Y148" t="s">
        <v>1661</v>
      </c>
      <c r="Z148">
        <v>0</v>
      </c>
    </row>
    <row r="149" spans="1:26" x14ac:dyDescent="0.35">
      <c r="A149" t="s">
        <v>520</v>
      </c>
      <c r="B149" s="6">
        <v>41813</v>
      </c>
      <c r="C149" t="s">
        <v>23</v>
      </c>
      <c r="D149">
        <v>39</v>
      </c>
      <c r="E149" t="s">
        <v>24</v>
      </c>
      <c r="F149" t="s">
        <v>37</v>
      </c>
      <c r="G149" t="s">
        <v>54</v>
      </c>
      <c r="H149" t="s">
        <v>68</v>
      </c>
      <c r="I149" t="s">
        <v>121</v>
      </c>
      <c r="J149" t="s">
        <v>1632</v>
      </c>
      <c r="K149" t="s">
        <v>34</v>
      </c>
      <c r="L149">
        <v>26000</v>
      </c>
      <c r="M149">
        <v>9.3000000000000007</v>
      </c>
      <c r="N149">
        <v>13.9</v>
      </c>
      <c r="O149">
        <v>11.5</v>
      </c>
      <c r="P149">
        <v>5</v>
      </c>
      <c r="Q149">
        <v>2</v>
      </c>
      <c r="R149">
        <v>2</v>
      </c>
      <c r="S149">
        <v>4</v>
      </c>
      <c r="T149" t="s">
        <v>23</v>
      </c>
      <c r="U149">
        <v>4</v>
      </c>
      <c r="W149" t="s">
        <v>1649</v>
      </c>
      <c r="X149" t="s">
        <v>1655</v>
      </c>
      <c r="Y149" t="s">
        <v>1663</v>
      </c>
      <c r="Z149">
        <v>0</v>
      </c>
    </row>
    <row r="150" spans="1:26" x14ac:dyDescent="0.35">
      <c r="A150" t="s">
        <v>1203</v>
      </c>
      <c r="B150" s="6">
        <v>45873</v>
      </c>
      <c r="C150" t="s">
        <v>23</v>
      </c>
      <c r="D150">
        <v>36</v>
      </c>
      <c r="E150" t="s">
        <v>24</v>
      </c>
      <c r="F150" t="s">
        <v>37</v>
      </c>
      <c r="G150" t="s">
        <v>32</v>
      </c>
      <c r="H150" t="s">
        <v>48</v>
      </c>
      <c r="I150" t="s">
        <v>201</v>
      </c>
      <c r="J150" t="s">
        <v>1632</v>
      </c>
      <c r="K150" t="s">
        <v>29</v>
      </c>
      <c r="L150">
        <v>38000</v>
      </c>
      <c r="M150">
        <v>13.2</v>
      </c>
      <c r="N150">
        <v>6.7</v>
      </c>
      <c r="O150">
        <v>0.4</v>
      </c>
      <c r="P150">
        <v>0</v>
      </c>
      <c r="Q150">
        <v>3</v>
      </c>
      <c r="R150">
        <v>4</v>
      </c>
      <c r="S150">
        <v>2</v>
      </c>
      <c r="T150" t="s">
        <v>30</v>
      </c>
      <c r="U150">
        <v>4</v>
      </c>
      <c r="W150" t="s">
        <v>1649</v>
      </c>
      <c r="X150" t="s">
        <v>1655</v>
      </c>
      <c r="Y150" t="s">
        <v>1664</v>
      </c>
      <c r="Z150">
        <v>0</v>
      </c>
    </row>
    <row r="151" spans="1:26" x14ac:dyDescent="0.35">
      <c r="A151" t="s">
        <v>1065</v>
      </c>
      <c r="B151" s="6">
        <v>42301</v>
      </c>
      <c r="C151" t="s">
        <v>23</v>
      </c>
      <c r="D151">
        <v>31</v>
      </c>
      <c r="E151" t="s">
        <v>24</v>
      </c>
      <c r="F151" t="s">
        <v>25</v>
      </c>
      <c r="G151" t="s">
        <v>54</v>
      </c>
      <c r="H151" t="s">
        <v>27</v>
      </c>
      <c r="I151" t="s">
        <v>33</v>
      </c>
      <c r="J151" t="s">
        <v>1633</v>
      </c>
      <c r="K151" t="s">
        <v>50</v>
      </c>
      <c r="L151">
        <v>42000</v>
      </c>
      <c r="M151">
        <v>7.2</v>
      </c>
      <c r="N151">
        <v>15.5</v>
      </c>
      <c r="O151">
        <v>10.199999999999999</v>
      </c>
      <c r="P151">
        <v>1.1000000000000001</v>
      </c>
      <c r="Q151">
        <v>3</v>
      </c>
      <c r="R151">
        <v>4</v>
      </c>
      <c r="S151">
        <v>1</v>
      </c>
      <c r="T151" t="s">
        <v>23</v>
      </c>
      <c r="U151">
        <v>3</v>
      </c>
      <c r="W151" t="s">
        <v>1650</v>
      </c>
      <c r="X151" t="s">
        <v>1656</v>
      </c>
      <c r="Y151" t="s">
        <v>1663</v>
      </c>
      <c r="Z151">
        <v>0</v>
      </c>
    </row>
    <row r="152" spans="1:26" x14ac:dyDescent="0.35">
      <c r="A152" t="s">
        <v>1307</v>
      </c>
      <c r="B152" s="6">
        <v>43491</v>
      </c>
      <c r="C152" t="s">
        <v>23</v>
      </c>
      <c r="D152">
        <v>38</v>
      </c>
      <c r="E152" t="s">
        <v>62</v>
      </c>
      <c r="F152" t="s">
        <v>42</v>
      </c>
      <c r="G152" t="s">
        <v>26</v>
      </c>
      <c r="H152" t="s">
        <v>68</v>
      </c>
      <c r="I152" t="s">
        <v>109</v>
      </c>
      <c r="J152" t="s">
        <v>1635</v>
      </c>
      <c r="K152" t="s">
        <v>50</v>
      </c>
      <c r="L152">
        <v>69000</v>
      </c>
      <c r="M152">
        <v>12.5</v>
      </c>
      <c r="N152">
        <v>10</v>
      </c>
      <c r="O152">
        <v>6.9</v>
      </c>
      <c r="P152">
        <v>4.4000000000000004</v>
      </c>
      <c r="Q152">
        <v>3</v>
      </c>
      <c r="R152">
        <v>4</v>
      </c>
      <c r="S152">
        <v>3</v>
      </c>
      <c r="T152" t="s">
        <v>23</v>
      </c>
      <c r="U152">
        <v>2</v>
      </c>
      <c r="W152" t="s">
        <v>1649</v>
      </c>
      <c r="X152" t="s">
        <v>1659</v>
      </c>
      <c r="Y152" t="s">
        <v>1662</v>
      </c>
      <c r="Z152">
        <v>0</v>
      </c>
    </row>
    <row r="153" spans="1:26" x14ac:dyDescent="0.35">
      <c r="A153" t="s">
        <v>993</v>
      </c>
      <c r="B153" s="6">
        <v>44457</v>
      </c>
      <c r="C153" t="s">
        <v>23</v>
      </c>
      <c r="D153">
        <v>36</v>
      </c>
      <c r="E153" t="s">
        <v>36</v>
      </c>
      <c r="F153" t="s">
        <v>25</v>
      </c>
      <c r="G153" t="s">
        <v>54</v>
      </c>
      <c r="H153" t="s">
        <v>48</v>
      </c>
      <c r="I153" t="s">
        <v>49</v>
      </c>
      <c r="J153" t="s">
        <v>1636</v>
      </c>
      <c r="K153" t="s">
        <v>34</v>
      </c>
      <c r="L153">
        <v>132000</v>
      </c>
      <c r="M153">
        <v>5.9</v>
      </c>
      <c r="N153">
        <v>10.5</v>
      </c>
      <c r="O153">
        <v>4.3</v>
      </c>
      <c r="P153">
        <v>0.1</v>
      </c>
      <c r="Q153">
        <v>4</v>
      </c>
      <c r="R153">
        <v>3</v>
      </c>
      <c r="S153">
        <v>4</v>
      </c>
      <c r="T153" t="s">
        <v>23</v>
      </c>
      <c r="U153">
        <v>3</v>
      </c>
      <c r="W153" t="s">
        <v>1649</v>
      </c>
      <c r="X153" t="s">
        <v>1658</v>
      </c>
      <c r="Y153" t="s">
        <v>1661</v>
      </c>
      <c r="Z153">
        <v>0</v>
      </c>
    </row>
    <row r="154" spans="1:26" x14ac:dyDescent="0.35">
      <c r="A154" t="s">
        <v>277</v>
      </c>
      <c r="B154" s="6">
        <v>45891</v>
      </c>
      <c r="C154" t="s">
        <v>23</v>
      </c>
      <c r="D154">
        <v>21</v>
      </c>
      <c r="E154" t="s">
        <v>36</v>
      </c>
      <c r="F154" t="s">
        <v>42</v>
      </c>
      <c r="G154" t="s">
        <v>26</v>
      </c>
      <c r="H154" t="s">
        <v>55</v>
      </c>
      <c r="I154" t="s">
        <v>80</v>
      </c>
      <c r="J154" t="s">
        <v>1632</v>
      </c>
      <c r="K154" t="s">
        <v>50</v>
      </c>
      <c r="L154">
        <v>53000</v>
      </c>
      <c r="M154">
        <v>11.6</v>
      </c>
      <c r="N154">
        <v>1</v>
      </c>
      <c r="O154">
        <v>0.4</v>
      </c>
      <c r="P154">
        <v>0</v>
      </c>
      <c r="Q154">
        <v>4</v>
      </c>
      <c r="R154">
        <v>3</v>
      </c>
      <c r="S154">
        <v>3</v>
      </c>
      <c r="T154" t="s">
        <v>23</v>
      </c>
      <c r="U154">
        <v>4</v>
      </c>
      <c r="W154" t="s">
        <v>1651</v>
      </c>
      <c r="X154" t="s">
        <v>1656</v>
      </c>
      <c r="Y154" t="s">
        <v>1664</v>
      </c>
      <c r="Z154">
        <v>0</v>
      </c>
    </row>
    <row r="155" spans="1:26" x14ac:dyDescent="0.35">
      <c r="A155" t="s">
        <v>337</v>
      </c>
      <c r="B155" s="6">
        <v>42659</v>
      </c>
      <c r="C155" t="s">
        <v>23</v>
      </c>
      <c r="D155">
        <v>35</v>
      </c>
      <c r="E155" t="s">
        <v>62</v>
      </c>
      <c r="F155" t="s">
        <v>25</v>
      </c>
      <c r="G155" t="s">
        <v>58</v>
      </c>
      <c r="H155" t="s">
        <v>38</v>
      </c>
      <c r="I155" t="s">
        <v>39</v>
      </c>
      <c r="J155" t="s">
        <v>1633</v>
      </c>
      <c r="K155" t="s">
        <v>34</v>
      </c>
      <c r="L155">
        <v>49000</v>
      </c>
      <c r="M155">
        <v>18.8</v>
      </c>
      <c r="N155">
        <v>13.7</v>
      </c>
      <c r="O155">
        <v>9.1999999999999993</v>
      </c>
      <c r="P155">
        <v>3.1</v>
      </c>
      <c r="Q155">
        <v>2</v>
      </c>
      <c r="R155">
        <v>2</v>
      </c>
      <c r="S155">
        <v>2</v>
      </c>
      <c r="T155" t="s">
        <v>30</v>
      </c>
      <c r="U155">
        <v>4</v>
      </c>
      <c r="W155" t="s">
        <v>1650</v>
      </c>
      <c r="X155" t="s">
        <v>1656</v>
      </c>
      <c r="Y155" t="s">
        <v>1662</v>
      </c>
      <c r="Z155">
        <v>0</v>
      </c>
    </row>
    <row r="156" spans="1:26" x14ac:dyDescent="0.35">
      <c r="A156" t="s">
        <v>434</v>
      </c>
      <c r="B156" s="6">
        <v>42583</v>
      </c>
      <c r="C156" t="s">
        <v>23</v>
      </c>
      <c r="D156">
        <v>34</v>
      </c>
      <c r="E156" t="s">
        <v>36</v>
      </c>
      <c r="F156" t="s">
        <v>42</v>
      </c>
      <c r="G156" t="s">
        <v>32</v>
      </c>
      <c r="H156" t="s">
        <v>38</v>
      </c>
      <c r="I156" t="s">
        <v>39</v>
      </c>
      <c r="J156" t="s">
        <v>1633</v>
      </c>
      <c r="K156" t="s">
        <v>50</v>
      </c>
      <c r="L156">
        <v>66000</v>
      </c>
      <c r="M156">
        <v>10.9</v>
      </c>
      <c r="N156">
        <v>11.4</v>
      </c>
      <c r="O156">
        <v>9.4</v>
      </c>
      <c r="P156">
        <v>3.1</v>
      </c>
      <c r="Q156">
        <v>3</v>
      </c>
      <c r="R156">
        <v>3</v>
      </c>
      <c r="S156">
        <v>2</v>
      </c>
      <c r="T156" t="s">
        <v>23</v>
      </c>
      <c r="U156">
        <v>3</v>
      </c>
      <c r="W156" t="s">
        <v>1650</v>
      </c>
      <c r="X156" t="s">
        <v>1659</v>
      </c>
      <c r="Y156" t="s">
        <v>1662</v>
      </c>
      <c r="Z156">
        <v>0</v>
      </c>
    </row>
    <row r="157" spans="1:26" x14ac:dyDescent="0.35">
      <c r="A157" t="s">
        <v>941</v>
      </c>
      <c r="B157" s="6">
        <v>45238</v>
      </c>
      <c r="C157" t="s">
        <v>23</v>
      </c>
      <c r="D157">
        <v>27</v>
      </c>
      <c r="E157" t="s">
        <v>24</v>
      </c>
      <c r="F157" t="s">
        <v>42</v>
      </c>
      <c r="G157" t="s">
        <v>26</v>
      </c>
      <c r="H157" t="s">
        <v>55</v>
      </c>
      <c r="I157" t="s">
        <v>80</v>
      </c>
      <c r="J157" t="s">
        <v>1632</v>
      </c>
      <c r="K157" t="s">
        <v>34</v>
      </c>
      <c r="L157">
        <v>43000</v>
      </c>
      <c r="M157">
        <v>16.5</v>
      </c>
      <c r="N157">
        <v>9.6999999999999993</v>
      </c>
      <c r="O157">
        <v>2.1</v>
      </c>
      <c r="P157">
        <v>1.5</v>
      </c>
      <c r="Q157">
        <v>4</v>
      </c>
      <c r="R157">
        <v>3</v>
      </c>
      <c r="S157">
        <v>3</v>
      </c>
      <c r="T157" t="s">
        <v>23</v>
      </c>
      <c r="U157">
        <v>3</v>
      </c>
      <c r="W157" t="s">
        <v>1650</v>
      </c>
      <c r="X157" t="s">
        <v>1656</v>
      </c>
      <c r="Y157" t="s">
        <v>1665</v>
      </c>
      <c r="Z157">
        <v>0</v>
      </c>
    </row>
    <row r="158" spans="1:26" x14ac:dyDescent="0.35">
      <c r="A158" t="s">
        <v>180</v>
      </c>
      <c r="B158" s="6">
        <v>44505</v>
      </c>
      <c r="C158" t="s">
        <v>23</v>
      </c>
      <c r="D158">
        <v>44</v>
      </c>
      <c r="E158" t="s">
        <v>36</v>
      </c>
      <c r="F158" t="s">
        <v>37</v>
      </c>
      <c r="G158" t="s">
        <v>54</v>
      </c>
      <c r="H158" t="s">
        <v>68</v>
      </c>
      <c r="I158" t="s">
        <v>121</v>
      </c>
      <c r="J158" t="s">
        <v>1636</v>
      </c>
      <c r="K158" t="s">
        <v>84</v>
      </c>
      <c r="L158">
        <v>106000</v>
      </c>
      <c r="M158">
        <v>5</v>
      </c>
      <c r="N158">
        <v>11.9</v>
      </c>
      <c r="O158">
        <v>4.2</v>
      </c>
      <c r="P158">
        <v>0.6</v>
      </c>
      <c r="Q158">
        <v>4</v>
      </c>
      <c r="R158">
        <v>3</v>
      </c>
      <c r="S158">
        <v>4</v>
      </c>
      <c r="T158" t="s">
        <v>23</v>
      </c>
      <c r="U158">
        <v>3</v>
      </c>
      <c r="W158" t="s">
        <v>1649</v>
      </c>
      <c r="X158" t="s">
        <v>1658</v>
      </c>
      <c r="Y158" t="s">
        <v>1661</v>
      </c>
      <c r="Z158">
        <v>0</v>
      </c>
    </row>
    <row r="159" spans="1:26" x14ac:dyDescent="0.35">
      <c r="A159" t="s">
        <v>1457</v>
      </c>
      <c r="B159" s="6">
        <v>42571</v>
      </c>
      <c r="C159" t="s">
        <v>23</v>
      </c>
      <c r="D159">
        <v>33</v>
      </c>
      <c r="E159" t="s">
        <v>62</v>
      </c>
      <c r="F159" t="s">
        <v>37</v>
      </c>
      <c r="G159" t="s">
        <v>54</v>
      </c>
      <c r="H159" t="s">
        <v>68</v>
      </c>
      <c r="I159" t="s">
        <v>121</v>
      </c>
      <c r="J159" t="s">
        <v>1637</v>
      </c>
      <c r="K159" t="s">
        <v>29</v>
      </c>
      <c r="L159">
        <v>163000</v>
      </c>
      <c r="M159">
        <v>2.2000000000000002</v>
      </c>
      <c r="N159">
        <v>12.4</v>
      </c>
      <c r="O159">
        <v>9.4</v>
      </c>
      <c r="P159">
        <v>5.6</v>
      </c>
      <c r="Q159">
        <v>3</v>
      </c>
      <c r="R159">
        <v>2</v>
      </c>
      <c r="S159">
        <v>4</v>
      </c>
      <c r="T159" t="s">
        <v>23</v>
      </c>
      <c r="U159">
        <v>3</v>
      </c>
      <c r="W159" t="s">
        <v>1650</v>
      </c>
      <c r="X159" t="s">
        <v>1658</v>
      </c>
      <c r="Y159" t="s">
        <v>1662</v>
      </c>
      <c r="Z159">
        <v>0</v>
      </c>
    </row>
    <row r="160" spans="1:26" x14ac:dyDescent="0.35">
      <c r="A160" t="s">
        <v>286</v>
      </c>
      <c r="B160" s="6">
        <v>42361</v>
      </c>
      <c r="C160" t="s">
        <v>23</v>
      </c>
      <c r="D160">
        <v>32</v>
      </c>
      <c r="E160" t="s">
        <v>36</v>
      </c>
      <c r="F160" t="s">
        <v>42</v>
      </c>
      <c r="G160" t="s">
        <v>26</v>
      </c>
      <c r="H160" t="s">
        <v>55</v>
      </c>
      <c r="I160" t="s">
        <v>80</v>
      </c>
      <c r="J160" t="s">
        <v>1635</v>
      </c>
      <c r="K160" t="s">
        <v>34</v>
      </c>
      <c r="L160">
        <v>86000</v>
      </c>
      <c r="M160">
        <v>5</v>
      </c>
      <c r="N160">
        <v>15.4</v>
      </c>
      <c r="O160">
        <v>10</v>
      </c>
      <c r="P160">
        <v>0.8</v>
      </c>
      <c r="Q160">
        <v>4</v>
      </c>
      <c r="R160">
        <v>3</v>
      </c>
      <c r="S160">
        <v>2</v>
      </c>
      <c r="T160" t="s">
        <v>30</v>
      </c>
      <c r="U160">
        <v>2</v>
      </c>
      <c r="W160" t="s">
        <v>1650</v>
      </c>
      <c r="X160" t="s">
        <v>1657</v>
      </c>
      <c r="Y160" t="s">
        <v>1662</v>
      </c>
      <c r="Z160">
        <v>0</v>
      </c>
    </row>
    <row r="161" spans="1:26" x14ac:dyDescent="0.35">
      <c r="A161" t="s">
        <v>1474</v>
      </c>
      <c r="B161" s="6">
        <v>43629</v>
      </c>
      <c r="C161" t="s">
        <v>23</v>
      </c>
      <c r="D161">
        <v>39</v>
      </c>
      <c r="E161" t="s">
        <v>24</v>
      </c>
      <c r="F161" t="s">
        <v>37</v>
      </c>
      <c r="G161" t="s">
        <v>32</v>
      </c>
      <c r="H161" t="s">
        <v>27</v>
      </c>
      <c r="I161" t="s">
        <v>33</v>
      </c>
      <c r="J161" t="s">
        <v>1635</v>
      </c>
      <c r="K161" t="s">
        <v>29</v>
      </c>
      <c r="L161">
        <v>74000</v>
      </c>
      <c r="M161">
        <v>3.8</v>
      </c>
      <c r="N161">
        <v>6.8</v>
      </c>
      <c r="O161">
        <v>6.6</v>
      </c>
      <c r="P161">
        <v>5.8</v>
      </c>
      <c r="Q161">
        <v>4</v>
      </c>
      <c r="R161">
        <v>3</v>
      </c>
      <c r="S161">
        <v>4</v>
      </c>
      <c r="T161" t="s">
        <v>23</v>
      </c>
      <c r="U161">
        <v>4</v>
      </c>
      <c r="W161" t="s">
        <v>1649</v>
      </c>
      <c r="X161" t="s">
        <v>1659</v>
      </c>
      <c r="Y161" t="s">
        <v>1662</v>
      </c>
      <c r="Z161">
        <v>0</v>
      </c>
    </row>
    <row r="162" spans="1:26" x14ac:dyDescent="0.35">
      <c r="A162" t="s">
        <v>235</v>
      </c>
      <c r="B162" s="6">
        <v>43518</v>
      </c>
      <c r="C162" t="s">
        <v>23</v>
      </c>
      <c r="D162">
        <v>31</v>
      </c>
      <c r="E162" t="s">
        <v>24</v>
      </c>
      <c r="F162" t="s">
        <v>25</v>
      </c>
      <c r="G162" t="s">
        <v>32</v>
      </c>
      <c r="H162" t="s">
        <v>45</v>
      </c>
      <c r="I162" t="s">
        <v>77</v>
      </c>
      <c r="J162" t="s">
        <v>1633</v>
      </c>
      <c r="K162" t="s">
        <v>34</v>
      </c>
      <c r="L162">
        <v>65000</v>
      </c>
      <c r="M162">
        <v>8</v>
      </c>
      <c r="N162">
        <v>14.6</v>
      </c>
      <c r="O162">
        <v>6.9</v>
      </c>
      <c r="P162">
        <v>2</v>
      </c>
      <c r="Q162">
        <v>3</v>
      </c>
      <c r="R162">
        <v>4</v>
      </c>
      <c r="S162">
        <v>2</v>
      </c>
      <c r="T162" t="s">
        <v>23</v>
      </c>
      <c r="U162">
        <v>2</v>
      </c>
      <c r="W162" t="s">
        <v>1650</v>
      </c>
      <c r="X162" t="s">
        <v>1659</v>
      </c>
      <c r="Y162" t="s">
        <v>1662</v>
      </c>
      <c r="Z162">
        <v>0</v>
      </c>
    </row>
    <row r="163" spans="1:26" x14ac:dyDescent="0.35">
      <c r="A163" t="s">
        <v>820</v>
      </c>
      <c r="B163" s="6">
        <v>43257</v>
      </c>
      <c r="C163" t="s">
        <v>23</v>
      </c>
      <c r="D163">
        <v>31</v>
      </c>
      <c r="E163" t="s">
        <v>62</v>
      </c>
      <c r="F163" t="s">
        <v>37</v>
      </c>
      <c r="G163" t="s">
        <v>58</v>
      </c>
      <c r="H163" t="s">
        <v>68</v>
      </c>
      <c r="I163" t="s">
        <v>121</v>
      </c>
      <c r="J163" t="s">
        <v>1635</v>
      </c>
      <c r="K163" t="s">
        <v>84</v>
      </c>
      <c r="L163">
        <v>74000</v>
      </c>
      <c r="M163">
        <v>0</v>
      </c>
      <c r="N163">
        <v>11.4</v>
      </c>
      <c r="O163">
        <v>7.6</v>
      </c>
      <c r="P163">
        <v>1.8</v>
      </c>
      <c r="Q163">
        <v>2</v>
      </c>
      <c r="R163">
        <v>4</v>
      </c>
      <c r="S163">
        <v>2</v>
      </c>
      <c r="T163" t="s">
        <v>23</v>
      </c>
      <c r="U163">
        <v>4</v>
      </c>
      <c r="W163" t="s">
        <v>1650</v>
      </c>
      <c r="X163" t="s">
        <v>1659</v>
      </c>
      <c r="Y163" t="s">
        <v>1662</v>
      </c>
      <c r="Z163">
        <v>0</v>
      </c>
    </row>
    <row r="164" spans="1:26" x14ac:dyDescent="0.35">
      <c r="A164" t="s">
        <v>571</v>
      </c>
      <c r="B164" s="6">
        <v>43876</v>
      </c>
      <c r="C164" t="s">
        <v>23</v>
      </c>
      <c r="D164">
        <v>31</v>
      </c>
      <c r="E164" t="s">
        <v>36</v>
      </c>
      <c r="F164" t="s">
        <v>25</v>
      </c>
      <c r="G164" t="s">
        <v>26</v>
      </c>
      <c r="H164" t="s">
        <v>68</v>
      </c>
      <c r="I164" t="s">
        <v>121</v>
      </c>
      <c r="J164" t="s">
        <v>1635</v>
      </c>
      <c r="K164" t="s">
        <v>29</v>
      </c>
      <c r="L164">
        <v>83000</v>
      </c>
      <c r="M164">
        <v>16.399999999999999</v>
      </c>
      <c r="N164">
        <v>9.5</v>
      </c>
      <c r="O164">
        <v>5.9</v>
      </c>
      <c r="P164">
        <v>0.4</v>
      </c>
      <c r="Q164">
        <v>2</v>
      </c>
      <c r="R164">
        <v>1</v>
      </c>
      <c r="S164">
        <v>3</v>
      </c>
      <c r="T164" t="s">
        <v>23</v>
      </c>
      <c r="U164">
        <v>1</v>
      </c>
      <c r="W164" t="s">
        <v>1650</v>
      </c>
      <c r="X164" t="s">
        <v>1657</v>
      </c>
      <c r="Y164" t="s">
        <v>1661</v>
      </c>
      <c r="Z164">
        <v>0</v>
      </c>
    </row>
    <row r="165" spans="1:26" x14ac:dyDescent="0.35">
      <c r="A165" t="s">
        <v>1057</v>
      </c>
      <c r="B165" s="6">
        <v>43019</v>
      </c>
      <c r="C165" t="s">
        <v>23</v>
      </c>
      <c r="D165">
        <v>31</v>
      </c>
      <c r="E165" t="s">
        <v>62</v>
      </c>
      <c r="F165" t="s">
        <v>42</v>
      </c>
      <c r="G165" t="s">
        <v>54</v>
      </c>
      <c r="H165" t="s">
        <v>1634</v>
      </c>
      <c r="I165" t="s">
        <v>86</v>
      </c>
      <c r="J165" t="s">
        <v>1636</v>
      </c>
      <c r="K165" t="s">
        <v>50</v>
      </c>
      <c r="L165">
        <v>98000</v>
      </c>
      <c r="M165">
        <v>19.3</v>
      </c>
      <c r="N165">
        <v>11.6</v>
      </c>
      <c r="O165">
        <v>8.1999999999999993</v>
      </c>
      <c r="P165">
        <v>2.8</v>
      </c>
      <c r="Q165">
        <v>3</v>
      </c>
      <c r="R165">
        <v>4</v>
      </c>
      <c r="S165">
        <v>3</v>
      </c>
      <c r="T165" t="s">
        <v>23</v>
      </c>
      <c r="U165">
        <v>3</v>
      </c>
      <c r="W165" t="s">
        <v>1650</v>
      </c>
      <c r="X165" t="s">
        <v>1657</v>
      </c>
      <c r="Y165" t="s">
        <v>1662</v>
      </c>
      <c r="Z165">
        <v>0</v>
      </c>
    </row>
    <row r="166" spans="1:26" x14ac:dyDescent="0.35">
      <c r="A166" t="s">
        <v>873</v>
      </c>
      <c r="B166" s="6">
        <v>44077</v>
      </c>
      <c r="C166" t="s">
        <v>23</v>
      </c>
      <c r="D166">
        <v>33</v>
      </c>
      <c r="E166" t="s">
        <v>36</v>
      </c>
      <c r="F166" t="s">
        <v>42</v>
      </c>
      <c r="G166" t="s">
        <v>32</v>
      </c>
      <c r="H166" t="s">
        <v>45</v>
      </c>
      <c r="I166" t="s">
        <v>97</v>
      </c>
      <c r="J166" t="s">
        <v>1633</v>
      </c>
      <c r="K166" t="s">
        <v>34</v>
      </c>
      <c r="L166">
        <v>49000</v>
      </c>
      <c r="M166">
        <v>9.8000000000000007</v>
      </c>
      <c r="N166">
        <v>11</v>
      </c>
      <c r="O166">
        <v>5.3</v>
      </c>
      <c r="P166">
        <v>4.2</v>
      </c>
      <c r="Q166">
        <v>2</v>
      </c>
      <c r="R166">
        <v>3</v>
      </c>
      <c r="S166">
        <v>4</v>
      </c>
      <c r="T166" t="s">
        <v>30</v>
      </c>
      <c r="U166">
        <v>4</v>
      </c>
      <c r="W166" t="s">
        <v>1650</v>
      </c>
      <c r="X166" t="s">
        <v>1656</v>
      </c>
      <c r="Y166" t="s">
        <v>1661</v>
      </c>
      <c r="Z166">
        <v>0</v>
      </c>
    </row>
    <row r="167" spans="1:26" x14ac:dyDescent="0.35">
      <c r="A167" t="s">
        <v>1502</v>
      </c>
      <c r="B167" s="6">
        <v>44358</v>
      </c>
      <c r="C167" t="s">
        <v>23</v>
      </c>
      <c r="D167">
        <v>29</v>
      </c>
      <c r="E167" t="s">
        <v>62</v>
      </c>
      <c r="F167" t="s">
        <v>25</v>
      </c>
      <c r="G167" t="s">
        <v>58</v>
      </c>
      <c r="H167" t="s">
        <v>38</v>
      </c>
      <c r="I167" t="s">
        <v>39</v>
      </c>
      <c r="J167" t="s">
        <v>1635</v>
      </c>
      <c r="K167" t="s">
        <v>66</v>
      </c>
      <c r="L167">
        <v>81000</v>
      </c>
      <c r="M167">
        <v>8.9</v>
      </c>
      <c r="N167">
        <v>7.7</v>
      </c>
      <c r="O167">
        <v>4.5999999999999996</v>
      </c>
      <c r="P167">
        <v>0.5</v>
      </c>
      <c r="Q167">
        <v>3</v>
      </c>
      <c r="R167">
        <v>3</v>
      </c>
      <c r="S167">
        <v>3</v>
      </c>
      <c r="T167" t="s">
        <v>23</v>
      </c>
      <c r="U167">
        <v>3</v>
      </c>
      <c r="W167" t="s">
        <v>1650</v>
      </c>
      <c r="X167" t="s">
        <v>1657</v>
      </c>
      <c r="Y167" t="s">
        <v>1661</v>
      </c>
      <c r="Z167">
        <v>0</v>
      </c>
    </row>
    <row r="168" spans="1:26" x14ac:dyDescent="0.35">
      <c r="A168" t="s">
        <v>957</v>
      </c>
      <c r="B168" s="6">
        <v>45032</v>
      </c>
      <c r="C168" t="s">
        <v>23</v>
      </c>
      <c r="D168">
        <v>28</v>
      </c>
      <c r="E168" t="s">
        <v>36</v>
      </c>
      <c r="F168" t="s">
        <v>25</v>
      </c>
      <c r="G168" t="s">
        <v>32</v>
      </c>
      <c r="H168" t="s">
        <v>27</v>
      </c>
      <c r="I168" t="s">
        <v>43</v>
      </c>
      <c r="J168" t="s">
        <v>1635</v>
      </c>
      <c r="K168" t="s">
        <v>66</v>
      </c>
      <c r="L168">
        <v>75000</v>
      </c>
      <c r="M168">
        <v>8</v>
      </c>
      <c r="N168">
        <v>3.8</v>
      </c>
      <c r="O168">
        <v>2.7</v>
      </c>
      <c r="P168">
        <v>1</v>
      </c>
      <c r="Q168">
        <v>2</v>
      </c>
      <c r="R168">
        <v>3</v>
      </c>
      <c r="S168">
        <v>3</v>
      </c>
      <c r="T168" t="s">
        <v>30</v>
      </c>
      <c r="U168">
        <v>3</v>
      </c>
      <c r="W168" t="s">
        <v>1650</v>
      </c>
      <c r="X168" t="s">
        <v>1659</v>
      </c>
      <c r="Y168" t="s">
        <v>1665</v>
      </c>
      <c r="Z168">
        <v>0</v>
      </c>
    </row>
    <row r="169" spans="1:26" x14ac:dyDescent="0.35">
      <c r="A169" t="s">
        <v>444</v>
      </c>
      <c r="B169" s="6">
        <v>45839</v>
      </c>
      <c r="C169" t="s">
        <v>23</v>
      </c>
      <c r="D169">
        <v>21</v>
      </c>
      <c r="E169" t="s">
        <v>62</v>
      </c>
      <c r="F169" t="s">
        <v>25</v>
      </c>
      <c r="G169" t="s">
        <v>54</v>
      </c>
      <c r="H169" t="s">
        <v>55</v>
      </c>
      <c r="I169" t="s">
        <v>80</v>
      </c>
      <c r="J169" t="s">
        <v>1632</v>
      </c>
      <c r="K169" t="s">
        <v>34</v>
      </c>
      <c r="L169">
        <v>49000</v>
      </c>
      <c r="M169">
        <v>14</v>
      </c>
      <c r="N169">
        <v>7.4</v>
      </c>
      <c r="O169">
        <v>0.5</v>
      </c>
      <c r="P169">
        <v>0</v>
      </c>
      <c r="Q169">
        <v>4</v>
      </c>
      <c r="R169">
        <v>3</v>
      </c>
      <c r="S169">
        <v>2</v>
      </c>
      <c r="T169" t="s">
        <v>30</v>
      </c>
      <c r="U169">
        <v>3</v>
      </c>
      <c r="W169" t="s">
        <v>1651</v>
      </c>
      <c r="X169" t="s">
        <v>1656</v>
      </c>
      <c r="Y169" t="s">
        <v>1664</v>
      </c>
      <c r="Z169">
        <v>0</v>
      </c>
    </row>
    <row r="170" spans="1:26" x14ac:dyDescent="0.35">
      <c r="A170" t="s">
        <v>1069</v>
      </c>
      <c r="B170" s="6">
        <v>42630</v>
      </c>
      <c r="C170" t="s">
        <v>30</v>
      </c>
      <c r="D170">
        <v>31</v>
      </c>
      <c r="E170" t="s">
        <v>62</v>
      </c>
      <c r="F170" t="s">
        <v>42</v>
      </c>
      <c r="G170" t="s">
        <v>26</v>
      </c>
      <c r="H170" t="s">
        <v>45</v>
      </c>
      <c r="I170" t="s">
        <v>46</v>
      </c>
      <c r="J170" t="s">
        <v>1633</v>
      </c>
      <c r="K170" t="s">
        <v>66</v>
      </c>
      <c r="L170">
        <v>46000</v>
      </c>
      <c r="M170">
        <v>3.4</v>
      </c>
      <c r="N170">
        <v>10.9</v>
      </c>
      <c r="O170">
        <v>8.6</v>
      </c>
      <c r="P170">
        <v>1.6</v>
      </c>
      <c r="Q170">
        <v>2</v>
      </c>
      <c r="R170">
        <v>3</v>
      </c>
      <c r="S170">
        <v>2</v>
      </c>
      <c r="T170" t="s">
        <v>23</v>
      </c>
      <c r="U170">
        <v>3</v>
      </c>
      <c r="V170" s="7">
        <v>45770</v>
      </c>
      <c r="W170" t="s">
        <v>1650</v>
      </c>
      <c r="X170" t="s">
        <v>1656</v>
      </c>
      <c r="Y170" t="s">
        <v>1662</v>
      </c>
      <c r="Z170">
        <v>1</v>
      </c>
    </row>
    <row r="171" spans="1:26" x14ac:dyDescent="0.35">
      <c r="A171" t="s">
        <v>1554</v>
      </c>
      <c r="B171" s="6">
        <v>44582</v>
      </c>
      <c r="C171" t="s">
        <v>23</v>
      </c>
      <c r="D171">
        <v>25</v>
      </c>
      <c r="E171" t="s">
        <v>62</v>
      </c>
      <c r="F171" t="s">
        <v>37</v>
      </c>
      <c r="G171" t="s">
        <v>58</v>
      </c>
      <c r="H171" t="s">
        <v>38</v>
      </c>
      <c r="I171" t="s">
        <v>39</v>
      </c>
      <c r="J171" t="s">
        <v>1632</v>
      </c>
      <c r="K171" t="s">
        <v>50</v>
      </c>
      <c r="L171">
        <v>54000</v>
      </c>
      <c r="M171">
        <v>12.7</v>
      </c>
      <c r="N171">
        <v>4.3</v>
      </c>
      <c r="O171">
        <v>3.9</v>
      </c>
      <c r="P171">
        <v>2.8</v>
      </c>
      <c r="Q171">
        <v>3</v>
      </c>
      <c r="R171">
        <v>3</v>
      </c>
      <c r="S171">
        <v>4</v>
      </c>
      <c r="T171" t="s">
        <v>23</v>
      </c>
      <c r="U171">
        <v>2</v>
      </c>
      <c r="W171" t="s">
        <v>1651</v>
      </c>
      <c r="X171" t="s">
        <v>1656</v>
      </c>
      <c r="Y171" t="s">
        <v>1661</v>
      </c>
      <c r="Z171">
        <v>0</v>
      </c>
    </row>
    <row r="172" spans="1:26" x14ac:dyDescent="0.35">
      <c r="A172" t="s">
        <v>1350</v>
      </c>
      <c r="B172" s="6">
        <v>42423</v>
      </c>
      <c r="C172" t="s">
        <v>23</v>
      </c>
      <c r="D172">
        <v>38</v>
      </c>
      <c r="E172" t="s">
        <v>62</v>
      </c>
      <c r="F172" t="s">
        <v>42</v>
      </c>
      <c r="G172" t="s">
        <v>32</v>
      </c>
      <c r="H172" t="s">
        <v>48</v>
      </c>
      <c r="I172" t="s">
        <v>129</v>
      </c>
      <c r="J172" t="s">
        <v>1633</v>
      </c>
      <c r="K172" t="s">
        <v>66</v>
      </c>
      <c r="L172">
        <v>45000</v>
      </c>
      <c r="M172">
        <v>6.9</v>
      </c>
      <c r="N172">
        <v>11.7</v>
      </c>
      <c r="O172">
        <v>9.9</v>
      </c>
      <c r="P172">
        <v>4.9000000000000004</v>
      </c>
      <c r="Q172">
        <v>4</v>
      </c>
      <c r="R172">
        <v>3</v>
      </c>
      <c r="S172">
        <v>3</v>
      </c>
      <c r="T172" t="s">
        <v>23</v>
      </c>
      <c r="U172">
        <v>4</v>
      </c>
      <c r="W172" t="s">
        <v>1649</v>
      </c>
      <c r="X172" t="s">
        <v>1656</v>
      </c>
      <c r="Y172" t="s">
        <v>1662</v>
      </c>
      <c r="Z172">
        <v>0</v>
      </c>
    </row>
    <row r="173" spans="1:26" x14ac:dyDescent="0.35">
      <c r="A173" t="s">
        <v>499</v>
      </c>
      <c r="B173" s="6">
        <v>44814</v>
      </c>
      <c r="C173" t="s">
        <v>23</v>
      </c>
      <c r="D173">
        <v>24</v>
      </c>
      <c r="E173" t="s">
        <v>62</v>
      </c>
      <c r="F173" t="s">
        <v>25</v>
      </c>
      <c r="G173" t="s">
        <v>26</v>
      </c>
      <c r="H173" t="s">
        <v>55</v>
      </c>
      <c r="I173" t="s">
        <v>179</v>
      </c>
      <c r="J173" t="s">
        <v>1632</v>
      </c>
      <c r="K173" t="s">
        <v>40</v>
      </c>
      <c r="L173">
        <v>46000</v>
      </c>
      <c r="M173">
        <v>8</v>
      </c>
      <c r="N173">
        <v>8.1</v>
      </c>
      <c r="O173">
        <v>3.3</v>
      </c>
      <c r="P173">
        <v>0.6</v>
      </c>
      <c r="Q173">
        <v>3</v>
      </c>
      <c r="R173">
        <v>4</v>
      </c>
      <c r="S173">
        <v>3</v>
      </c>
      <c r="T173" t="s">
        <v>23</v>
      </c>
      <c r="U173">
        <v>4</v>
      </c>
      <c r="W173" t="s">
        <v>1651</v>
      </c>
      <c r="X173" t="s">
        <v>1656</v>
      </c>
      <c r="Y173" t="s">
        <v>1661</v>
      </c>
      <c r="Z173">
        <v>0</v>
      </c>
    </row>
    <row r="174" spans="1:26" x14ac:dyDescent="0.35">
      <c r="A174" t="s">
        <v>189</v>
      </c>
      <c r="B174" s="6">
        <v>41672</v>
      </c>
      <c r="C174" t="s">
        <v>23</v>
      </c>
      <c r="D174">
        <v>38</v>
      </c>
      <c r="E174" t="s">
        <v>36</v>
      </c>
      <c r="F174" t="s">
        <v>37</v>
      </c>
      <c r="G174" t="s">
        <v>58</v>
      </c>
      <c r="H174" t="s">
        <v>1634</v>
      </c>
      <c r="I174" t="s">
        <v>60</v>
      </c>
      <c r="J174" t="s">
        <v>1636</v>
      </c>
      <c r="K174" t="s">
        <v>29</v>
      </c>
      <c r="L174">
        <v>112000</v>
      </c>
      <c r="M174">
        <v>7.6</v>
      </c>
      <c r="N174">
        <v>13.9</v>
      </c>
      <c r="O174">
        <v>11.9</v>
      </c>
      <c r="P174">
        <v>4.3</v>
      </c>
      <c r="Q174">
        <v>2</v>
      </c>
      <c r="R174">
        <v>4</v>
      </c>
      <c r="S174">
        <v>4</v>
      </c>
      <c r="T174" t="s">
        <v>23</v>
      </c>
      <c r="U174">
        <v>4</v>
      </c>
      <c r="W174" t="s">
        <v>1649</v>
      </c>
      <c r="X174" t="s">
        <v>1658</v>
      </c>
      <c r="Y174" t="s">
        <v>1663</v>
      </c>
      <c r="Z174">
        <v>0</v>
      </c>
    </row>
    <row r="175" spans="1:26" x14ac:dyDescent="0.35">
      <c r="A175" t="s">
        <v>1189</v>
      </c>
      <c r="B175" s="6">
        <v>45137</v>
      </c>
      <c r="C175" t="s">
        <v>30</v>
      </c>
      <c r="D175">
        <v>25</v>
      </c>
      <c r="E175" t="s">
        <v>62</v>
      </c>
      <c r="F175" t="s">
        <v>37</v>
      </c>
      <c r="G175" t="s">
        <v>26</v>
      </c>
      <c r="H175" t="s">
        <v>48</v>
      </c>
      <c r="I175" t="s">
        <v>201</v>
      </c>
      <c r="J175" t="s">
        <v>1632</v>
      </c>
      <c r="K175" t="s">
        <v>29</v>
      </c>
      <c r="L175">
        <v>41000</v>
      </c>
      <c r="M175">
        <v>11.4</v>
      </c>
      <c r="N175">
        <v>8.1</v>
      </c>
      <c r="O175">
        <v>2.1</v>
      </c>
      <c r="P175">
        <v>1.5</v>
      </c>
      <c r="Q175">
        <v>4</v>
      </c>
      <c r="R175">
        <v>4</v>
      </c>
      <c r="S175">
        <v>3</v>
      </c>
      <c r="T175" t="s">
        <v>23</v>
      </c>
      <c r="U175">
        <v>3</v>
      </c>
      <c r="V175" s="7">
        <v>45921</v>
      </c>
      <c r="W175" t="s">
        <v>1651</v>
      </c>
      <c r="X175" t="s">
        <v>1656</v>
      </c>
      <c r="Y175" t="s">
        <v>1665</v>
      </c>
      <c r="Z175">
        <v>1</v>
      </c>
    </row>
    <row r="176" spans="1:26" x14ac:dyDescent="0.35">
      <c r="A176" t="s">
        <v>857</v>
      </c>
      <c r="B176" s="6">
        <v>42513</v>
      </c>
      <c r="C176" t="s">
        <v>23</v>
      </c>
      <c r="D176">
        <v>35</v>
      </c>
      <c r="E176" t="s">
        <v>36</v>
      </c>
      <c r="F176" t="s">
        <v>42</v>
      </c>
      <c r="G176" t="s">
        <v>26</v>
      </c>
      <c r="H176" t="s">
        <v>48</v>
      </c>
      <c r="I176" t="s">
        <v>129</v>
      </c>
      <c r="J176" t="s">
        <v>1636</v>
      </c>
      <c r="K176" t="s">
        <v>50</v>
      </c>
      <c r="L176">
        <v>104000</v>
      </c>
      <c r="M176">
        <v>12.7</v>
      </c>
      <c r="N176">
        <v>13.6</v>
      </c>
      <c r="O176">
        <v>9.6</v>
      </c>
      <c r="P176">
        <v>1.9</v>
      </c>
      <c r="Q176">
        <v>4</v>
      </c>
      <c r="R176">
        <v>3</v>
      </c>
      <c r="S176">
        <v>3</v>
      </c>
      <c r="T176" t="s">
        <v>23</v>
      </c>
      <c r="U176">
        <v>2</v>
      </c>
      <c r="W176" t="s">
        <v>1650</v>
      </c>
      <c r="X176" t="s">
        <v>1658</v>
      </c>
      <c r="Y176" t="s">
        <v>1662</v>
      </c>
      <c r="Z176">
        <v>0</v>
      </c>
    </row>
    <row r="177" spans="1:26" x14ac:dyDescent="0.35">
      <c r="A177" t="s">
        <v>1063</v>
      </c>
      <c r="B177" s="6">
        <v>42959</v>
      </c>
      <c r="C177" t="s">
        <v>23</v>
      </c>
      <c r="D177">
        <v>29</v>
      </c>
      <c r="E177" t="s">
        <v>36</v>
      </c>
      <c r="F177" t="s">
        <v>37</v>
      </c>
      <c r="G177" t="s">
        <v>58</v>
      </c>
      <c r="H177" t="s">
        <v>38</v>
      </c>
      <c r="I177" t="s">
        <v>52</v>
      </c>
      <c r="J177" t="s">
        <v>1632</v>
      </c>
      <c r="K177" t="s">
        <v>84</v>
      </c>
      <c r="L177">
        <v>47000</v>
      </c>
      <c r="M177">
        <v>6.2</v>
      </c>
      <c r="N177">
        <v>11.8</v>
      </c>
      <c r="O177">
        <v>8.4</v>
      </c>
      <c r="P177">
        <v>6</v>
      </c>
      <c r="Q177">
        <v>3</v>
      </c>
      <c r="R177">
        <v>4</v>
      </c>
      <c r="S177">
        <v>4</v>
      </c>
      <c r="T177" t="s">
        <v>30</v>
      </c>
      <c r="U177">
        <v>3</v>
      </c>
      <c r="W177" t="s">
        <v>1650</v>
      </c>
      <c r="X177" t="s">
        <v>1656</v>
      </c>
      <c r="Y177" t="s">
        <v>1662</v>
      </c>
      <c r="Z177">
        <v>0</v>
      </c>
    </row>
    <row r="178" spans="1:26" x14ac:dyDescent="0.35">
      <c r="A178" t="s">
        <v>1580</v>
      </c>
      <c r="B178" s="6">
        <v>45500</v>
      </c>
      <c r="C178" t="s">
        <v>23</v>
      </c>
      <c r="D178">
        <v>22</v>
      </c>
      <c r="E178" t="s">
        <v>24</v>
      </c>
      <c r="F178" t="s">
        <v>42</v>
      </c>
      <c r="G178" t="s">
        <v>26</v>
      </c>
      <c r="H178" t="s">
        <v>38</v>
      </c>
      <c r="I178" t="s">
        <v>39</v>
      </c>
      <c r="J178" t="s">
        <v>1632</v>
      </c>
      <c r="K178" t="s">
        <v>40</v>
      </c>
      <c r="L178">
        <v>43000</v>
      </c>
      <c r="M178">
        <v>3.9</v>
      </c>
      <c r="N178">
        <v>7.2</v>
      </c>
      <c r="O178">
        <v>1.4</v>
      </c>
      <c r="P178">
        <v>1.1000000000000001</v>
      </c>
      <c r="Q178">
        <v>1</v>
      </c>
      <c r="R178">
        <v>3</v>
      </c>
      <c r="S178">
        <v>2</v>
      </c>
      <c r="T178" t="s">
        <v>23</v>
      </c>
      <c r="U178">
        <v>2</v>
      </c>
      <c r="W178" t="s">
        <v>1651</v>
      </c>
      <c r="X178" t="s">
        <v>1656</v>
      </c>
      <c r="Y178" t="s">
        <v>1665</v>
      </c>
      <c r="Z178">
        <v>0</v>
      </c>
    </row>
    <row r="179" spans="1:26" x14ac:dyDescent="0.35">
      <c r="A179" t="s">
        <v>351</v>
      </c>
      <c r="B179" s="6">
        <v>45780</v>
      </c>
      <c r="C179" t="s">
        <v>23</v>
      </c>
      <c r="D179">
        <v>21</v>
      </c>
      <c r="E179" t="s">
        <v>24</v>
      </c>
      <c r="F179" t="s">
        <v>25</v>
      </c>
      <c r="G179" t="s">
        <v>26</v>
      </c>
      <c r="H179" t="s">
        <v>27</v>
      </c>
      <c r="I179" t="s">
        <v>95</v>
      </c>
      <c r="J179" t="s">
        <v>1632</v>
      </c>
      <c r="K179" t="s">
        <v>50</v>
      </c>
      <c r="L179">
        <v>47000</v>
      </c>
      <c r="M179">
        <v>9.8000000000000007</v>
      </c>
      <c r="N179">
        <v>1.6</v>
      </c>
      <c r="O179">
        <v>0.7</v>
      </c>
      <c r="P179">
        <v>0</v>
      </c>
      <c r="Q179">
        <v>1</v>
      </c>
      <c r="R179">
        <v>3</v>
      </c>
      <c r="S179">
        <v>3</v>
      </c>
      <c r="T179" t="s">
        <v>23</v>
      </c>
      <c r="U179">
        <v>3</v>
      </c>
      <c r="W179" t="s">
        <v>1651</v>
      </c>
      <c r="X179" t="s">
        <v>1656</v>
      </c>
      <c r="Y179" t="s">
        <v>1664</v>
      </c>
      <c r="Z179">
        <v>0</v>
      </c>
    </row>
    <row r="180" spans="1:26" x14ac:dyDescent="0.35">
      <c r="A180" t="s">
        <v>1155</v>
      </c>
      <c r="B180" s="6">
        <v>45477</v>
      </c>
      <c r="C180" t="s">
        <v>30</v>
      </c>
      <c r="D180">
        <v>29</v>
      </c>
      <c r="E180" t="s">
        <v>62</v>
      </c>
      <c r="F180" t="s">
        <v>37</v>
      </c>
      <c r="G180" t="s">
        <v>32</v>
      </c>
      <c r="H180" t="s">
        <v>68</v>
      </c>
      <c r="I180" t="s">
        <v>69</v>
      </c>
      <c r="J180" t="s">
        <v>1636</v>
      </c>
      <c r="K180" t="s">
        <v>34</v>
      </c>
      <c r="L180">
        <v>114000</v>
      </c>
      <c r="M180">
        <v>8.8000000000000007</v>
      </c>
      <c r="N180">
        <v>2.6</v>
      </c>
      <c r="O180">
        <v>1.4</v>
      </c>
      <c r="P180">
        <v>0.7</v>
      </c>
      <c r="Q180">
        <v>4</v>
      </c>
      <c r="R180">
        <v>1</v>
      </c>
      <c r="S180">
        <v>3</v>
      </c>
      <c r="T180" t="s">
        <v>23</v>
      </c>
      <c r="U180">
        <v>3</v>
      </c>
      <c r="V180" s="7">
        <v>46004</v>
      </c>
      <c r="W180" t="s">
        <v>1650</v>
      </c>
      <c r="X180" t="s">
        <v>1658</v>
      </c>
      <c r="Y180" t="s">
        <v>1665</v>
      </c>
      <c r="Z180">
        <v>1</v>
      </c>
    </row>
    <row r="181" spans="1:26" x14ac:dyDescent="0.35">
      <c r="A181" t="s">
        <v>1268</v>
      </c>
      <c r="B181" s="6">
        <v>45542</v>
      </c>
      <c r="C181" t="s">
        <v>23</v>
      </c>
      <c r="D181">
        <v>34</v>
      </c>
      <c r="E181" t="s">
        <v>24</v>
      </c>
      <c r="F181" t="s">
        <v>37</v>
      </c>
      <c r="G181" t="s">
        <v>58</v>
      </c>
      <c r="H181" t="s">
        <v>27</v>
      </c>
      <c r="I181" t="s">
        <v>33</v>
      </c>
      <c r="J181" t="s">
        <v>1636</v>
      </c>
      <c r="K181" t="s">
        <v>29</v>
      </c>
      <c r="L181">
        <v>107000</v>
      </c>
      <c r="M181">
        <v>7.5</v>
      </c>
      <c r="N181">
        <v>4.4000000000000004</v>
      </c>
      <c r="O181">
        <v>1.3</v>
      </c>
      <c r="P181">
        <v>1.3</v>
      </c>
      <c r="Q181">
        <v>4</v>
      </c>
      <c r="R181">
        <v>3</v>
      </c>
      <c r="S181">
        <v>2</v>
      </c>
      <c r="T181" t="s">
        <v>30</v>
      </c>
      <c r="U181">
        <v>3</v>
      </c>
      <c r="W181" t="s">
        <v>1650</v>
      </c>
      <c r="X181" t="s">
        <v>1658</v>
      </c>
      <c r="Y181" t="s">
        <v>1665</v>
      </c>
      <c r="Z181">
        <v>0</v>
      </c>
    </row>
    <row r="182" spans="1:26" x14ac:dyDescent="0.35">
      <c r="A182" t="s">
        <v>751</v>
      </c>
      <c r="B182" s="6">
        <v>43319</v>
      </c>
      <c r="C182" t="s">
        <v>23</v>
      </c>
      <c r="D182">
        <v>35</v>
      </c>
      <c r="E182" t="s">
        <v>62</v>
      </c>
      <c r="F182" t="s">
        <v>25</v>
      </c>
      <c r="G182" t="s">
        <v>26</v>
      </c>
      <c r="H182" t="s">
        <v>38</v>
      </c>
      <c r="I182" t="s">
        <v>39</v>
      </c>
      <c r="J182" t="s">
        <v>1633</v>
      </c>
      <c r="K182" t="s">
        <v>66</v>
      </c>
      <c r="L182">
        <v>44000</v>
      </c>
      <c r="M182">
        <v>3.6</v>
      </c>
      <c r="N182">
        <v>13.7</v>
      </c>
      <c r="O182">
        <v>7.4</v>
      </c>
      <c r="P182">
        <v>4.8</v>
      </c>
      <c r="Q182">
        <v>3</v>
      </c>
      <c r="R182">
        <v>2</v>
      </c>
      <c r="S182">
        <v>3</v>
      </c>
      <c r="T182" t="s">
        <v>30</v>
      </c>
      <c r="U182">
        <v>3</v>
      </c>
      <c r="W182" t="s">
        <v>1650</v>
      </c>
      <c r="X182" t="s">
        <v>1656</v>
      </c>
      <c r="Y182" t="s">
        <v>1662</v>
      </c>
      <c r="Z182">
        <v>0</v>
      </c>
    </row>
    <row r="183" spans="1:26" x14ac:dyDescent="0.35">
      <c r="A183" t="s">
        <v>1518</v>
      </c>
      <c r="B183" s="6">
        <v>45349</v>
      </c>
      <c r="C183" t="s">
        <v>23</v>
      </c>
      <c r="D183">
        <v>34</v>
      </c>
      <c r="E183" t="s">
        <v>24</v>
      </c>
      <c r="F183" t="s">
        <v>37</v>
      </c>
      <c r="G183" t="s">
        <v>58</v>
      </c>
      <c r="H183" t="s">
        <v>38</v>
      </c>
      <c r="I183" t="s">
        <v>39</v>
      </c>
      <c r="J183" t="s">
        <v>1636</v>
      </c>
      <c r="K183" t="s">
        <v>40</v>
      </c>
      <c r="L183">
        <v>123000</v>
      </c>
      <c r="M183">
        <v>9.1</v>
      </c>
      <c r="N183">
        <v>7.3</v>
      </c>
      <c r="O183">
        <v>1.8</v>
      </c>
      <c r="P183">
        <v>1.4</v>
      </c>
      <c r="Q183">
        <v>3</v>
      </c>
      <c r="R183">
        <v>4</v>
      </c>
      <c r="S183">
        <v>4</v>
      </c>
      <c r="T183" t="s">
        <v>23</v>
      </c>
      <c r="U183">
        <v>1</v>
      </c>
      <c r="W183" t="s">
        <v>1650</v>
      </c>
      <c r="X183" t="s">
        <v>1658</v>
      </c>
      <c r="Y183" t="s">
        <v>1665</v>
      </c>
      <c r="Z183">
        <v>0</v>
      </c>
    </row>
    <row r="184" spans="1:26" x14ac:dyDescent="0.35">
      <c r="A184" t="s">
        <v>191</v>
      </c>
      <c r="B184" s="6">
        <v>44648</v>
      </c>
      <c r="C184" t="s">
        <v>23</v>
      </c>
      <c r="D184">
        <v>29</v>
      </c>
      <c r="E184" t="s">
        <v>24</v>
      </c>
      <c r="F184" t="s">
        <v>42</v>
      </c>
      <c r="G184" t="s">
        <v>26</v>
      </c>
      <c r="H184" t="s">
        <v>38</v>
      </c>
      <c r="I184" t="s">
        <v>118</v>
      </c>
      <c r="J184" t="s">
        <v>1636</v>
      </c>
      <c r="K184" t="s">
        <v>66</v>
      </c>
      <c r="L184">
        <v>117000</v>
      </c>
      <c r="M184">
        <v>9.8000000000000007</v>
      </c>
      <c r="N184">
        <v>7.2</v>
      </c>
      <c r="O184">
        <v>3.8</v>
      </c>
      <c r="P184">
        <v>1.5</v>
      </c>
      <c r="Q184">
        <v>3</v>
      </c>
      <c r="R184">
        <v>3</v>
      </c>
      <c r="S184">
        <v>3</v>
      </c>
      <c r="T184" t="s">
        <v>23</v>
      </c>
      <c r="U184">
        <v>2</v>
      </c>
      <c r="W184" t="s">
        <v>1650</v>
      </c>
      <c r="X184" t="s">
        <v>1658</v>
      </c>
      <c r="Y184" t="s">
        <v>1661</v>
      </c>
      <c r="Z184">
        <v>0</v>
      </c>
    </row>
    <row r="185" spans="1:26" x14ac:dyDescent="0.35">
      <c r="A185" t="s">
        <v>1026</v>
      </c>
      <c r="B185" s="6">
        <v>44243</v>
      </c>
      <c r="C185" t="s">
        <v>23</v>
      </c>
      <c r="D185">
        <v>36</v>
      </c>
      <c r="E185" t="s">
        <v>24</v>
      </c>
      <c r="F185" t="s">
        <v>42</v>
      </c>
      <c r="G185" t="s">
        <v>26</v>
      </c>
      <c r="H185" t="s">
        <v>55</v>
      </c>
      <c r="I185" t="s">
        <v>179</v>
      </c>
      <c r="J185" t="s">
        <v>1635</v>
      </c>
      <c r="K185" t="s">
        <v>34</v>
      </c>
      <c r="L185">
        <v>74000</v>
      </c>
      <c r="M185">
        <v>13.1</v>
      </c>
      <c r="N185">
        <v>5.4</v>
      </c>
      <c r="O185">
        <v>4.9000000000000004</v>
      </c>
      <c r="P185">
        <v>3.4</v>
      </c>
      <c r="Q185">
        <v>4</v>
      </c>
      <c r="R185">
        <v>3</v>
      </c>
      <c r="S185">
        <v>4</v>
      </c>
      <c r="T185" t="s">
        <v>23</v>
      </c>
      <c r="U185">
        <v>2</v>
      </c>
      <c r="W185" t="s">
        <v>1649</v>
      </c>
      <c r="X185" t="s">
        <v>1659</v>
      </c>
      <c r="Y185" t="s">
        <v>1661</v>
      </c>
      <c r="Z185">
        <v>0</v>
      </c>
    </row>
    <row r="186" spans="1:26" x14ac:dyDescent="0.35">
      <c r="A186" t="s">
        <v>1491</v>
      </c>
      <c r="B186" s="6">
        <v>42743</v>
      </c>
      <c r="C186" t="s">
        <v>23</v>
      </c>
      <c r="D186">
        <v>35</v>
      </c>
      <c r="E186" t="s">
        <v>62</v>
      </c>
      <c r="F186" t="s">
        <v>42</v>
      </c>
      <c r="G186" t="s">
        <v>32</v>
      </c>
      <c r="H186" t="s">
        <v>27</v>
      </c>
      <c r="I186" t="s">
        <v>43</v>
      </c>
      <c r="J186" t="s">
        <v>1633</v>
      </c>
      <c r="K186" t="s">
        <v>84</v>
      </c>
      <c r="L186">
        <v>59000</v>
      </c>
      <c r="M186">
        <v>15.7</v>
      </c>
      <c r="N186">
        <v>14.6</v>
      </c>
      <c r="O186">
        <v>9</v>
      </c>
      <c r="P186">
        <v>1</v>
      </c>
      <c r="Q186">
        <v>2</v>
      </c>
      <c r="R186">
        <v>4</v>
      </c>
      <c r="S186">
        <v>3</v>
      </c>
      <c r="T186" t="s">
        <v>23</v>
      </c>
      <c r="U186">
        <v>4</v>
      </c>
      <c r="W186" t="s">
        <v>1650</v>
      </c>
      <c r="X186" t="s">
        <v>1656</v>
      </c>
      <c r="Y186" t="s">
        <v>1662</v>
      </c>
      <c r="Z186">
        <v>0</v>
      </c>
    </row>
    <row r="187" spans="1:26" x14ac:dyDescent="0.35">
      <c r="A187" t="s">
        <v>878</v>
      </c>
      <c r="B187" s="6">
        <v>45726</v>
      </c>
      <c r="C187" t="s">
        <v>23</v>
      </c>
      <c r="D187">
        <v>21</v>
      </c>
      <c r="E187" t="s">
        <v>36</v>
      </c>
      <c r="F187" t="s">
        <v>42</v>
      </c>
      <c r="G187" t="s">
        <v>58</v>
      </c>
      <c r="H187" t="s">
        <v>55</v>
      </c>
      <c r="I187" t="s">
        <v>88</v>
      </c>
      <c r="J187" t="s">
        <v>1632</v>
      </c>
      <c r="K187" t="s">
        <v>50</v>
      </c>
      <c r="L187">
        <v>28000</v>
      </c>
      <c r="M187">
        <v>6.5</v>
      </c>
      <c r="N187">
        <v>4.2</v>
      </c>
      <c r="O187">
        <v>0.8</v>
      </c>
      <c r="P187">
        <v>0</v>
      </c>
      <c r="Q187">
        <v>4</v>
      </c>
      <c r="R187">
        <v>3</v>
      </c>
      <c r="S187">
        <v>4</v>
      </c>
      <c r="T187" t="s">
        <v>30</v>
      </c>
      <c r="U187">
        <v>4</v>
      </c>
      <c r="W187" t="s">
        <v>1651</v>
      </c>
      <c r="X187" t="s">
        <v>1655</v>
      </c>
      <c r="Y187" t="s">
        <v>1664</v>
      </c>
      <c r="Z187">
        <v>0</v>
      </c>
    </row>
    <row r="188" spans="1:26" x14ac:dyDescent="0.35">
      <c r="A188" t="s">
        <v>967</v>
      </c>
      <c r="B188" s="6">
        <v>44823</v>
      </c>
      <c r="C188" t="s">
        <v>23</v>
      </c>
      <c r="D188">
        <v>37</v>
      </c>
      <c r="E188" t="s">
        <v>36</v>
      </c>
      <c r="F188" t="s">
        <v>42</v>
      </c>
      <c r="G188" t="s">
        <v>54</v>
      </c>
      <c r="H188" t="s">
        <v>48</v>
      </c>
      <c r="I188" t="s">
        <v>49</v>
      </c>
      <c r="J188" t="s">
        <v>1633</v>
      </c>
      <c r="K188" t="s">
        <v>40</v>
      </c>
      <c r="L188">
        <v>48000</v>
      </c>
      <c r="M188">
        <v>9.6999999999999993</v>
      </c>
      <c r="N188">
        <v>5.0999999999999996</v>
      </c>
      <c r="O188">
        <v>3.3</v>
      </c>
      <c r="P188">
        <v>1.7</v>
      </c>
      <c r="Q188">
        <v>3</v>
      </c>
      <c r="R188">
        <v>1</v>
      </c>
      <c r="S188">
        <v>4</v>
      </c>
      <c r="T188" t="s">
        <v>30</v>
      </c>
      <c r="U188">
        <v>3</v>
      </c>
      <c r="W188" t="s">
        <v>1649</v>
      </c>
      <c r="X188" t="s">
        <v>1656</v>
      </c>
      <c r="Y188" t="s">
        <v>1661</v>
      </c>
      <c r="Z188">
        <v>0</v>
      </c>
    </row>
    <row r="189" spans="1:26" x14ac:dyDescent="0.35">
      <c r="A189" t="s">
        <v>1496</v>
      </c>
      <c r="B189" s="6">
        <v>43009</v>
      </c>
      <c r="C189" t="s">
        <v>23</v>
      </c>
      <c r="D189">
        <v>29</v>
      </c>
      <c r="E189" t="s">
        <v>62</v>
      </c>
      <c r="F189" t="s">
        <v>25</v>
      </c>
      <c r="G189" t="s">
        <v>26</v>
      </c>
      <c r="H189" t="s">
        <v>55</v>
      </c>
      <c r="I189" t="s">
        <v>56</v>
      </c>
      <c r="J189" t="s">
        <v>1635</v>
      </c>
      <c r="K189" t="s">
        <v>40</v>
      </c>
      <c r="L189">
        <v>77000</v>
      </c>
      <c r="M189">
        <v>5.3</v>
      </c>
      <c r="N189">
        <v>11.6</v>
      </c>
      <c r="O189">
        <v>8.1999999999999993</v>
      </c>
      <c r="P189">
        <v>4.3</v>
      </c>
      <c r="Q189">
        <v>3</v>
      </c>
      <c r="R189">
        <v>3</v>
      </c>
      <c r="S189">
        <v>2</v>
      </c>
      <c r="T189" t="s">
        <v>23</v>
      </c>
      <c r="U189">
        <v>3</v>
      </c>
      <c r="W189" t="s">
        <v>1650</v>
      </c>
      <c r="X189" t="s">
        <v>1659</v>
      </c>
      <c r="Y189" t="s">
        <v>1662</v>
      </c>
      <c r="Z189">
        <v>0</v>
      </c>
    </row>
    <row r="190" spans="1:26" x14ac:dyDescent="0.35">
      <c r="A190" t="s">
        <v>643</v>
      </c>
      <c r="B190" s="6">
        <v>43927</v>
      </c>
      <c r="C190" t="s">
        <v>23</v>
      </c>
      <c r="D190">
        <v>26</v>
      </c>
      <c r="E190" t="s">
        <v>62</v>
      </c>
      <c r="F190" t="s">
        <v>42</v>
      </c>
      <c r="G190" t="s">
        <v>32</v>
      </c>
      <c r="H190" t="s">
        <v>55</v>
      </c>
      <c r="I190" t="s">
        <v>56</v>
      </c>
      <c r="J190" t="s">
        <v>1632</v>
      </c>
      <c r="K190" t="s">
        <v>34</v>
      </c>
      <c r="L190">
        <v>49000</v>
      </c>
      <c r="M190">
        <v>5.2</v>
      </c>
      <c r="N190">
        <v>12.5</v>
      </c>
      <c r="O190">
        <v>5.7</v>
      </c>
      <c r="P190">
        <v>1.9</v>
      </c>
      <c r="Q190">
        <v>3</v>
      </c>
      <c r="R190">
        <v>3</v>
      </c>
      <c r="S190">
        <v>1</v>
      </c>
      <c r="T190" t="s">
        <v>30</v>
      </c>
      <c r="U190">
        <v>3</v>
      </c>
      <c r="W190" t="s">
        <v>1650</v>
      </c>
      <c r="X190" t="s">
        <v>1656</v>
      </c>
      <c r="Y190" t="s">
        <v>1661</v>
      </c>
      <c r="Z190">
        <v>0</v>
      </c>
    </row>
    <row r="191" spans="1:26" x14ac:dyDescent="0.35">
      <c r="A191" t="s">
        <v>1463</v>
      </c>
      <c r="B191" s="6">
        <v>42597</v>
      </c>
      <c r="C191" t="s">
        <v>23</v>
      </c>
      <c r="D191">
        <v>36</v>
      </c>
      <c r="E191" t="s">
        <v>62</v>
      </c>
      <c r="F191" t="s">
        <v>37</v>
      </c>
      <c r="G191" t="s">
        <v>58</v>
      </c>
      <c r="H191" t="s">
        <v>68</v>
      </c>
      <c r="I191" t="s">
        <v>121</v>
      </c>
      <c r="J191" t="s">
        <v>1637</v>
      </c>
      <c r="K191" t="s">
        <v>50</v>
      </c>
      <c r="L191">
        <v>155000</v>
      </c>
      <c r="M191">
        <v>5.6</v>
      </c>
      <c r="N191">
        <v>10.6</v>
      </c>
      <c r="O191">
        <v>9.4</v>
      </c>
      <c r="P191">
        <v>5.6</v>
      </c>
      <c r="Q191">
        <v>3</v>
      </c>
      <c r="R191">
        <v>1</v>
      </c>
      <c r="S191">
        <v>3</v>
      </c>
      <c r="T191" t="s">
        <v>23</v>
      </c>
      <c r="U191">
        <v>4</v>
      </c>
      <c r="W191" t="s">
        <v>1649</v>
      </c>
      <c r="X191" t="s">
        <v>1658</v>
      </c>
      <c r="Y191" t="s">
        <v>1662</v>
      </c>
      <c r="Z191">
        <v>0</v>
      </c>
    </row>
    <row r="192" spans="1:26" x14ac:dyDescent="0.35">
      <c r="A192" t="s">
        <v>1154</v>
      </c>
      <c r="B192" s="6">
        <v>43602</v>
      </c>
      <c r="C192" t="s">
        <v>23</v>
      </c>
      <c r="D192">
        <v>29</v>
      </c>
      <c r="E192" t="s">
        <v>24</v>
      </c>
      <c r="F192" t="s">
        <v>25</v>
      </c>
      <c r="G192" t="s">
        <v>54</v>
      </c>
      <c r="H192" t="s">
        <v>1634</v>
      </c>
      <c r="I192" t="s">
        <v>60</v>
      </c>
      <c r="J192" t="s">
        <v>1636</v>
      </c>
      <c r="K192" t="s">
        <v>29</v>
      </c>
      <c r="L192">
        <v>109000</v>
      </c>
      <c r="M192">
        <v>19.2</v>
      </c>
      <c r="N192">
        <v>10.6</v>
      </c>
      <c r="O192">
        <v>6.6</v>
      </c>
      <c r="P192">
        <v>0.4</v>
      </c>
      <c r="Q192">
        <v>3</v>
      </c>
      <c r="R192">
        <v>4</v>
      </c>
      <c r="S192">
        <v>3</v>
      </c>
      <c r="T192" t="s">
        <v>30</v>
      </c>
      <c r="U192">
        <v>2</v>
      </c>
      <c r="W192" t="s">
        <v>1650</v>
      </c>
      <c r="X192" t="s">
        <v>1658</v>
      </c>
      <c r="Y192" t="s">
        <v>1662</v>
      </c>
      <c r="Z192">
        <v>0</v>
      </c>
    </row>
    <row r="193" spans="1:26" x14ac:dyDescent="0.35">
      <c r="A193" t="s">
        <v>120</v>
      </c>
      <c r="B193" s="6">
        <v>45550</v>
      </c>
      <c r="C193" t="s">
        <v>23</v>
      </c>
      <c r="D193">
        <v>41</v>
      </c>
      <c r="E193" t="s">
        <v>36</v>
      </c>
      <c r="F193" t="s">
        <v>42</v>
      </c>
      <c r="G193" t="s">
        <v>54</v>
      </c>
      <c r="H193" t="s">
        <v>68</v>
      </c>
      <c r="I193" t="s">
        <v>121</v>
      </c>
      <c r="J193" t="s">
        <v>1637</v>
      </c>
      <c r="K193" t="s">
        <v>29</v>
      </c>
      <c r="L193">
        <v>147000</v>
      </c>
      <c r="M193">
        <v>8.9</v>
      </c>
      <c r="N193">
        <v>1.9</v>
      </c>
      <c r="O193">
        <v>1.3</v>
      </c>
      <c r="P193">
        <v>0.7</v>
      </c>
      <c r="Q193">
        <v>2</v>
      </c>
      <c r="R193">
        <v>3</v>
      </c>
      <c r="S193">
        <v>4</v>
      </c>
      <c r="T193" t="s">
        <v>30</v>
      </c>
      <c r="U193">
        <v>3</v>
      </c>
      <c r="W193" t="s">
        <v>1649</v>
      </c>
      <c r="X193" t="s">
        <v>1658</v>
      </c>
      <c r="Y193" t="s">
        <v>1665</v>
      </c>
      <c r="Z193">
        <v>0</v>
      </c>
    </row>
    <row r="194" spans="1:26" x14ac:dyDescent="0.35">
      <c r="A194" t="s">
        <v>1574</v>
      </c>
      <c r="B194" s="6">
        <v>45049</v>
      </c>
      <c r="C194" t="s">
        <v>23</v>
      </c>
      <c r="D194">
        <v>29</v>
      </c>
      <c r="E194" t="s">
        <v>62</v>
      </c>
      <c r="F194" t="s">
        <v>42</v>
      </c>
      <c r="G194" t="s">
        <v>32</v>
      </c>
      <c r="H194" t="s">
        <v>1634</v>
      </c>
      <c r="I194" t="s">
        <v>150</v>
      </c>
      <c r="J194" t="s">
        <v>1633</v>
      </c>
      <c r="K194" t="s">
        <v>34</v>
      </c>
      <c r="L194">
        <v>68000</v>
      </c>
      <c r="M194">
        <v>11.8</v>
      </c>
      <c r="N194">
        <v>7.3</v>
      </c>
      <c r="O194">
        <v>2.7</v>
      </c>
      <c r="P194">
        <v>0.4</v>
      </c>
      <c r="Q194">
        <v>2</v>
      </c>
      <c r="R194">
        <v>2</v>
      </c>
      <c r="S194">
        <v>3</v>
      </c>
      <c r="T194" t="s">
        <v>30</v>
      </c>
      <c r="U194">
        <v>3</v>
      </c>
      <c r="W194" t="s">
        <v>1650</v>
      </c>
      <c r="X194" t="s">
        <v>1659</v>
      </c>
      <c r="Y194" t="s">
        <v>1665</v>
      </c>
      <c r="Z194">
        <v>0</v>
      </c>
    </row>
    <row r="195" spans="1:26" x14ac:dyDescent="0.35">
      <c r="A195" t="s">
        <v>528</v>
      </c>
      <c r="B195" s="6">
        <v>45400</v>
      </c>
      <c r="C195" t="s">
        <v>23</v>
      </c>
      <c r="D195">
        <v>37</v>
      </c>
      <c r="E195" t="s">
        <v>24</v>
      </c>
      <c r="F195" t="s">
        <v>42</v>
      </c>
      <c r="G195" t="s">
        <v>54</v>
      </c>
      <c r="H195" t="s">
        <v>68</v>
      </c>
      <c r="I195" t="s">
        <v>121</v>
      </c>
      <c r="J195" t="s">
        <v>1633</v>
      </c>
      <c r="K195" t="s">
        <v>66</v>
      </c>
      <c r="L195">
        <v>62000</v>
      </c>
      <c r="M195">
        <v>11.5</v>
      </c>
      <c r="N195">
        <v>7.3</v>
      </c>
      <c r="O195">
        <v>1.7</v>
      </c>
      <c r="P195">
        <v>0.1</v>
      </c>
      <c r="Q195">
        <v>3</v>
      </c>
      <c r="R195">
        <v>4</v>
      </c>
      <c r="S195">
        <v>3</v>
      </c>
      <c r="T195" t="s">
        <v>30</v>
      </c>
      <c r="U195">
        <v>2</v>
      </c>
      <c r="W195" t="s">
        <v>1649</v>
      </c>
      <c r="X195" t="s">
        <v>1659</v>
      </c>
      <c r="Y195" t="s">
        <v>1665</v>
      </c>
      <c r="Z195">
        <v>0</v>
      </c>
    </row>
    <row r="196" spans="1:26" x14ac:dyDescent="0.35">
      <c r="A196" t="s">
        <v>1146</v>
      </c>
      <c r="B196" s="6">
        <v>43127</v>
      </c>
      <c r="C196" t="s">
        <v>23</v>
      </c>
      <c r="D196">
        <v>28</v>
      </c>
      <c r="E196" t="s">
        <v>24</v>
      </c>
      <c r="F196" t="s">
        <v>37</v>
      </c>
      <c r="G196" t="s">
        <v>32</v>
      </c>
      <c r="H196" t="s">
        <v>38</v>
      </c>
      <c r="I196" t="s">
        <v>39</v>
      </c>
      <c r="J196" t="s">
        <v>1633</v>
      </c>
      <c r="K196" t="s">
        <v>40</v>
      </c>
      <c r="L196">
        <v>57000</v>
      </c>
      <c r="M196">
        <v>8.6999999999999993</v>
      </c>
      <c r="N196">
        <v>13.9</v>
      </c>
      <c r="O196">
        <v>7.9</v>
      </c>
      <c r="P196">
        <v>1.5</v>
      </c>
      <c r="Q196">
        <v>3</v>
      </c>
      <c r="R196">
        <v>3</v>
      </c>
      <c r="S196">
        <v>4</v>
      </c>
      <c r="T196" t="s">
        <v>30</v>
      </c>
      <c r="U196">
        <v>2</v>
      </c>
      <c r="W196" t="s">
        <v>1650</v>
      </c>
      <c r="X196" t="s">
        <v>1656</v>
      </c>
      <c r="Y196" t="s">
        <v>1662</v>
      </c>
      <c r="Z196">
        <v>0</v>
      </c>
    </row>
    <row r="197" spans="1:26" x14ac:dyDescent="0.35">
      <c r="A197" t="s">
        <v>1103</v>
      </c>
      <c r="B197" s="6">
        <v>43219</v>
      </c>
      <c r="C197" t="s">
        <v>23</v>
      </c>
      <c r="D197">
        <v>34</v>
      </c>
      <c r="E197" t="s">
        <v>24</v>
      </c>
      <c r="F197" t="s">
        <v>37</v>
      </c>
      <c r="G197" t="s">
        <v>58</v>
      </c>
      <c r="H197" t="s">
        <v>55</v>
      </c>
      <c r="I197" t="s">
        <v>80</v>
      </c>
      <c r="J197" t="s">
        <v>1633</v>
      </c>
      <c r="K197" t="s">
        <v>50</v>
      </c>
      <c r="L197">
        <v>50000</v>
      </c>
      <c r="M197">
        <v>10.5</v>
      </c>
      <c r="N197">
        <v>14.2</v>
      </c>
      <c r="O197">
        <v>7.7</v>
      </c>
      <c r="P197">
        <v>0.1</v>
      </c>
      <c r="Q197">
        <v>3</v>
      </c>
      <c r="R197">
        <v>1</v>
      </c>
      <c r="S197">
        <v>4</v>
      </c>
      <c r="T197" t="s">
        <v>23</v>
      </c>
      <c r="U197">
        <v>3</v>
      </c>
      <c r="W197" t="s">
        <v>1650</v>
      </c>
      <c r="X197" t="s">
        <v>1656</v>
      </c>
      <c r="Y197" t="s">
        <v>1662</v>
      </c>
      <c r="Z197">
        <v>0</v>
      </c>
    </row>
    <row r="198" spans="1:26" x14ac:dyDescent="0.35">
      <c r="A198" t="s">
        <v>669</v>
      </c>
      <c r="B198" s="6">
        <v>41964</v>
      </c>
      <c r="C198" t="s">
        <v>23</v>
      </c>
      <c r="D198">
        <v>37</v>
      </c>
      <c r="E198" t="s">
        <v>36</v>
      </c>
      <c r="F198" t="s">
        <v>37</v>
      </c>
      <c r="G198" t="s">
        <v>26</v>
      </c>
      <c r="H198" t="s">
        <v>38</v>
      </c>
      <c r="I198" t="s">
        <v>52</v>
      </c>
      <c r="J198" t="s">
        <v>1632</v>
      </c>
      <c r="K198" t="s">
        <v>66</v>
      </c>
      <c r="L198">
        <v>48000</v>
      </c>
      <c r="M198">
        <v>12.3</v>
      </c>
      <c r="N198">
        <v>14.2</v>
      </c>
      <c r="O198">
        <v>11.1</v>
      </c>
      <c r="P198">
        <v>2.6</v>
      </c>
      <c r="Q198">
        <v>3</v>
      </c>
      <c r="R198">
        <v>3</v>
      </c>
      <c r="S198">
        <v>4</v>
      </c>
      <c r="T198" t="s">
        <v>23</v>
      </c>
      <c r="U198">
        <v>3</v>
      </c>
      <c r="W198" t="s">
        <v>1649</v>
      </c>
      <c r="X198" t="s">
        <v>1656</v>
      </c>
      <c r="Y198" t="s">
        <v>1663</v>
      </c>
      <c r="Z198">
        <v>0</v>
      </c>
    </row>
    <row r="199" spans="1:26" x14ac:dyDescent="0.35">
      <c r="A199" t="s">
        <v>877</v>
      </c>
      <c r="B199" s="6">
        <v>43781</v>
      </c>
      <c r="C199" t="s">
        <v>30</v>
      </c>
      <c r="D199">
        <v>33</v>
      </c>
      <c r="E199" t="s">
        <v>62</v>
      </c>
      <c r="F199" t="s">
        <v>37</v>
      </c>
      <c r="G199" t="s">
        <v>54</v>
      </c>
      <c r="H199" t="s">
        <v>27</v>
      </c>
      <c r="I199" t="s">
        <v>95</v>
      </c>
      <c r="J199" t="s">
        <v>1635</v>
      </c>
      <c r="K199" t="s">
        <v>29</v>
      </c>
      <c r="L199">
        <v>59000</v>
      </c>
      <c r="M199">
        <v>10.7</v>
      </c>
      <c r="N199">
        <v>6.8</v>
      </c>
      <c r="O199">
        <v>5.7</v>
      </c>
      <c r="P199">
        <v>1.1000000000000001</v>
      </c>
      <c r="Q199">
        <v>3</v>
      </c>
      <c r="R199">
        <v>4</v>
      </c>
      <c r="S199">
        <v>3</v>
      </c>
      <c r="T199" t="s">
        <v>23</v>
      </c>
      <c r="U199">
        <v>4</v>
      </c>
      <c r="V199" s="7">
        <v>45854</v>
      </c>
      <c r="W199" t="s">
        <v>1650</v>
      </c>
      <c r="X199" t="s">
        <v>1656</v>
      </c>
      <c r="Y199" t="s">
        <v>1661</v>
      </c>
      <c r="Z199">
        <v>1</v>
      </c>
    </row>
    <row r="200" spans="1:26" x14ac:dyDescent="0.35">
      <c r="A200" t="s">
        <v>1388</v>
      </c>
      <c r="B200" s="6">
        <v>43842</v>
      </c>
      <c r="C200" t="s">
        <v>23</v>
      </c>
      <c r="D200">
        <v>35</v>
      </c>
      <c r="E200" t="s">
        <v>24</v>
      </c>
      <c r="F200" t="s">
        <v>42</v>
      </c>
      <c r="G200" t="s">
        <v>58</v>
      </c>
      <c r="H200" t="s">
        <v>68</v>
      </c>
      <c r="I200" t="s">
        <v>121</v>
      </c>
      <c r="J200" t="s">
        <v>1635</v>
      </c>
      <c r="K200" t="s">
        <v>66</v>
      </c>
      <c r="L200">
        <v>65000</v>
      </c>
      <c r="M200">
        <v>4.7</v>
      </c>
      <c r="N200">
        <v>7.4</v>
      </c>
      <c r="O200">
        <v>6</v>
      </c>
      <c r="P200">
        <v>1.9</v>
      </c>
      <c r="Q200">
        <v>3</v>
      </c>
      <c r="R200">
        <v>2</v>
      </c>
      <c r="S200">
        <v>4</v>
      </c>
      <c r="T200" t="s">
        <v>23</v>
      </c>
      <c r="U200">
        <v>4</v>
      </c>
      <c r="W200" t="s">
        <v>1650</v>
      </c>
      <c r="X200" t="s">
        <v>1659</v>
      </c>
      <c r="Y200" t="s">
        <v>1661</v>
      </c>
      <c r="Z200">
        <v>0</v>
      </c>
    </row>
    <row r="201" spans="1:26" x14ac:dyDescent="0.35">
      <c r="A201" t="s">
        <v>450</v>
      </c>
      <c r="B201" s="6">
        <v>43106</v>
      </c>
      <c r="C201" t="s">
        <v>23</v>
      </c>
      <c r="D201">
        <v>33</v>
      </c>
      <c r="E201" t="s">
        <v>36</v>
      </c>
      <c r="F201" t="s">
        <v>37</v>
      </c>
      <c r="G201" t="s">
        <v>32</v>
      </c>
      <c r="H201" t="s">
        <v>55</v>
      </c>
      <c r="I201" t="s">
        <v>179</v>
      </c>
      <c r="J201" t="s">
        <v>1633</v>
      </c>
      <c r="K201" t="s">
        <v>40</v>
      </c>
      <c r="L201">
        <v>68000</v>
      </c>
      <c r="M201">
        <v>9.1</v>
      </c>
      <c r="N201">
        <v>8.4</v>
      </c>
      <c r="O201">
        <v>8</v>
      </c>
      <c r="P201">
        <v>6</v>
      </c>
      <c r="Q201">
        <v>4</v>
      </c>
      <c r="R201">
        <v>2</v>
      </c>
      <c r="S201">
        <v>4</v>
      </c>
      <c r="T201" t="s">
        <v>30</v>
      </c>
      <c r="U201">
        <v>4</v>
      </c>
      <c r="W201" t="s">
        <v>1650</v>
      </c>
      <c r="X201" t="s">
        <v>1659</v>
      </c>
      <c r="Y201" t="s">
        <v>1662</v>
      </c>
      <c r="Z201">
        <v>0</v>
      </c>
    </row>
    <row r="202" spans="1:26" x14ac:dyDescent="0.35">
      <c r="A202" t="s">
        <v>1209</v>
      </c>
      <c r="B202" s="6">
        <v>42932</v>
      </c>
      <c r="C202" t="s">
        <v>23</v>
      </c>
      <c r="D202">
        <v>40</v>
      </c>
      <c r="E202" t="s">
        <v>36</v>
      </c>
      <c r="F202" t="s">
        <v>25</v>
      </c>
      <c r="G202" t="s">
        <v>58</v>
      </c>
      <c r="H202" t="s">
        <v>27</v>
      </c>
      <c r="I202" t="s">
        <v>28</v>
      </c>
      <c r="J202" t="s">
        <v>1636</v>
      </c>
      <c r="K202" t="s">
        <v>40</v>
      </c>
      <c r="L202">
        <v>101000</v>
      </c>
      <c r="M202">
        <v>9.4</v>
      </c>
      <c r="N202">
        <v>16</v>
      </c>
      <c r="O202">
        <v>8.5</v>
      </c>
      <c r="P202">
        <v>3.4</v>
      </c>
      <c r="Q202">
        <v>1</v>
      </c>
      <c r="R202">
        <v>3</v>
      </c>
      <c r="S202">
        <v>2</v>
      </c>
      <c r="T202" t="s">
        <v>23</v>
      </c>
      <c r="U202">
        <v>5</v>
      </c>
      <c r="W202" t="s">
        <v>1649</v>
      </c>
      <c r="X202" t="s">
        <v>1658</v>
      </c>
      <c r="Y202" t="s">
        <v>1662</v>
      </c>
      <c r="Z202">
        <v>0</v>
      </c>
    </row>
    <row r="203" spans="1:26" x14ac:dyDescent="0.35">
      <c r="A203" t="s">
        <v>167</v>
      </c>
      <c r="B203" s="6">
        <v>45089</v>
      </c>
      <c r="C203" t="s">
        <v>30</v>
      </c>
      <c r="D203">
        <v>30</v>
      </c>
      <c r="E203" t="s">
        <v>36</v>
      </c>
      <c r="F203" t="s">
        <v>37</v>
      </c>
      <c r="G203" t="s">
        <v>26</v>
      </c>
      <c r="H203" t="s">
        <v>48</v>
      </c>
      <c r="I203" t="s">
        <v>63</v>
      </c>
      <c r="J203" t="s">
        <v>1632</v>
      </c>
      <c r="K203" t="s">
        <v>40</v>
      </c>
      <c r="L203">
        <v>32000</v>
      </c>
      <c r="M203">
        <v>9.9</v>
      </c>
      <c r="N203">
        <v>4</v>
      </c>
      <c r="O203">
        <v>2.4</v>
      </c>
      <c r="P203">
        <v>0.3</v>
      </c>
      <c r="Q203">
        <v>3</v>
      </c>
      <c r="R203">
        <v>3</v>
      </c>
      <c r="S203">
        <v>4</v>
      </c>
      <c r="T203" t="s">
        <v>30</v>
      </c>
      <c r="U203">
        <v>4</v>
      </c>
      <c r="V203" s="7">
        <v>45972</v>
      </c>
      <c r="W203" t="s">
        <v>1650</v>
      </c>
      <c r="X203" t="s">
        <v>1655</v>
      </c>
      <c r="Y203" t="s">
        <v>1665</v>
      </c>
      <c r="Z203">
        <v>1</v>
      </c>
    </row>
    <row r="204" spans="1:26" x14ac:dyDescent="0.35">
      <c r="A204" t="s">
        <v>560</v>
      </c>
      <c r="B204" s="6">
        <v>42296</v>
      </c>
      <c r="C204" t="s">
        <v>23</v>
      </c>
      <c r="D204">
        <v>42</v>
      </c>
      <c r="E204" t="s">
        <v>24</v>
      </c>
      <c r="F204" t="s">
        <v>25</v>
      </c>
      <c r="G204" t="s">
        <v>54</v>
      </c>
      <c r="H204" t="s">
        <v>27</v>
      </c>
      <c r="I204" t="s">
        <v>95</v>
      </c>
      <c r="J204" t="s">
        <v>1635</v>
      </c>
      <c r="K204" t="s">
        <v>29</v>
      </c>
      <c r="L204">
        <v>66000</v>
      </c>
      <c r="M204">
        <v>8.3000000000000007</v>
      </c>
      <c r="N204">
        <v>17.7</v>
      </c>
      <c r="O204">
        <v>10.199999999999999</v>
      </c>
      <c r="P204">
        <v>2.4</v>
      </c>
      <c r="Q204">
        <v>4</v>
      </c>
      <c r="R204">
        <v>2</v>
      </c>
      <c r="S204">
        <v>3</v>
      </c>
      <c r="T204" t="s">
        <v>23</v>
      </c>
      <c r="U204">
        <v>2</v>
      </c>
      <c r="W204" t="s">
        <v>1649</v>
      </c>
      <c r="X204" t="s">
        <v>1659</v>
      </c>
      <c r="Y204" t="s">
        <v>1663</v>
      </c>
      <c r="Z204">
        <v>0</v>
      </c>
    </row>
    <row r="205" spans="1:26" x14ac:dyDescent="0.35">
      <c r="A205" t="s">
        <v>227</v>
      </c>
      <c r="B205" s="6">
        <v>41773</v>
      </c>
      <c r="C205" t="s">
        <v>23</v>
      </c>
      <c r="D205">
        <v>43</v>
      </c>
      <c r="E205" t="s">
        <v>24</v>
      </c>
      <c r="F205" t="s">
        <v>37</v>
      </c>
      <c r="G205" t="s">
        <v>26</v>
      </c>
      <c r="H205" t="s">
        <v>48</v>
      </c>
      <c r="I205" t="s">
        <v>129</v>
      </c>
      <c r="J205" t="s">
        <v>1633</v>
      </c>
      <c r="K205" t="s">
        <v>29</v>
      </c>
      <c r="L205">
        <v>57000</v>
      </c>
      <c r="M205">
        <v>13.1</v>
      </c>
      <c r="N205">
        <v>13.4</v>
      </c>
      <c r="O205">
        <v>11.6</v>
      </c>
      <c r="P205">
        <v>3.5</v>
      </c>
      <c r="Q205">
        <v>4</v>
      </c>
      <c r="R205">
        <v>2</v>
      </c>
      <c r="S205">
        <v>3</v>
      </c>
      <c r="T205" t="s">
        <v>23</v>
      </c>
      <c r="U205">
        <v>4</v>
      </c>
      <c r="W205" t="s">
        <v>1649</v>
      </c>
      <c r="X205" t="s">
        <v>1656</v>
      </c>
      <c r="Y205" t="s">
        <v>1663</v>
      </c>
      <c r="Z205">
        <v>0</v>
      </c>
    </row>
    <row r="206" spans="1:26" x14ac:dyDescent="0.35">
      <c r="A206" t="s">
        <v>962</v>
      </c>
      <c r="B206" s="6">
        <v>42619</v>
      </c>
      <c r="C206" t="s">
        <v>23</v>
      </c>
      <c r="D206">
        <v>35</v>
      </c>
      <c r="E206" t="s">
        <v>36</v>
      </c>
      <c r="F206" t="s">
        <v>25</v>
      </c>
      <c r="G206" t="s">
        <v>26</v>
      </c>
      <c r="H206" t="s">
        <v>27</v>
      </c>
      <c r="I206" t="s">
        <v>33</v>
      </c>
      <c r="J206" t="s">
        <v>1636</v>
      </c>
      <c r="K206" t="s">
        <v>40</v>
      </c>
      <c r="L206">
        <v>114000</v>
      </c>
      <c r="M206">
        <v>9.3000000000000007</v>
      </c>
      <c r="N206">
        <v>15.8</v>
      </c>
      <c r="O206">
        <v>9.3000000000000007</v>
      </c>
      <c r="P206">
        <v>3.7</v>
      </c>
      <c r="Q206">
        <v>2</v>
      </c>
      <c r="R206">
        <v>3</v>
      </c>
      <c r="S206">
        <v>2</v>
      </c>
      <c r="T206" t="s">
        <v>23</v>
      </c>
      <c r="U206">
        <v>3</v>
      </c>
      <c r="W206" t="s">
        <v>1650</v>
      </c>
      <c r="X206" t="s">
        <v>1658</v>
      </c>
      <c r="Y206" t="s">
        <v>1662</v>
      </c>
      <c r="Z206">
        <v>0</v>
      </c>
    </row>
    <row r="207" spans="1:26" x14ac:dyDescent="0.35">
      <c r="A207" t="s">
        <v>1167</v>
      </c>
      <c r="B207" s="6">
        <v>43100</v>
      </c>
      <c r="C207" t="s">
        <v>23</v>
      </c>
      <c r="D207">
        <v>29</v>
      </c>
      <c r="E207" t="s">
        <v>36</v>
      </c>
      <c r="F207" t="s">
        <v>37</v>
      </c>
      <c r="G207" t="s">
        <v>26</v>
      </c>
      <c r="H207" t="s">
        <v>68</v>
      </c>
      <c r="I207" t="s">
        <v>69</v>
      </c>
      <c r="J207" t="s">
        <v>1633</v>
      </c>
      <c r="K207" t="s">
        <v>50</v>
      </c>
      <c r="L207">
        <v>65000</v>
      </c>
      <c r="M207">
        <v>18.2</v>
      </c>
      <c r="N207">
        <v>15.1</v>
      </c>
      <c r="O207">
        <v>8</v>
      </c>
      <c r="P207">
        <v>2.7</v>
      </c>
      <c r="Q207">
        <v>3</v>
      </c>
      <c r="R207">
        <v>3</v>
      </c>
      <c r="S207">
        <v>2</v>
      </c>
      <c r="T207" t="s">
        <v>30</v>
      </c>
      <c r="U207">
        <v>2</v>
      </c>
      <c r="W207" t="s">
        <v>1650</v>
      </c>
      <c r="X207" t="s">
        <v>1659</v>
      </c>
      <c r="Y207" t="s">
        <v>1662</v>
      </c>
      <c r="Z207">
        <v>0</v>
      </c>
    </row>
    <row r="208" spans="1:26" x14ac:dyDescent="0.35">
      <c r="A208" t="s">
        <v>1120</v>
      </c>
      <c r="B208" s="6">
        <v>42479</v>
      </c>
      <c r="C208" t="s">
        <v>23</v>
      </c>
      <c r="D208">
        <v>30</v>
      </c>
      <c r="E208" t="s">
        <v>62</v>
      </c>
      <c r="F208" t="s">
        <v>37</v>
      </c>
      <c r="G208" t="s">
        <v>32</v>
      </c>
      <c r="H208" t="s">
        <v>48</v>
      </c>
      <c r="I208" t="s">
        <v>201</v>
      </c>
      <c r="J208" t="s">
        <v>1635</v>
      </c>
      <c r="K208" t="s">
        <v>34</v>
      </c>
      <c r="L208">
        <v>93000</v>
      </c>
      <c r="M208">
        <v>15.3</v>
      </c>
      <c r="N208">
        <v>14.1</v>
      </c>
      <c r="O208">
        <v>9.6999999999999993</v>
      </c>
      <c r="P208">
        <v>0.6</v>
      </c>
      <c r="Q208">
        <v>3</v>
      </c>
      <c r="R208">
        <v>3</v>
      </c>
      <c r="S208">
        <v>4</v>
      </c>
      <c r="T208" t="s">
        <v>23</v>
      </c>
      <c r="U208">
        <v>4</v>
      </c>
      <c r="W208" t="s">
        <v>1650</v>
      </c>
      <c r="X208" t="s">
        <v>1657</v>
      </c>
      <c r="Y208" t="s">
        <v>1662</v>
      </c>
      <c r="Z208">
        <v>0</v>
      </c>
    </row>
    <row r="209" spans="1:26" x14ac:dyDescent="0.35">
      <c r="A209" t="s">
        <v>575</v>
      </c>
      <c r="B209" s="6">
        <v>44784</v>
      </c>
      <c r="C209" t="s">
        <v>23</v>
      </c>
      <c r="D209">
        <v>30</v>
      </c>
      <c r="E209" t="s">
        <v>62</v>
      </c>
      <c r="F209" t="s">
        <v>25</v>
      </c>
      <c r="G209" t="s">
        <v>54</v>
      </c>
      <c r="H209" t="s">
        <v>38</v>
      </c>
      <c r="I209" t="s">
        <v>118</v>
      </c>
      <c r="J209" t="s">
        <v>1633</v>
      </c>
      <c r="K209" t="s">
        <v>29</v>
      </c>
      <c r="L209">
        <v>57000</v>
      </c>
      <c r="M209">
        <v>3.6</v>
      </c>
      <c r="N209">
        <v>6.4</v>
      </c>
      <c r="O209">
        <v>3.4</v>
      </c>
      <c r="P209">
        <v>2.5</v>
      </c>
      <c r="Q209">
        <v>1</v>
      </c>
      <c r="R209">
        <v>3</v>
      </c>
      <c r="S209">
        <v>4</v>
      </c>
      <c r="T209" t="s">
        <v>23</v>
      </c>
      <c r="U209">
        <v>2</v>
      </c>
      <c r="W209" t="s">
        <v>1650</v>
      </c>
      <c r="X209" t="s">
        <v>1656</v>
      </c>
      <c r="Y209" t="s">
        <v>1661</v>
      </c>
      <c r="Z209">
        <v>0</v>
      </c>
    </row>
    <row r="210" spans="1:26" x14ac:dyDescent="0.35">
      <c r="A210" t="s">
        <v>218</v>
      </c>
      <c r="B210" s="6">
        <v>43951</v>
      </c>
      <c r="C210" t="s">
        <v>30</v>
      </c>
      <c r="D210">
        <v>26</v>
      </c>
      <c r="E210" t="s">
        <v>62</v>
      </c>
      <c r="F210" t="s">
        <v>1638</v>
      </c>
      <c r="G210" t="s">
        <v>58</v>
      </c>
      <c r="H210" t="s">
        <v>38</v>
      </c>
      <c r="I210" t="s">
        <v>52</v>
      </c>
      <c r="J210" t="s">
        <v>1632</v>
      </c>
      <c r="K210" t="s">
        <v>84</v>
      </c>
      <c r="L210">
        <v>31000</v>
      </c>
      <c r="M210">
        <v>8.9</v>
      </c>
      <c r="N210">
        <v>7.5</v>
      </c>
      <c r="O210">
        <v>4.8</v>
      </c>
      <c r="P210">
        <v>4.7</v>
      </c>
      <c r="Q210">
        <v>4</v>
      </c>
      <c r="R210">
        <v>3</v>
      </c>
      <c r="S210">
        <v>3</v>
      </c>
      <c r="T210" t="s">
        <v>30</v>
      </c>
      <c r="U210">
        <v>5</v>
      </c>
      <c r="V210" s="7">
        <v>45709</v>
      </c>
      <c r="W210" t="s">
        <v>1650</v>
      </c>
      <c r="X210" t="s">
        <v>1655</v>
      </c>
      <c r="Y210" t="s">
        <v>1661</v>
      </c>
      <c r="Z210">
        <v>1</v>
      </c>
    </row>
    <row r="211" spans="1:26" x14ac:dyDescent="0.35">
      <c r="A211" t="s">
        <v>1148</v>
      </c>
      <c r="B211" s="6">
        <v>43470</v>
      </c>
      <c r="C211" t="s">
        <v>23</v>
      </c>
      <c r="D211">
        <v>44</v>
      </c>
      <c r="E211" t="s">
        <v>24</v>
      </c>
      <c r="F211" t="s">
        <v>37</v>
      </c>
      <c r="G211" t="s">
        <v>32</v>
      </c>
      <c r="H211" t="s">
        <v>55</v>
      </c>
      <c r="I211" t="s">
        <v>56</v>
      </c>
      <c r="J211" t="s">
        <v>1632</v>
      </c>
      <c r="K211" t="s">
        <v>29</v>
      </c>
      <c r="L211">
        <v>30000</v>
      </c>
      <c r="M211">
        <v>12.9</v>
      </c>
      <c r="N211">
        <v>10.4</v>
      </c>
      <c r="O211">
        <v>7</v>
      </c>
      <c r="P211">
        <v>1.8</v>
      </c>
      <c r="Q211">
        <v>2</v>
      </c>
      <c r="R211">
        <v>3</v>
      </c>
      <c r="S211">
        <v>3</v>
      </c>
      <c r="T211" t="s">
        <v>23</v>
      </c>
      <c r="U211">
        <v>3</v>
      </c>
      <c r="W211" t="s">
        <v>1649</v>
      </c>
      <c r="X211" t="s">
        <v>1655</v>
      </c>
      <c r="Y211" t="s">
        <v>1662</v>
      </c>
      <c r="Z211">
        <v>0</v>
      </c>
    </row>
    <row r="212" spans="1:26" x14ac:dyDescent="0.35">
      <c r="A212" t="s">
        <v>1129</v>
      </c>
      <c r="B212" s="6">
        <v>45419</v>
      </c>
      <c r="C212" t="s">
        <v>23</v>
      </c>
      <c r="D212">
        <v>33</v>
      </c>
      <c r="E212" t="s">
        <v>24</v>
      </c>
      <c r="F212" t="s">
        <v>42</v>
      </c>
      <c r="G212" t="s">
        <v>26</v>
      </c>
      <c r="H212" t="s">
        <v>68</v>
      </c>
      <c r="I212" t="s">
        <v>102</v>
      </c>
      <c r="J212" t="s">
        <v>1635</v>
      </c>
      <c r="K212" t="s">
        <v>84</v>
      </c>
      <c r="L212">
        <v>83000</v>
      </c>
      <c r="M212">
        <v>4.5</v>
      </c>
      <c r="N212">
        <v>3.8</v>
      </c>
      <c r="O212">
        <v>1.7</v>
      </c>
      <c r="P212">
        <v>1.1000000000000001</v>
      </c>
      <c r="Q212">
        <v>3</v>
      </c>
      <c r="R212">
        <v>3</v>
      </c>
      <c r="S212">
        <v>3</v>
      </c>
      <c r="T212" t="s">
        <v>23</v>
      </c>
      <c r="U212">
        <v>3</v>
      </c>
      <c r="W212" t="s">
        <v>1650</v>
      </c>
      <c r="X212" t="s">
        <v>1657</v>
      </c>
      <c r="Y212" t="s">
        <v>1665</v>
      </c>
      <c r="Z212">
        <v>0</v>
      </c>
    </row>
    <row r="213" spans="1:26" x14ac:dyDescent="0.35">
      <c r="A213" t="s">
        <v>283</v>
      </c>
      <c r="B213" s="6">
        <v>42336</v>
      </c>
      <c r="C213" t="s">
        <v>23</v>
      </c>
      <c r="D213">
        <v>34</v>
      </c>
      <c r="E213" t="s">
        <v>24</v>
      </c>
      <c r="F213" t="s">
        <v>25</v>
      </c>
      <c r="G213" t="s">
        <v>26</v>
      </c>
      <c r="H213" t="s">
        <v>48</v>
      </c>
      <c r="I213" t="s">
        <v>201</v>
      </c>
      <c r="J213" t="s">
        <v>1633</v>
      </c>
      <c r="K213" t="s">
        <v>34</v>
      </c>
      <c r="L213">
        <v>59000</v>
      </c>
      <c r="M213">
        <v>10.199999999999999</v>
      </c>
      <c r="N213">
        <v>10.9</v>
      </c>
      <c r="O213">
        <v>10.1</v>
      </c>
      <c r="P213">
        <v>4</v>
      </c>
      <c r="Q213">
        <v>2</v>
      </c>
      <c r="R213">
        <v>4</v>
      </c>
      <c r="S213">
        <v>3</v>
      </c>
      <c r="T213" t="s">
        <v>23</v>
      </c>
      <c r="U213">
        <v>4</v>
      </c>
      <c r="W213" t="s">
        <v>1650</v>
      </c>
      <c r="X213" t="s">
        <v>1656</v>
      </c>
      <c r="Y213" t="s">
        <v>1663</v>
      </c>
      <c r="Z213">
        <v>0</v>
      </c>
    </row>
    <row r="214" spans="1:26" x14ac:dyDescent="0.35">
      <c r="A214" t="s">
        <v>1284</v>
      </c>
      <c r="B214" s="6">
        <v>43730</v>
      </c>
      <c r="C214" t="s">
        <v>23</v>
      </c>
      <c r="D214">
        <v>29</v>
      </c>
      <c r="E214" t="s">
        <v>62</v>
      </c>
      <c r="F214" t="s">
        <v>25</v>
      </c>
      <c r="G214" t="s">
        <v>32</v>
      </c>
      <c r="H214" t="s">
        <v>1634</v>
      </c>
      <c r="I214" t="s">
        <v>60</v>
      </c>
      <c r="J214" t="s">
        <v>1637</v>
      </c>
      <c r="K214" t="s">
        <v>50</v>
      </c>
      <c r="L214">
        <v>146000</v>
      </c>
      <c r="M214">
        <v>6.5</v>
      </c>
      <c r="N214">
        <v>8.6999999999999993</v>
      </c>
      <c r="O214">
        <v>6.3</v>
      </c>
      <c r="P214">
        <v>2.4</v>
      </c>
      <c r="Q214">
        <v>3</v>
      </c>
      <c r="R214">
        <v>4</v>
      </c>
      <c r="S214">
        <v>1</v>
      </c>
      <c r="T214" t="s">
        <v>23</v>
      </c>
      <c r="U214">
        <v>4</v>
      </c>
      <c r="W214" t="s">
        <v>1650</v>
      </c>
      <c r="X214" t="s">
        <v>1658</v>
      </c>
      <c r="Y214" t="s">
        <v>1662</v>
      </c>
      <c r="Z214">
        <v>0</v>
      </c>
    </row>
    <row r="215" spans="1:26" x14ac:dyDescent="0.35">
      <c r="A215" t="s">
        <v>485</v>
      </c>
      <c r="B215" s="6">
        <v>42785</v>
      </c>
      <c r="C215" t="s">
        <v>23</v>
      </c>
      <c r="D215">
        <v>29</v>
      </c>
      <c r="E215" t="s">
        <v>62</v>
      </c>
      <c r="F215" t="s">
        <v>42</v>
      </c>
      <c r="G215" t="s">
        <v>58</v>
      </c>
      <c r="H215" t="s">
        <v>1634</v>
      </c>
      <c r="I215" t="s">
        <v>60</v>
      </c>
      <c r="J215" t="s">
        <v>1633</v>
      </c>
      <c r="K215" t="s">
        <v>29</v>
      </c>
      <c r="L215">
        <v>62000</v>
      </c>
      <c r="M215">
        <v>14.7</v>
      </c>
      <c r="N215">
        <v>12.2</v>
      </c>
      <c r="O215">
        <v>8.9</v>
      </c>
      <c r="P215">
        <v>5.9</v>
      </c>
      <c r="Q215">
        <v>4</v>
      </c>
      <c r="R215">
        <v>3</v>
      </c>
      <c r="S215">
        <v>4</v>
      </c>
      <c r="T215" t="s">
        <v>23</v>
      </c>
      <c r="U215">
        <v>4</v>
      </c>
      <c r="W215" t="s">
        <v>1650</v>
      </c>
      <c r="X215" t="s">
        <v>1659</v>
      </c>
      <c r="Y215" t="s">
        <v>1662</v>
      </c>
      <c r="Z215">
        <v>0</v>
      </c>
    </row>
    <row r="216" spans="1:26" x14ac:dyDescent="0.35">
      <c r="A216" t="s">
        <v>304</v>
      </c>
      <c r="B216" s="6">
        <v>45700</v>
      </c>
      <c r="C216" t="s">
        <v>23</v>
      </c>
      <c r="D216">
        <v>27</v>
      </c>
      <c r="E216" t="s">
        <v>36</v>
      </c>
      <c r="F216" t="s">
        <v>37</v>
      </c>
      <c r="G216" t="s">
        <v>54</v>
      </c>
      <c r="H216" t="s">
        <v>1634</v>
      </c>
      <c r="I216" t="s">
        <v>75</v>
      </c>
      <c r="J216" t="s">
        <v>1632</v>
      </c>
      <c r="K216" t="s">
        <v>40</v>
      </c>
      <c r="L216">
        <v>37000</v>
      </c>
      <c r="M216">
        <v>6.8</v>
      </c>
      <c r="N216">
        <v>5</v>
      </c>
      <c r="O216">
        <v>0.9</v>
      </c>
      <c r="P216">
        <v>0</v>
      </c>
      <c r="Q216">
        <v>3</v>
      </c>
      <c r="R216">
        <v>1</v>
      </c>
      <c r="S216">
        <v>3</v>
      </c>
      <c r="T216" t="s">
        <v>23</v>
      </c>
      <c r="U216">
        <v>4</v>
      </c>
      <c r="W216" t="s">
        <v>1650</v>
      </c>
      <c r="X216" t="s">
        <v>1655</v>
      </c>
      <c r="Y216" t="s">
        <v>1664</v>
      </c>
      <c r="Z216">
        <v>0</v>
      </c>
    </row>
    <row r="217" spans="1:26" x14ac:dyDescent="0.35">
      <c r="A217" t="s">
        <v>653</v>
      </c>
      <c r="B217" s="6">
        <v>43508</v>
      </c>
      <c r="C217" t="s">
        <v>23</v>
      </c>
      <c r="D217">
        <v>34</v>
      </c>
      <c r="E217" t="s">
        <v>24</v>
      </c>
      <c r="F217" t="s">
        <v>37</v>
      </c>
      <c r="G217" t="s">
        <v>58</v>
      </c>
      <c r="H217" t="s">
        <v>55</v>
      </c>
      <c r="I217" t="s">
        <v>56</v>
      </c>
      <c r="J217" t="s">
        <v>1636</v>
      </c>
      <c r="K217" t="s">
        <v>34</v>
      </c>
      <c r="L217">
        <v>115000</v>
      </c>
      <c r="M217">
        <v>15.2</v>
      </c>
      <c r="N217">
        <v>9.6</v>
      </c>
      <c r="O217">
        <v>6.9</v>
      </c>
      <c r="P217">
        <v>2.5</v>
      </c>
      <c r="Q217">
        <v>3</v>
      </c>
      <c r="R217">
        <v>3</v>
      </c>
      <c r="S217">
        <v>3</v>
      </c>
      <c r="T217" t="s">
        <v>30</v>
      </c>
      <c r="U217">
        <v>4</v>
      </c>
      <c r="W217" t="s">
        <v>1650</v>
      </c>
      <c r="X217" t="s">
        <v>1658</v>
      </c>
      <c r="Y217" t="s">
        <v>1662</v>
      </c>
      <c r="Z217">
        <v>0</v>
      </c>
    </row>
    <row r="218" spans="1:26" x14ac:dyDescent="0.35">
      <c r="A218" t="s">
        <v>916</v>
      </c>
      <c r="B218" s="6">
        <v>43086</v>
      </c>
      <c r="C218" t="s">
        <v>23</v>
      </c>
      <c r="D218">
        <v>29</v>
      </c>
      <c r="E218" t="s">
        <v>36</v>
      </c>
      <c r="F218" t="s">
        <v>42</v>
      </c>
      <c r="G218" t="s">
        <v>26</v>
      </c>
      <c r="H218" t="s">
        <v>55</v>
      </c>
      <c r="I218" t="s">
        <v>80</v>
      </c>
      <c r="J218" t="s">
        <v>1632</v>
      </c>
      <c r="K218" t="s">
        <v>40</v>
      </c>
      <c r="L218">
        <v>36000</v>
      </c>
      <c r="M218">
        <v>10.1</v>
      </c>
      <c r="N218">
        <v>15.4</v>
      </c>
      <c r="O218">
        <v>8</v>
      </c>
      <c r="P218">
        <v>5.4</v>
      </c>
      <c r="Q218">
        <v>2</v>
      </c>
      <c r="R218">
        <v>1</v>
      </c>
      <c r="S218">
        <v>4</v>
      </c>
      <c r="T218" t="s">
        <v>23</v>
      </c>
      <c r="U218">
        <v>3</v>
      </c>
      <c r="W218" t="s">
        <v>1650</v>
      </c>
      <c r="X218" t="s">
        <v>1655</v>
      </c>
      <c r="Y218" t="s">
        <v>1662</v>
      </c>
      <c r="Z218">
        <v>0</v>
      </c>
    </row>
    <row r="219" spans="1:26" x14ac:dyDescent="0.35">
      <c r="A219" t="s">
        <v>1029</v>
      </c>
      <c r="B219" s="6">
        <v>44019</v>
      </c>
      <c r="C219" t="s">
        <v>23</v>
      </c>
      <c r="D219">
        <v>38</v>
      </c>
      <c r="E219" t="s">
        <v>62</v>
      </c>
      <c r="F219" t="s">
        <v>42</v>
      </c>
      <c r="G219" t="s">
        <v>26</v>
      </c>
      <c r="H219" t="s">
        <v>55</v>
      </c>
      <c r="I219" t="s">
        <v>88</v>
      </c>
      <c r="J219" t="s">
        <v>1637</v>
      </c>
      <c r="K219" t="s">
        <v>66</v>
      </c>
      <c r="L219">
        <v>197000</v>
      </c>
      <c r="M219">
        <v>8.3000000000000007</v>
      </c>
      <c r="N219">
        <v>10.6</v>
      </c>
      <c r="O219">
        <v>5.5</v>
      </c>
      <c r="P219">
        <v>1</v>
      </c>
      <c r="Q219">
        <v>3</v>
      </c>
      <c r="R219">
        <v>2</v>
      </c>
      <c r="S219">
        <v>4</v>
      </c>
      <c r="T219" t="s">
        <v>23</v>
      </c>
      <c r="U219">
        <v>4</v>
      </c>
      <c r="W219" t="s">
        <v>1649</v>
      </c>
      <c r="X219" t="s">
        <v>1658</v>
      </c>
      <c r="Y219" t="s">
        <v>1661</v>
      </c>
      <c r="Z219">
        <v>0</v>
      </c>
    </row>
    <row r="220" spans="1:26" x14ac:dyDescent="0.35">
      <c r="A220" t="s">
        <v>684</v>
      </c>
      <c r="B220" s="6">
        <v>45848</v>
      </c>
      <c r="C220" t="s">
        <v>23</v>
      </c>
      <c r="D220">
        <v>23</v>
      </c>
      <c r="E220" t="s">
        <v>24</v>
      </c>
      <c r="F220" t="s">
        <v>37</v>
      </c>
      <c r="G220" t="s">
        <v>26</v>
      </c>
      <c r="H220" t="s">
        <v>1634</v>
      </c>
      <c r="I220" t="s">
        <v>86</v>
      </c>
      <c r="J220" t="s">
        <v>1632</v>
      </c>
      <c r="K220" t="s">
        <v>34</v>
      </c>
      <c r="L220">
        <v>26000</v>
      </c>
      <c r="M220">
        <v>8.9</v>
      </c>
      <c r="N220">
        <v>4.7</v>
      </c>
      <c r="O220">
        <v>0.5</v>
      </c>
      <c r="P220">
        <v>0</v>
      </c>
      <c r="Q220">
        <v>3</v>
      </c>
      <c r="R220">
        <v>2</v>
      </c>
      <c r="S220">
        <v>4</v>
      </c>
      <c r="T220" t="s">
        <v>23</v>
      </c>
      <c r="U220">
        <v>3</v>
      </c>
      <c r="W220" t="s">
        <v>1651</v>
      </c>
      <c r="X220" t="s">
        <v>1655</v>
      </c>
      <c r="Y220" t="s">
        <v>1664</v>
      </c>
      <c r="Z220">
        <v>0</v>
      </c>
    </row>
    <row r="221" spans="1:26" x14ac:dyDescent="0.35">
      <c r="A221" t="s">
        <v>655</v>
      </c>
      <c r="B221" s="6">
        <v>45042</v>
      </c>
      <c r="C221" t="s">
        <v>23</v>
      </c>
      <c r="D221">
        <v>29</v>
      </c>
      <c r="E221" t="s">
        <v>36</v>
      </c>
      <c r="F221" t="s">
        <v>25</v>
      </c>
      <c r="G221" t="s">
        <v>58</v>
      </c>
      <c r="H221" t="s">
        <v>38</v>
      </c>
      <c r="I221" t="s">
        <v>39</v>
      </c>
      <c r="J221" t="s">
        <v>1635</v>
      </c>
      <c r="K221" t="s">
        <v>84</v>
      </c>
      <c r="L221">
        <v>88000</v>
      </c>
      <c r="M221">
        <v>8.9</v>
      </c>
      <c r="N221">
        <v>3.7</v>
      </c>
      <c r="O221">
        <v>2.7</v>
      </c>
      <c r="P221">
        <v>0.1</v>
      </c>
      <c r="Q221">
        <v>3</v>
      </c>
      <c r="R221">
        <v>3</v>
      </c>
      <c r="S221">
        <v>3</v>
      </c>
      <c r="T221" t="s">
        <v>23</v>
      </c>
      <c r="U221">
        <v>3</v>
      </c>
      <c r="W221" t="s">
        <v>1650</v>
      </c>
      <c r="X221" t="s">
        <v>1657</v>
      </c>
      <c r="Y221" t="s">
        <v>1665</v>
      </c>
      <c r="Z221">
        <v>0</v>
      </c>
    </row>
    <row r="222" spans="1:26" x14ac:dyDescent="0.35">
      <c r="A222" t="s">
        <v>1101</v>
      </c>
      <c r="B222" s="6">
        <v>42969</v>
      </c>
      <c r="C222" t="s">
        <v>23</v>
      </c>
      <c r="D222">
        <v>51</v>
      </c>
      <c r="E222" t="s">
        <v>36</v>
      </c>
      <c r="F222" t="s">
        <v>25</v>
      </c>
      <c r="G222" t="s">
        <v>54</v>
      </c>
      <c r="H222" t="s">
        <v>55</v>
      </c>
      <c r="I222" t="s">
        <v>88</v>
      </c>
      <c r="J222" t="s">
        <v>1635</v>
      </c>
      <c r="K222" t="s">
        <v>66</v>
      </c>
      <c r="L222">
        <v>85000</v>
      </c>
      <c r="M222">
        <v>7</v>
      </c>
      <c r="N222">
        <v>12.9</v>
      </c>
      <c r="O222">
        <v>8.4</v>
      </c>
      <c r="P222">
        <v>5.8</v>
      </c>
      <c r="Q222">
        <v>3</v>
      </c>
      <c r="R222">
        <v>4</v>
      </c>
      <c r="S222">
        <v>3</v>
      </c>
      <c r="T222" t="s">
        <v>23</v>
      </c>
      <c r="U222">
        <v>4</v>
      </c>
      <c r="W222" t="s">
        <v>1652</v>
      </c>
      <c r="X222" t="s">
        <v>1657</v>
      </c>
      <c r="Y222" t="s">
        <v>1662</v>
      </c>
      <c r="Z222">
        <v>0</v>
      </c>
    </row>
    <row r="223" spans="1:26" x14ac:dyDescent="0.35">
      <c r="A223" t="s">
        <v>795</v>
      </c>
      <c r="B223" s="6">
        <v>45347</v>
      </c>
      <c r="C223" t="s">
        <v>23</v>
      </c>
      <c r="D223">
        <v>38</v>
      </c>
      <c r="E223" t="s">
        <v>36</v>
      </c>
      <c r="F223" t="s">
        <v>42</v>
      </c>
      <c r="G223" t="s">
        <v>54</v>
      </c>
      <c r="H223" t="s">
        <v>38</v>
      </c>
      <c r="I223" t="s">
        <v>118</v>
      </c>
      <c r="J223" t="s">
        <v>1635</v>
      </c>
      <c r="K223" t="s">
        <v>84</v>
      </c>
      <c r="L223">
        <v>103000</v>
      </c>
      <c r="M223">
        <v>11.3</v>
      </c>
      <c r="N223">
        <v>6.7</v>
      </c>
      <c r="O223">
        <v>1.8</v>
      </c>
      <c r="P223">
        <v>1.7</v>
      </c>
      <c r="Q223">
        <v>4</v>
      </c>
      <c r="R223">
        <v>3</v>
      </c>
      <c r="S223">
        <v>3</v>
      </c>
      <c r="T223" t="s">
        <v>30</v>
      </c>
      <c r="U223">
        <v>3</v>
      </c>
      <c r="W223" t="s">
        <v>1649</v>
      </c>
      <c r="X223" t="s">
        <v>1658</v>
      </c>
      <c r="Y223" t="s">
        <v>1665</v>
      </c>
      <c r="Z223">
        <v>0</v>
      </c>
    </row>
    <row r="224" spans="1:26" x14ac:dyDescent="0.35">
      <c r="A224" t="s">
        <v>297</v>
      </c>
      <c r="B224" s="6">
        <v>43688</v>
      </c>
      <c r="C224" t="s">
        <v>30</v>
      </c>
      <c r="D224">
        <v>37</v>
      </c>
      <c r="E224" t="s">
        <v>62</v>
      </c>
      <c r="F224" t="s">
        <v>37</v>
      </c>
      <c r="G224" t="s">
        <v>54</v>
      </c>
      <c r="H224" t="s">
        <v>55</v>
      </c>
      <c r="I224" t="s">
        <v>80</v>
      </c>
      <c r="J224" t="s">
        <v>1633</v>
      </c>
      <c r="K224" t="s">
        <v>50</v>
      </c>
      <c r="L224">
        <v>72000</v>
      </c>
      <c r="M224">
        <v>12.3</v>
      </c>
      <c r="N224">
        <v>14.1</v>
      </c>
      <c r="O224">
        <v>6.3</v>
      </c>
      <c r="P224">
        <v>5</v>
      </c>
      <c r="Q224">
        <v>3</v>
      </c>
      <c r="R224">
        <v>3</v>
      </c>
      <c r="S224">
        <v>3</v>
      </c>
      <c r="T224" t="s">
        <v>23</v>
      </c>
      <c r="U224">
        <v>3</v>
      </c>
      <c r="V224" s="7">
        <v>45997</v>
      </c>
      <c r="W224" t="s">
        <v>1649</v>
      </c>
      <c r="X224" t="s">
        <v>1659</v>
      </c>
      <c r="Y224" t="s">
        <v>1662</v>
      </c>
      <c r="Z224">
        <v>1</v>
      </c>
    </row>
    <row r="225" spans="1:26" x14ac:dyDescent="0.35">
      <c r="A225" t="s">
        <v>433</v>
      </c>
      <c r="B225" s="6">
        <v>42231</v>
      </c>
      <c r="C225" t="s">
        <v>23</v>
      </c>
      <c r="D225">
        <v>40</v>
      </c>
      <c r="E225" t="s">
        <v>62</v>
      </c>
      <c r="F225" t="s">
        <v>42</v>
      </c>
      <c r="G225" t="s">
        <v>58</v>
      </c>
      <c r="H225" t="s">
        <v>68</v>
      </c>
      <c r="I225" t="s">
        <v>69</v>
      </c>
      <c r="J225" t="s">
        <v>1635</v>
      </c>
      <c r="K225" t="s">
        <v>29</v>
      </c>
      <c r="L225">
        <v>87000</v>
      </c>
      <c r="M225">
        <v>14.5</v>
      </c>
      <c r="N225">
        <v>12.8</v>
      </c>
      <c r="O225">
        <v>10.4</v>
      </c>
      <c r="P225">
        <v>0.9</v>
      </c>
      <c r="Q225">
        <v>3</v>
      </c>
      <c r="R225">
        <v>4</v>
      </c>
      <c r="S225">
        <v>4</v>
      </c>
      <c r="T225" t="s">
        <v>30</v>
      </c>
      <c r="U225">
        <v>4</v>
      </c>
      <c r="W225" t="s">
        <v>1649</v>
      </c>
      <c r="X225" t="s">
        <v>1657</v>
      </c>
      <c r="Y225" t="s">
        <v>1663</v>
      </c>
      <c r="Z225">
        <v>0</v>
      </c>
    </row>
    <row r="226" spans="1:26" x14ac:dyDescent="0.35">
      <c r="A226" t="s">
        <v>53</v>
      </c>
      <c r="B226" s="6">
        <v>41650</v>
      </c>
      <c r="C226" t="s">
        <v>23</v>
      </c>
      <c r="D226">
        <v>32</v>
      </c>
      <c r="E226" t="s">
        <v>24</v>
      </c>
      <c r="F226" t="s">
        <v>25</v>
      </c>
      <c r="G226" t="s">
        <v>54</v>
      </c>
      <c r="H226" t="s">
        <v>55</v>
      </c>
      <c r="I226" t="s">
        <v>56</v>
      </c>
      <c r="J226" t="s">
        <v>1635</v>
      </c>
      <c r="K226" t="s">
        <v>29</v>
      </c>
      <c r="L226">
        <v>91000</v>
      </c>
      <c r="M226">
        <v>13.8</v>
      </c>
      <c r="N226">
        <v>12.3</v>
      </c>
      <c r="O226">
        <v>12</v>
      </c>
      <c r="P226">
        <v>4.2</v>
      </c>
      <c r="Q226">
        <v>3</v>
      </c>
      <c r="R226">
        <v>3</v>
      </c>
      <c r="S226">
        <v>2</v>
      </c>
      <c r="T226" t="s">
        <v>30</v>
      </c>
      <c r="U226">
        <v>4</v>
      </c>
      <c r="W226" t="s">
        <v>1650</v>
      </c>
      <c r="X226" t="s">
        <v>1657</v>
      </c>
      <c r="Y226" t="s">
        <v>1663</v>
      </c>
      <c r="Z226">
        <v>0</v>
      </c>
    </row>
    <row r="227" spans="1:26" x14ac:dyDescent="0.35">
      <c r="A227" t="s">
        <v>464</v>
      </c>
      <c r="B227" s="6">
        <v>42321</v>
      </c>
      <c r="C227" t="s">
        <v>30</v>
      </c>
      <c r="D227">
        <v>36</v>
      </c>
      <c r="E227" t="s">
        <v>36</v>
      </c>
      <c r="F227" t="s">
        <v>25</v>
      </c>
      <c r="G227" t="s">
        <v>26</v>
      </c>
      <c r="H227" t="s">
        <v>68</v>
      </c>
      <c r="I227" t="s">
        <v>69</v>
      </c>
      <c r="J227" t="s">
        <v>1636</v>
      </c>
      <c r="K227" t="s">
        <v>40</v>
      </c>
      <c r="L227">
        <v>107000</v>
      </c>
      <c r="M227">
        <v>9.1</v>
      </c>
      <c r="N227">
        <v>15.2</v>
      </c>
      <c r="O227">
        <v>9.3000000000000007</v>
      </c>
      <c r="P227">
        <v>4.4000000000000004</v>
      </c>
      <c r="Q227">
        <v>2</v>
      </c>
      <c r="R227">
        <v>3</v>
      </c>
      <c r="S227">
        <v>4</v>
      </c>
      <c r="T227" t="s">
        <v>23</v>
      </c>
      <c r="U227">
        <v>5</v>
      </c>
      <c r="V227" s="7">
        <v>45723</v>
      </c>
      <c r="W227" t="s">
        <v>1649</v>
      </c>
      <c r="X227" t="s">
        <v>1658</v>
      </c>
      <c r="Y227" t="s">
        <v>1662</v>
      </c>
      <c r="Z227">
        <v>1</v>
      </c>
    </row>
    <row r="228" spans="1:26" x14ac:dyDescent="0.35">
      <c r="A228" t="s">
        <v>1096</v>
      </c>
      <c r="B228" s="6">
        <v>44601</v>
      </c>
      <c r="C228" t="s">
        <v>23</v>
      </c>
      <c r="D228">
        <v>34</v>
      </c>
      <c r="E228" t="s">
        <v>62</v>
      </c>
      <c r="F228" t="s">
        <v>37</v>
      </c>
      <c r="G228" t="s">
        <v>54</v>
      </c>
      <c r="H228" t="s">
        <v>68</v>
      </c>
      <c r="I228" t="s">
        <v>109</v>
      </c>
      <c r="J228" t="s">
        <v>1635</v>
      </c>
      <c r="K228" t="s">
        <v>40</v>
      </c>
      <c r="L228">
        <v>77000</v>
      </c>
      <c r="M228">
        <v>3.6</v>
      </c>
      <c r="N228">
        <v>6.2</v>
      </c>
      <c r="O228">
        <v>3.9</v>
      </c>
      <c r="P228">
        <v>3.3</v>
      </c>
      <c r="Q228">
        <v>3</v>
      </c>
      <c r="R228">
        <v>3</v>
      </c>
      <c r="S228">
        <v>4</v>
      </c>
      <c r="T228" t="s">
        <v>23</v>
      </c>
      <c r="U228">
        <v>4</v>
      </c>
      <c r="W228" t="s">
        <v>1650</v>
      </c>
      <c r="X228" t="s">
        <v>1659</v>
      </c>
      <c r="Y228" t="s">
        <v>1661</v>
      </c>
      <c r="Z228">
        <v>0</v>
      </c>
    </row>
    <row r="229" spans="1:26" x14ac:dyDescent="0.35">
      <c r="A229" t="s">
        <v>1246</v>
      </c>
      <c r="B229" s="6">
        <v>44282</v>
      </c>
      <c r="C229" t="s">
        <v>23</v>
      </c>
      <c r="D229">
        <v>38</v>
      </c>
      <c r="E229" t="s">
        <v>36</v>
      </c>
      <c r="F229" t="s">
        <v>37</v>
      </c>
      <c r="G229" t="s">
        <v>58</v>
      </c>
      <c r="H229" t="s">
        <v>27</v>
      </c>
      <c r="I229" t="s">
        <v>43</v>
      </c>
      <c r="J229" t="s">
        <v>1636</v>
      </c>
      <c r="K229" t="s">
        <v>29</v>
      </c>
      <c r="L229">
        <v>125000</v>
      </c>
      <c r="M229">
        <v>7.8</v>
      </c>
      <c r="N229">
        <v>5.9</v>
      </c>
      <c r="O229">
        <v>4.8</v>
      </c>
      <c r="P229">
        <v>1</v>
      </c>
      <c r="Q229">
        <v>1</v>
      </c>
      <c r="R229">
        <v>3</v>
      </c>
      <c r="S229">
        <v>3</v>
      </c>
      <c r="T229" t="s">
        <v>23</v>
      </c>
      <c r="U229">
        <v>5</v>
      </c>
      <c r="W229" t="s">
        <v>1649</v>
      </c>
      <c r="X229" t="s">
        <v>1658</v>
      </c>
      <c r="Y229" t="s">
        <v>1661</v>
      </c>
      <c r="Z229">
        <v>0</v>
      </c>
    </row>
    <row r="230" spans="1:26" x14ac:dyDescent="0.35">
      <c r="A230" t="s">
        <v>1174</v>
      </c>
      <c r="B230" s="6">
        <v>43216</v>
      </c>
      <c r="C230" t="s">
        <v>30</v>
      </c>
      <c r="D230">
        <v>35</v>
      </c>
      <c r="E230" t="s">
        <v>24</v>
      </c>
      <c r="F230" t="s">
        <v>37</v>
      </c>
      <c r="G230" t="s">
        <v>54</v>
      </c>
      <c r="H230" t="s">
        <v>55</v>
      </c>
      <c r="I230" t="s">
        <v>56</v>
      </c>
      <c r="J230" t="s">
        <v>1635</v>
      </c>
      <c r="K230" t="s">
        <v>29</v>
      </c>
      <c r="L230">
        <v>104000</v>
      </c>
      <c r="M230">
        <v>8.6</v>
      </c>
      <c r="N230">
        <v>8.6999999999999993</v>
      </c>
      <c r="O230">
        <v>7.1</v>
      </c>
      <c r="P230">
        <v>4.5999999999999996</v>
      </c>
      <c r="Q230">
        <v>3</v>
      </c>
      <c r="R230">
        <v>3</v>
      </c>
      <c r="S230">
        <v>2</v>
      </c>
      <c r="T230" t="s">
        <v>30</v>
      </c>
      <c r="U230">
        <v>4</v>
      </c>
      <c r="V230" s="7">
        <v>45798</v>
      </c>
      <c r="W230" t="s">
        <v>1650</v>
      </c>
      <c r="X230" t="s">
        <v>1658</v>
      </c>
      <c r="Y230" t="s">
        <v>1662</v>
      </c>
      <c r="Z230">
        <v>1</v>
      </c>
    </row>
    <row r="231" spans="1:26" x14ac:dyDescent="0.35">
      <c r="A231" t="s">
        <v>1506</v>
      </c>
      <c r="B231" s="6">
        <v>43873</v>
      </c>
      <c r="C231" t="s">
        <v>23</v>
      </c>
      <c r="D231">
        <v>37</v>
      </c>
      <c r="E231" t="s">
        <v>24</v>
      </c>
      <c r="F231" t="s">
        <v>25</v>
      </c>
      <c r="G231" t="s">
        <v>32</v>
      </c>
      <c r="H231" t="s">
        <v>48</v>
      </c>
      <c r="I231" t="s">
        <v>201</v>
      </c>
      <c r="J231" t="s">
        <v>1633</v>
      </c>
      <c r="K231" t="s">
        <v>40</v>
      </c>
      <c r="L231">
        <v>57000</v>
      </c>
      <c r="M231">
        <v>7.2</v>
      </c>
      <c r="N231">
        <v>13.5</v>
      </c>
      <c r="O231">
        <v>5.9</v>
      </c>
      <c r="P231">
        <v>5.3</v>
      </c>
      <c r="Q231">
        <v>3</v>
      </c>
      <c r="R231">
        <v>4</v>
      </c>
      <c r="S231">
        <v>3</v>
      </c>
      <c r="T231" t="s">
        <v>30</v>
      </c>
      <c r="U231">
        <v>1</v>
      </c>
      <c r="W231" t="s">
        <v>1649</v>
      </c>
      <c r="X231" t="s">
        <v>1656</v>
      </c>
      <c r="Y231" t="s">
        <v>1661</v>
      </c>
      <c r="Z231">
        <v>0</v>
      </c>
    </row>
    <row r="232" spans="1:26" x14ac:dyDescent="0.35">
      <c r="A232" t="s">
        <v>661</v>
      </c>
      <c r="B232" s="6">
        <v>45474</v>
      </c>
      <c r="C232" t="s">
        <v>30</v>
      </c>
      <c r="D232">
        <v>41</v>
      </c>
      <c r="E232" t="s">
        <v>62</v>
      </c>
      <c r="F232" t="s">
        <v>37</v>
      </c>
      <c r="G232" t="s">
        <v>58</v>
      </c>
      <c r="H232" t="s">
        <v>45</v>
      </c>
      <c r="I232" t="s">
        <v>77</v>
      </c>
      <c r="J232" t="s">
        <v>1633</v>
      </c>
      <c r="K232" t="s">
        <v>34</v>
      </c>
      <c r="L232">
        <v>40000</v>
      </c>
      <c r="M232">
        <v>9.5</v>
      </c>
      <c r="N232">
        <v>3</v>
      </c>
      <c r="O232">
        <v>0.6</v>
      </c>
      <c r="P232">
        <v>0</v>
      </c>
      <c r="Q232">
        <v>3</v>
      </c>
      <c r="R232">
        <v>3</v>
      </c>
      <c r="S232">
        <v>3</v>
      </c>
      <c r="T232" t="s">
        <v>23</v>
      </c>
      <c r="U232">
        <v>3</v>
      </c>
      <c r="V232" s="7">
        <v>45681</v>
      </c>
      <c r="W232" t="s">
        <v>1649</v>
      </c>
      <c r="X232" t="s">
        <v>1656</v>
      </c>
      <c r="Y232" t="s">
        <v>1664</v>
      </c>
      <c r="Z232">
        <v>1</v>
      </c>
    </row>
    <row r="233" spans="1:26" x14ac:dyDescent="0.35">
      <c r="A233" t="s">
        <v>1059</v>
      </c>
      <c r="B233" s="6">
        <v>42037</v>
      </c>
      <c r="C233" t="s">
        <v>23</v>
      </c>
      <c r="D233">
        <v>41</v>
      </c>
      <c r="E233" t="s">
        <v>62</v>
      </c>
      <c r="F233" t="s">
        <v>25</v>
      </c>
      <c r="G233" t="s">
        <v>26</v>
      </c>
      <c r="H233" t="s">
        <v>68</v>
      </c>
      <c r="I233" t="s">
        <v>109</v>
      </c>
      <c r="J233" t="s">
        <v>1633</v>
      </c>
      <c r="K233" t="s">
        <v>34</v>
      </c>
      <c r="L233">
        <v>39000</v>
      </c>
      <c r="M233">
        <v>6.8</v>
      </c>
      <c r="N233">
        <v>18.8</v>
      </c>
      <c r="O233">
        <v>10.9</v>
      </c>
      <c r="P233">
        <v>1.3</v>
      </c>
      <c r="Q233">
        <v>1</v>
      </c>
      <c r="R233">
        <v>1</v>
      </c>
      <c r="S233">
        <v>3</v>
      </c>
      <c r="T233" t="s">
        <v>23</v>
      </c>
      <c r="U233">
        <v>2</v>
      </c>
      <c r="W233" t="s">
        <v>1649</v>
      </c>
      <c r="X233" t="s">
        <v>1655</v>
      </c>
      <c r="Y233" t="s">
        <v>1663</v>
      </c>
      <c r="Z233">
        <v>0</v>
      </c>
    </row>
    <row r="234" spans="1:26" x14ac:dyDescent="0.35">
      <c r="A234" t="s">
        <v>773</v>
      </c>
      <c r="B234" s="6">
        <v>43250</v>
      </c>
      <c r="C234" t="s">
        <v>30</v>
      </c>
      <c r="D234">
        <v>44</v>
      </c>
      <c r="E234" t="s">
        <v>62</v>
      </c>
      <c r="F234" t="s">
        <v>37</v>
      </c>
      <c r="G234" t="s">
        <v>32</v>
      </c>
      <c r="H234" t="s">
        <v>45</v>
      </c>
      <c r="I234" t="s">
        <v>77</v>
      </c>
      <c r="J234" t="s">
        <v>1635</v>
      </c>
      <c r="K234" t="s">
        <v>29</v>
      </c>
      <c r="L234">
        <v>71000</v>
      </c>
      <c r="M234">
        <v>6.8</v>
      </c>
      <c r="N234">
        <v>7</v>
      </c>
      <c r="O234">
        <v>6.6</v>
      </c>
      <c r="P234">
        <v>0.7</v>
      </c>
      <c r="Q234">
        <v>1</v>
      </c>
      <c r="R234">
        <v>3</v>
      </c>
      <c r="S234">
        <v>2</v>
      </c>
      <c r="T234" t="s">
        <v>23</v>
      </c>
      <c r="U234">
        <v>3</v>
      </c>
      <c r="V234" s="7">
        <v>45668</v>
      </c>
      <c r="W234" t="s">
        <v>1649</v>
      </c>
      <c r="X234" t="s">
        <v>1659</v>
      </c>
      <c r="Y234" t="s">
        <v>1662</v>
      </c>
      <c r="Z234">
        <v>1</v>
      </c>
    </row>
    <row r="235" spans="1:26" x14ac:dyDescent="0.35">
      <c r="A235" t="s">
        <v>163</v>
      </c>
      <c r="B235" s="6">
        <v>45616</v>
      </c>
      <c r="C235" t="s">
        <v>23</v>
      </c>
      <c r="D235">
        <v>23</v>
      </c>
      <c r="E235" t="s">
        <v>24</v>
      </c>
      <c r="F235" t="s">
        <v>42</v>
      </c>
      <c r="G235" t="s">
        <v>26</v>
      </c>
      <c r="H235" t="s">
        <v>45</v>
      </c>
      <c r="I235" t="s">
        <v>164</v>
      </c>
      <c r="J235" t="s">
        <v>1632</v>
      </c>
      <c r="K235" t="s">
        <v>50</v>
      </c>
      <c r="L235">
        <v>22000</v>
      </c>
      <c r="M235">
        <v>10.8</v>
      </c>
      <c r="N235">
        <v>6</v>
      </c>
      <c r="O235">
        <v>1.1000000000000001</v>
      </c>
      <c r="P235">
        <v>0.2</v>
      </c>
      <c r="Q235">
        <v>3</v>
      </c>
      <c r="R235">
        <v>4</v>
      </c>
      <c r="S235">
        <v>2</v>
      </c>
      <c r="T235" t="s">
        <v>23</v>
      </c>
      <c r="U235">
        <v>4</v>
      </c>
      <c r="W235" t="s">
        <v>1651</v>
      </c>
      <c r="X235" t="s">
        <v>1655</v>
      </c>
      <c r="Y235" t="s">
        <v>1665</v>
      </c>
      <c r="Z235">
        <v>0</v>
      </c>
    </row>
    <row r="236" spans="1:26" x14ac:dyDescent="0.35">
      <c r="A236" t="s">
        <v>73</v>
      </c>
      <c r="B236" s="6">
        <v>44645</v>
      </c>
      <c r="C236" t="s">
        <v>23</v>
      </c>
      <c r="D236">
        <v>26</v>
      </c>
      <c r="E236" t="s">
        <v>62</v>
      </c>
      <c r="F236" t="s">
        <v>42</v>
      </c>
      <c r="G236" t="s">
        <v>58</v>
      </c>
      <c r="H236" t="s">
        <v>48</v>
      </c>
      <c r="I236" t="s">
        <v>49</v>
      </c>
      <c r="J236" t="s">
        <v>1632</v>
      </c>
      <c r="K236" t="s">
        <v>40</v>
      </c>
      <c r="L236">
        <v>41000</v>
      </c>
      <c r="M236">
        <v>10</v>
      </c>
      <c r="N236">
        <v>6.6</v>
      </c>
      <c r="O236">
        <v>3.8</v>
      </c>
      <c r="P236">
        <v>1.6</v>
      </c>
      <c r="Q236">
        <v>4</v>
      </c>
      <c r="R236">
        <v>2</v>
      </c>
      <c r="S236">
        <v>3</v>
      </c>
      <c r="T236" t="s">
        <v>23</v>
      </c>
      <c r="U236">
        <v>5</v>
      </c>
      <c r="W236" t="s">
        <v>1650</v>
      </c>
      <c r="X236" t="s">
        <v>1656</v>
      </c>
      <c r="Y236" t="s">
        <v>1661</v>
      </c>
      <c r="Z236">
        <v>0</v>
      </c>
    </row>
    <row r="237" spans="1:26" x14ac:dyDescent="0.35">
      <c r="A237" t="s">
        <v>689</v>
      </c>
      <c r="B237" s="6">
        <v>45005</v>
      </c>
      <c r="C237" t="s">
        <v>23</v>
      </c>
      <c r="D237">
        <v>24</v>
      </c>
      <c r="E237" t="s">
        <v>36</v>
      </c>
      <c r="F237" t="s">
        <v>25</v>
      </c>
      <c r="G237" t="s">
        <v>32</v>
      </c>
      <c r="H237" t="s">
        <v>38</v>
      </c>
      <c r="I237" t="s">
        <v>118</v>
      </c>
      <c r="J237" t="s">
        <v>1632</v>
      </c>
      <c r="K237" t="s">
        <v>34</v>
      </c>
      <c r="L237">
        <v>46000</v>
      </c>
      <c r="M237">
        <v>11.6</v>
      </c>
      <c r="N237">
        <v>4</v>
      </c>
      <c r="O237">
        <v>2.8</v>
      </c>
      <c r="P237">
        <v>0.3</v>
      </c>
      <c r="Q237">
        <v>4</v>
      </c>
      <c r="R237">
        <v>3</v>
      </c>
      <c r="S237">
        <v>3</v>
      </c>
      <c r="T237" t="s">
        <v>23</v>
      </c>
      <c r="U237">
        <v>2</v>
      </c>
      <c r="W237" t="s">
        <v>1651</v>
      </c>
      <c r="X237" t="s">
        <v>1656</v>
      </c>
      <c r="Y237" t="s">
        <v>1665</v>
      </c>
      <c r="Z237">
        <v>0</v>
      </c>
    </row>
    <row r="238" spans="1:26" x14ac:dyDescent="0.35">
      <c r="A238" t="s">
        <v>496</v>
      </c>
      <c r="B238" s="6">
        <v>45486</v>
      </c>
      <c r="C238" t="s">
        <v>23</v>
      </c>
      <c r="D238">
        <v>46</v>
      </c>
      <c r="E238" t="s">
        <v>24</v>
      </c>
      <c r="F238" t="s">
        <v>37</v>
      </c>
      <c r="G238" t="s">
        <v>32</v>
      </c>
      <c r="H238" t="s">
        <v>68</v>
      </c>
      <c r="I238" t="s">
        <v>69</v>
      </c>
      <c r="J238" t="s">
        <v>1635</v>
      </c>
      <c r="K238" t="s">
        <v>29</v>
      </c>
      <c r="L238">
        <v>67000</v>
      </c>
      <c r="M238">
        <v>2.9</v>
      </c>
      <c r="N238">
        <v>7.9</v>
      </c>
      <c r="O238">
        <v>1.5</v>
      </c>
      <c r="P238">
        <v>0.5</v>
      </c>
      <c r="Q238">
        <v>1</v>
      </c>
      <c r="R238">
        <v>3</v>
      </c>
      <c r="S238">
        <v>2</v>
      </c>
      <c r="T238" t="s">
        <v>30</v>
      </c>
      <c r="U238">
        <v>4</v>
      </c>
      <c r="W238" t="s">
        <v>1652</v>
      </c>
      <c r="X238" t="s">
        <v>1659</v>
      </c>
      <c r="Y238" t="s">
        <v>1665</v>
      </c>
      <c r="Z238">
        <v>0</v>
      </c>
    </row>
    <row r="239" spans="1:26" x14ac:dyDescent="0.35">
      <c r="A239" t="s">
        <v>691</v>
      </c>
      <c r="B239" s="6">
        <v>42090</v>
      </c>
      <c r="C239" t="s">
        <v>23</v>
      </c>
      <c r="D239">
        <v>33</v>
      </c>
      <c r="E239" t="s">
        <v>36</v>
      </c>
      <c r="F239" t="s">
        <v>25</v>
      </c>
      <c r="G239" t="s">
        <v>54</v>
      </c>
      <c r="H239" t="s">
        <v>45</v>
      </c>
      <c r="I239" t="s">
        <v>97</v>
      </c>
      <c r="J239" t="s">
        <v>1633</v>
      </c>
      <c r="K239" t="s">
        <v>34</v>
      </c>
      <c r="L239">
        <v>52000</v>
      </c>
      <c r="M239">
        <v>8</v>
      </c>
      <c r="N239">
        <v>13.7</v>
      </c>
      <c r="O239">
        <v>10.8</v>
      </c>
      <c r="P239">
        <v>2.1</v>
      </c>
      <c r="Q239">
        <v>3</v>
      </c>
      <c r="R239">
        <v>2</v>
      </c>
      <c r="S239">
        <v>3</v>
      </c>
      <c r="T239" t="s">
        <v>23</v>
      </c>
      <c r="U239">
        <v>3</v>
      </c>
      <c r="W239" t="s">
        <v>1650</v>
      </c>
      <c r="X239" t="s">
        <v>1656</v>
      </c>
      <c r="Y239" t="s">
        <v>1663</v>
      </c>
      <c r="Z239">
        <v>0</v>
      </c>
    </row>
    <row r="240" spans="1:26" x14ac:dyDescent="0.35">
      <c r="A240" t="s">
        <v>1378</v>
      </c>
      <c r="B240" s="6">
        <v>45760</v>
      </c>
      <c r="C240" t="s">
        <v>23</v>
      </c>
      <c r="D240">
        <v>24</v>
      </c>
      <c r="E240" t="s">
        <v>24</v>
      </c>
      <c r="F240" t="s">
        <v>25</v>
      </c>
      <c r="G240" t="s">
        <v>54</v>
      </c>
      <c r="H240" t="s">
        <v>45</v>
      </c>
      <c r="I240" t="s">
        <v>97</v>
      </c>
      <c r="J240" t="s">
        <v>1632</v>
      </c>
      <c r="K240" t="s">
        <v>84</v>
      </c>
      <c r="L240">
        <v>44000</v>
      </c>
      <c r="M240">
        <v>8.6999999999999993</v>
      </c>
      <c r="N240">
        <v>2</v>
      </c>
      <c r="O240">
        <v>0.7</v>
      </c>
      <c r="P240">
        <v>0</v>
      </c>
      <c r="Q240">
        <v>1</v>
      </c>
      <c r="R240">
        <v>3</v>
      </c>
      <c r="S240">
        <v>4</v>
      </c>
      <c r="T240" t="s">
        <v>23</v>
      </c>
      <c r="U240">
        <v>4</v>
      </c>
      <c r="W240" t="s">
        <v>1651</v>
      </c>
      <c r="X240" t="s">
        <v>1656</v>
      </c>
      <c r="Y240" t="s">
        <v>1664</v>
      </c>
      <c r="Z240">
        <v>0</v>
      </c>
    </row>
    <row r="241" spans="1:26" x14ac:dyDescent="0.35">
      <c r="A241" t="s">
        <v>1555</v>
      </c>
      <c r="B241" s="6">
        <v>42153</v>
      </c>
      <c r="C241" t="s">
        <v>23</v>
      </c>
      <c r="D241">
        <v>35</v>
      </c>
      <c r="E241" t="s">
        <v>24</v>
      </c>
      <c r="F241" t="s">
        <v>25</v>
      </c>
      <c r="G241" t="s">
        <v>32</v>
      </c>
      <c r="H241" t="s">
        <v>27</v>
      </c>
      <c r="I241" t="s">
        <v>43</v>
      </c>
      <c r="J241" t="s">
        <v>1636</v>
      </c>
      <c r="K241" t="s">
        <v>29</v>
      </c>
      <c r="L241">
        <v>110000</v>
      </c>
      <c r="M241">
        <v>11.3</v>
      </c>
      <c r="N241">
        <v>14.5</v>
      </c>
      <c r="O241">
        <v>10.6</v>
      </c>
      <c r="P241">
        <v>5.3</v>
      </c>
      <c r="Q241">
        <v>4</v>
      </c>
      <c r="R241">
        <v>3</v>
      </c>
      <c r="S241">
        <v>2</v>
      </c>
      <c r="T241" t="s">
        <v>23</v>
      </c>
      <c r="U241">
        <v>4</v>
      </c>
      <c r="W241" t="s">
        <v>1650</v>
      </c>
      <c r="X241" t="s">
        <v>1658</v>
      </c>
      <c r="Y241" t="s">
        <v>1663</v>
      </c>
      <c r="Z241">
        <v>0</v>
      </c>
    </row>
    <row r="242" spans="1:26" x14ac:dyDescent="0.35">
      <c r="A242" t="s">
        <v>1477</v>
      </c>
      <c r="B242" s="6">
        <v>42972</v>
      </c>
      <c r="C242" t="s">
        <v>23</v>
      </c>
      <c r="D242">
        <v>37</v>
      </c>
      <c r="E242" t="s">
        <v>62</v>
      </c>
      <c r="F242" t="s">
        <v>37</v>
      </c>
      <c r="G242" t="s">
        <v>26</v>
      </c>
      <c r="H242" t="s">
        <v>1634</v>
      </c>
      <c r="I242" t="s">
        <v>150</v>
      </c>
      <c r="J242" t="s">
        <v>1635</v>
      </c>
      <c r="K242" t="s">
        <v>29</v>
      </c>
      <c r="L242">
        <v>87000</v>
      </c>
      <c r="M242">
        <v>9.8000000000000007</v>
      </c>
      <c r="N242">
        <v>12.2</v>
      </c>
      <c r="O242">
        <v>8.4</v>
      </c>
      <c r="P242">
        <v>4</v>
      </c>
      <c r="Q242">
        <v>3</v>
      </c>
      <c r="R242">
        <v>3</v>
      </c>
      <c r="S242">
        <v>2</v>
      </c>
      <c r="T242" t="s">
        <v>23</v>
      </c>
      <c r="U242">
        <v>4</v>
      </c>
      <c r="W242" t="s">
        <v>1649</v>
      </c>
      <c r="X242" t="s">
        <v>1657</v>
      </c>
      <c r="Y242" t="s">
        <v>1662</v>
      </c>
      <c r="Z242">
        <v>0</v>
      </c>
    </row>
    <row r="243" spans="1:26" x14ac:dyDescent="0.35">
      <c r="A243" t="s">
        <v>1081</v>
      </c>
      <c r="B243" s="6">
        <v>42198</v>
      </c>
      <c r="C243" t="s">
        <v>23</v>
      </c>
      <c r="D243">
        <v>32</v>
      </c>
      <c r="E243" t="s">
        <v>24</v>
      </c>
      <c r="F243" t="s">
        <v>37</v>
      </c>
      <c r="G243" t="s">
        <v>54</v>
      </c>
      <c r="H243" t="s">
        <v>55</v>
      </c>
      <c r="I243" t="s">
        <v>80</v>
      </c>
      <c r="J243" t="s">
        <v>1636</v>
      </c>
      <c r="K243" t="s">
        <v>34</v>
      </c>
      <c r="L243">
        <v>142000</v>
      </c>
      <c r="M243">
        <v>6.3</v>
      </c>
      <c r="N243">
        <v>18.2</v>
      </c>
      <c r="O243">
        <v>10.5</v>
      </c>
      <c r="P243">
        <v>0.3</v>
      </c>
      <c r="Q243">
        <v>3</v>
      </c>
      <c r="R243">
        <v>2</v>
      </c>
      <c r="S243">
        <v>3</v>
      </c>
      <c r="T243" t="s">
        <v>30</v>
      </c>
      <c r="U243">
        <v>3</v>
      </c>
      <c r="W243" t="s">
        <v>1650</v>
      </c>
      <c r="X243" t="s">
        <v>1658</v>
      </c>
      <c r="Y243" t="s">
        <v>1663</v>
      </c>
      <c r="Z243">
        <v>0</v>
      </c>
    </row>
    <row r="244" spans="1:26" x14ac:dyDescent="0.35">
      <c r="A244" t="s">
        <v>1467</v>
      </c>
      <c r="B244" s="6">
        <v>43783</v>
      </c>
      <c r="C244" t="s">
        <v>23</v>
      </c>
      <c r="D244">
        <v>33</v>
      </c>
      <c r="E244" t="s">
        <v>62</v>
      </c>
      <c r="F244" t="s">
        <v>25</v>
      </c>
      <c r="G244" t="s">
        <v>58</v>
      </c>
      <c r="H244" t="s">
        <v>1634</v>
      </c>
      <c r="I244" t="s">
        <v>60</v>
      </c>
      <c r="J244" t="s">
        <v>1632</v>
      </c>
      <c r="K244" t="s">
        <v>66</v>
      </c>
      <c r="L244">
        <v>22000</v>
      </c>
      <c r="M244">
        <v>9.5</v>
      </c>
      <c r="N244">
        <v>6.3</v>
      </c>
      <c r="O244">
        <v>6.1</v>
      </c>
      <c r="P244">
        <v>2.4</v>
      </c>
      <c r="Q244">
        <v>4</v>
      </c>
      <c r="R244">
        <v>1</v>
      </c>
      <c r="S244">
        <v>3</v>
      </c>
      <c r="T244" t="s">
        <v>23</v>
      </c>
      <c r="U244">
        <v>4</v>
      </c>
      <c r="W244" t="s">
        <v>1650</v>
      </c>
      <c r="X244" t="s">
        <v>1655</v>
      </c>
      <c r="Y244" t="s">
        <v>1662</v>
      </c>
      <c r="Z244">
        <v>0</v>
      </c>
    </row>
    <row r="245" spans="1:26" x14ac:dyDescent="0.35">
      <c r="A245" t="s">
        <v>1395</v>
      </c>
      <c r="B245" s="6">
        <v>43963</v>
      </c>
      <c r="C245" t="s">
        <v>23</v>
      </c>
      <c r="D245">
        <v>39</v>
      </c>
      <c r="E245" t="s">
        <v>36</v>
      </c>
      <c r="F245" t="s">
        <v>25</v>
      </c>
      <c r="G245" t="s">
        <v>54</v>
      </c>
      <c r="H245" t="s">
        <v>27</v>
      </c>
      <c r="I245" t="s">
        <v>95</v>
      </c>
      <c r="J245" t="s">
        <v>1635</v>
      </c>
      <c r="K245" t="s">
        <v>50</v>
      </c>
      <c r="L245">
        <v>68000</v>
      </c>
      <c r="M245">
        <v>7.2</v>
      </c>
      <c r="N245">
        <v>12.4</v>
      </c>
      <c r="O245">
        <v>5.6</v>
      </c>
      <c r="P245">
        <v>1.9</v>
      </c>
      <c r="Q245">
        <v>4</v>
      </c>
      <c r="R245">
        <v>4</v>
      </c>
      <c r="S245">
        <v>3</v>
      </c>
      <c r="T245" t="s">
        <v>23</v>
      </c>
      <c r="U245">
        <v>4</v>
      </c>
      <c r="W245" t="s">
        <v>1649</v>
      </c>
      <c r="X245" t="s">
        <v>1659</v>
      </c>
      <c r="Y245" t="s">
        <v>1661</v>
      </c>
      <c r="Z245">
        <v>0</v>
      </c>
    </row>
    <row r="246" spans="1:26" x14ac:dyDescent="0.35">
      <c r="A246" t="s">
        <v>1576</v>
      </c>
      <c r="B246" s="6">
        <v>44655</v>
      </c>
      <c r="C246" t="s">
        <v>23</v>
      </c>
      <c r="D246">
        <v>30</v>
      </c>
      <c r="E246" t="s">
        <v>62</v>
      </c>
      <c r="F246" t="s">
        <v>25</v>
      </c>
      <c r="G246" t="s">
        <v>54</v>
      </c>
      <c r="H246" t="s">
        <v>38</v>
      </c>
      <c r="I246" t="s">
        <v>139</v>
      </c>
      <c r="J246" t="s">
        <v>1632</v>
      </c>
      <c r="K246" t="s">
        <v>50</v>
      </c>
      <c r="L246">
        <v>22000</v>
      </c>
      <c r="M246">
        <v>2.7</v>
      </c>
      <c r="N246">
        <v>6.7</v>
      </c>
      <c r="O246">
        <v>3.7</v>
      </c>
      <c r="P246">
        <v>0.4</v>
      </c>
      <c r="Q246">
        <v>4</v>
      </c>
      <c r="R246">
        <v>4</v>
      </c>
      <c r="S246">
        <v>3</v>
      </c>
      <c r="T246" t="s">
        <v>23</v>
      </c>
      <c r="U246">
        <v>4</v>
      </c>
      <c r="W246" t="s">
        <v>1650</v>
      </c>
      <c r="X246" t="s">
        <v>1655</v>
      </c>
      <c r="Y246" t="s">
        <v>1661</v>
      </c>
      <c r="Z246">
        <v>0</v>
      </c>
    </row>
    <row r="247" spans="1:26" x14ac:dyDescent="0.35">
      <c r="A247" t="s">
        <v>452</v>
      </c>
      <c r="B247" s="6">
        <v>41938</v>
      </c>
      <c r="C247" t="s">
        <v>23</v>
      </c>
      <c r="D247">
        <v>39</v>
      </c>
      <c r="E247" t="s">
        <v>62</v>
      </c>
      <c r="F247" t="s">
        <v>37</v>
      </c>
      <c r="G247" t="s">
        <v>54</v>
      </c>
      <c r="H247" t="s">
        <v>68</v>
      </c>
      <c r="I247" t="s">
        <v>109</v>
      </c>
      <c r="J247" t="s">
        <v>1633</v>
      </c>
      <c r="K247" t="s">
        <v>34</v>
      </c>
      <c r="L247">
        <v>57000</v>
      </c>
      <c r="M247">
        <v>5.0999999999999996</v>
      </c>
      <c r="N247">
        <v>16.899999999999999</v>
      </c>
      <c r="O247">
        <v>11.2</v>
      </c>
      <c r="P247">
        <v>0.6</v>
      </c>
      <c r="Q247">
        <v>3</v>
      </c>
      <c r="R247">
        <v>3</v>
      </c>
      <c r="S247">
        <v>4</v>
      </c>
      <c r="T247" t="s">
        <v>23</v>
      </c>
      <c r="U247">
        <v>4</v>
      </c>
      <c r="W247" t="s">
        <v>1649</v>
      </c>
      <c r="X247" t="s">
        <v>1656</v>
      </c>
      <c r="Y247" t="s">
        <v>1663</v>
      </c>
      <c r="Z247">
        <v>0</v>
      </c>
    </row>
    <row r="248" spans="1:26" x14ac:dyDescent="0.35">
      <c r="A248" t="s">
        <v>1337</v>
      </c>
      <c r="B248" s="6">
        <v>45894</v>
      </c>
      <c r="C248" t="s">
        <v>23</v>
      </c>
      <c r="D248">
        <v>33</v>
      </c>
      <c r="E248" t="s">
        <v>24</v>
      </c>
      <c r="F248" t="s">
        <v>25</v>
      </c>
      <c r="G248" t="s">
        <v>32</v>
      </c>
      <c r="H248" t="s">
        <v>45</v>
      </c>
      <c r="I248" t="s">
        <v>97</v>
      </c>
      <c r="J248" t="s">
        <v>1637</v>
      </c>
      <c r="K248" t="s">
        <v>50</v>
      </c>
      <c r="L248">
        <v>134000</v>
      </c>
      <c r="M248">
        <v>15</v>
      </c>
      <c r="N248">
        <v>5</v>
      </c>
      <c r="O248">
        <v>0.4</v>
      </c>
      <c r="P248">
        <v>0</v>
      </c>
      <c r="Q248">
        <v>3</v>
      </c>
      <c r="R248">
        <v>4</v>
      </c>
      <c r="S248">
        <v>4</v>
      </c>
      <c r="T248" t="s">
        <v>23</v>
      </c>
      <c r="U248">
        <v>4</v>
      </c>
      <c r="W248" t="s">
        <v>1650</v>
      </c>
      <c r="X248" t="s">
        <v>1658</v>
      </c>
      <c r="Y248" t="s">
        <v>1664</v>
      </c>
      <c r="Z248">
        <v>0</v>
      </c>
    </row>
    <row r="249" spans="1:26" x14ac:dyDescent="0.35">
      <c r="A249" t="s">
        <v>910</v>
      </c>
      <c r="B249" s="6">
        <v>44410</v>
      </c>
      <c r="C249" t="s">
        <v>23</v>
      </c>
      <c r="D249">
        <v>31</v>
      </c>
      <c r="E249" t="s">
        <v>36</v>
      </c>
      <c r="F249" t="s">
        <v>25</v>
      </c>
      <c r="G249" t="s">
        <v>58</v>
      </c>
      <c r="H249" t="s">
        <v>48</v>
      </c>
      <c r="I249" t="s">
        <v>129</v>
      </c>
      <c r="J249" t="s">
        <v>1635</v>
      </c>
      <c r="K249" t="s">
        <v>29</v>
      </c>
      <c r="L249">
        <v>80000</v>
      </c>
      <c r="M249">
        <v>9.8000000000000007</v>
      </c>
      <c r="N249">
        <v>6.6</v>
      </c>
      <c r="O249">
        <v>4.4000000000000004</v>
      </c>
      <c r="P249">
        <v>4.2</v>
      </c>
      <c r="Q249">
        <v>4</v>
      </c>
      <c r="R249">
        <v>4</v>
      </c>
      <c r="S249">
        <v>3</v>
      </c>
      <c r="T249" t="s">
        <v>23</v>
      </c>
      <c r="U249">
        <v>2</v>
      </c>
      <c r="W249" t="s">
        <v>1650</v>
      </c>
      <c r="X249" t="s">
        <v>1657</v>
      </c>
      <c r="Y249" t="s">
        <v>1661</v>
      </c>
      <c r="Z249">
        <v>0</v>
      </c>
    </row>
    <row r="250" spans="1:26" x14ac:dyDescent="0.35">
      <c r="A250" t="s">
        <v>475</v>
      </c>
      <c r="B250" s="6">
        <v>42257</v>
      </c>
      <c r="C250" t="s">
        <v>23</v>
      </c>
      <c r="D250">
        <v>31</v>
      </c>
      <c r="E250" t="s">
        <v>24</v>
      </c>
      <c r="F250" t="s">
        <v>25</v>
      </c>
      <c r="G250" t="s">
        <v>58</v>
      </c>
      <c r="H250" t="s">
        <v>27</v>
      </c>
      <c r="I250" t="s">
        <v>28</v>
      </c>
      <c r="J250" t="s">
        <v>1635</v>
      </c>
      <c r="K250" t="s">
        <v>29</v>
      </c>
      <c r="L250">
        <v>67000</v>
      </c>
      <c r="M250">
        <v>5</v>
      </c>
      <c r="N250">
        <v>12.6</v>
      </c>
      <c r="O250">
        <v>10.3</v>
      </c>
      <c r="P250">
        <v>2.1</v>
      </c>
      <c r="Q250">
        <v>2</v>
      </c>
      <c r="R250">
        <v>3</v>
      </c>
      <c r="S250">
        <v>4</v>
      </c>
      <c r="T250" t="s">
        <v>23</v>
      </c>
      <c r="U250">
        <v>4</v>
      </c>
      <c r="W250" t="s">
        <v>1650</v>
      </c>
      <c r="X250" t="s">
        <v>1659</v>
      </c>
      <c r="Y250" t="s">
        <v>1663</v>
      </c>
      <c r="Z250">
        <v>0</v>
      </c>
    </row>
    <row r="251" spans="1:26" x14ac:dyDescent="0.35">
      <c r="A251" t="s">
        <v>426</v>
      </c>
      <c r="B251" s="6">
        <v>43422</v>
      </c>
      <c r="C251" t="s">
        <v>23</v>
      </c>
      <c r="D251">
        <v>46</v>
      </c>
      <c r="E251" t="s">
        <v>24</v>
      </c>
      <c r="F251" t="s">
        <v>37</v>
      </c>
      <c r="G251" t="s">
        <v>54</v>
      </c>
      <c r="H251" t="s">
        <v>38</v>
      </c>
      <c r="I251" t="s">
        <v>39</v>
      </c>
      <c r="J251" t="s">
        <v>1635</v>
      </c>
      <c r="K251" t="s">
        <v>40</v>
      </c>
      <c r="L251">
        <v>92000</v>
      </c>
      <c r="M251">
        <v>6.7</v>
      </c>
      <c r="N251">
        <v>14.3</v>
      </c>
      <c r="O251">
        <v>7.1</v>
      </c>
      <c r="P251">
        <v>3.2</v>
      </c>
      <c r="Q251">
        <v>3</v>
      </c>
      <c r="R251">
        <v>4</v>
      </c>
      <c r="S251">
        <v>3</v>
      </c>
      <c r="T251" t="s">
        <v>23</v>
      </c>
      <c r="U251">
        <v>1</v>
      </c>
      <c r="W251" t="s">
        <v>1652</v>
      </c>
      <c r="X251" t="s">
        <v>1657</v>
      </c>
      <c r="Y251" t="s">
        <v>1662</v>
      </c>
      <c r="Z251">
        <v>0</v>
      </c>
    </row>
    <row r="252" spans="1:26" x14ac:dyDescent="0.35">
      <c r="A252" t="s">
        <v>1385</v>
      </c>
      <c r="B252" s="6">
        <v>42707</v>
      </c>
      <c r="C252" t="s">
        <v>23</v>
      </c>
      <c r="D252">
        <v>43</v>
      </c>
      <c r="E252" t="s">
        <v>36</v>
      </c>
      <c r="F252" t="s">
        <v>37</v>
      </c>
      <c r="G252" t="s">
        <v>32</v>
      </c>
      <c r="H252" t="s">
        <v>38</v>
      </c>
      <c r="I252" t="s">
        <v>118</v>
      </c>
      <c r="J252" t="s">
        <v>1633</v>
      </c>
      <c r="K252" t="s">
        <v>29</v>
      </c>
      <c r="L252">
        <v>68000</v>
      </c>
      <c r="M252">
        <v>9.1999999999999993</v>
      </c>
      <c r="N252">
        <v>15.8</v>
      </c>
      <c r="O252">
        <v>9.1</v>
      </c>
      <c r="P252">
        <v>4.0999999999999996</v>
      </c>
      <c r="Q252">
        <v>3</v>
      </c>
      <c r="R252">
        <v>3</v>
      </c>
      <c r="S252">
        <v>3</v>
      </c>
      <c r="T252" t="s">
        <v>30</v>
      </c>
      <c r="U252">
        <v>1</v>
      </c>
      <c r="W252" t="s">
        <v>1649</v>
      </c>
      <c r="X252" t="s">
        <v>1659</v>
      </c>
      <c r="Y252" t="s">
        <v>1662</v>
      </c>
      <c r="Z252">
        <v>0</v>
      </c>
    </row>
    <row r="253" spans="1:26" x14ac:dyDescent="0.35">
      <c r="A253" t="s">
        <v>1282</v>
      </c>
      <c r="B253" s="6">
        <v>42561</v>
      </c>
      <c r="C253" t="s">
        <v>23</v>
      </c>
      <c r="D253">
        <v>38</v>
      </c>
      <c r="E253" t="s">
        <v>62</v>
      </c>
      <c r="F253" t="s">
        <v>37</v>
      </c>
      <c r="G253" t="s">
        <v>26</v>
      </c>
      <c r="H253" t="s">
        <v>45</v>
      </c>
      <c r="I253" t="s">
        <v>46</v>
      </c>
      <c r="J253" t="s">
        <v>1633</v>
      </c>
      <c r="K253" t="s">
        <v>29</v>
      </c>
      <c r="L253">
        <v>53000</v>
      </c>
      <c r="M253">
        <v>12.6</v>
      </c>
      <c r="N253">
        <v>16.899999999999999</v>
      </c>
      <c r="O253">
        <v>9.5</v>
      </c>
      <c r="P253">
        <v>2.2999999999999998</v>
      </c>
      <c r="Q253">
        <v>3</v>
      </c>
      <c r="R253">
        <v>4</v>
      </c>
      <c r="S253">
        <v>4</v>
      </c>
      <c r="T253" t="s">
        <v>23</v>
      </c>
      <c r="U253">
        <v>3</v>
      </c>
      <c r="W253" t="s">
        <v>1649</v>
      </c>
      <c r="X253" t="s">
        <v>1656</v>
      </c>
      <c r="Y253" t="s">
        <v>1662</v>
      </c>
      <c r="Z253">
        <v>0</v>
      </c>
    </row>
    <row r="254" spans="1:26" x14ac:dyDescent="0.35">
      <c r="A254" t="s">
        <v>1377</v>
      </c>
      <c r="B254" s="6">
        <v>42576</v>
      </c>
      <c r="C254" t="s">
        <v>23</v>
      </c>
      <c r="D254">
        <v>40</v>
      </c>
      <c r="E254" t="s">
        <v>62</v>
      </c>
      <c r="F254" t="s">
        <v>37</v>
      </c>
      <c r="G254" t="s">
        <v>58</v>
      </c>
      <c r="H254" t="s">
        <v>68</v>
      </c>
      <c r="I254" t="s">
        <v>109</v>
      </c>
      <c r="J254" t="s">
        <v>1635</v>
      </c>
      <c r="K254" t="s">
        <v>34</v>
      </c>
      <c r="L254">
        <v>72000</v>
      </c>
      <c r="M254">
        <v>14.3</v>
      </c>
      <c r="N254">
        <v>15.1</v>
      </c>
      <c r="O254">
        <v>9.4</v>
      </c>
      <c r="P254">
        <v>3.9</v>
      </c>
      <c r="Q254">
        <v>4</v>
      </c>
      <c r="R254">
        <v>4</v>
      </c>
      <c r="S254">
        <v>3</v>
      </c>
      <c r="T254" t="s">
        <v>23</v>
      </c>
      <c r="U254">
        <v>4</v>
      </c>
      <c r="W254" t="s">
        <v>1649</v>
      </c>
      <c r="X254" t="s">
        <v>1659</v>
      </c>
      <c r="Y254" t="s">
        <v>1662</v>
      </c>
      <c r="Z254">
        <v>0</v>
      </c>
    </row>
    <row r="255" spans="1:26" x14ac:dyDescent="0.35">
      <c r="A255" t="s">
        <v>107</v>
      </c>
      <c r="B255" s="6">
        <v>45170</v>
      </c>
      <c r="C255" t="s">
        <v>23</v>
      </c>
      <c r="D255">
        <v>48</v>
      </c>
      <c r="E255" t="s">
        <v>62</v>
      </c>
      <c r="F255" t="s">
        <v>37</v>
      </c>
      <c r="G255" t="s">
        <v>26</v>
      </c>
      <c r="H255" t="s">
        <v>55</v>
      </c>
      <c r="I255" t="s">
        <v>56</v>
      </c>
      <c r="J255" t="s">
        <v>1633</v>
      </c>
      <c r="K255" t="s">
        <v>40</v>
      </c>
      <c r="L255">
        <v>55000</v>
      </c>
      <c r="M255">
        <v>15.9</v>
      </c>
      <c r="N255">
        <v>6.8</v>
      </c>
      <c r="O255">
        <v>2.2999999999999998</v>
      </c>
      <c r="P255">
        <v>0.3</v>
      </c>
      <c r="Q255">
        <v>3</v>
      </c>
      <c r="R255">
        <v>3</v>
      </c>
      <c r="S255">
        <v>2</v>
      </c>
      <c r="T255" t="s">
        <v>23</v>
      </c>
      <c r="U255">
        <v>3</v>
      </c>
      <c r="W255" t="s">
        <v>1652</v>
      </c>
      <c r="X255" t="s">
        <v>1656</v>
      </c>
      <c r="Y255" t="s">
        <v>1665</v>
      </c>
      <c r="Z255">
        <v>0</v>
      </c>
    </row>
    <row r="256" spans="1:26" x14ac:dyDescent="0.35">
      <c r="A256" t="s">
        <v>405</v>
      </c>
      <c r="B256" s="6">
        <v>44154</v>
      </c>
      <c r="C256" t="s">
        <v>23</v>
      </c>
      <c r="D256">
        <v>28</v>
      </c>
      <c r="E256" t="s">
        <v>62</v>
      </c>
      <c r="F256" t="s">
        <v>37</v>
      </c>
      <c r="G256" t="s">
        <v>32</v>
      </c>
      <c r="H256" t="s">
        <v>68</v>
      </c>
      <c r="I256" t="s">
        <v>102</v>
      </c>
      <c r="J256" t="s">
        <v>1635</v>
      </c>
      <c r="K256" t="s">
        <v>34</v>
      </c>
      <c r="L256">
        <v>72000</v>
      </c>
      <c r="M256">
        <v>7.7</v>
      </c>
      <c r="N256">
        <v>9.5</v>
      </c>
      <c r="O256">
        <v>5.0999999999999996</v>
      </c>
      <c r="P256">
        <v>0.4</v>
      </c>
      <c r="Q256">
        <v>3</v>
      </c>
      <c r="R256">
        <v>3</v>
      </c>
      <c r="S256">
        <v>3</v>
      </c>
      <c r="T256" t="s">
        <v>23</v>
      </c>
      <c r="U256">
        <v>5</v>
      </c>
      <c r="W256" t="s">
        <v>1650</v>
      </c>
      <c r="X256" t="s">
        <v>1659</v>
      </c>
      <c r="Y256" t="s">
        <v>1661</v>
      </c>
      <c r="Z256">
        <v>0</v>
      </c>
    </row>
    <row r="257" spans="1:26" x14ac:dyDescent="0.35">
      <c r="A257" t="s">
        <v>1320</v>
      </c>
      <c r="B257" s="6">
        <v>44968</v>
      </c>
      <c r="C257" t="s">
        <v>23</v>
      </c>
      <c r="D257">
        <v>37</v>
      </c>
      <c r="E257" t="s">
        <v>62</v>
      </c>
      <c r="F257" t="s">
        <v>37</v>
      </c>
      <c r="G257" t="s">
        <v>26</v>
      </c>
      <c r="H257" t="s">
        <v>27</v>
      </c>
      <c r="I257" t="s">
        <v>33</v>
      </c>
      <c r="J257" t="s">
        <v>1632</v>
      </c>
      <c r="K257" t="s">
        <v>29</v>
      </c>
      <c r="L257">
        <v>27000</v>
      </c>
      <c r="M257">
        <v>8.9</v>
      </c>
      <c r="N257">
        <v>4.5999999999999996</v>
      </c>
      <c r="O257">
        <v>2.9</v>
      </c>
      <c r="P257">
        <v>2.2000000000000002</v>
      </c>
      <c r="Q257">
        <v>3</v>
      </c>
      <c r="R257">
        <v>3</v>
      </c>
      <c r="S257">
        <v>4</v>
      </c>
      <c r="T257" t="s">
        <v>30</v>
      </c>
      <c r="U257">
        <v>4</v>
      </c>
      <c r="W257" t="s">
        <v>1649</v>
      </c>
      <c r="X257" t="s">
        <v>1655</v>
      </c>
      <c r="Y257" t="s">
        <v>1665</v>
      </c>
      <c r="Z257">
        <v>0</v>
      </c>
    </row>
    <row r="258" spans="1:26" x14ac:dyDescent="0.35">
      <c r="A258" t="s">
        <v>882</v>
      </c>
      <c r="B258" s="6">
        <v>43168</v>
      </c>
      <c r="C258" t="s">
        <v>30</v>
      </c>
      <c r="D258">
        <v>45</v>
      </c>
      <c r="E258" t="s">
        <v>24</v>
      </c>
      <c r="F258" t="s">
        <v>25</v>
      </c>
      <c r="G258" t="s">
        <v>58</v>
      </c>
      <c r="H258" t="s">
        <v>68</v>
      </c>
      <c r="I258" t="s">
        <v>121</v>
      </c>
      <c r="J258" t="s">
        <v>1633</v>
      </c>
      <c r="K258" t="s">
        <v>66</v>
      </c>
      <c r="L258">
        <v>57000</v>
      </c>
      <c r="M258">
        <v>9.1999999999999993</v>
      </c>
      <c r="N258">
        <v>10.3</v>
      </c>
      <c r="O258">
        <v>7.3</v>
      </c>
      <c r="P258">
        <v>4.8</v>
      </c>
      <c r="Q258">
        <v>2</v>
      </c>
      <c r="R258">
        <v>2</v>
      </c>
      <c r="S258">
        <v>2</v>
      </c>
      <c r="T258" t="s">
        <v>23</v>
      </c>
      <c r="U258">
        <v>4</v>
      </c>
      <c r="V258" s="7">
        <v>45822</v>
      </c>
      <c r="W258" t="s">
        <v>1649</v>
      </c>
      <c r="X258" t="s">
        <v>1656</v>
      </c>
      <c r="Y258" t="s">
        <v>1662</v>
      </c>
      <c r="Z258">
        <v>1</v>
      </c>
    </row>
    <row r="259" spans="1:26" x14ac:dyDescent="0.35">
      <c r="A259" t="s">
        <v>376</v>
      </c>
      <c r="B259" s="6">
        <v>44646</v>
      </c>
      <c r="C259" t="s">
        <v>30</v>
      </c>
      <c r="D259">
        <v>37</v>
      </c>
      <c r="E259" t="s">
        <v>62</v>
      </c>
      <c r="F259" t="s">
        <v>25</v>
      </c>
      <c r="G259" t="s">
        <v>32</v>
      </c>
      <c r="H259" t="s">
        <v>1634</v>
      </c>
      <c r="I259" t="s">
        <v>60</v>
      </c>
      <c r="J259" t="s">
        <v>1635</v>
      </c>
      <c r="K259" t="s">
        <v>29</v>
      </c>
      <c r="L259">
        <v>66000</v>
      </c>
      <c r="M259">
        <v>8</v>
      </c>
      <c r="N259">
        <v>4.2</v>
      </c>
      <c r="O259">
        <v>2.9</v>
      </c>
      <c r="P259">
        <v>2.8</v>
      </c>
      <c r="Q259">
        <v>3</v>
      </c>
      <c r="R259">
        <v>3</v>
      </c>
      <c r="S259">
        <v>1</v>
      </c>
      <c r="T259" t="s">
        <v>23</v>
      </c>
      <c r="U259">
        <v>2</v>
      </c>
      <c r="V259" s="7">
        <v>45707</v>
      </c>
      <c r="W259" t="s">
        <v>1649</v>
      </c>
      <c r="X259" t="s">
        <v>1659</v>
      </c>
      <c r="Y259" t="s">
        <v>1665</v>
      </c>
      <c r="Z259">
        <v>1</v>
      </c>
    </row>
    <row r="260" spans="1:26" x14ac:dyDescent="0.35">
      <c r="A260" t="s">
        <v>705</v>
      </c>
      <c r="B260" s="6">
        <v>42371</v>
      </c>
      <c r="C260" t="s">
        <v>23</v>
      </c>
      <c r="D260">
        <v>36</v>
      </c>
      <c r="E260" t="s">
        <v>24</v>
      </c>
      <c r="F260" t="s">
        <v>37</v>
      </c>
      <c r="G260" t="s">
        <v>26</v>
      </c>
      <c r="H260" t="s">
        <v>48</v>
      </c>
      <c r="I260" t="s">
        <v>63</v>
      </c>
      <c r="J260" t="s">
        <v>1633</v>
      </c>
      <c r="K260" t="s">
        <v>50</v>
      </c>
      <c r="L260">
        <v>61000</v>
      </c>
      <c r="M260">
        <v>7.1</v>
      </c>
      <c r="N260">
        <v>16.5</v>
      </c>
      <c r="O260">
        <v>10</v>
      </c>
      <c r="P260">
        <v>0.4</v>
      </c>
      <c r="Q260">
        <v>4</v>
      </c>
      <c r="R260">
        <v>3</v>
      </c>
      <c r="S260">
        <v>1</v>
      </c>
      <c r="T260" t="s">
        <v>23</v>
      </c>
      <c r="U260">
        <v>4</v>
      </c>
      <c r="W260" t="s">
        <v>1649</v>
      </c>
      <c r="X260" t="s">
        <v>1659</v>
      </c>
      <c r="Y260" t="s">
        <v>1662</v>
      </c>
      <c r="Z260">
        <v>0</v>
      </c>
    </row>
    <row r="261" spans="1:26" x14ac:dyDescent="0.35">
      <c r="A261" t="s">
        <v>519</v>
      </c>
      <c r="B261" s="6">
        <v>45159</v>
      </c>
      <c r="C261" t="s">
        <v>23</v>
      </c>
      <c r="D261">
        <v>24</v>
      </c>
      <c r="E261" t="s">
        <v>62</v>
      </c>
      <c r="F261" t="s">
        <v>37</v>
      </c>
      <c r="G261" t="s">
        <v>26</v>
      </c>
      <c r="H261" t="s">
        <v>55</v>
      </c>
      <c r="I261" t="s">
        <v>88</v>
      </c>
      <c r="J261" t="s">
        <v>1632</v>
      </c>
      <c r="K261" t="s">
        <v>29</v>
      </c>
      <c r="L261">
        <v>26000</v>
      </c>
      <c r="M261">
        <v>9.9</v>
      </c>
      <c r="N261">
        <v>5.5</v>
      </c>
      <c r="O261">
        <v>2.4</v>
      </c>
      <c r="P261">
        <v>1.5</v>
      </c>
      <c r="Q261">
        <v>2</v>
      </c>
      <c r="R261">
        <v>3</v>
      </c>
      <c r="S261">
        <v>1</v>
      </c>
      <c r="T261" t="s">
        <v>23</v>
      </c>
      <c r="U261">
        <v>4</v>
      </c>
      <c r="W261" t="s">
        <v>1651</v>
      </c>
      <c r="X261" t="s">
        <v>1655</v>
      </c>
      <c r="Y261" t="s">
        <v>1665</v>
      </c>
      <c r="Z261">
        <v>0</v>
      </c>
    </row>
    <row r="262" spans="1:26" x14ac:dyDescent="0.35">
      <c r="A262" t="s">
        <v>182</v>
      </c>
      <c r="B262" s="6">
        <v>45603</v>
      </c>
      <c r="C262" t="s">
        <v>23</v>
      </c>
      <c r="D262">
        <v>45</v>
      </c>
      <c r="E262" t="s">
        <v>62</v>
      </c>
      <c r="F262" t="s">
        <v>37</v>
      </c>
      <c r="G262" t="s">
        <v>54</v>
      </c>
      <c r="H262" t="s">
        <v>27</v>
      </c>
      <c r="I262" t="s">
        <v>43</v>
      </c>
      <c r="J262" t="s">
        <v>1635</v>
      </c>
      <c r="K262" t="s">
        <v>40</v>
      </c>
      <c r="L262">
        <v>69000</v>
      </c>
      <c r="M262">
        <v>13.3</v>
      </c>
      <c r="N262">
        <v>3.6</v>
      </c>
      <c r="O262">
        <v>1.1000000000000001</v>
      </c>
      <c r="P262">
        <v>0.1</v>
      </c>
      <c r="Q262">
        <v>2</v>
      </c>
      <c r="R262">
        <v>4</v>
      </c>
      <c r="S262">
        <v>3</v>
      </c>
      <c r="T262" t="s">
        <v>23</v>
      </c>
      <c r="U262">
        <v>3</v>
      </c>
      <c r="W262" t="s">
        <v>1649</v>
      </c>
      <c r="X262" t="s">
        <v>1659</v>
      </c>
      <c r="Y262" t="s">
        <v>1665</v>
      </c>
      <c r="Z262">
        <v>0</v>
      </c>
    </row>
    <row r="263" spans="1:26" x14ac:dyDescent="0.35">
      <c r="A263" t="s">
        <v>310</v>
      </c>
      <c r="B263" s="6">
        <v>44242</v>
      </c>
      <c r="C263" t="s">
        <v>23</v>
      </c>
      <c r="D263">
        <v>32</v>
      </c>
      <c r="E263" t="s">
        <v>36</v>
      </c>
      <c r="F263" t="s">
        <v>37</v>
      </c>
      <c r="G263" t="s">
        <v>32</v>
      </c>
      <c r="H263" t="s">
        <v>27</v>
      </c>
      <c r="I263" t="s">
        <v>95</v>
      </c>
      <c r="J263" t="s">
        <v>1633</v>
      </c>
      <c r="K263" t="s">
        <v>50</v>
      </c>
      <c r="L263">
        <v>59000</v>
      </c>
      <c r="M263">
        <v>11.6</v>
      </c>
      <c r="N263">
        <v>6</v>
      </c>
      <c r="O263">
        <v>4.9000000000000004</v>
      </c>
      <c r="P263">
        <v>3.3</v>
      </c>
      <c r="Q263">
        <v>3</v>
      </c>
      <c r="R263">
        <v>4</v>
      </c>
      <c r="S263">
        <v>4</v>
      </c>
      <c r="T263" t="s">
        <v>23</v>
      </c>
      <c r="U263">
        <v>4</v>
      </c>
      <c r="W263" t="s">
        <v>1650</v>
      </c>
      <c r="X263" t="s">
        <v>1656</v>
      </c>
      <c r="Y263" t="s">
        <v>1661</v>
      </c>
      <c r="Z263">
        <v>0</v>
      </c>
    </row>
    <row r="264" spans="1:26" x14ac:dyDescent="0.35">
      <c r="A264" t="s">
        <v>381</v>
      </c>
      <c r="B264" s="6">
        <v>44229</v>
      </c>
      <c r="C264" t="s">
        <v>23</v>
      </c>
      <c r="D264">
        <v>43</v>
      </c>
      <c r="E264" t="s">
        <v>24</v>
      </c>
      <c r="F264" t="s">
        <v>37</v>
      </c>
      <c r="G264" t="s">
        <v>32</v>
      </c>
      <c r="H264" t="s">
        <v>38</v>
      </c>
      <c r="I264" t="s">
        <v>118</v>
      </c>
      <c r="J264" t="s">
        <v>1635</v>
      </c>
      <c r="K264" t="s">
        <v>40</v>
      </c>
      <c r="L264">
        <v>99000</v>
      </c>
      <c r="M264">
        <v>6.5</v>
      </c>
      <c r="N264">
        <v>10.8</v>
      </c>
      <c r="O264">
        <v>4.9000000000000004</v>
      </c>
      <c r="P264">
        <v>3.6</v>
      </c>
      <c r="Q264">
        <v>2</v>
      </c>
      <c r="R264">
        <v>2</v>
      </c>
      <c r="S264">
        <v>4</v>
      </c>
      <c r="T264" t="s">
        <v>23</v>
      </c>
      <c r="U264">
        <v>4</v>
      </c>
      <c r="W264" t="s">
        <v>1649</v>
      </c>
      <c r="X264" t="s">
        <v>1657</v>
      </c>
      <c r="Y264" t="s">
        <v>1661</v>
      </c>
      <c r="Z264">
        <v>0</v>
      </c>
    </row>
    <row r="265" spans="1:26" x14ac:dyDescent="0.35">
      <c r="A265" t="s">
        <v>1058</v>
      </c>
      <c r="B265" s="6">
        <v>45138</v>
      </c>
      <c r="C265" t="s">
        <v>23</v>
      </c>
      <c r="D265">
        <v>36</v>
      </c>
      <c r="E265" t="s">
        <v>24</v>
      </c>
      <c r="F265" t="s">
        <v>42</v>
      </c>
      <c r="G265" t="s">
        <v>26</v>
      </c>
      <c r="H265" t="s">
        <v>27</v>
      </c>
      <c r="I265" t="s">
        <v>28</v>
      </c>
      <c r="J265" t="s">
        <v>1633</v>
      </c>
      <c r="K265" t="s">
        <v>40</v>
      </c>
      <c r="L265">
        <v>53000</v>
      </c>
      <c r="M265">
        <v>6.8</v>
      </c>
      <c r="N265">
        <v>9.9</v>
      </c>
      <c r="O265">
        <v>2.4</v>
      </c>
      <c r="P265">
        <v>2.4</v>
      </c>
      <c r="Q265">
        <v>4</v>
      </c>
      <c r="R265">
        <v>3</v>
      </c>
      <c r="S265">
        <v>3</v>
      </c>
      <c r="T265" t="s">
        <v>23</v>
      </c>
      <c r="U265">
        <v>3</v>
      </c>
      <c r="W265" t="s">
        <v>1649</v>
      </c>
      <c r="X265" t="s">
        <v>1656</v>
      </c>
      <c r="Y265" t="s">
        <v>1665</v>
      </c>
      <c r="Z265">
        <v>0</v>
      </c>
    </row>
    <row r="266" spans="1:26" x14ac:dyDescent="0.35">
      <c r="A266" t="s">
        <v>1431</v>
      </c>
      <c r="B266" s="6">
        <v>44387</v>
      </c>
      <c r="C266" t="s">
        <v>23</v>
      </c>
      <c r="D266">
        <v>33</v>
      </c>
      <c r="E266" t="s">
        <v>62</v>
      </c>
      <c r="F266" t="s">
        <v>25</v>
      </c>
      <c r="G266" t="s">
        <v>32</v>
      </c>
      <c r="H266" t="s">
        <v>45</v>
      </c>
      <c r="I266" t="s">
        <v>46</v>
      </c>
      <c r="J266" t="s">
        <v>1637</v>
      </c>
      <c r="K266" t="s">
        <v>66</v>
      </c>
      <c r="L266">
        <v>155000</v>
      </c>
      <c r="M266">
        <v>11.2</v>
      </c>
      <c r="N266">
        <v>5</v>
      </c>
      <c r="O266">
        <v>4.5</v>
      </c>
      <c r="P266">
        <v>0.9</v>
      </c>
      <c r="Q266">
        <v>2</v>
      </c>
      <c r="R266">
        <v>3</v>
      </c>
      <c r="S266">
        <v>3</v>
      </c>
      <c r="T266" t="s">
        <v>23</v>
      </c>
      <c r="U266">
        <v>4</v>
      </c>
      <c r="W266" t="s">
        <v>1650</v>
      </c>
      <c r="X266" t="s">
        <v>1658</v>
      </c>
      <c r="Y266" t="s">
        <v>1661</v>
      </c>
      <c r="Z266">
        <v>0</v>
      </c>
    </row>
    <row r="267" spans="1:26" x14ac:dyDescent="0.35">
      <c r="A267" t="s">
        <v>870</v>
      </c>
      <c r="B267" s="6">
        <v>41816</v>
      </c>
      <c r="C267" t="s">
        <v>23</v>
      </c>
      <c r="D267">
        <v>38</v>
      </c>
      <c r="E267" t="s">
        <v>36</v>
      </c>
      <c r="F267" t="s">
        <v>42</v>
      </c>
      <c r="G267" t="s">
        <v>54</v>
      </c>
      <c r="H267" t="s">
        <v>27</v>
      </c>
      <c r="I267" t="s">
        <v>28</v>
      </c>
      <c r="J267" t="s">
        <v>1636</v>
      </c>
      <c r="K267" t="s">
        <v>34</v>
      </c>
      <c r="L267">
        <v>80000</v>
      </c>
      <c r="M267">
        <v>13.6</v>
      </c>
      <c r="N267">
        <v>17.2</v>
      </c>
      <c r="O267">
        <v>11.5</v>
      </c>
      <c r="P267">
        <v>3.8</v>
      </c>
      <c r="Q267">
        <v>3</v>
      </c>
      <c r="R267">
        <v>3</v>
      </c>
      <c r="S267">
        <v>3</v>
      </c>
      <c r="T267" t="s">
        <v>30</v>
      </c>
      <c r="U267">
        <v>4</v>
      </c>
      <c r="W267" t="s">
        <v>1649</v>
      </c>
      <c r="X267" t="s">
        <v>1657</v>
      </c>
      <c r="Y267" t="s">
        <v>1663</v>
      </c>
      <c r="Z267">
        <v>0</v>
      </c>
    </row>
    <row r="268" spans="1:26" x14ac:dyDescent="0.35">
      <c r="A268" t="s">
        <v>136</v>
      </c>
      <c r="B268" s="6">
        <v>45527</v>
      </c>
      <c r="C268" t="s">
        <v>23</v>
      </c>
      <c r="D268">
        <v>30</v>
      </c>
      <c r="E268" t="s">
        <v>62</v>
      </c>
      <c r="F268" t="s">
        <v>37</v>
      </c>
      <c r="G268" t="s">
        <v>26</v>
      </c>
      <c r="H268" t="s">
        <v>68</v>
      </c>
      <c r="I268" t="s">
        <v>69</v>
      </c>
      <c r="J268" t="s">
        <v>1635</v>
      </c>
      <c r="K268" t="s">
        <v>66</v>
      </c>
      <c r="L268">
        <v>67000</v>
      </c>
      <c r="M268">
        <v>3.8</v>
      </c>
      <c r="N268">
        <v>8</v>
      </c>
      <c r="O268">
        <v>1.4</v>
      </c>
      <c r="P268">
        <v>1.2</v>
      </c>
      <c r="Q268">
        <v>2</v>
      </c>
      <c r="R268">
        <v>2</v>
      </c>
      <c r="S268">
        <v>3</v>
      </c>
      <c r="T268" t="s">
        <v>23</v>
      </c>
      <c r="U268">
        <v>4</v>
      </c>
      <c r="W268" t="s">
        <v>1650</v>
      </c>
      <c r="X268" t="s">
        <v>1659</v>
      </c>
      <c r="Y268" t="s">
        <v>1665</v>
      </c>
      <c r="Z268">
        <v>0</v>
      </c>
    </row>
    <row r="269" spans="1:26" x14ac:dyDescent="0.35">
      <c r="A269" t="s">
        <v>679</v>
      </c>
      <c r="B269" s="6">
        <v>43862</v>
      </c>
      <c r="C269" t="s">
        <v>30</v>
      </c>
      <c r="D269">
        <v>30</v>
      </c>
      <c r="E269" t="s">
        <v>24</v>
      </c>
      <c r="F269" t="s">
        <v>25</v>
      </c>
      <c r="G269" t="s">
        <v>58</v>
      </c>
      <c r="H269" t="s">
        <v>45</v>
      </c>
      <c r="I269" t="s">
        <v>164</v>
      </c>
      <c r="J269" t="s">
        <v>1636</v>
      </c>
      <c r="K269" t="s">
        <v>40</v>
      </c>
      <c r="L269">
        <v>107000</v>
      </c>
      <c r="M269">
        <v>8.8000000000000007</v>
      </c>
      <c r="N269">
        <v>9.6</v>
      </c>
      <c r="O269">
        <v>5.3</v>
      </c>
      <c r="P269">
        <v>5.3</v>
      </c>
      <c r="Q269">
        <v>2</v>
      </c>
      <c r="R269">
        <v>3</v>
      </c>
      <c r="S269">
        <v>4</v>
      </c>
      <c r="T269" t="s">
        <v>23</v>
      </c>
      <c r="U269">
        <v>3</v>
      </c>
      <c r="V269" s="7">
        <v>45791</v>
      </c>
      <c r="W269" t="s">
        <v>1650</v>
      </c>
      <c r="X269" t="s">
        <v>1658</v>
      </c>
      <c r="Y269" t="s">
        <v>1661</v>
      </c>
      <c r="Z269">
        <v>1</v>
      </c>
    </row>
    <row r="270" spans="1:26" x14ac:dyDescent="0.35">
      <c r="A270" t="s">
        <v>1537</v>
      </c>
      <c r="B270" s="6">
        <v>43767</v>
      </c>
      <c r="C270" t="s">
        <v>23</v>
      </c>
      <c r="D270">
        <v>34</v>
      </c>
      <c r="E270" t="s">
        <v>62</v>
      </c>
      <c r="F270" t="s">
        <v>25</v>
      </c>
      <c r="G270" t="s">
        <v>32</v>
      </c>
      <c r="H270" t="s">
        <v>48</v>
      </c>
      <c r="I270" t="s">
        <v>63</v>
      </c>
      <c r="J270" t="s">
        <v>1633</v>
      </c>
      <c r="K270" t="s">
        <v>29</v>
      </c>
      <c r="L270">
        <v>43000</v>
      </c>
      <c r="M270">
        <v>13</v>
      </c>
      <c r="N270">
        <v>11.1</v>
      </c>
      <c r="O270">
        <v>6.2</v>
      </c>
      <c r="P270">
        <v>1</v>
      </c>
      <c r="Q270">
        <v>4</v>
      </c>
      <c r="R270">
        <v>3</v>
      </c>
      <c r="S270">
        <v>3</v>
      </c>
      <c r="T270" t="s">
        <v>23</v>
      </c>
      <c r="U270">
        <v>3</v>
      </c>
      <c r="W270" t="s">
        <v>1650</v>
      </c>
      <c r="X270" t="s">
        <v>1656</v>
      </c>
      <c r="Y270" t="s">
        <v>1662</v>
      </c>
      <c r="Z270">
        <v>0</v>
      </c>
    </row>
    <row r="271" spans="1:26" x14ac:dyDescent="0.35">
      <c r="A271" t="s">
        <v>602</v>
      </c>
      <c r="B271" s="6">
        <v>45330</v>
      </c>
      <c r="C271" t="s">
        <v>30</v>
      </c>
      <c r="D271">
        <v>22</v>
      </c>
      <c r="E271" t="s">
        <v>36</v>
      </c>
      <c r="F271" t="s">
        <v>42</v>
      </c>
      <c r="G271" t="s">
        <v>26</v>
      </c>
      <c r="H271" t="s">
        <v>45</v>
      </c>
      <c r="I271" t="s">
        <v>46</v>
      </c>
      <c r="J271" t="s">
        <v>1632</v>
      </c>
      <c r="K271" t="s">
        <v>50</v>
      </c>
      <c r="L271">
        <v>28000</v>
      </c>
      <c r="M271">
        <v>15</v>
      </c>
      <c r="N271">
        <v>4.2</v>
      </c>
      <c r="O271">
        <v>1.3</v>
      </c>
      <c r="P271">
        <v>0.1</v>
      </c>
      <c r="Q271">
        <v>4</v>
      </c>
      <c r="R271">
        <v>2</v>
      </c>
      <c r="S271">
        <v>4</v>
      </c>
      <c r="T271" t="s">
        <v>30</v>
      </c>
      <c r="U271">
        <v>3</v>
      </c>
      <c r="V271" s="7">
        <v>45793</v>
      </c>
      <c r="W271" t="s">
        <v>1651</v>
      </c>
      <c r="X271" t="s">
        <v>1655</v>
      </c>
      <c r="Y271" t="s">
        <v>1665</v>
      </c>
      <c r="Z271">
        <v>1</v>
      </c>
    </row>
    <row r="272" spans="1:26" x14ac:dyDescent="0.35">
      <c r="A272" t="s">
        <v>1091</v>
      </c>
      <c r="B272" s="6">
        <v>42128</v>
      </c>
      <c r="C272" t="s">
        <v>23</v>
      </c>
      <c r="D272">
        <v>31</v>
      </c>
      <c r="E272" t="s">
        <v>24</v>
      </c>
      <c r="F272" t="s">
        <v>25</v>
      </c>
      <c r="G272" t="s">
        <v>58</v>
      </c>
      <c r="H272" t="s">
        <v>45</v>
      </c>
      <c r="I272" t="s">
        <v>77</v>
      </c>
      <c r="J272" t="s">
        <v>1633</v>
      </c>
      <c r="K272" t="s">
        <v>34</v>
      </c>
      <c r="L272">
        <v>46000</v>
      </c>
      <c r="M272">
        <v>7.7</v>
      </c>
      <c r="N272">
        <v>15.3</v>
      </c>
      <c r="O272">
        <v>10.7</v>
      </c>
      <c r="P272">
        <v>3.4</v>
      </c>
      <c r="Q272">
        <v>3</v>
      </c>
      <c r="R272">
        <v>3</v>
      </c>
      <c r="S272">
        <v>3</v>
      </c>
      <c r="T272" t="s">
        <v>23</v>
      </c>
      <c r="U272">
        <v>4</v>
      </c>
      <c r="W272" t="s">
        <v>1650</v>
      </c>
      <c r="X272" t="s">
        <v>1656</v>
      </c>
      <c r="Y272" t="s">
        <v>1663</v>
      </c>
      <c r="Z272">
        <v>0</v>
      </c>
    </row>
    <row r="273" spans="1:26" x14ac:dyDescent="0.35">
      <c r="A273" t="s">
        <v>467</v>
      </c>
      <c r="B273" s="6">
        <v>42205</v>
      </c>
      <c r="C273" t="s">
        <v>23</v>
      </c>
      <c r="D273">
        <v>36</v>
      </c>
      <c r="E273" t="s">
        <v>24</v>
      </c>
      <c r="F273" t="s">
        <v>37</v>
      </c>
      <c r="G273" t="s">
        <v>32</v>
      </c>
      <c r="H273" t="s">
        <v>55</v>
      </c>
      <c r="I273" t="s">
        <v>80</v>
      </c>
      <c r="J273" t="s">
        <v>1633</v>
      </c>
      <c r="K273" t="s">
        <v>40</v>
      </c>
      <c r="L273">
        <v>65000</v>
      </c>
      <c r="M273">
        <v>13.1</v>
      </c>
      <c r="N273">
        <v>14.5</v>
      </c>
      <c r="O273">
        <v>10.5</v>
      </c>
      <c r="P273">
        <v>0.8</v>
      </c>
      <c r="Q273">
        <v>3</v>
      </c>
      <c r="R273">
        <v>2</v>
      </c>
      <c r="S273">
        <v>2</v>
      </c>
      <c r="T273" t="s">
        <v>23</v>
      </c>
      <c r="U273">
        <v>4</v>
      </c>
      <c r="W273" t="s">
        <v>1649</v>
      </c>
      <c r="X273" t="s">
        <v>1659</v>
      </c>
      <c r="Y273" t="s">
        <v>1663</v>
      </c>
      <c r="Z273">
        <v>0</v>
      </c>
    </row>
    <row r="274" spans="1:26" x14ac:dyDescent="0.35">
      <c r="A274" t="s">
        <v>599</v>
      </c>
      <c r="B274" s="6">
        <v>44293</v>
      </c>
      <c r="C274" t="s">
        <v>23</v>
      </c>
      <c r="D274">
        <v>31</v>
      </c>
      <c r="E274" t="s">
        <v>24</v>
      </c>
      <c r="F274" t="s">
        <v>25</v>
      </c>
      <c r="G274" t="s">
        <v>32</v>
      </c>
      <c r="H274" t="s">
        <v>68</v>
      </c>
      <c r="I274" t="s">
        <v>102</v>
      </c>
      <c r="J274" t="s">
        <v>1635</v>
      </c>
      <c r="K274" t="s">
        <v>40</v>
      </c>
      <c r="L274">
        <v>75000</v>
      </c>
      <c r="M274">
        <v>8.6999999999999993</v>
      </c>
      <c r="N274">
        <v>8.6</v>
      </c>
      <c r="O274">
        <v>4.7</v>
      </c>
      <c r="P274">
        <v>2.8</v>
      </c>
      <c r="Q274">
        <v>2</v>
      </c>
      <c r="R274">
        <v>3</v>
      </c>
      <c r="S274">
        <v>3</v>
      </c>
      <c r="T274" t="s">
        <v>23</v>
      </c>
      <c r="U274">
        <v>3</v>
      </c>
      <c r="W274" t="s">
        <v>1650</v>
      </c>
      <c r="X274" t="s">
        <v>1659</v>
      </c>
      <c r="Y274" t="s">
        <v>1661</v>
      </c>
      <c r="Z274">
        <v>0</v>
      </c>
    </row>
    <row r="275" spans="1:26" x14ac:dyDescent="0.35">
      <c r="A275" t="s">
        <v>210</v>
      </c>
      <c r="B275" s="6">
        <v>45285</v>
      </c>
      <c r="C275" t="s">
        <v>23</v>
      </c>
      <c r="D275">
        <v>38</v>
      </c>
      <c r="E275" t="s">
        <v>36</v>
      </c>
      <c r="F275" t="s">
        <v>37</v>
      </c>
      <c r="G275" t="s">
        <v>32</v>
      </c>
      <c r="H275" t="s">
        <v>45</v>
      </c>
      <c r="I275" t="s">
        <v>164</v>
      </c>
      <c r="J275" t="s">
        <v>1636</v>
      </c>
      <c r="K275" t="s">
        <v>34</v>
      </c>
      <c r="L275">
        <v>104000</v>
      </c>
      <c r="M275">
        <v>11.9</v>
      </c>
      <c r="N275">
        <v>5.3</v>
      </c>
      <c r="O275">
        <v>2</v>
      </c>
      <c r="P275">
        <v>1.9</v>
      </c>
      <c r="Q275">
        <v>4</v>
      </c>
      <c r="R275">
        <v>3</v>
      </c>
      <c r="S275">
        <v>4</v>
      </c>
      <c r="T275" t="s">
        <v>30</v>
      </c>
      <c r="U275">
        <v>4</v>
      </c>
      <c r="W275" t="s">
        <v>1649</v>
      </c>
      <c r="X275" t="s">
        <v>1658</v>
      </c>
      <c r="Y275" t="s">
        <v>1665</v>
      </c>
      <c r="Z275">
        <v>0</v>
      </c>
    </row>
    <row r="276" spans="1:26" x14ac:dyDescent="0.35">
      <c r="A276" t="s">
        <v>1432</v>
      </c>
      <c r="B276" s="6">
        <v>45184</v>
      </c>
      <c r="C276" t="s">
        <v>23</v>
      </c>
      <c r="D276">
        <v>34</v>
      </c>
      <c r="E276" t="s">
        <v>36</v>
      </c>
      <c r="F276" t="s">
        <v>42</v>
      </c>
      <c r="G276" t="s">
        <v>26</v>
      </c>
      <c r="H276" t="s">
        <v>27</v>
      </c>
      <c r="I276" t="s">
        <v>33</v>
      </c>
      <c r="J276" t="s">
        <v>1636</v>
      </c>
      <c r="K276" t="s">
        <v>40</v>
      </c>
      <c r="L276">
        <v>88000</v>
      </c>
      <c r="M276">
        <v>12.7</v>
      </c>
      <c r="N276">
        <v>8.9</v>
      </c>
      <c r="O276">
        <v>2.2999999999999998</v>
      </c>
      <c r="P276">
        <v>0.4</v>
      </c>
      <c r="Q276">
        <v>3</v>
      </c>
      <c r="R276">
        <v>3</v>
      </c>
      <c r="S276">
        <v>3</v>
      </c>
      <c r="T276" t="s">
        <v>23</v>
      </c>
      <c r="U276">
        <v>4</v>
      </c>
      <c r="W276" t="s">
        <v>1650</v>
      </c>
      <c r="X276" t="s">
        <v>1657</v>
      </c>
      <c r="Y276" t="s">
        <v>1665</v>
      </c>
      <c r="Z276">
        <v>0</v>
      </c>
    </row>
    <row r="277" spans="1:26" x14ac:dyDescent="0.35">
      <c r="A277" t="s">
        <v>601</v>
      </c>
      <c r="B277" s="6">
        <v>45842</v>
      </c>
      <c r="C277" t="s">
        <v>23</v>
      </c>
      <c r="D277">
        <v>40</v>
      </c>
      <c r="E277" t="s">
        <v>62</v>
      </c>
      <c r="F277" t="s">
        <v>25</v>
      </c>
      <c r="G277" t="s">
        <v>26</v>
      </c>
      <c r="H277" t="s">
        <v>48</v>
      </c>
      <c r="I277" t="s">
        <v>201</v>
      </c>
      <c r="J277" t="s">
        <v>1633</v>
      </c>
      <c r="K277" t="s">
        <v>50</v>
      </c>
      <c r="L277">
        <v>29000</v>
      </c>
      <c r="M277">
        <v>17.399999999999999</v>
      </c>
      <c r="N277">
        <v>7.1</v>
      </c>
      <c r="O277">
        <v>0.5</v>
      </c>
      <c r="P277">
        <v>0</v>
      </c>
      <c r="Q277">
        <v>4</v>
      </c>
      <c r="R277">
        <v>2</v>
      </c>
      <c r="S277">
        <v>4</v>
      </c>
      <c r="T277" t="s">
        <v>23</v>
      </c>
      <c r="U277">
        <v>4</v>
      </c>
      <c r="W277" t="s">
        <v>1649</v>
      </c>
      <c r="X277" t="s">
        <v>1655</v>
      </c>
      <c r="Y277" t="s">
        <v>1664</v>
      </c>
      <c r="Z277">
        <v>0</v>
      </c>
    </row>
    <row r="278" spans="1:26" x14ac:dyDescent="0.35">
      <c r="A278" t="s">
        <v>1288</v>
      </c>
      <c r="B278" s="6">
        <v>43608</v>
      </c>
      <c r="C278" t="s">
        <v>23</v>
      </c>
      <c r="D278">
        <v>41</v>
      </c>
      <c r="E278" t="s">
        <v>36</v>
      </c>
      <c r="F278" t="s">
        <v>42</v>
      </c>
      <c r="G278" t="s">
        <v>58</v>
      </c>
      <c r="H278" t="s">
        <v>48</v>
      </c>
      <c r="I278" t="s">
        <v>49</v>
      </c>
      <c r="J278" t="s">
        <v>1636</v>
      </c>
      <c r="K278" t="s">
        <v>66</v>
      </c>
      <c r="L278">
        <v>106000</v>
      </c>
      <c r="M278">
        <v>11.5</v>
      </c>
      <c r="N278">
        <v>10.1</v>
      </c>
      <c r="O278">
        <v>6.6</v>
      </c>
      <c r="P278">
        <v>2.5</v>
      </c>
      <c r="Q278">
        <v>4</v>
      </c>
      <c r="R278">
        <v>4</v>
      </c>
      <c r="S278">
        <v>3</v>
      </c>
      <c r="T278" t="s">
        <v>30</v>
      </c>
      <c r="U278">
        <v>3</v>
      </c>
      <c r="W278" t="s">
        <v>1649</v>
      </c>
      <c r="X278" t="s">
        <v>1658</v>
      </c>
      <c r="Y278" t="s">
        <v>1662</v>
      </c>
      <c r="Z278">
        <v>0</v>
      </c>
    </row>
    <row r="279" spans="1:26" x14ac:dyDescent="0.35">
      <c r="A279" t="s">
        <v>728</v>
      </c>
      <c r="B279" s="6">
        <v>45104</v>
      </c>
      <c r="C279" t="s">
        <v>30</v>
      </c>
      <c r="D279">
        <v>29</v>
      </c>
      <c r="E279" t="s">
        <v>62</v>
      </c>
      <c r="F279" t="s">
        <v>25</v>
      </c>
      <c r="G279" t="s">
        <v>26</v>
      </c>
      <c r="H279" t="s">
        <v>1634</v>
      </c>
      <c r="I279" t="s">
        <v>75</v>
      </c>
      <c r="J279" t="s">
        <v>1633</v>
      </c>
      <c r="K279" t="s">
        <v>66</v>
      </c>
      <c r="L279">
        <v>69000</v>
      </c>
      <c r="M279">
        <v>8.1999999999999993</v>
      </c>
      <c r="N279">
        <v>9.4</v>
      </c>
      <c r="O279">
        <v>2.4</v>
      </c>
      <c r="P279">
        <v>1</v>
      </c>
      <c r="Q279">
        <v>4</v>
      </c>
      <c r="R279">
        <v>2</v>
      </c>
      <c r="S279">
        <v>3</v>
      </c>
      <c r="T279" t="s">
        <v>23</v>
      </c>
      <c r="U279">
        <v>4</v>
      </c>
      <c r="V279" s="7">
        <v>45964</v>
      </c>
      <c r="W279" t="s">
        <v>1650</v>
      </c>
      <c r="X279" t="s">
        <v>1659</v>
      </c>
      <c r="Y279" t="s">
        <v>1665</v>
      </c>
      <c r="Z279">
        <v>1</v>
      </c>
    </row>
    <row r="280" spans="1:26" x14ac:dyDescent="0.35">
      <c r="A280" t="s">
        <v>546</v>
      </c>
      <c r="B280" s="6">
        <v>42974</v>
      </c>
      <c r="C280" t="s">
        <v>23</v>
      </c>
      <c r="D280">
        <v>39</v>
      </c>
      <c r="E280" t="s">
        <v>36</v>
      </c>
      <c r="F280" t="s">
        <v>25</v>
      </c>
      <c r="G280" t="s">
        <v>54</v>
      </c>
      <c r="H280" t="s">
        <v>38</v>
      </c>
      <c r="I280" t="s">
        <v>52</v>
      </c>
      <c r="J280" t="s">
        <v>1635</v>
      </c>
      <c r="K280" t="s">
        <v>40</v>
      </c>
      <c r="L280">
        <v>91000</v>
      </c>
      <c r="M280">
        <v>9.6</v>
      </c>
      <c r="N280">
        <v>13.6</v>
      </c>
      <c r="O280">
        <v>8.3000000000000007</v>
      </c>
      <c r="P280">
        <v>1.5</v>
      </c>
      <c r="Q280">
        <v>3</v>
      </c>
      <c r="R280">
        <v>4</v>
      </c>
      <c r="S280">
        <v>3</v>
      </c>
      <c r="T280" t="s">
        <v>23</v>
      </c>
      <c r="U280">
        <v>3</v>
      </c>
      <c r="W280" t="s">
        <v>1649</v>
      </c>
      <c r="X280" t="s">
        <v>1657</v>
      </c>
      <c r="Y280" t="s">
        <v>1662</v>
      </c>
      <c r="Z280">
        <v>0</v>
      </c>
    </row>
    <row r="281" spans="1:26" x14ac:dyDescent="0.35">
      <c r="A281" t="s">
        <v>1244</v>
      </c>
      <c r="B281" s="6">
        <v>43524</v>
      </c>
      <c r="C281" t="s">
        <v>23</v>
      </c>
      <c r="D281">
        <v>50</v>
      </c>
      <c r="E281" t="s">
        <v>24</v>
      </c>
      <c r="F281" t="s">
        <v>42</v>
      </c>
      <c r="G281" t="s">
        <v>32</v>
      </c>
      <c r="H281" t="s">
        <v>48</v>
      </c>
      <c r="I281" t="s">
        <v>201</v>
      </c>
      <c r="J281" t="s">
        <v>1633</v>
      </c>
      <c r="K281" t="s">
        <v>50</v>
      </c>
      <c r="L281">
        <v>54000</v>
      </c>
      <c r="M281">
        <v>9.8000000000000007</v>
      </c>
      <c r="N281">
        <v>13</v>
      </c>
      <c r="O281">
        <v>6.8</v>
      </c>
      <c r="P281">
        <v>2.4</v>
      </c>
      <c r="Q281">
        <v>4</v>
      </c>
      <c r="R281">
        <v>2</v>
      </c>
      <c r="S281">
        <v>4</v>
      </c>
      <c r="T281" t="s">
        <v>23</v>
      </c>
      <c r="U281">
        <v>2</v>
      </c>
      <c r="W281" t="s">
        <v>1652</v>
      </c>
      <c r="X281" t="s">
        <v>1656</v>
      </c>
      <c r="Y281" t="s">
        <v>1662</v>
      </c>
      <c r="Z281">
        <v>0</v>
      </c>
    </row>
    <row r="282" spans="1:26" x14ac:dyDescent="0.35">
      <c r="A282" t="s">
        <v>1219</v>
      </c>
      <c r="B282" s="6">
        <v>42491</v>
      </c>
      <c r="C282" t="s">
        <v>30</v>
      </c>
      <c r="D282">
        <v>41</v>
      </c>
      <c r="E282" t="s">
        <v>36</v>
      </c>
      <c r="F282" t="s">
        <v>37</v>
      </c>
      <c r="G282" t="s">
        <v>26</v>
      </c>
      <c r="H282" t="s">
        <v>55</v>
      </c>
      <c r="I282" t="s">
        <v>80</v>
      </c>
      <c r="J282" t="s">
        <v>1635</v>
      </c>
      <c r="K282" t="s">
        <v>84</v>
      </c>
      <c r="L282">
        <v>100000</v>
      </c>
      <c r="M282">
        <v>11.6</v>
      </c>
      <c r="N282">
        <v>16.899999999999999</v>
      </c>
      <c r="O282">
        <v>9.1999999999999993</v>
      </c>
      <c r="P282">
        <v>0</v>
      </c>
      <c r="Q282">
        <v>3</v>
      </c>
      <c r="R282">
        <v>2</v>
      </c>
      <c r="S282">
        <v>2</v>
      </c>
      <c r="T282" t="s">
        <v>23</v>
      </c>
      <c r="U282">
        <v>5</v>
      </c>
      <c r="V282" s="7">
        <v>45857</v>
      </c>
      <c r="W282" t="s">
        <v>1649</v>
      </c>
      <c r="X282" t="s">
        <v>1658</v>
      </c>
      <c r="Y282" t="s">
        <v>1662</v>
      </c>
      <c r="Z282">
        <v>1</v>
      </c>
    </row>
    <row r="283" spans="1:26" x14ac:dyDescent="0.35">
      <c r="A283" t="s">
        <v>800</v>
      </c>
      <c r="B283" s="6">
        <v>45752</v>
      </c>
      <c r="C283" t="s">
        <v>23</v>
      </c>
      <c r="D283">
        <v>44</v>
      </c>
      <c r="E283" t="s">
        <v>62</v>
      </c>
      <c r="F283" t="s">
        <v>42</v>
      </c>
      <c r="G283" t="s">
        <v>54</v>
      </c>
      <c r="H283" t="s">
        <v>55</v>
      </c>
      <c r="I283" t="s">
        <v>88</v>
      </c>
      <c r="J283" t="s">
        <v>1632</v>
      </c>
      <c r="K283" t="s">
        <v>50</v>
      </c>
      <c r="L283">
        <v>29000</v>
      </c>
      <c r="M283">
        <v>10.199999999999999</v>
      </c>
      <c r="N283">
        <v>4.9000000000000004</v>
      </c>
      <c r="O283">
        <v>0.7</v>
      </c>
      <c r="P283">
        <v>0</v>
      </c>
      <c r="Q283">
        <v>4</v>
      </c>
      <c r="R283">
        <v>3</v>
      </c>
      <c r="S283">
        <v>4</v>
      </c>
      <c r="T283" t="s">
        <v>23</v>
      </c>
      <c r="U283">
        <v>4</v>
      </c>
      <c r="W283" t="s">
        <v>1649</v>
      </c>
      <c r="X283" t="s">
        <v>1655</v>
      </c>
      <c r="Y283" t="s">
        <v>1664</v>
      </c>
      <c r="Z283">
        <v>0</v>
      </c>
    </row>
    <row r="284" spans="1:26" x14ac:dyDescent="0.35">
      <c r="A284" t="s">
        <v>226</v>
      </c>
      <c r="B284" s="6">
        <v>42563</v>
      </c>
      <c r="C284" t="s">
        <v>23</v>
      </c>
      <c r="D284">
        <v>33</v>
      </c>
      <c r="E284" t="s">
        <v>36</v>
      </c>
      <c r="F284" t="s">
        <v>42</v>
      </c>
      <c r="G284" t="s">
        <v>58</v>
      </c>
      <c r="H284" t="s">
        <v>55</v>
      </c>
      <c r="I284" t="s">
        <v>88</v>
      </c>
      <c r="J284" t="s">
        <v>1633</v>
      </c>
      <c r="K284" t="s">
        <v>29</v>
      </c>
      <c r="L284">
        <v>65000</v>
      </c>
      <c r="M284">
        <v>10.3</v>
      </c>
      <c r="N284">
        <v>14.9</v>
      </c>
      <c r="O284">
        <v>9.5</v>
      </c>
      <c r="P284">
        <v>2.2000000000000002</v>
      </c>
      <c r="Q284">
        <v>3</v>
      </c>
      <c r="R284">
        <v>3</v>
      </c>
      <c r="S284">
        <v>4</v>
      </c>
      <c r="T284" t="s">
        <v>23</v>
      </c>
      <c r="U284">
        <v>2</v>
      </c>
      <c r="W284" t="s">
        <v>1650</v>
      </c>
      <c r="X284" t="s">
        <v>1659</v>
      </c>
      <c r="Y284" t="s">
        <v>1662</v>
      </c>
      <c r="Z284">
        <v>0</v>
      </c>
    </row>
    <row r="285" spans="1:26" x14ac:dyDescent="0.35">
      <c r="A285" t="s">
        <v>786</v>
      </c>
      <c r="B285" s="6">
        <v>43700</v>
      </c>
      <c r="C285" t="s">
        <v>30</v>
      </c>
      <c r="D285">
        <v>44</v>
      </c>
      <c r="E285" t="s">
        <v>24</v>
      </c>
      <c r="F285" t="s">
        <v>25</v>
      </c>
      <c r="G285" t="s">
        <v>32</v>
      </c>
      <c r="H285" t="s">
        <v>48</v>
      </c>
      <c r="I285" t="s">
        <v>201</v>
      </c>
      <c r="J285" t="s">
        <v>1635</v>
      </c>
      <c r="K285" t="s">
        <v>34</v>
      </c>
      <c r="L285">
        <v>84000</v>
      </c>
      <c r="M285">
        <v>8</v>
      </c>
      <c r="N285">
        <v>11.6</v>
      </c>
      <c r="O285">
        <v>5.8</v>
      </c>
      <c r="P285">
        <v>3.2</v>
      </c>
      <c r="Q285">
        <v>1</v>
      </c>
      <c r="R285">
        <v>3</v>
      </c>
      <c r="S285">
        <v>3</v>
      </c>
      <c r="T285" t="s">
        <v>23</v>
      </c>
      <c r="U285">
        <v>4</v>
      </c>
      <c r="V285" s="7">
        <v>45803</v>
      </c>
      <c r="W285" t="s">
        <v>1649</v>
      </c>
      <c r="X285" t="s">
        <v>1657</v>
      </c>
      <c r="Y285" t="s">
        <v>1661</v>
      </c>
      <c r="Z285">
        <v>1</v>
      </c>
    </row>
    <row r="286" spans="1:26" x14ac:dyDescent="0.35">
      <c r="A286" t="s">
        <v>1498</v>
      </c>
      <c r="B286" s="6">
        <v>44173</v>
      </c>
      <c r="C286" t="s">
        <v>23</v>
      </c>
      <c r="D286">
        <v>41</v>
      </c>
      <c r="E286" t="s">
        <v>62</v>
      </c>
      <c r="F286" t="s">
        <v>42</v>
      </c>
      <c r="G286" t="s">
        <v>54</v>
      </c>
      <c r="H286" t="s">
        <v>48</v>
      </c>
      <c r="I286" t="s">
        <v>63</v>
      </c>
      <c r="J286" t="s">
        <v>1633</v>
      </c>
      <c r="K286" t="s">
        <v>34</v>
      </c>
      <c r="L286">
        <v>44000</v>
      </c>
      <c r="M286">
        <v>11.4</v>
      </c>
      <c r="N286">
        <v>12.6</v>
      </c>
      <c r="O286">
        <v>5.0999999999999996</v>
      </c>
      <c r="P286">
        <v>4.0999999999999996</v>
      </c>
      <c r="Q286">
        <v>1</v>
      </c>
      <c r="R286">
        <v>4</v>
      </c>
      <c r="S286">
        <v>4</v>
      </c>
      <c r="T286" t="s">
        <v>1499</v>
      </c>
      <c r="U286">
        <v>4</v>
      </c>
      <c r="W286" t="s">
        <v>1649</v>
      </c>
      <c r="X286" t="s">
        <v>1656</v>
      </c>
      <c r="Y286" t="s">
        <v>1661</v>
      </c>
      <c r="Z286">
        <v>0</v>
      </c>
    </row>
    <row r="287" spans="1:26" x14ac:dyDescent="0.35">
      <c r="A287" t="s">
        <v>345</v>
      </c>
      <c r="B287" s="6">
        <v>42953</v>
      </c>
      <c r="C287" t="s">
        <v>23</v>
      </c>
      <c r="D287">
        <v>31</v>
      </c>
      <c r="E287" t="s">
        <v>24</v>
      </c>
      <c r="F287" t="s">
        <v>25</v>
      </c>
      <c r="G287" t="s">
        <v>32</v>
      </c>
      <c r="H287" t="s">
        <v>27</v>
      </c>
      <c r="I287" t="s">
        <v>33</v>
      </c>
      <c r="J287" t="s">
        <v>1635</v>
      </c>
      <c r="K287" t="s">
        <v>84</v>
      </c>
      <c r="L287">
        <v>86000</v>
      </c>
      <c r="M287">
        <v>8.4</v>
      </c>
      <c r="N287">
        <v>13.1</v>
      </c>
      <c r="O287">
        <v>8.4</v>
      </c>
      <c r="P287">
        <v>0.2</v>
      </c>
      <c r="Q287">
        <v>3</v>
      </c>
      <c r="R287">
        <v>2</v>
      </c>
      <c r="S287">
        <v>2</v>
      </c>
      <c r="T287" t="s">
        <v>23</v>
      </c>
      <c r="U287">
        <v>4</v>
      </c>
      <c r="W287" t="s">
        <v>1650</v>
      </c>
      <c r="X287" t="s">
        <v>1657</v>
      </c>
      <c r="Y287" t="s">
        <v>1662</v>
      </c>
      <c r="Z287">
        <v>0</v>
      </c>
    </row>
    <row r="288" spans="1:26" x14ac:dyDescent="0.35">
      <c r="A288" t="s">
        <v>1420</v>
      </c>
      <c r="B288" s="6">
        <v>45871</v>
      </c>
      <c r="C288" t="s">
        <v>30</v>
      </c>
      <c r="D288">
        <v>32</v>
      </c>
      <c r="E288" t="s">
        <v>24</v>
      </c>
      <c r="F288" t="s">
        <v>25</v>
      </c>
      <c r="G288" t="s">
        <v>58</v>
      </c>
      <c r="H288" t="s">
        <v>48</v>
      </c>
      <c r="I288" t="s">
        <v>129</v>
      </c>
      <c r="J288" t="s">
        <v>1635</v>
      </c>
      <c r="K288" t="s">
        <v>40</v>
      </c>
      <c r="L288">
        <v>80000</v>
      </c>
      <c r="M288">
        <v>4.5999999999999996</v>
      </c>
      <c r="N288">
        <v>6.4</v>
      </c>
      <c r="O288">
        <v>0.4</v>
      </c>
      <c r="P288">
        <v>0</v>
      </c>
      <c r="Q288">
        <v>2</v>
      </c>
      <c r="R288">
        <v>3</v>
      </c>
      <c r="S288">
        <v>2</v>
      </c>
      <c r="T288" t="s">
        <v>23</v>
      </c>
      <c r="U288">
        <v>3</v>
      </c>
      <c r="V288" s="7">
        <v>46017</v>
      </c>
      <c r="W288" t="s">
        <v>1650</v>
      </c>
      <c r="X288" t="s">
        <v>1657</v>
      </c>
      <c r="Y288" t="s">
        <v>1664</v>
      </c>
      <c r="Z288">
        <v>1</v>
      </c>
    </row>
    <row r="289" spans="1:26" x14ac:dyDescent="0.35">
      <c r="A289" t="s">
        <v>114</v>
      </c>
      <c r="B289" s="6">
        <v>45060</v>
      </c>
      <c r="C289" t="s">
        <v>23</v>
      </c>
      <c r="D289">
        <v>44</v>
      </c>
      <c r="E289" t="s">
        <v>24</v>
      </c>
      <c r="F289" t="s">
        <v>25</v>
      </c>
      <c r="G289" t="s">
        <v>54</v>
      </c>
      <c r="H289" t="s">
        <v>45</v>
      </c>
      <c r="I289" t="s">
        <v>97</v>
      </c>
      <c r="J289" t="s">
        <v>1635</v>
      </c>
      <c r="K289" t="s">
        <v>66</v>
      </c>
      <c r="L289">
        <v>64000</v>
      </c>
      <c r="M289">
        <v>5</v>
      </c>
      <c r="N289">
        <v>4.3</v>
      </c>
      <c r="O289">
        <v>2.6</v>
      </c>
      <c r="P289">
        <v>0.6</v>
      </c>
      <c r="Q289">
        <v>4</v>
      </c>
      <c r="R289">
        <v>3</v>
      </c>
      <c r="S289">
        <v>2</v>
      </c>
      <c r="T289" t="s">
        <v>23</v>
      </c>
      <c r="U289">
        <v>2</v>
      </c>
      <c r="W289" t="s">
        <v>1649</v>
      </c>
      <c r="X289" t="s">
        <v>1659</v>
      </c>
      <c r="Y289" t="s">
        <v>1665</v>
      </c>
      <c r="Z289">
        <v>0</v>
      </c>
    </row>
    <row r="290" spans="1:26" x14ac:dyDescent="0.35">
      <c r="A290" t="s">
        <v>781</v>
      </c>
      <c r="B290" s="6">
        <v>44733</v>
      </c>
      <c r="C290" t="s">
        <v>23</v>
      </c>
      <c r="D290">
        <v>29</v>
      </c>
      <c r="E290" t="s">
        <v>36</v>
      </c>
      <c r="F290" t="s">
        <v>37</v>
      </c>
      <c r="G290" t="s">
        <v>32</v>
      </c>
      <c r="H290" t="s">
        <v>38</v>
      </c>
      <c r="I290" t="s">
        <v>118</v>
      </c>
      <c r="J290" t="s">
        <v>1636</v>
      </c>
      <c r="K290" t="s">
        <v>50</v>
      </c>
      <c r="L290">
        <v>112000</v>
      </c>
      <c r="M290">
        <v>15.6</v>
      </c>
      <c r="N290">
        <v>8.1</v>
      </c>
      <c r="O290">
        <v>3.5</v>
      </c>
      <c r="P290">
        <v>1</v>
      </c>
      <c r="Q290">
        <v>4</v>
      </c>
      <c r="R290">
        <v>2</v>
      </c>
      <c r="S290">
        <v>4</v>
      </c>
      <c r="T290" t="s">
        <v>23</v>
      </c>
      <c r="U290">
        <v>3</v>
      </c>
      <c r="W290" t="s">
        <v>1650</v>
      </c>
      <c r="X290" t="s">
        <v>1658</v>
      </c>
      <c r="Y290" t="s">
        <v>1661</v>
      </c>
      <c r="Z290">
        <v>0</v>
      </c>
    </row>
    <row r="291" spans="1:26" x14ac:dyDescent="0.35">
      <c r="A291" t="s">
        <v>981</v>
      </c>
      <c r="B291" s="6">
        <v>44392</v>
      </c>
      <c r="C291" t="s">
        <v>23</v>
      </c>
      <c r="D291">
        <v>28</v>
      </c>
      <c r="E291" t="s">
        <v>24</v>
      </c>
      <c r="F291" t="s">
        <v>25</v>
      </c>
      <c r="G291" t="s">
        <v>32</v>
      </c>
      <c r="H291" t="s">
        <v>27</v>
      </c>
      <c r="I291" t="s">
        <v>33</v>
      </c>
      <c r="J291" t="s">
        <v>1635</v>
      </c>
      <c r="K291" t="s">
        <v>34</v>
      </c>
      <c r="L291">
        <v>94000</v>
      </c>
      <c r="M291">
        <v>12.9</v>
      </c>
      <c r="N291">
        <v>5.9</v>
      </c>
      <c r="O291">
        <v>4.5</v>
      </c>
      <c r="P291">
        <v>4.4000000000000004</v>
      </c>
      <c r="Q291">
        <v>3</v>
      </c>
      <c r="R291">
        <v>3</v>
      </c>
      <c r="S291">
        <v>3</v>
      </c>
      <c r="T291" t="s">
        <v>23</v>
      </c>
      <c r="U291">
        <v>4</v>
      </c>
      <c r="W291" t="s">
        <v>1650</v>
      </c>
      <c r="X291" t="s">
        <v>1657</v>
      </c>
      <c r="Y291" t="s">
        <v>1661</v>
      </c>
      <c r="Z291">
        <v>0</v>
      </c>
    </row>
    <row r="292" spans="1:26" x14ac:dyDescent="0.35">
      <c r="A292" t="s">
        <v>868</v>
      </c>
      <c r="B292" s="6">
        <v>45830</v>
      </c>
      <c r="C292" t="s">
        <v>23</v>
      </c>
      <c r="D292">
        <v>21</v>
      </c>
      <c r="E292" t="s">
        <v>24</v>
      </c>
      <c r="F292" t="s">
        <v>42</v>
      </c>
      <c r="G292" t="s">
        <v>58</v>
      </c>
      <c r="H292" t="s">
        <v>27</v>
      </c>
      <c r="I292" t="s">
        <v>43</v>
      </c>
      <c r="J292" t="s">
        <v>1632</v>
      </c>
      <c r="K292" t="s">
        <v>84</v>
      </c>
      <c r="L292">
        <v>53000</v>
      </c>
      <c r="M292">
        <v>3.4</v>
      </c>
      <c r="N292">
        <v>2.4</v>
      </c>
      <c r="O292">
        <v>0.5</v>
      </c>
      <c r="P292">
        <v>0</v>
      </c>
      <c r="Q292">
        <v>3</v>
      </c>
      <c r="R292">
        <v>3</v>
      </c>
      <c r="S292">
        <v>3</v>
      </c>
      <c r="T292" t="s">
        <v>23</v>
      </c>
      <c r="U292">
        <v>3</v>
      </c>
      <c r="W292" t="s">
        <v>1651</v>
      </c>
      <c r="X292" t="s">
        <v>1656</v>
      </c>
      <c r="Y292" t="s">
        <v>1664</v>
      </c>
      <c r="Z292">
        <v>0</v>
      </c>
    </row>
    <row r="293" spans="1:26" x14ac:dyDescent="0.35">
      <c r="A293" t="s">
        <v>1290</v>
      </c>
      <c r="B293" s="6">
        <v>45144</v>
      </c>
      <c r="C293" t="s">
        <v>23</v>
      </c>
      <c r="D293">
        <v>40</v>
      </c>
      <c r="E293" t="s">
        <v>24</v>
      </c>
      <c r="F293" t="s">
        <v>25</v>
      </c>
      <c r="G293" t="s">
        <v>32</v>
      </c>
      <c r="H293" t="s">
        <v>1634</v>
      </c>
      <c r="I293" t="s">
        <v>60</v>
      </c>
      <c r="J293" t="s">
        <v>1633</v>
      </c>
      <c r="K293" t="s">
        <v>34</v>
      </c>
      <c r="L293">
        <v>74000</v>
      </c>
      <c r="M293">
        <v>14.5</v>
      </c>
      <c r="N293">
        <v>3.2</v>
      </c>
      <c r="O293">
        <v>2.4</v>
      </c>
      <c r="P293">
        <v>0.6</v>
      </c>
      <c r="Q293">
        <v>3</v>
      </c>
      <c r="R293">
        <v>2</v>
      </c>
      <c r="S293">
        <v>3</v>
      </c>
      <c r="T293" t="s">
        <v>30</v>
      </c>
      <c r="U293">
        <v>3</v>
      </c>
      <c r="W293" t="s">
        <v>1649</v>
      </c>
      <c r="X293" t="s">
        <v>1659</v>
      </c>
      <c r="Y293" t="s">
        <v>1665</v>
      </c>
      <c r="Z293">
        <v>0</v>
      </c>
    </row>
    <row r="294" spans="1:26" x14ac:dyDescent="0.35">
      <c r="A294" t="s">
        <v>171</v>
      </c>
      <c r="B294" s="6">
        <v>43778</v>
      </c>
      <c r="C294" t="s">
        <v>23</v>
      </c>
      <c r="D294">
        <v>37</v>
      </c>
      <c r="E294" t="s">
        <v>36</v>
      </c>
      <c r="F294" t="s">
        <v>37</v>
      </c>
      <c r="G294" t="s">
        <v>32</v>
      </c>
      <c r="H294" t="s">
        <v>1634</v>
      </c>
      <c r="I294" t="s">
        <v>75</v>
      </c>
      <c r="J294" t="s">
        <v>1633</v>
      </c>
      <c r="K294" t="s">
        <v>50</v>
      </c>
      <c r="L294">
        <v>59000</v>
      </c>
      <c r="M294">
        <v>12</v>
      </c>
      <c r="N294">
        <v>11.9</v>
      </c>
      <c r="O294">
        <v>6.1</v>
      </c>
      <c r="P294">
        <v>4.7</v>
      </c>
      <c r="Q294">
        <v>4</v>
      </c>
      <c r="R294">
        <v>3</v>
      </c>
      <c r="S294">
        <v>3</v>
      </c>
      <c r="T294" t="s">
        <v>23</v>
      </c>
      <c r="U294">
        <v>4</v>
      </c>
      <c r="W294" t="s">
        <v>1649</v>
      </c>
      <c r="X294" t="s">
        <v>1656</v>
      </c>
      <c r="Y294" t="s">
        <v>1662</v>
      </c>
      <c r="Z294">
        <v>0</v>
      </c>
    </row>
    <row r="295" spans="1:26" x14ac:dyDescent="0.35">
      <c r="A295" t="s">
        <v>1261</v>
      </c>
      <c r="B295" s="6">
        <v>43221</v>
      </c>
      <c r="C295" t="s">
        <v>23</v>
      </c>
      <c r="D295">
        <v>34</v>
      </c>
      <c r="E295" t="s">
        <v>62</v>
      </c>
      <c r="F295" t="s">
        <v>25</v>
      </c>
      <c r="G295" t="s">
        <v>32</v>
      </c>
      <c r="H295" t="s">
        <v>55</v>
      </c>
      <c r="I295" t="s">
        <v>88</v>
      </c>
      <c r="J295" t="s">
        <v>1635</v>
      </c>
      <c r="K295" t="s">
        <v>66</v>
      </c>
      <c r="L295">
        <v>89000</v>
      </c>
      <c r="M295">
        <v>6</v>
      </c>
      <c r="N295">
        <v>12.2</v>
      </c>
      <c r="O295">
        <v>7.7</v>
      </c>
      <c r="P295">
        <v>5.6</v>
      </c>
      <c r="Q295">
        <v>3</v>
      </c>
      <c r="R295">
        <v>3</v>
      </c>
      <c r="S295">
        <v>1</v>
      </c>
      <c r="T295" t="s">
        <v>23</v>
      </c>
      <c r="U295">
        <v>2</v>
      </c>
      <c r="W295" t="s">
        <v>1650</v>
      </c>
      <c r="X295" t="s">
        <v>1657</v>
      </c>
      <c r="Y295" t="s">
        <v>1662</v>
      </c>
      <c r="Z295">
        <v>0</v>
      </c>
    </row>
    <row r="296" spans="1:26" x14ac:dyDescent="0.35">
      <c r="A296" t="s">
        <v>431</v>
      </c>
      <c r="B296" s="6">
        <v>45663</v>
      </c>
      <c r="C296" t="s">
        <v>23</v>
      </c>
      <c r="D296">
        <v>21</v>
      </c>
      <c r="E296" t="s">
        <v>24</v>
      </c>
      <c r="F296" t="s">
        <v>37</v>
      </c>
      <c r="G296" t="s">
        <v>58</v>
      </c>
      <c r="H296" t="s">
        <v>27</v>
      </c>
      <c r="I296" t="s">
        <v>95</v>
      </c>
      <c r="J296" t="s">
        <v>1632</v>
      </c>
      <c r="K296" t="s">
        <v>34</v>
      </c>
      <c r="L296">
        <v>31000</v>
      </c>
      <c r="M296">
        <v>5</v>
      </c>
      <c r="N296">
        <v>7.2</v>
      </c>
      <c r="O296">
        <v>1</v>
      </c>
      <c r="P296">
        <v>0.4</v>
      </c>
      <c r="Q296">
        <v>3</v>
      </c>
      <c r="R296">
        <v>2</v>
      </c>
      <c r="S296">
        <v>3</v>
      </c>
      <c r="T296" t="s">
        <v>23</v>
      </c>
      <c r="U296">
        <v>3</v>
      </c>
      <c r="W296" t="s">
        <v>1651</v>
      </c>
      <c r="X296" t="s">
        <v>1655</v>
      </c>
      <c r="Y296" t="s">
        <v>1665</v>
      </c>
      <c r="Z296">
        <v>0</v>
      </c>
    </row>
    <row r="297" spans="1:26" x14ac:dyDescent="0.35">
      <c r="A297" t="s">
        <v>220</v>
      </c>
      <c r="B297" s="6">
        <v>45608</v>
      </c>
      <c r="C297" t="s">
        <v>23</v>
      </c>
      <c r="D297">
        <v>34</v>
      </c>
      <c r="E297" t="s">
        <v>36</v>
      </c>
      <c r="F297" t="s">
        <v>25</v>
      </c>
      <c r="G297" t="s">
        <v>54</v>
      </c>
      <c r="H297" t="s">
        <v>45</v>
      </c>
      <c r="I297" t="s">
        <v>46</v>
      </c>
      <c r="J297" t="s">
        <v>1636</v>
      </c>
      <c r="K297" t="s">
        <v>34</v>
      </c>
      <c r="L297">
        <v>116000</v>
      </c>
      <c r="M297">
        <v>12.7</v>
      </c>
      <c r="N297">
        <v>3.5</v>
      </c>
      <c r="O297">
        <v>1.1000000000000001</v>
      </c>
      <c r="P297">
        <v>0.3</v>
      </c>
      <c r="Q297">
        <v>2</v>
      </c>
      <c r="R297">
        <v>3</v>
      </c>
      <c r="S297">
        <v>3</v>
      </c>
      <c r="T297" t="s">
        <v>30</v>
      </c>
      <c r="U297">
        <v>3</v>
      </c>
      <c r="W297" t="s">
        <v>1650</v>
      </c>
      <c r="X297" t="s">
        <v>1658</v>
      </c>
      <c r="Y297" t="s">
        <v>1665</v>
      </c>
      <c r="Z297">
        <v>0</v>
      </c>
    </row>
    <row r="298" spans="1:26" x14ac:dyDescent="0.35">
      <c r="A298" t="s">
        <v>1366</v>
      </c>
      <c r="B298" s="6">
        <v>44135</v>
      </c>
      <c r="C298" t="s">
        <v>23</v>
      </c>
      <c r="D298">
        <v>26</v>
      </c>
      <c r="E298" t="s">
        <v>36</v>
      </c>
      <c r="F298" t="s">
        <v>25</v>
      </c>
      <c r="G298" t="s">
        <v>26</v>
      </c>
      <c r="H298" t="s">
        <v>55</v>
      </c>
      <c r="I298" t="s">
        <v>179</v>
      </c>
      <c r="J298" t="s">
        <v>1632</v>
      </c>
      <c r="K298" t="s">
        <v>50</v>
      </c>
      <c r="L298">
        <v>48000</v>
      </c>
      <c r="M298">
        <v>5.0999999999999996</v>
      </c>
      <c r="N298">
        <v>11.1</v>
      </c>
      <c r="O298">
        <v>5.2</v>
      </c>
      <c r="P298">
        <v>3.9</v>
      </c>
      <c r="Q298">
        <v>2</v>
      </c>
      <c r="R298">
        <v>2</v>
      </c>
      <c r="S298">
        <v>3</v>
      </c>
      <c r="T298" t="s">
        <v>30</v>
      </c>
      <c r="U298">
        <v>2</v>
      </c>
      <c r="W298" t="s">
        <v>1650</v>
      </c>
      <c r="X298" t="s">
        <v>1656</v>
      </c>
      <c r="Y298" t="s">
        <v>1661</v>
      </c>
      <c r="Z298">
        <v>0</v>
      </c>
    </row>
    <row r="299" spans="1:26" x14ac:dyDescent="0.35">
      <c r="A299" t="s">
        <v>1443</v>
      </c>
      <c r="B299" s="6">
        <v>41657</v>
      </c>
      <c r="C299" t="s">
        <v>30</v>
      </c>
      <c r="D299">
        <v>37</v>
      </c>
      <c r="E299" t="s">
        <v>24</v>
      </c>
      <c r="F299" t="s">
        <v>37</v>
      </c>
      <c r="G299" t="s">
        <v>26</v>
      </c>
      <c r="H299" t="s">
        <v>1634</v>
      </c>
      <c r="I299" t="s">
        <v>60</v>
      </c>
      <c r="J299" t="s">
        <v>1635</v>
      </c>
      <c r="K299" t="s">
        <v>29</v>
      </c>
      <c r="L299">
        <v>66000</v>
      </c>
      <c r="M299">
        <v>9.4</v>
      </c>
      <c r="N299">
        <v>14</v>
      </c>
      <c r="O299">
        <v>11.5</v>
      </c>
      <c r="P299">
        <v>1.5</v>
      </c>
      <c r="Q299">
        <v>3</v>
      </c>
      <c r="R299">
        <v>3</v>
      </c>
      <c r="S299">
        <v>3</v>
      </c>
      <c r="T299" t="s">
        <v>30</v>
      </c>
      <c r="U299">
        <v>2</v>
      </c>
      <c r="V299" s="7">
        <v>45857</v>
      </c>
      <c r="W299" t="s">
        <v>1649</v>
      </c>
      <c r="X299" t="s">
        <v>1659</v>
      </c>
      <c r="Y299" t="s">
        <v>1663</v>
      </c>
      <c r="Z299">
        <v>1</v>
      </c>
    </row>
    <row r="300" spans="1:26" x14ac:dyDescent="0.35">
      <c r="A300" t="s">
        <v>1504</v>
      </c>
      <c r="B300" s="6">
        <v>44428</v>
      </c>
      <c r="C300" t="s">
        <v>23</v>
      </c>
      <c r="D300">
        <v>29</v>
      </c>
      <c r="E300" t="s">
        <v>62</v>
      </c>
      <c r="F300" t="s">
        <v>25</v>
      </c>
      <c r="G300" t="s">
        <v>54</v>
      </c>
      <c r="H300" t="s">
        <v>68</v>
      </c>
      <c r="I300" t="s">
        <v>69</v>
      </c>
      <c r="J300" t="s">
        <v>1636</v>
      </c>
      <c r="K300" t="s">
        <v>66</v>
      </c>
      <c r="L300">
        <v>113000</v>
      </c>
      <c r="M300">
        <v>2.6</v>
      </c>
      <c r="N300">
        <v>5.4</v>
      </c>
      <c r="O300">
        <v>4.4000000000000004</v>
      </c>
      <c r="P300">
        <v>4.2</v>
      </c>
      <c r="Q300">
        <v>4</v>
      </c>
      <c r="R300">
        <v>3</v>
      </c>
      <c r="S300">
        <v>3</v>
      </c>
      <c r="T300" t="s">
        <v>23</v>
      </c>
      <c r="U300">
        <v>3</v>
      </c>
      <c r="W300" t="s">
        <v>1650</v>
      </c>
      <c r="X300" t="s">
        <v>1658</v>
      </c>
      <c r="Y300" t="s">
        <v>1661</v>
      </c>
      <c r="Z300">
        <v>0</v>
      </c>
    </row>
    <row r="301" spans="1:26" x14ac:dyDescent="0.35">
      <c r="A301" t="s">
        <v>515</v>
      </c>
      <c r="B301" s="6">
        <v>43855</v>
      </c>
      <c r="C301" t="s">
        <v>23</v>
      </c>
      <c r="D301">
        <v>33</v>
      </c>
      <c r="E301" t="s">
        <v>24</v>
      </c>
      <c r="F301" t="s">
        <v>42</v>
      </c>
      <c r="G301" t="s">
        <v>58</v>
      </c>
      <c r="H301" t="s">
        <v>45</v>
      </c>
      <c r="I301" t="s">
        <v>77</v>
      </c>
      <c r="J301" t="s">
        <v>1636</v>
      </c>
      <c r="K301" t="s">
        <v>34</v>
      </c>
      <c r="L301">
        <v>108000</v>
      </c>
      <c r="M301">
        <v>9.9</v>
      </c>
      <c r="N301">
        <v>9.1999999999999993</v>
      </c>
      <c r="O301">
        <v>5.9</v>
      </c>
      <c r="P301">
        <v>0.9</v>
      </c>
      <c r="Q301">
        <v>2</v>
      </c>
      <c r="R301">
        <v>1</v>
      </c>
      <c r="S301">
        <v>3</v>
      </c>
      <c r="T301" t="s">
        <v>30</v>
      </c>
      <c r="U301">
        <v>4</v>
      </c>
      <c r="W301" t="s">
        <v>1650</v>
      </c>
      <c r="X301" t="s">
        <v>1658</v>
      </c>
      <c r="Y301" t="s">
        <v>1661</v>
      </c>
      <c r="Z301">
        <v>0</v>
      </c>
    </row>
    <row r="302" spans="1:26" x14ac:dyDescent="0.35">
      <c r="A302" t="s">
        <v>339</v>
      </c>
      <c r="B302" s="6">
        <v>43811</v>
      </c>
      <c r="C302" t="s">
        <v>23</v>
      </c>
      <c r="D302">
        <v>34</v>
      </c>
      <c r="E302" t="s">
        <v>62</v>
      </c>
      <c r="F302" t="s">
        <v>42</v>
      </c>
      <c r="G302" t="s">
        <v>54</v>
      </c>
      <c r="H302" t="s">
        <v>27</v>
      </c>
      <c r="I302" t="s">
        <v>43</v>
      </c>
      <c r="J302" t="s">
        <v>1635</v>
      </c>
      <c r="K302" t="s">
        <v>40</v>
      </c>
      <c r="L302">
        <v>70000</v>
      </c>
      <c r="M302">
        <v>9.5</v>
      </c>
      <c r="N302">
        <v>12.4</v>
      </c>
      <c r="O302">
        <v>6.1</v>
      </c>
      <c r="P302">
        <v>3.6</v>
      </c>
      <c r="Q302">
        <v>3</v>
      </c>
      <c r="R302">
        <v>4</v>
      </c>
      <c r="S302">
        <v>3</v>
      </c>
      <c r="T302" t="s">
        <v>23</v>
      </c>
      <c r="U302">
        <v>3</v>
      </c>
      <c r="W302" t="s">
        <v>1650</v>
      </c>
      <c r="X302" t="s">
        <v>1659</v>
      </c>
      <c r="Y302" t="s">
        <v>1662</v>
      </c>
      <c r="Z302">
        <v>0</v>
      </c>
    </row>
    <row r="303" spans="1:26" x14ac:dyDescent="0.35">
      <c r="A303" t="s">
        <v>483</v>
      </c>
      <c r="B303" s="6">
        <v>44970</v>
      </c>
      <c r="C303" t="s">
        <v>23</v>
      </c>
      <c r="D303">
        <v>33</v>
      </c>
      <c r="E303" t="s">
        <v>62</v>
      </c>
      <c r="F303" t="s">
        <v>42</v>
      </c>
      <c r="G303" t="s">
        <v>54</v>
      </c>
      <c r="H303" t="s">
        <v>55</v>
      </c>
      <c r="I303" t="s">
        <v>80</v>
      </c>
      <c r="J303" t="s">
        <v>1636</v>
      </c>
      <c r="K303" t="s">
        <v>40</v>
      </c>
      <c r="L303">
        <v>129000</v>
      </c>
      <c r="N303">
        <v>9.3000000000000007</v>
      </c>
      <c r="O303">
        <v>2.9</v>
      </c>
      <c r="P303">
        <v>1.8</v>
      </c>
      <c r="Q303">
        <v>3</v>
      </c>
      <c r="R303">
        <v>3</v>
      </c>
      <c r="S303">
        <v>3</v>
      </c>
      <c r="T303" t="s">
        <v>30</v>
      </c>
      <c r="U303">
        <v>4</v>
      </c>
      <c r="W303" t="s">
        <v>1650</v>
      </c>
      <c r="X303" t="s">
        <v>1658</v>
      </c>
      <c r="Y303" t="s">
        <v>1665</v>
      </c>
      <c r="Z303">
        <v>0</v>
      </c>
    </row>
    <row r="304" spans="1:26" x14ac:dyDescent="0.35">
      <c r="A304" t="s">
        <v>1060</v>
      </c>
      <c r="B304" s="6">
        <v>45733</v>
      </c>
      <c r="C304" t="s">
        <v>23</v>
      </c>
      <c r="D304">
        <v>23</v>
      </c>
      <c r="E304" t="s">
        <v>62</v>
      </c>
      <c r="F304" t="s">
        <v>37</v>
      </c>
      <c r="G304" t="s">
        <v>32</v>
      </c>
      <c r="H304" t="s">
        <v>1634</v>
      </c>
      <c r="I304" t="s">
        <v>75</v>
      </c>
      <c r="J304" t="s">
        <v>1632</v>
      </c>
      <c r="K304" t="s">
        <v>50</v>
      </c>
      <c r="L304">
        <v>49000</v>
      </c>
      <c r="M304">
        <v>4</v>
      </c>
      <c r="N304">
        <v>3</v>
      </c>
      <c r="O304">
        <v>0.8</v>
      </c>
      <c r="P304">
        <v>0</v>
      </c>
      <c r="Q304">
        <v>3</v>
      </c>
      <c r="R304">
        <v>2</v>
      </c>
      <c r="S304">
        <v>1</v>
      </c>
      <c r="T304" t="s">
        <v>23</v>
      </c>
      <c r="U304">
        <v>1</v>
      </c>
      <c r="W304" t="s">
        <v>1651</v>
      </c>
      <c r="X304" t="s">
        <v>1656</v>
      </c>
      <c r="Y304" t="s">
        <v>1664</v>
      </c>
      <c r="Z304">
        <v>0</v>
      </c>
    </row>
    <row r="305" spans="1:26" x14ac:dyDescent="0.35">
      <c r="A305" t="s">
        <v>1295</v>
      </c>
      <c r="B305" s="6">
        <v>44680</v>
      </c>
      <c r="C305" t="s">
        <v>30</v>
      </c>
      <c r="D305">
        <v>28</v>
      </c>
      <c r="E305" t="s">
        <v>24</v>
      </c>
      <c r="F305" t="s">
        <v>42</v>
      </c>
      <c r="G305" t="s">
        <v>26</v>
      </c>
      <c r="H305" t="s">
        <v>68</v>
      </c>
      <c r="I305" t="s">
        <v>69</v>
      </c>
      <c r="J305" t="s">
        <v>1633</v>
      </c>
      <c r="K305" t="s">
        <v>40</v>
      </c>
      <c r="L305">
        <v>61000</v>
      </c>
      <c r="M305">
        <v>7.8</v>
      </c>
      <c r="N305">
        <v>5.7</v>
      </c>
      <c r="O305">
        <v>3</v>
      </c>
      <c r="P305">
        <v>0.9</v>
      </c>
      <c r="Q305">
        <v>2</v>
      </c>
      <c r="R305">
        <v>4</v>
      </c>
      <c r="S305">
        <v>4</v>
      </c>
      <c r="T305" t="s">
        <v>30</v>
      </c>
      <c r="U305">
        <v>3</v>
      </c>
      <c r="V305" s="7">
        <v>45769</v>
      </c>
      <c r="W305" t="s">
        <v>1650</v>
      </c>
      <c r="X305" t="s">
        <v>1659</v>
      </c>
      <c r="Y305" t="s">
        <v>1665</v>
      </c>
      <c r="Z305">
        <v>1</v>
      </c>
    </row>
    <row r="306" spans="1:26" x14ac:dyDescent="0.35">
      <c r="A306" t="s">
        <v>35</v>
      </c>
      <c r="B306" s="6">
        <v>45712</v>
      </c>
      <c r="C306" t="s">
        <v>23</v>
      </c>
      <c r="D306">
        <v>28</v>
      </c>
      <c r="E306" t="s">
        <v>36</v>
      </c>
      <c r="F306" t="s">
        <v>37</v>
      </c>
      <c r="G306" t="s">
        <v>26</v>
      </c>
      <c r="H306" t="s">
        <v>38</v>
      </c>
      <c r="I306" t="s">
        <v>39</v>
      </c>
      <c r="J306" t="s">
        <v>1635</v>
      </c>
      <c r="K306" t="s">
        <v>40</v>
      </c>
      <c r="L306">
        <v>89000</v>
      </c>
      <c r="M306">
        <v>5.7</v>
      </c>
      <c r="N306">
        <v>7.4</v>
      </c>
      <c r="O306">
        <v>0.8</v>
      </c>
      <c r="P306">
        <v>0</v>
      </c>
      <c r="Q306">
        <v>2</v>
      </c>
      <c r="R306">
        <v>2</v>
      </c>
      <c r="S306">
        <v>4</v>
      </c>
      <c r="T306" t="s">
        <v>23</v>
      </c>
      <c r="U306">
        <v>3</v>
      </c>
      <c r="W306" t="s">
        <v>1650</v>
      </c>
      <c r="X306" t="s">
        <v>1657</v>
      </c>
      <c r="Y306" t="s">
        <v>1664</v>
      </c>
      <c r="Z306">
        <v>0</v>
      </c>
    </row>
    <row r="307" spans="1:26" x14ac:dyDescent="0.35">
      <c r="A307" t="s">
        <v>479</v>
      </c>
      <c r="B307" s="6">
        <v>45018</v>
      </c>
      <c r="C307" t="s">
        <v>23</v>
      </c>
      <c r="D307">
        <v>25</v>
      </c>
      <c r="E307" t="s">
        <v>62</v>
      </c>
      <c r="F307" t="s">
        <v>37</v>
      </c>
      <c r="G307" t="s">
        <v>58</v>
      </c>
      <c r="H307" t="s">
        <v>48</v>
      </c>
      <c r="I307" t="s">
        <v>63</v>
      </c>
      <c r="J307" t="s">
        <v>1632</v>
      </c>
      <c r="K307" t="s">
        <v>34</v>
      </c>
      <c r="L307">
        <v>38000</v>
      </c>
      <c r="M307">
        <v>11.5</v>
      </c>
      <c r="N307">
        <v>5.2</v>
      </c>
      <c r="O307">
        <v>2.7</v>
      </c>
      <c r="P307">
        <v>0.9</v>
      </c>
      <c r="Q307">
        <v>3</v>
      </c>
      <c r="R307">
        <v>3</v>
      </c>
      <c r="S307">
        <v>1</v>
      </c>
      <c r="T307" t="s">
        <v>23</v>
      </c>
      <c r="U307">
        <v>5</v>
      </c>
      <c r="W307" t="s">
        <v>1651</v>
      </c>
      <c r="X307" t="s">
        <v>1655</v>
      </c>
      <c r="Y307" t="s">
        <v>1665</v>
      </c>
      <c r="Z307">
        <v>0</v>
      </c>
    </row>
    <row r="308" spans="1:26" x14ac:dyDescent="0.35">
      <c r="A308" t="s">
        <v>1032</v>
      </c>
      <c r="B308" s="6">
        <v>42120</v>
      </c>
      <c r="C308" t="s">
        <v>30</v>
      </c>
      <c r="D308">
        <v>32</v>
      </c>
      <c r="E308" t="s">
        <v>24</v>
      </c>
      <c r="F308" t="s">
        <v>37</v>
      </c>
      <c r="G308" t="s">
        <v>26</v>
      </c>
      <c r="H308" t="s">
        <v>45</v>
      </c>
      <c r="I308" t="s">
        <v>77</v>
      </c>
      <c r="J308" t="s">
        <v>1633</v>
      </c>
      <c r="K308" t="s">
        <v>66</v>
      </c>
      <c r="L308">
        <v>48000</v>
      </c>
      <c r="M308">
        <v>9.1999999999999993</v>
      </c>
      <c r="N308">
        <v>14</v>
      </c>
      <c r="O308">
        <v>10.6</v>
      </c>
      <c r="P308">
        <v>0.1</v>
      </c>
      <c r="Q308">
        <v>2</v>
      </c>
      <c r="R308">
        <v>4</v>
      </c>
      <c r="S308">
        <v>3</v>
      </c>
      <c r="T308" t="s">
        <v>23</v>
      </c>
      <c r="U308">
        <v>3</v>
      </c>
      <c r="V308" s="7">
        <v>45982</v>
      </c>
      <c r="W308" t="s">
        <v>1650</v>
      </c>
      <c r="X308" t="s">
        <v>1656</v>
      </c>
      <c r="Y308" t="s">
        <v>1663</v>
      </c>
      <c r="Z308">
        <v>1</v>
      </c>
    </row>
    <row r="309" spans="1:26" x14ac:dyDescent="0.35">
      <c r="A309" t="s">
        <v>340</v>
      </c>
      <c r="B309" s="6">
        <v>45251</v>
      </c>
      <c r="C309" t="s">
        <v>23</v>
      </c>
      <c r="D309">
        <v>40</v>
      </c>
      <c r="E309" t="s">
        <v>36</v>
      </c>
      <c r="F309" t="s">
        <v>25</v>
      </c>
      <c r="G309" t="s">
        <v>32</v>
      </c>
      <c r="H309" t="s">
        <v>1634</v>
      </c>
      <c r="I309" t="s">
        <v>60</v>
      </c>
      <c r="J309" t="s">
        <v>1635</v>
      </c>
      <c r="K309" t="s">
        <v>29</v>
      </c>
      <c r="L309">
        <v>95000</v>
      </c>
      <c r="M309">
        <v>6.8</v>
      </c>
      <c r="N309">
        <v>7.6</v>
      </c>
      <c r="O309">
        <v>2.1</v>
      </c>
      <c r="P309">
        <v>0.7</v>
      </c>
      <c r="Q309">
        <v>2</v>
      </c>
      <c r="R309">
        <v>4</v>
      </c>
      <c r="S309">
        <v>3</v>
      </c>
      <c r="T309" t="s">
        <v>23</v>
      </c>
      <c r="U309">
        <v>2</v>
      </c>
      <c r="W309" t="s">
        <v>1649</v>
      </c>
      <c r="X309" t="s">
        <v>1657</v>
      </c>
      <c r="Y309" t="s">
        <v>1665</v>
      </c>
      <c r="Z309">
        <v>0</v>
      </c>
    </row>
    <row r="310" spans="1:26" x14ac:dyDescent="0.35">
      <c r="A310" t="s">
        <v>41</v>
      </c>
      <c r="B310" s="6">
        <v>44919</v>
      </c>
      <c r="C310" t="s">
        <v>23</v>
      </c>
      <c r="D310">
        <v>32</v>
      </c>
      <c r="E310" t="s">
        <v>24</v>
      </c>
      <c r="F310" t="s">
        <v>42</v>
      </c>
      <c r="G310" t="s">
        <v>26</v>
      </c>
      <c r="H310" t="s">
        <v>27</v>
      </c>
      <c r="I310" t="s">
        <v>43</v>
      </c>
      <c r="J310" t="s">
        <v>1633</v>
      </c>
      <c r="K310" t="s">
        <v>34</v>
      </c>
      <c r="L310">
        <v>74000</v>
      </c>
      <c r="M310">
        <v>5.8</v>
      </c>
      <c r="N310">
        <v>9.5</v>
      </c>
      <c r="O310">
        <v>3</v>
      </c>
      <c r="P310">
        <v>1.3</v>
      </c>
      <c r="Q310">
        <v>4</v>
      </c>
      <c r="R310">
        <v>2</v>
      </c>
      <c r="S310">
        <v>3</v>
      </c>
      <c r="T310" t="s">
        <v>23</v>
      </c>
      <c r="U310">
        <v>3</v>
      </c>
      <c r="W310" t="s">
        <v>1650</v>
      </c>
      <c r="X310" t="s">
        <v>1659</v>
      </c>
      <c r="Y310" t="s">
        <v>1665</v>
      </c>
      <c r="Z310">
        <v>0</v>
      </c>
    </row>
    <row r="311" spans="1:26" x14ac:dyDescent="0.35">
      <c r="A311" t="s">
        <v>782</v>
      </c>
      <c r="B311" s="6">
        <v>43594</v>
      </c>
      <c r="C311" t="s">
        <v>23</v>
      </c>
      <c r="D311">
        <v>45</v>
      </c>
      <c r="E311" t="s">
        <v>24</v>
      </c>
      <c r="F311" t="s">
        <v>37</v>
      </c>
      <c r="G311" t="s">
        <v>32</v>
      </c>
      <c r="H311" t="s">
        <v>45</v>
      </c>
      <c r="I311" t="s">
        <v>46</v>
      </c>
      <c r="J311" t="s">
        <v>1635</v>
      </c>
      <c r="K311" t="s">
        <v>34</v>
      </c>
      <c r="L311">
        <v>67000</v>
      </c>
      <c r="M311">
        <v>11.3</v>
      </c>
      <c r="N311">
        <v>9.1999999999999993</v>
      </c>
      <c r="O311">
        <v>6.6</v>
      </c>
      <c r="P311">
        <v>2.8</v>
      </c>
      <c r="Q311">
        <v>3</v>
      </c>
      <c r="R311">
        <v>4</v>
      </c>
      <c r="S311">
        <v>3</v>
      </c>
      <c r="T311" t="s">
        <v>23</v>
      </c>
      <c r="U311">
        <v>4</v>
      </c>
      <c r="W311" t="s">
        <v>1649</v>
      </c>
      <c r="X311" t="s">
        <v>1659</v>
      </c>
      <c r="Y311" t="s">
        <v>1662</v>
      </c>
      <c r="Z311">
        <v>0</v>
      </c>
    </row>
    <row r="312" spans="1:26" x14ac:dyDescent="0.35">
      <c r="A312" t="s">
        <v>336</v>
      </c>
      <c r="B312" s="6">
        <v>44304</v>
      </c>
      <c r="C312" t="s">
        <v>23</v>
      </c>
      <c r="D312">
        <v>30</v>
      </c>
      <c r="E312" t="s">
        <v>24</v>
      </c>
      <c r="F312" t="s">
        <v>25</v>
      </c>
      <c r="G312" t="s">
        <v>54</v>
      </c>
      <c r="H312" t="s">
        <v>68</v>
      </c>
      <c r="I312" t="s">
        <v>69</v>
      </c>
      <c r="J312" t="s">
        <v>1635</v>
      </c>
      <c r="K312" t="s">
        <v>40</v>
      </c>
      <c r="L312">
        <v>75000</v>
      </c>
      <c r="M312">
        <v>6.7</v>
      </c>
      <c r="N312">
        <v>11.8</v>
      </c>
      <c r="O312">
        <v>4.7</v>
      </c>
      <c r="P312">
        <v>2.9</v>
      </c>
      <c r="Q312">
        <v>3</v>
      </c>
      <c r="R312">
        <v>3</v>
      </c>
      <c r="S312">
        <v>3</v>
      </c>
      <c r="T312" t="s">
        <v>23</v>
      </c>
      <c r="U312">
        <v>3</v>
      </c>
      <c r="W312" t="s">
        <v>1650</v>
      </c>
      <c r="X312" t="s">
        <v>1659</v>
      </c>
      <c r="Y312" t="s">
        <v>1661</v>
      </c>
      <c r="Z312">
        <v>0</v>
      </c>
    </row>
    <row r="313" spans="1:26" x14ac:dyDescent="0.35">
      <c r="A313" t="s">
        <v>1410</v>
      </c>
      <c r="B313" s="6">
        <v>45479</v>
      </c>
      <c r="C313" t="s">
        <v>23</v>
      </c>
      <c r="D313">
        <v>28</v>
      </c>
      <c r="E313" t="s">
        <v>24</v>
      </c>
      <c r="F313" t="s">
        <v>37</v>
      </c>
      <c r="G313" t="s">
        <v>26</v>
      </c>
      <c r="H313" t="s">
        <v>27</v>
      </c>
      <c r="I313" t="s">
        <v>33</v>
      </c>
      <c r="J313" t="s">
        <v>1635</v>
      </c>
      <c r="K313" t="s">
        <v>34</v>
      </c>
      <c r="L313">
        <v>63000</v>
      </c>
      <c r="M313">
        <v>9.1</v>
      </c>
      <c r="N313">
        <v>2.2999999999999998</v>
      </c>
      <c r="O313">
        <v>1.5</v>
      </c>
      <c r="P313">
        <v>1</v>
      </c>
      <c r="Q313">
        <v>3</v>
      </c>
      <c r="R313">
        <v>1</v>
      </c>
      <c r="S313">
        <v>4</v>
      </c>
      <c r="T313" t="s">
        <v>23</v>
      </c>
      <c r="U313">
        <v>3</v>
      </c>
      <c r="W313" t="s">
        <v>1650</v>
      </c>
      <c r="X313" t="s">
        <v>1659</v>
      </c>
      <c r="Y313" t="s">
        <v>1665</v>
      </c>
      <c r="Z313">
        <v>0</v>
      </c>
    </row>
    <row r="314" spans="1:26" x14ac:dyDescent="0.35">
      <c r="A314" t="s">
        <v>1110</v>
      </c>
      <c r="B314" s="6">
        <v>43170</v>
      </c>
      <c r="C314" t="s">
        <v>23</v>
      </c>
      <c r="D314">
        <v>35</v>
      </c>
      <c r="E314" t="s">
        <v>24</v>
      </c>
      <c r="F314" t="s">
        <v>25</v>
      </c>
      <c r="G314" t="s">
        <v>54</v>
      </c>
      <c r="H314" t="s">
        <v>55</v>
      </c>
      <c r="I314" t="s">
        <v>56</v>
      </c>
      <c r="J314" t="s">
        <v>1632</v>
      </c>
      <c r="K314" t="s">
        <v>50</v>
      </c>
      <c r="L314">
        <v>25000</v>
      </c>
      <c r="M314">
        <v>10.3</v>
      </c>
      <c r="N314">
        <v>12.5</v>
      </c>
      <c r="O314">
        <v>7.8</v>
      </c>
      <c r="P314">
        <v>0.3</v>
      </c>
      <c r="Q314">
        <v>3</v>
      </c>
      <c r="R314">
        <v>2</v>
      </c>
      <c r="S314">
        <v>3</v>
      </c>
      <c r="T314" t="s">
        <v>23</v>
      </c>
      <c r="U314">
        <v>1</v>
      </c>
      <c r="W314" t="s">
        <v>1650</v>
      </c>
      <c r="X314" t="s">
        <v>1655</v>
      </c>
      <c r="Y314" t="s">
        <v>1662</v>
      </c>
      <c r="Z314">
        <v>0</v>
      </c>
    </row>
    <row r="315" spans="1:26" x14ac:dyDescent="0.35">
      <c r="A315" t="s">
        <v>1037</v>
      </c>
      <c r="B315" s="6">
        <v>45821</v>
      </c>
      <c r="C315" t="s">
        <v>23</v>
      </c>
      <c r="D315">
        <v>21</v>
      </c>
      <c r="E315" t="s">
        <v>36</v>
      </c>
      <c r="F315" t="s">
        <v>37</v>
      </c>
      <c r="G315" t="s">
        <v>32</v>
      </c>
      <c r="H315" t="s">
        <v>48</v>
      </c>
      <c r="I315" t="s">
        <v>63</v>
      </c>
      <c r="J315" t="s">
        <v>1632</v>
      </c>
      <c r="K315" t="s">
        <v>66</v>
      </c>
      <c r="L315">
        <v>38000</v>
      </c>
      <c r="M315">
        <v>13.9</v>
      </c>
      <c r="N315">
        <v>6.9</v>
      </c>
      <c r="O315">
        <v>0.6</v>
      </c>
      <c r="P315">
        <v>0</v>
      </c>
      <c r="Q315">
        <v>4</v>
      </c>
      <c r="R315">
        <v>3</v>
      </c>
      <c r="S315">
        <v>3</v>
      </c>
      <c r="T315" t="s">
        <v>23</v>
      </c>
      <c r="U315">
        <v>4</v>
      </c>
      <c r="W315" t="s">
        <v>1651</v>
      </c>
      <c r="X315" t="s">
        <v>1655</v>
      </c>
      <c r="Y315" t="s">
        <v>1664</v>
      </c>
      <c r="Z315">
        <v>0</v>
      </c>
    </row>
    <row r="316" spans="1:26" x14ac:dyDescent="0.35">
      <c r="A316" t="s">
        <v>1227</v>
      </c>
      <c r="B316" s="6">
        <v>43641</v>
      </c>
      <c r="C316" t="s">
        <v>23</v>
      </c>
      <c r="D316">
        <v>45</v>
      </c>
      <c r="E316" t="s">
        <v>62</v>
      </c>
      <c r="F316" t="s">
        <v>25</v>
      </c>
      <c r="G316" t="s">
        <v>58</v>
      </c>
      <c r="H316" t="s">
        <v>38</v>
      </c>
      <c r="I316" t="s">
        <v>118</v>
      </c>
      <c r="J316" t="s">
        <v>1635</v>
      </c>
      <c r="K316" t="s">
        <v>29</v>
      </c>
      <c r="L316">
        <v>90000</v>
      </c>
      <c r="M316">
        <v>6.2</v>
      </c>
      <c r="N316">
        <v>11.5</v>
      </c>
      <c r="O316">
        <v>6.5</v>
      </c>
      <c r="P316">
        <v>1.1000000000000001</v>
      </c>
      <c r="Q316">
        <v>3</v>
      </c>
      <c r="R316">
        <v>4</v>
      </c>
      <c r="S316">
        <v>3</v>
      </c>
      <c r="T316" t="s">
        <v>30</v>
      </c>
      <c r="U316">
        <v>2</v>
      </c>
      <c r="W316" t="s">
        <v>1649</v>
      </c>
      <c r="X316" t="s">
        <v>1657</v>
      </c>
      <c r="Y316" t="s">
        <v>1662</v>
      </c>
      <c r="Z316">
        <v>0</v>
      </c>
    </row>
    <row r="317" spans="1:26" x14ac:dyDescent="0.35">
      <c r="A317" t="s">
        <v>1526</v>
      </c>
      <c r="B317" s="6">
        <v>45200</v>
      </c>
      <c r="C317" t="s">
        <v>23</v>
      </c>
      <c r="D317">
        <v>37</v>
      </c>
      <c r="E317" t="s">
        <v>36</v>
      </c>
      <c r="F317" t="s">
        <v>42</v>
      </c>
      <c r="G317" t="s">
        <v>54</v>
      </c>
      <c r="H317" t="s">
        <v>48</v>
      </c>
      <c r="I317" t="s">
        <v>201</v>
      </c>
      <c r="J317" t="s">
        <v>1636</v>
      </c>
      <c r="K317" t="s">
        <v>29</v>
      </c>
      <c r="L317">
        <v>116000</v>
      </c>
      <c r="M317">
        <v>11.2</v>
      </c>
      <c r="N317">
        <v>3.5</v>
      </c>
      <c r="O317">
        <v>2.2999999999999998</v>
      </c>
      <c r="P317">
        <v>2.2999999999999998</v>
      </c>
      <c r="Q317">
        <v>3</v>
      </c>
      <c r="R317">
        <v>3</v>
      </c>
      <c r="S317">
        <v>3</v>
      </c>
      <c r="T317" t="s">
        <v>30</v>
      </c>
      <c r="U317">
        <v>3</v>
      </c>
      <c r="W317" t="s">
        <v>1649</v>
      </c>
      <c r="X317" t="s">
        <v>1658</v>
      </c>
      <c r="Y317" t="s">
        <v>1665</v>
      </c>
      <c r="Z317">
        <v>0</v>
      </c>
    </row>
    <row r="318" spans="1:26" x14ac:dyDescent="0.35">
      <c r="A318" t="s">
        <v>128</v>
      </c>
      <c r="B318" s="6">
        <v>43506</v>
      </c>
      <c r="C318" t="s">
        <v>23</v>
      </c>
      <c r="D318">
        <v>34</v>
      </c>
      <c r="E318" t="s">
        <v>36</v>
      </c>
      <c r="F318" t="s">
        <v>25</v>
      </c>
      <c r="G318" t="s">
        <v>26</v>
      </c>
      <c r="H318" t="s">
        <v>48</v>
      </c>
      <c r="I318" t="s">
        <v>129</v>
      </c>
      <c r="J318" t="s">
        <v>1635</v>
      </c>
      <c r="K318" t="s">
        <v>66</v>
      </c>
      <c r="L318">
        <v>67000</v>
      </c>
      <c r="M318">
        <v>8.6</v>
      </c>
      <c r="N318">
        <v>8.9</v>
      </c>
      <c r="O318">
        <v>6.9</v>
      </c>
      <c r="P318">
        <v>5.8</v>
      </c>
      <c r="Q318">
        <v>4</v>
      </c>
      <c r="R318">
        <v>3</v>
      </c>
      <c r="S318">
        <v>3</v>
      </c>
      <c r="T318" t="s">
        <v>30</v>
      </c>
      <c r="U318">
        <v>4</v>
      </c>
      <c r="W318" t="s">
        <v>1650</v>
      </c>
      <c r="X318" t="s">
        <v>1659</v>
      </c>
      <c r="Y318" t="s">
        <v>1662</v>
      </c>
      <c r="Z318">
        <v>0</v>
      </c>
    </row>
    <row r="319" spans="1:26" x14ac:dyDescent="0.35">
      <c r="A319" t="s">
        <v>587</v>
      </c>
      <c r="B319" s="6">
        <v>43144</v>
      </c>
      <c r="C319" t="s">
        <v>23</v>
      </c>
      <c r="D319">
        <v>28</v>
      </c>
      <c r="E319" t="s">
        <v>62</v>
      </c>
      <c r="F319" t="s">
        <v>37</v>
      </c>
      <c r="G319" t="s">
        <v>26</v>
      </c>
      <c r="H319" t="s">
        <v>55</v>
      </c>
      <c r="I319" t="s">
        <v>88</v>
      </c>
      <c r="J319" t="s">
        <v>1632</v>
      </c>
      <c r="K319" t="s">
        <v>50</v>
      </c>
      <c r="L319">
        <v>50000</v>
      </c>
      <c r="M319">
        <v>13.4</v>
      </c>
      <c r="N319">
        <v>15.4</v>
      </c>
      <c r="O319">
        <v>7.9</v>
      </c>
      <c r="P319">
        <v>4.9000000000000004</v>
      </c>
      <c r="Q319">
        <v>3</v>
      </c>
      <c r="R319">
        <v>4</v>
      </c>
      <c r="S319">
        <v>3</v>
      </c>
      <c r="T319" t="s">
        <v>30</v>
      </c>
      <c r="U319">
        <v>4</v>
      </c>
      <c r="W319" t="s">
        <v>1650</v>
      </c>
      <c r="X319" t="s">
        <v>1656</v>
      </c>
      <c r="Y319" t="s">
        <v>1662</v>
      </c>
      <c r="Z319">
        <v>0</v>
      </c>
    </row>
    <row r="320" spans="1:26" x14ac:dyDescent="0.35">
      <c r="A320" t="s">
        <v>1180</v>
      </c>
      <c r="B320" s="6">
        <v>45645</v>
      </c>
      <c r="C320" t="s">
        <v>23</v>
      </c>
      <c r="D320">
        <v>25</v>
      </c>
      <c r="E320" t="s">
        <v>24</v>
      </c>
      <c r="F320" t="s">
        <v>25</v>
      </c>
      <c r="G320" t="s">
        <v>58</v>
      </c>
      <c r="H320" t="s">
        <v>48</v>
      </c>
      <c r="I320" t="s">
        <v>129</v>
      </c>
      <c r="J320" t="s">
        <v>1632</v>
      </c>
      <c r="K320" t="s">
        <v>34</v>
      </c>
      <c r="L320">
        <v>32000</v>
      </c>
      <c r="M320">
        <v>13.9</v>
      </c>
      <c r="N320">
        <v>3.1</v>
      </c>
      <c r="O320">
        <v>1</v>
      </c>
      <c r="P320">
        <v>0.3</v>
      </c>
      <c r="Q320">
        <v>4</v>
      </c>
      <c r="R320">
        <v>3</v>
      </c>
      <c r="S320">
        <v>3</v>
      </c>
      <c r="T320" t="s">
        <v>30</v>
      </c>
      <c r="U320">
        <v>3</v>
      </c>
      <c r="W320" t="s">
        <v>1651</v>
      </c>
      <c r="X320" t="s">
        <v>1655</v>
      </c>
      <c r="Y320" t="s">
        <v>1665</v>
      </c>
      <c r="Z320">
        <v>0</v>
      </c>
    </row>
    <row r="321" spans="1:26" x14ac:dyDescent="0.35">
      <c r="A321" t="s">
        <v>367</v>
      </c>
      <c r="B321" s="6">
        <v>42966</v>
      </c>
      <c r="C321" t="s">
        <v>23</v>
      </c>
      <c r="D321">
        <v>49</v>
      </c>
      <c r="E321" t="s">
        <v>36</v>
      </c>
      <c r="F321" t="s">
        <v>42</v>
      </c>
      <c r="G321" t="s">
        <v>54</v>
      </c>
      <c r="H321" t="s">
        <v>55</v>
      </c>
      <c r="I321" t="s">
        <v>80</v>
      </c>
      <c r="J321" t="s">
        <v>1636</v>
      </c>
      <c r="K321" t="s">
        <v>34</v>
      </c>
      <c r="L321">
        <v>132000</v>
      </c>
      <c r="M321">
        <v>9.8000000000000007</v>
      </c>
      <c r="N321">
        <v>10.8</v>
      </c>
      <c r="O321">
        <v>8.4</v>
      </c>
      <c r="P321">
        <v>4.4000000000000004</v>
      </c>
      <c r="Q321">
        <v>4</v>
      </c>
      <c r="R321">
        <v>3</v>
      </c>
      <c r="S321">
        <v>2</v>
      </c>
      <c r="T321" t="s">
        <v>23</v>
      </c>
      <c r="U321">
        <v>2</v>
      </c>
      <c r="W321" t="s">
        <v>1652</v>
      </c>
      <c r="X321" t="s">
        <v>1658</v>
      </c>
      <c r="Y321" t="s">
        <v>1662</v>
      </c>
      <c r="Z321">
        <v>0</v>
      </c>
    </row>
    <row r="322" spans="1:26" x14ac:dyDescent="0.35">
      <c r="A322" t="s">
        <v>858</v>
      </c>
      <c r="B322" s="6">
        <v>44944</v>
      </c>
      <c r="C322" t="s">
        <v>30</v>
      </c>
      <c r="D322">
        <v>34</v>
      </c>
      <c r="E322" t="s">
        <v>62</v>
      </c>
      <c r="F322" t="s">
        <v>25</v>
      </c>
      <c r="G322" t="s">
        <v>32</v>
      </c>
      <c r="H322" t="s">
        <v>1634</v>
      </c>
      <c r="I322" t="s">
        <v>75</v>
      </c>
      <c r="J322" t="s">
        <v>1636</v>
      </c>
      <c r="K322" t="s">
        <v>40</v>
      </c>
      <c r="L322">
        <v>107000</v>
      </c>
      <c r="M322">
        <v>11.8</v>
      </c>
      <c r="N322">
        <v>5.9</v>
      </c>
      <c r="O322">
        <v>2.8</v>
      </c>
      <c r="P322">
        <v>0.9</v>
      </c>
      <c r="Q322">
        <v>3</v>
      </c>
      <c r="R322">
        <v>1</v>
      </c>
      <c r="S322">
        <v>3</v>
      </c>
      <c r="T322" t="s">
        <v>23</v>
      </c>
      <c r="U322">
        <v>2</v>
      </c>
      <c r="V322" s="7">
        <v>45981</v>
      </c>
      <c r="W322" t="s">
        <v>1650</v>
      </c>
      <c r="X322" t="s">
        <v>1658</v>
      </c>
      <c r="Y322" t="s">
        <v>1665</v>
      </c>
      <c r="Z322">
        <v>1</v>
      </c>
    </row>
    <row r="323" spans="1:26" x14ac:dyDescent="0.35">
      <c r="A323" t="s">
        <v>1074</v>
      </c>
      <c r="B323" s="6">
        <v>43537</v>
      </c>
      <c r="C323" t="s">
        <v>30</v>
      </c>
      <c r="D323">
        <v>27</v>
      </c>
      <c r="E323" t="s">
        <v>24</v>
      </c>
      <c r="F323" t="s">
        <v>25</v>
      </c>
      <c r="G323" t="s">
        <v>54</v>
      </c>
      <c r="H323" t="s">
        <v>38</v>
      </c>
      <c r="I323" t="s">
        <v>52</v>
      </c>
      <c r="J323" t="s">
        <v>1632</v>
      </c>
      <c r="K323" t="s">
        <v>84</v>
      </c>
      <c r="L323">
        <v>26000</v>
      </c>
      <c r="M323">
        <v>1.7</v>
      </c>
      <c r="N323">
        <v>8.6999999999999993</v>
      </c>
      <c r="O323">
        <v>6.4</v>
      </c>
      <c r="P323">
        <v>2.4</v>
      </c>
      <c r="Q323">
        <v>3</v>
      </c>
      <c r="R323">
        <v>2</v>
      </c>
      <c r="S323">
        <v>2</v>
      </c>
      <c r="T323" t="s">
        <v>23</v>
      </c>
      <c r="U323">
        <v>4</v>
      </c>
      <c r="V323" s="7">
        <v>45879</v>
      </c>
      <c r="W323" t="s">
        <v>1650</v>
      </c>
      <c r="X323" t="s">
        <v>1655</v>
      </c>
      <c r="Y323" t="s">
        <v>1662</v>
      </c>
      <c r="Z323">
        <v>1</v>
      </c>
    </row>
    <row r="324" spans="1:26" x14ac:dyDescent="0.35">
      <c r="A324" t="s">
        <v>1019</v>
      </c>
      <c r="B324" s="6">
        <v>45051</v>
      </c>
      <c r="C324" t="s">
        <v>30</v>
      </c>
      <c r="D324">
        <v>25</v>
      </c>
      <c r="E324" t="s">
        <v>62</v>
      </c>
      <c r="F324" t="s">
        <v>37</v>
      </c>
      <c r="G324" t="s">
        <v>32</v>
      </c>
      <c r="H324" t="s">
        <v>38</v>
      </c>
      <c r="I324" t="s">
        <v>52</v>
      </c>
      <c r="J324" t="s">
        <v>1632</v>
      </c>
      <c r="K324" t="s">
        <v>50</v>
      </c>
      <c r="L324">
        <v>22000</v>
      </c>
      <c r="M324">
        <v>10.6</v>
      </c>
      <c r="N324">
        <v>4</v>
      </c>
      <c r="O324">
        <v>2.4</v>
      </c>
      <c r="P324">
        <v>0.9</v>
      </c>
      <c r="Q324">
        <v>2</v>
      </c>
      <c r="R324">
        <v>3</v>
      </c>
      <c r="S324">
        <v>3</v>
      </c>
      <c r="T324" t="s">
        <v>23</v>
      </c>
      <c r="U324">
        <v>5</v>
      </c>
      <c r="V324" s="7">
        <v>45944</v>
      </c>
      <c r="W324" t="s">
        <v>1651</v>
      </c>
      <c r="X324" t="s">
        <v>1655</v>
      </c>
      <c r="Y324" t="s">
        <v>1665</v>
      </c>
      <c r="Z324">
        <v>1</v>
      </c>
    </row>
    <row r="325" spans="1:26" x14ac:dyDescent="0.35">
      <c r="A325" t="s">
        <v>1361</v>
      </c>
      <c r="B325" s="6">
        <v>41964</v>
      </c>
      <c r="C325" t="s">
        <v>23</v>
      </c>
      <c r="D325">
        <v>33</v>
      </c>
      <c r="E325" t="s">
        <v>36</v>
      </c>
      <c r="F325" t="s">
        <v>25</v>
      </c>
      <c r="G325" t="s">
        <v>54</v>
      </c>
      <c r="H325" t="s">
        <v>68</v>
      </c>
      <c r="I325" t="s">
        <v>121</v>
      </c>
      <c r="J325" t="s">
        <v>1633</v>
      </c>
      <c r="K325" t="s">
        <v>66</v>
      </c>
      <c r="L325">
        <v>60000</v>
      </c>
      <c r="M325">
        <v>9.3000000000000007</v>
      </c>
      <c r="N325">
        <v>13.9</v>
      </c>
      <c r="O325">
        <v>11.1</v>
      </c>
      <c r="P325">
        <v>1.9</v>
      </c>
      <c r="Q325">
        <v>3</v>
      </c>
      <c r="R325">
        <v>3</v>
      </c>
      <c r="S325">
        <v>1</v>
      </c>
      <c r="T325" t="s">
        <v>30</v>
      </c>
      <c r="U325">
        <v>3</v>
      </c>
      <c r="W325" t="s">
        <v>1650</v>
      </c>
      <c r="X325" t="s">
        <v>1659</v>
      </c>
      <c r="Y325" t="s">
        <v>1663</v>
      </c>
      <c r="Z325">
        <v>0</v>
      </c>
    </row>
    <row r="326" spans="1:26" x14ac:dyDescent="0.35">
      <c r="A326" t="s">
        <v>1301</v>
      </c>
      <c r="B326" s="6">
        <v>42417</v>
      </c>
      <c r="C326" t="s">
        <v>23</v>
      </c>
      <c r="D326">
        <v>39</v>
      </c>
      <c r="E326" t="s">
        <v>36</v>
      </c>
      <c r="F326" t="s">
        <v>37</v>
      </c>
      <c r="G326" t="s">
        <v>58</v>
      </c>
      <c r="H326" t="s">
        <v>55</v>
      </c>
      <c r="I326" t="s">
        <v>80</v>
      </c>
      <c r="J326" t="s">
        <v>1632</v>
      </c>
      <c r="K326" t="s">
        <v>29</v>
      </c>
      <c r="L326">
        <v>37000</v>
      </c>
      <c r="M326">
        <v>10.1</v>
      </c>
      <c r="N326">
        <v>16.7</v>
      </c>
      <c r="O326">
        <v>9.9</v>
      </c>
      <c r="P326">
        <v>0.7</v>
      </c>
      <c r="Q326">
        <v>3</v>
      </c>
      <c r="R326">
        <v>1</v>
      </c>
      <c r="S326">
        <v>4</v>
      </c>
      <c r="T326" t="s">
        <v>30</v>
      </c>
      <c r="U326">
        <v>5</v>
      </c>
      <c r="W326" t="s">
        <v>1649</v>
      </c>
      <c r="X326" t="s">
        <v>1655</v>
      </c>
      <c r="Y326" t="s">
        <v>1662</v>
      </c>
      <c r="Z326">
        <v>0</v>
      </c>
    </row>
    <row r="327" spans="1:26" x14ac:dyDescent="0.35">
      <c r="A327" t="s">
        <v>604</v>
      </c>
      <c r="B327" s="6">
        <v>44588</v>
      </c>
      <c r="C327" t="s">
        <v>23</v>
      </c>
      <c r="D327">
        <v>28</v>
      </c>
      <c r="E327" t="s">
        <v>62</v>
      </c>
      <c r="F327" t="s">
        <v>25</v>
      </c>
      <c r="G327" t="s">
        <v>26</v>
      </c>
      <c r="H327" t="s">
        <v>1634</v>
      </c>
      <c r="I327" t="s">
        <v>75</v>
      </c>
      <c r="J327" t="s">
        <v>1633</v>
      </c>
      <c r="K327" t="s">
        <v>34</v>
      </c>
      <c r="L327">
        <v>61000</v>
      </c>
      <c r="M327">
        <v>8.3000000000000007</v>
      </c>
      <c r="N327">
        <v>8.3000000000000007</v>
      </c>
      <c r="O327">
        <v>3.9</v>
      </c>
      <c r="P327">
        <v>2.9</v>
      </c>
      <c r="Q327">
        <v>4</v>
      </c>
      <c r="R327">
        <v>3</v>
      </c>
      <c r="S327">
        <v>3</v>
      </c>
      <c r="T327" t="s">
        <v>23</v>
      </c>
      <c r="U327">
        <v>5</v>
      </c>
      <c r="W327" t="s">
        <v>1650</v>
      </c>
      <c r="X327" t="s">
        <v>1659</v>
      </c>
      <c r="Y327" t="s">
        <v>1661</v>
      </c>
      <c r="Z327">
        <v>0</v>
      </c>
    </row>
    <row r="328" spans="1:26" x14ac:dyDescent="0.35">
      <c r="A328" t="s">
        <v>930</v>
      </c>
      <c r="B328" s="6">
        <v>45656</v>
      </c>
      <c r="C328" t="s">
        <v>23</v>
      </c>
      <c r="D328">
        <v>37</v>
      </c>
      <c r="E328" t="s">
        <v>62</v>
      </c>
      <c r="F328" t="s">
        <v>42</v>
      </c>
      <c r="G328" t="s">
        <v>26</v>
      </c>
      <c r="H328" t="s">
        <v>27</v>
      </c>
      <c r="I328" t="s">
        <v>43</v>
      </c>
      <c r="J328" t="s">
        <v>1633</v>
      </c>
      <c r="K328" t="s">
        <v>50</v>
      </c>
      <c r="L328">
        <v>43000</v>
      </c>
      <c r="M328">
        <v>9.1</v>
      </c>
      <c r="N328">
        <v>4.7</v>
      </c>
      <c r="O328">
        <v>1</v>
      </c>
      <c r="P328">
        <v>0.9</v>
      </c>
      <c r="Q328">
        <v>3</v>
      </c>
      <c r="R328">
        <v>1</v>
      </c>
      <c r="S328">
        <v>3</v>
      </c>
      <c r="T328" t="s">
        <v>30</v>
      </c>
      <c r="U328">
        <v>4</v>
      </c>
      <c r="W328" t="s">
        <v>1649</v>
      </c>
      <c r="X328" t="s">
        <v>1656</v>
      </c>
      <c r="Y328" t="s">
        <v>1665</v>
      </c>
      <c r="Z328">
        <v>0</v>
      </c>
    </row>
    <row r="329" spans="1:26" x14ac:dyDescent="0.35">
      <c r="A329" t="s">
        <v>1125</v>
      </c>
      <c r="B329" s="6">
        <v>44286</v>
      </c>
      <c r="C329" t="s">
        <v>23</v>
      </c>
      <c r="D329">
        <v>41</v>
      </c>
      <c r="E329" t="s">
        <v>62</v>
      </c>
      <c r="F329" t="s">
        <v>37</v>
      </c>
      <c r="G329" t="s">
        <v>26</v>
      </c>
      <c r="H329" t="s">
        <v>68</v>
      </c>
      <c r="I329" t="s">
        <v>121</v>
      </c>
      <c r="J329" t="s">
        <v>1633</v>
      </c>
      <c r="K329" t="s">
        <v>40</v>
      </c>
      <c r="L329">
        <v>57000</v>
      </c>
      <c r="M329">
        <v>8.9</v>
      </c>
      <c r="N329">
        <v>11.7</v>
      </c>
      <c r="O329">
        <v>4.8</v>
      </c>
      <c r="P329">
        <v>2.6</v>
      </c>
      <c r="Q329">
        <v>2</v>
      </c>
      <c r="R329">
        <v>2</v>
      </c>
      <c r="S329">
        <v>3</v>
      </c>
      <c r="T329" t="s">
        <v>23</v>
      </c>
      <c r="U329">
        <v>3</v>
      </c>
      <c r="W329" t="s">
        <v>1649</v>
      </c>
      <c r="X329" t="s">
        <v>1656</v>
      </c>
      <c r="Y329" t="s">
        <v>1661</v>
      </c>
      <c r="Z329">
        <v>0</v>
      </c>
    </row>
    <row r="330" spans="1:26" x14ac:dyDescent="0.35">
      <c r="A330" t="s">
        <v>1117</v>
      </c>
      <c r="B330" s="6">
        <v>44232</v>
      </c>
      <c r="C330" t="s">
        <v>23</v>
      </c>
      <c r="D330">
        <v>43</v>
      </c>
      <c r="E330" t="s">
        <v>62</v>
      </c>
      <c r="F330" t="s">
        <v>42</v>
      </c>
      <c r="G330" t="s">
        <v>54</v>
      </c>
      <c r="H330" t="s">
        <v>27</v>
      </c>
      <c r="I330" t="s">
        <v>28</v>
      </c>
      <c r="J330" t="s">
        <v>1633</v>
      </c>
      <c r="K330" t="s">
        <v>50</v>
      </c>
      <c r="L330">
        <v>56000</v>
      </c>
      <c r="M330">
        <v>9</v>
      </c>
      <c r="N330">
        <v>9.9</v>
      </c>
      <c r="O330">
        <v>4.9000000000000004</v>
      </c>
      <c r="P330">
        <v>1.2</v>
      </c>
      <c r="Q330">
        <v>3</v>
      </c>
      <c r="R330">
        <v>4</v>
      </c>
      <c r="S330">
        <v>3</v>
      </c>
      <c r="T330" t="s">
        <v>30</v>
      </c>
      <c r="U330">
        <v>4</v>
      </c>
      <c r="W330" t="s">
        <v>1649</v>
      </c>
      <c r="X330" t="s">
        <v>1656</v>
      </c>
      <c r="Y330" t="s">
        <v>1661</v>
      </c>
      <c r="Z330">
        <v>0</v>
      </c>
    </row>
    <row r="331" spans="1:26" x14ac:dyDescent="0.35">
      <c r="A331" t="s">
        <v>241</v>
      </c>
      <c r="B331" s="6">
        <v>45443</v>
      </c>
      <c r="C331" t="s">
        <v>30</v>
      </c>
      <c r="D331">
        <v>26</v>
      </c>
      <c r="E331" t="s">
        <v>62</v>
      </c>
      <c r="F331" t="s">
        <v>37</v>
      </c>
      <c r="G331" t="s">
        <v>54</v>
      </c>
      <c r="H331" t="s">
        <v>27</v>
      </c>
      <c r="I331" t="s">
        <v>28</v>
      </c>
      <c r="J331" t="s">
        <v>1632</v>
      </c>
      <c r="K331" t="s">
        <v>84</v>
      </c>
      <c r="L331">
        <v>29000</v>
      </c>
      <c r="M331">
        <v>6.6</v>
      </c>
      <c r="N331">
        <v>5.3</v>
      </c>
      <c r="O331">
        <v>1.1000000000000001</v>
      </c>
      <c r="P331">
        <v>0.7</v>
      </c>
      <c r="Q331">
        <v>3</v>
      </c>
      <c r="R331">
        <v>4</v>
      </c>
      <c r="S331">
        <v>3</v>
      </c>
      <c r="T331" t="s">
        <v>23</v>
      </c>
      <c r="U331">
        <v>3</v>
      </c>
      <c r="V331" s="7">
        <v>45853</v>
      </c>
      <c r="W331" t="s">
        <v>1650</v>
      </c>
      <c r="X331" t="s">
        <v>1655</v>
      </c>
      <c r="Y331" t="s">
        <v>1665</v>
      </c>
      <c r="Z331">
        <v>1</v>
      </c>
    </row>
    <row r="332" spans="1:26" x14ac:dyDescent="0.35">
      <c r="A332" t="s">
        <v>1286</v>
      </c>
      <c r="B332" s="6">
        <v>45350</v>
      </c>
      <c r="C332" t="s">
        <v>23</v>
      </c>
      <c r="D332">
        <v>33</v>
      </c>
      <c r="E332" t="s">
        <v>36</v>
      </c>
      <c r="F332" t="s">
        <v>37</v>
      </c>
      <c r="G332" t="s">
        <v>32</v>
      </c>
      <c r="H332" t="s">
        <v>27</v>
      </c>
      <c r="I332" t="s">
        <v>28</v>
      </c>
      <c r="J332" t="s">
        <v>1633</v>
      </c>
      <c r="K332" t="s">
        <v>84</v>
      </c>
      <c r="L332">
        <v>55000</v>
      </c>
      <c r="M332">
        <v>8.6999999999999993</v>
      </c>
      <c r="N332">
        <v>3.5</v>
      </c>
      <c r="O332">
        <v>1.8</v>
      </c>
      <c r="P332">
        <v>0.2</v>
      </c>
      <c r="Q332">
        <v>3</v>
      </c>
      <c r="R332">
        <v>3</v>
      </c>
      <c r="S332">
        <v>4</v>
      </c>
      <c r="T332" t="s">
        <v>23</v>
      </c>
      <c r="U332">
        <v>5</v>
      </c>
      <c r="W332" t="s">
        <v>1650</v>
      </c>
      <c r="X332" t="s">
        <v>1656</v>
      </c>
      <c r="Y332" t="s">
        <v>1665</v>
      </c>
      <c r="Z332">
        <v>0</v>
      </c>
    </row>
    <row r="333" spans="1:26" x14ac:dyDescent="0.35">
      <c r="A333" t="s">
        <v>1040</v>
      </c>
      <c r="B333" s="6">
        <v>42325</v>
      </c>
      <c r="C333" t="s">
        <v>23</v>
      </c>
      <c r="D333">
        <v>33</v>
      </c>
      <c r="E333" t="s">
        <v>62</v>
      </c>
      <c r="F333" t="s">
        <v>25</v>
      </c>
      <c r="G333" t="s">
        <v>58</v>
      </c>
      <c r="H333" t="s">
        <v>38</v>
      </c>
      <c r="I333" t="s">
        <v>118</v>
      </c>
      <c r="J333" t="s">
        <v>1633</v>
      </c>
      <c r="K333" t="s">
        <v>40</v>
      </c>
      <c r="L333">
        <v>42000</v>
      </c>
      <c r="M333">
        <v>5.2</v>
      </c>
      <c r="N333">
        <v>17.899999999999999</v>
      </c>
      <c r="O333">
        <v>10.1</v>
      </c>
      <c r="P333">
        <v>5.8</v>
      </c>
      <c r="Q333">
        <v>1</v>
      </c>
      <c r="R333">
        <v>3</v>
      </c>
      <c r="S333">
        <v>3</v>
      </c>
      <c r="T333" t="s">
        <v>30</v>
      </c>
      <c r="U333">
        <v>4</v>
      </c>
      <c r="W333" t="s">
        <v>1650</v>
      </c>
      <c r="X333" t="s">
        <v>1656</v>
      </c>
      <c r="Y333" t="s">
        <v>1663</v>
      </c>
      <c r="Z333">
        <v>0</v>
      </c>
    </row>
    <row r="334" spans="1:26" x14ac:dyDescent="0.35">
      <c r="A334" t="s">
        <v>699</v>
      </c>
      <c r="B334" s="6">
        <v>45730</v>
      </c>
      <c r="C334" t="s">
        <v>23</v>
      </c>
      <c r="D334">
        <v>25</v>
      </c>
      <c r="E334" t="s">
        <v>36</v>
      </c>
      <c r="F334" t="s">
        <v>37</v>
      </c>
      <c r="G334" t="s">
        <v>54</v>
      </c>
      <c r="H334" t="s">
        <v>1634</v>
      </c>
      <c r="I334" t="s">
        <v>86</v>
      </c>
      <c r="J334" t="s">
        <v>1632</v>
      </c>
      <c r="K334" t="s">
        <v>40</v>
      </c>
      <c r="L334">
        <v>38000</v>
      </c>
      <c r="M334">
        <v>15.1</v>
      </c>
      <c r="N334">
        <v>2.9</v>
      </c>
      <c r="O334">
        <v>0.8</v>
      </c>
      <c r="P334">
        <v>0</v>
      </c>
      <c r="Q334">
        <v>4</v>
      </c>
      <c r="R334">
        <v>2</v>
      </c>
      <c r="S334">
        <v>2</v>
      </c>
      <c r="T334" t="s">
        <v>30</v>
      </c>
      <c r="U334">
        <v>4</v>
      </c>
      <c r="W334" t="s">
        <v>1651</v>
      </c>
      <c r="X334" t="s">
        <v>1655</v>
      </c>
      <c r="Y334" t="s">
        <v>1664</v>
      </c>
      <c r="Z334">
        <v>0</v>
      </c>
    </row>
    <row r="335" spans="1:26" x14ac:dyDescent="0.35">
      <c r="A335" t="s">
        <v>311</v>
      </c>
      <c r="B335" s="6">
        <v>44315</v>
      </c>
      <c r="C335" t="s">
        <v>23</v>
      </c>
      <c r="D335">
        <v>32</v>
      </c>
      <c r="E335" t="s">
        <v>36</v>
      </c>
      <c r="F335" t="s">
        <v>37</v>
      </c>
      <c r="G335" t="s">
        <v>32</v>
      </c>
      <c r="H335" t="s">
        <v>27</v>
      </c>
      <c r="I335" t="s">
        <v>33</v>
      </c>
      <c r="J335" t="s">
        <v>1635</v>
      </c>
      <c r="K335" t="s">
        <v>40</v>
      </c>
      <c r="L335">
        <v>87000</v>
      </c>
      <c r="M335">
        <v>9.6</v>
      </c>
      <c r="N335">
        <v>6.2</v>
      </c>
      <c r="O335">
        <v>4.7</v>
      </c>
      <c r="P335">
        <v>0.2</v>
      </c>
      <c r="Q335">
        <v>3</v>
      </c>
      <c r="R335">
        <v>4</v>
      </c>
      <c r="S335">
        <v>1</v>
      </c>
      <c r="T335" t="s">
        <v>23</v>
      </c>
      <c r="U335">
        <v>3</v>
      </c>
      <c r="W335" t="s">
        <v>1650</v>
      </c>
      <c r="X335" t="s">
        <v>1657</v>
      </c>
      <c r="Y335" t="s">
        <v>1661</v>
      </c>
      <c r="Z335">
        <v>0</v>
      </c>
    </row>
    <row r="336" spans="1:26" x14ac:dyDescent="0.35">
      <c r="A336" t="s">
        <v>1488</v>
      </c>
      <c r="B336" s="6">
        <v>42781</v>
      </c>
      <c r="C336" t="s">
        <v>23</v>
      </c>
      <c r="D336">
        <v>29</v>
      </c>
      <c r="E336" t="s">
        <v>36</v>
      </c>
      <c r="F336" t="s">
        <v>25</v>
      </c>
      <c r="G336" t="s">
        <v>58</v>
      </c>
      <c r="H336" t="s">
        <v>38</v>
      </c>
      <c r="I336" t="s">
        <v>139</v>
      </c>
      <c r="J336" t="s">
        <v>1636</v>
      </c>
      <c r="K336" t="s">
        <v>34</v>
      </c>
      <c r="L336">
        <v>121000</v>
      </c>
      <c r="M336">
        <v>7.4</v>
      </c>
      <c r="N336">
        <v>12.5</v>
      </c>
      <c r="O336">
        <v>8.9</v>
      </c>
      <c r="P336">
        <v>1.5</v>
      </c>
      <c r="Q336">
        <v>3</v>
      </c>
      <c r="R336">
        <v>3</v>
      </c>
      <c r="S336">
        <v>1</v>
      </c>
      <c r="T336" t="s">
        <v>23</v>
      </c>
      <c r="U336">
        <v>4</v>
      </c>
      <c r="W336" t="s">
        <v>1650</v>
      </c>
      <c r="X336" t="s">
        <v>1658</v>
      </c>
      <c r="Y336" t="s">
        <v>1662</v>
      </c>
      <c r="Z336">
        <v>0</v>
      </c>
    </row>
    <row r="337" spans="1:26" x14ac:dyDescent="0.35">
      <c r="A337" t="s">
        <v>1225</v>
      </c>
      <c r="B337" s="6">
        <v>43983</v>
      </c>
      <c r="C337" t="s">
        <v>23</v>
      </c>
      <c r="D337">
        <v>34</v>
      </c>
      <c r="E337" t="s">
        <v>62</v>
      </c>
      <c r="F337" t="s">
        <v>37</v>
      </c>
      <c r="G337" t="s">
        <v>32</v>
      </c>
      <c r="H337" t="s">
        <v>27</v>
      </c>
      <c r="I337" t="s">
        <v>43</v>
      </c>
      <c r="J337" t="s">
        <v>1635</v>
      </c>
      <c r="K337" t="s">
        <v>84</v>
      </c>
      <c r="L337">
        <v>74000</v>
      </c>
      <c r="M337">
        <v>10.7</v>
      </c>
      <c r="N337">
        <v>9.6999999999999993</v>
      </c>
      <c r="O337">
        <v>5.6</v>
      </c>
      <c r="P337">
        <v>2.2000000000000002</v>
      </c>
      <c r="Q337">
        <v>1</v>
      </c>
      <c r="R337">
        <v>3</v>
      </c>
      <c r="S337">
        <v>3</v>
      </c>
      <c r="T337" t="s">
        <v>23</v>
      </c>
      <c r="U337">
        <v>3</v>
      </c>
      <c r="W337" t="s">
        <v>1650</v>
      </c>
      <c r="X337" t="s">
        <v>1659</v>
      </c>
      <c r="Y337" t="s">
        <v>1661</v>
      </c>
      <c r="Z337">
        <v>0</v>
      </c>
    </row>
    <row r="338" spans="1:26" x14ac:dyDescent="0.35">
      <c r="A338" t="s">
        <v>1104</v>
      </c>
      <c r="B338" s="6">
        <v>42607</v>
      </c>
      <c r="C338" t="s">
        <v>23</v>
      </c>
      <c r="D338">
        <v>40</v>
      </c>
      <c r="E338" t="s">
        <v>24</v>
      </c>
      <c r="F338" t="s">
        <v>25</v>
      </c>
      <c r="G338" t="s">
        <v>26</v>
      </c>
      <c r="H338" t="s">
        <v>48</v>
      </c>
      <c r="I338" t="s">
        <v>201</v>
      </c>
      <c r="J338" t="s">
        <v>1636</v>
      </c>
      <c r="K338" t="s">
        <v>40</v>
      </c>
      <c r="L338">
        <v>102000</v>
      </c>
      <c r="M338">
        <v>0</v>
      </c>
      <c r="N338">
        <v>16.7</v>
      </c>
      <c r="O338">
        <v>9.3000000000000007</v>
      </c>
      <c r="P338">
        <v>4.0999999999999996</v>
      </c>
      <c r="Q338">
        <v>2</v>
      </c>
      <c r="R338">
        <v>4</v>
      </c>
      <c r="S338">
        <v>3</v>
      </c>
      <c r="T338" t="s">
        <v>23</v>
      </c>
      <c r="U338">
        <v>4</v>
      </c>
      <c r="W338" t="s">
        <v>1649</v>
      </c>
      <c r="X338" t="s">
        <v>1658</v>
      </c>
      <c r="Y338" t="s">
        <v>1662</v>
      </c>
      <c r="Z338">
        <v>0</v>
      </c>
    </row>
    <row r="339" spans="1:26" x14ac:dyDescent="0.35">
      <c r="A339" t="s">
        <v>1245</v>
      </c>
      <c r="B339" s="6">
        <v>45525</v>
      </c>
      <c r="C339" t="s">
        <v>23</v>
      </c>
      <c r="D339">
        <v>23</v>
      </c>
      <c r="E339" t="s">
        <v>62</v>
      </c>
      <c r="F339" t="s">
        <v>25</v>
      </c>
      <c r="G339" t="s">
        <v>32</v>
      </c>
      <c r="H339" t="s">
        <v>1634</v>
      </c>
      <c r="I339" t="s">
        <v>86</v>
      </c>
      <c r="J339" t="s">
        <v>1632</v>
      </c>
      <c r="K339" t="s">
        <v>29</v>
      </c>
      <c r="L339">
        <v>31000</v>
      </c>
      <c r="M339">
        <v>4.3</v>
      </c>
      <c r="N339">
        <v>8.5</v>
      </c>
      <c r="O339">
        <v>1.4</v>
      </c>
      <c r="P339">
        <v>1.3</v>
      </c>
      <c r="Q339">
        <v>1</v>
      </c>
      <c r="R339">
        <v>4</v>
      </c>
      <c r="S339">
        <v>2</v>
      </c>
      <c r="T339" t="s">
        <v>23</v>
      </c>
      <c r="U339">
        <v>3</v>
      </c>
      <c r="W339" t="s">
        <v>1651</v>
      </c>
      <c r="X339" t="s">
        <v>1655</v>
      </c>
      <c r="Y339" t="s">
        <v>1665</v>
      </c>
      <c r="Z339">
        <v>0</v>
      </c>
    </row>
    <row r="340" spans="1:26" x14ac:dyDescent="0.35">
      <c r="A340" t="s">
        <v>225</v>
      </c>
      <c r="B340" s="6">
        <v>42895</v>
      </c>
      <c r="C340" t="s">
        <v>23</v>
      </c>
      <c r="D340">
        <v>37</v>
      </c>
      <c r="E340" t="s">
        <v>24</v>
      </c>
      <c r="F340" t="s">
        <v>37</v>
      </c>
      <c r="G340" t="s">
        <v>58</v>
      </c>
      <c r="H340" t="s">
        <v>45</v>
      </c>
      <c r="I340" t="s">
        <v>164</v>
      </c>
      <c r="J340" t="s">
        <v>1632</v>
      </c>
      <c r="K340" t="s">
        <v>1638</v>
      </c>
      <c r="L340">
        <v>38000</v>
      </c>
      <c r="M340">
        <v>6.7</v>
      </c>
      <c r="N340">
        <v>14.4</v>
      </c>
      <c r="O340">
        <v>8.6</v>
      </c>
      <c r="P340">
        <v>5.9</v>
      </c>
      <c r="Q340">
        <v>2</v>
      </c>
      <c r="R340">
        <v>3</v>
      </c>
      <c r="S340">
        <v>2</v>
      </c>
      <c r="T340" t="s">
        <v>23</v>
      </c>
      <c r="U340">
        <v>4</v>
      </c>
      <c r="W340" t="s">
        <v>1649</v>
      </c>
      <c r="X340" t="s">
        <v>1655</v>
      </c>
      <c r="Y340" t="s">
        <v>1662</v>
      </c>
      <c r="Z340">
        <v>0</v>
      </c>
    </row>
    <row r="341" spans="1:26" x14ac:dyDescent="0.35">
      <c r="A341" t="s">
        <v>1419</v>
      </c>
      <c r="B341" s="6">
        <v>45453</v>
      </c>
      <c r="C341" t="s">
        <v>23</v>
      </c>
      <c r="D341">
        <v>29</v>
      </c>
      <c r="E341" t="s">
        <v>24</v>
      </c>
      <c r="F341" t="s">
        <v>37</v>
      </c>
      <c r="G341" t="s">
        <v>58</v>
      </c>
      <c r="H341" t="s">
        <v>1634</v>
      </c>
      <c r="I341" t="s">
        <v>86</v>
      </c>
      <c r="J341" t="s">
        <v>1633</v>
      </c>
      <c r="K341" t="s">
        <v>50</v>
      </c>
      <c r="L341">
        <v>55000</v>
      </c>
      <c r="M341">
        <v>3.1</v>
      </c>
      <c r="N341">
        <v>7.4</v>
      </c>
      <c r="O341">
        <v>1.6</v>
      </c>
      <c r="P341">
        <v>1.5</v>
      </c>
      <c r="Q341">
        <v>1</v>
      </c>
      <c r="R341">
        <v>3</v>
      </c>
      <c r="S341">
        <v>2</v>
      </c>
      <c r="T341" t="s">
        <v>23</v>
      </c>
      <c r="U341">
        <v>5</v>
      </c>
      <c r="W341" t="s">
        <v>1650</v>
      </c>
      <c r="X341" t="s">
        <v>1656</v>
      </c>
      <c r="Y341" t="s">
        <v>1665</v>
      </c>
      <c r="Z341">
        <v>0</v>
      </c>
    </row>
    <row r="342" spans="1:26" x14ac:dyDescent="0.35">
      <c r="A342" t="s">
        <v>1206</v>
      </c>
      <c r="B342" s="6">
        <v>43590</v>
      </c>
      <c r="C342" t="s">
        <v>23</v>
      </c>
      <c r="D342">
        <v>33</v>
      </c>
      <c r="E342" t="s">
        <v>24</v>
      </c>
      <c r="F342" t="s">
        <v>25</v>
      </c>
      <c r="G342" t="s">
        <v>58</v>
      </c>
      <c r="H342" t="s">
        <v>48</v>
      </c>
      <c r="I342" t="s">
        <v>201</v>
      </c>
      <c r="J342" t="s">
        <v>1636</v>
      </c>
      <c r="K342" t="s">
        <v>66</v>
      </c>
      <c r="L342">
        <v>120000</v>
      </c>
      <c r="M342">
        <v>9.5</v>
      </c>
      <c r="N342">
        <v>11.4</v>
      </c>
      <c r="O342">
        <v>6.7</v>
      </c>
      <c r="P342">
        <v>2.9</v>
      </c>
      <c r="Q342">
        <v>4</v>
      </c>
      <c r="R342">
        <v>3</v>
      </c>
      <c r="S342">
        <v>2</v>
      </c>
      <c r="T342" t="s">
        <v>30</v>
      </c>
      <c r="U342">
        <v>4</v>
      </c>
      <c r="W342" t="s">
        <v>1650</v>
      </c>
      <c r="X342" t="s">
        <v>1658</v>
      </c>
      <c r="Y342" t="s">
        <v>1662</v>
      </c>
      <c r="Z342">
        <v>0</v>
      </c>
    </row>
    <row r="343" spans="1:26" x14ac:dyDescent="0.35">
      <c r="A343" t="s">
        <v>893</v>
      </c>
      <c r="B343" s="6">
        <v>45279</v>
      </c>
      <c r="C343" t="s">
        <v>23</v>
      </c>
      <c r="D343">
        <v>41</v>
      </c>
      <c r="E343" t="s">
        <v>36</v>
      </c>
      <c r="F343" t="s">
        <v>37</v>
      </c>
      <c r="G343" t="s">
        <v>32</v>
      </c>
      <c r="H343" t="s">
        <v>45</v>
      </c>
      <c r="I343" t="s">
        <v>97</v>
      </c>
      <c r="J343" t="s">
        <v>1632</v>
      </c>
      <c r="K343" t="s">
        <v>29</v>
      </c>
      <c r="L343">
        <v>30000</v>
      </c>
      <c r="M343">
        <v>8.9</v>
      </c>
      <c r="N343">
        <v>7.4</v>
      </c>
      <c r="O343">
        <v>2</v>
      </c>
      <c r="P343">
        <v>1.7</v>
      </c>
      <c r="Q343">
        <v>1</v>
      </c>
      <c r="R343">
        <v>3</v>
      </c>
      <c r="S343">
        <v>4</v>
      </c>
      <c r="T343" t="s">
        <v>23</v>
      </c>
      <c r="U343">
        <v>1</v>
      </c>
      <c r="W343" t="s">
        <v>1649</v>
      </c>
      <c r="X343" t="s">
        <v>1655</v>
      </c>
      <c r="Y343" t="s">
        <v>1665</v>
      </c>
      <c r="Z343">
        <v>0</v>
      </c>
    </row>
    <row r="344" spans="1:26" x14ac:dyDescent="0.35">
      <c r="A344" t="s">
        <v>282</v>
      </c>
      <c r="B344" s="6">
        <v>43258</v>
      </c>
      <c r="C344" t="s">
        <v>23</v>
      </c>
      <c r="D344">
        <v>30</v>
      </c>
      <c r="E344" t="s">
        <v>24</v>
      </c>
      <c r="F344" t="s">
        <v>42</v>
      </c>
      <c r="G344" t="s">
        <v>54</v>
      </c>
      <c r="H344" t="s">
        <v>68</v>
      </c>
      <c r="I344" t="s">
        <v>109</v>
      </c>
      <c r="J344" t="s">
        <v>1637</v>
      </c>
      <c r="K344" t="s">
        <v>40</v>
      </c>
      <c r="L344">
        <v>146000</v>
      </c>
      <c r="M344">
        <v>8.3000000000000007</v>
      </c>
      <c r="N344">
        <v>10.1</v>
      </c>
      <c r="O344">
        <v>7.6</v>
      </c>
      <c r="P344">
        <v>5.4</v>
      </c>
      <c r="Q344">
        <v>1</v>
      </c>
      <c r="R344">
        <v>4</v>
      </c>
      <c r="S344">
        <v>3</v>
      </c>
      <c r="T344" t="s">
        <v>23</v>
      </c>
      <c r="U344">
        <v>4</v>
      </c>
      <c r="W344" t="s">
        <v>1650</v>
      </c>
      <c r="X344" t="s">
        <v>1658</v>
      </c>
      <c r="Y344" t="s">
        <v>1662</v>
      </c>
      <c r="Z344">
        <v>0</v>
      </c>
    </row>
    <row r="345" spans="1:26" x14ac:dyDescent="0.35">
      <c r="A345" t="s">
        <v>648</v>
      </c>
      <c r="B345" s="6">
        <v>45588</v>
      </c>
      <c r="C345" t="s">
        <v>30</v>
      </c>
      <c r="D345">
        <v>23</v>
      </c>
      <c r="E345" t="s">
        <v>62</v>
      </c>
      <c r="F345" t="s">
        <v>25</v>
      </c>
      <c r="G345" t="s">
        <v>58</v>
      </c>
      <c r="H345" t="s">
        <v>38</v>
      </c>
      <c r="I345" t="s">
        <v>39</v>
      </c>
      <c r="J345" t="s">
        <v>1632</v>
      </c>
      <c r="K345" t="s">
        <v>34</v>
      </c>
      <c r="L345">
        <v>23000</v>
      </c>
      <c r="M345">
        <v>14.9</v>
      </c>
      <c r="N345">
        <v>1.1000000000000001</v>
      </c>
      <c r="O345">
        <v>0.3</v>
      </c>
      <c r="P345">
        <v>0</v>
      </c>
      <c r="Q345">
        <v>2</v>
      </c>
      <c r="R345">
        <v>3</v>
      </c>
      <c r="S345">
        <v>4</v>
      </c>
      <c r="T345" t="s">
        <v>23</v>
      </c>
      <c r="U345">
        <v>3</v>
      </c>
      <c r="V345" s="7">
        <v>45687</v>
      </c>
      <c r="W345" t="s">
        <v>1651</v>
      </c>
      <c r="X345" t="s">
        <v>1655</v>
      </c>
      <c r="Y345" t="s">
        <v>1664</v>
      </c>
      <c r="Z345">
        <v>1</v>
      </c>
    </row>
    <row r="346" spans="1:26" x14ac:dyDescent="0.35">
      <c r="A346" t="s">
        <v>744</v>
      </c>
      <c r="B346" s="6">
        <v>44295</v>
      </c>
      <c r="C346" t="s">
        <v>23</v>
      </c>
      <c r="D346">
        <v>28</v>
      </c>
      <c r="E346" t="s">
        <v>24</v>
      </c>
      <c r="F346" t="s">
        <v>25</v>
      </c>
      <c r="G346" t="s">
        <v>58</v>
      </c>
      <c r="H346" t="s">
        <v>27</v>
      </c>
      <c r="I346" t="s">
        <v>28</v>
      </c>
      <c r="J346" t="s">
        <v>1633</v>
      </c>
      <c r="K346" t="s">
        <v>40</v>
      </c>
      <c r="L346">
        <v>60000</v>
      </c>
      <c r="M346">
        <v>6.6</v>
      </c>
      <c r="N346">
        <v>8.6999999999999993</v>
      </c>
      <c r="O346">
        <v>4.7</v>
      </c>
      <c r="P346">
        <v>3.4</v>
      </c>
      <c r="Q346">
        <v>4</v>
      </c>
      <c r="R346">
        <v>3</v>
      </c>
      <c r="S346">
        <v>4</v>
      </c>
      <c r="T346" t="s">
        <v>23</v>
      </c>
      <c r="U346">
        <v>5</v>
      </c>
      <c r="W346" t="s">
        <v>1650</v>
      </c>
      <c r="X346" t="s">
        <v>1659</v>
      </c>
      <c r="Y346" t="s">
        <v>1661</v>
      </c>
      <c r="Z346">
        <v>0</v>
      </c>
    </row>
    <row r="347" spans="1:26" x14ac:dyDescent="0.35">
      <c r="A347" t="s">
        <v>771</v>
      </c>
      <c r="B347" s="6">
        <v>43240</v>
      </c>
      <c r="C347" t="s">
        <v>23</v>
      </c>
      <c r="D347">
        <v>38</v>
      </c>
      <c r="E347" t="s">
        <v>24</v>
      </c>
      <c r="F347" t="s">
        <v>25</v>
      </c>
      <c r="G347" t="s">
        <v>32</v>
      </c>
      <c r="H347" t="s">
        <v>38</v>
      </c>
      <c r="I347" t="s">
        <v>118</v>
      </c>
      <c r="J347" t="s">
        <v>1632</v>
      </c>
      <c r="K347" t="s">
        <v>29</v>
      </c>
      <c r="L347">
        <v>33000</v>
      </c>
      <c r="M347">
        <v>17.600000000000001</v>
      </c>
      <c r="N347">
        <v>15.6</v>
      </c>
      <c r="O347">
        <v>7.6</v>
      </c>
      <c r="P347">
        <v>2.5</v>
      </c>
      <c r="Q347">
        <v>4</v>
      </c>
      <c r="R347">
        <v>3</v>
      </c>
      <c r="S347">
        <v>3</v>
      </c>
      <c r="T347" t="s">
        <v>30</v>
      </c>
      <c r="U347">
        <v>4</v>
      </c>
      <c r="W347" t="s">
        <v>1649</v>
      </c>
      <c r="X347" t="s">
        <v>1655</v>
      </c>
      <c r="Y347" t="s">
        <v>1662</v>
      </c>
      <c r="Z347">
        <v>0</v>
      </c>
    </row>
    <row r="348" spans="1:26" x14ac:dyDescent="0.35">
      <c r="A348" t="s">
        <v>1128</v>
      </c>
      <c r="B348" s="6">
        <v>44598</v>
      </c>
      <c r="C348" t="s">
        <v>30</v>
      </c>
      <c r="D348">
        <v>38</v>
      </c>
      <c r="E348" t="s">
        <v>24</v>
      </c>
      <c r="F348" t="s">
        <v>42</v>
      </c>
      <c r="G348" t="s">
        <v>58</v>
      </c>
      <c r="H348" t="s">
        <v>68</v>
      </c>
      <c r="I348" t="s">
        <v>69</v>
      </c>
      <c r="J348" t="s">
        <v>1635</v>
      </c>
      <c r="K348" t="s">
        <v>29</v>
      </c>
      <c r="L348">
        <v>79000</v>
      </c>
      <c r="M348">
        <v>14.2</v>
      </c>
      <c r="N348">
        <v>6.5</v>
      </c>
      <c r="O348">
        <v>3.9</v>
      </c>
      <c r="P348">
        <v>1.5</v>
      </c>
      <c r="Q348">
        <v>3</v>
      </c>
      <c r="R348">
        <v>3</v>
      </c>
      <c r="S348">
        <v>4</v>
      </c>
      <c r="T348" t="s">
        <v>23</v>
      </c>
      <c r="U348">
        <v>4</v>
      </c>
      <c r="V348" s="7">
        <v>46009</v>
      </c>
      <c r="W348" t="s">
        <v>1649</v>
      </c>
      <c r="X348" t="s">
        <v>1659</v>
      </c>
      <c r="Y348" t="s">
        <v>1661</v>
      </c>
      <c r="Z348">
        <v>1</v>
      </c>
    </row>
    <row r="349" spans="1:26" x14ac:dyDescent="0.35">
      <c r="A349" t="s">
        <v>1503</v>
      </c>
      <c r="B349" s="6">
        <v>43154</v>
      </c>
      <c r="C349" t="s">
        <v>23</v>
      </c>
      <c r="D349">
        <v>33</v>
      </c>
      <c r="E349" t="s">
        <v>62</v>
      </c>
      <c r="F349" t="s">
        <v>42</v>
      </c>
      <c r="G349" t="s">
        <v>58</v>
      </c>
      <c r="H349" t="s">
        <v>48</v>
      </c>
      <c r="I349" t="s">
        <v>201</v>
      </c>
      <c r="J349" t="s">
        <v>1635</v>
      </c>
      <c r="K349" t="s">
        <v>66</v>
      </c>
      <c r="L349">
        <v>73000</v>
      </c>
      <c r="M349">
        <v>10.8</v>
      </c>
      <c r="N349">
        <v>12.1</v>
      </c>
      <c r="O349">
        <v>7.9</v>
      </c>
      <c r="P349">
        <v>2</v>
      </c>
      <c r="Q349">
        <v>3</v>
      </c>
      <c r="R349">
        <v>4</v>
      </c>
      <c r="S349">
        <v>3</v>
      </c>
      <c r="T349" t="s">
        <v>23</v>
      </c>
      <c r="U349">
        <v>4</v>
      </c>
      <c r="W349" t="s">
        <v>1650</v>
      </c>
      <c r="X349" t="s">
        <v>1659</v>
      </c>
      <c r="Y349" t="s">
        <v>1662</v>
      </c>
      <c r="Z349">
        <v>0</v>
      </c>
    </row>
    <row r="350" spans="1:26" x14ac:dyDescent="0.35">
      <c r="A350" t="s">
        <v>953</v>
      </c>
      <c r="B350" s="6">
        <v>42984</v>
      </c>
      <c r="C350" t="s">
        <v>23</v>
      </c>
      <c r="D350">
        <v>47</v>
      </c>
      <c r="E350" t="s">
        <v>24</v>
      </c>
      <c r="F350" t="s">
        <v>25</v>
      </c>
      <c r="G350" t="s">
        <v>54</v>
      </c>
      <c r="H350" t="s">
        <v>27</v>
      </c>
      <c r="I350" t="s">
        <v>43</v>
      </c>
      <c r="J350" t="s">
        <v>1633</v>
      </c>
      <c r="K350" t="s">
        <v>40</v>
      </c>
      <c r="L350">
        <v>52000</v>
      </c>
      <c r="M350">
        <v>7.5</v>
      </c>
      <c r="N350">
        <v>16.100000000000001</v>
      </c>
      <c r="O350">
        <v>8.3000000000000007</v>
      </c>
      <c r="P350">
        <v>1.7</v>
      </c>
      <c r="Q350">
        <v>4</v>
      </c>
      <c r="S350">
        <v>4</v>
      </c>
      <c r="T350" t="s">
        <v>23</v>
      </c>
      <c r="U350">
        <v>4</v>
      </c>
      <c r="W350" t="s">
        <v>1652</v>
      </c>
      <c r="X350" t="s">
        <v>1656</v>
      </c>
      <c r="Y350" t="s">
        <v>1662</v>
      </c>
      <c r="Z350">
        <v>0</v>
      </c>
    </row>
    <row r="351" spans="1:26" x14ac:dyDescent="0.35">
      <c r="A351" t="s">
        <v>1512</v>
      </c>
      <c r="B351" s="6">
        <v>44744</v>
      </c>
      <c r="C351" t="s">
        <v>23</v>
      </c>
      <c r="D351">
        <v>24</v>
      </c>
      <c r="E351" t="s">
        <v>36</v>
      </c>
      <c r="F351" t="s">
        <v>37</v>
      </c>
      <c r="G351" t="s">
        <v>58</v>
      </c>
      <c r="H351" t="s">
        <v>27</v>
      </c>
      <c r="I351" t="s">
        <v>43</v>
      </c>
      <c r="J351" t="s">
        <v>1632</v>
      </c>
      <c r="K351" t="s">
        <v>40</v>
      </c>
      <c r="L351">
        <v>23000</v>
      </c>
      <c r="M351">
        <v>13.8</v>
      </c>
      <c r="N351">
        <v>3.8</v>
      </c>
      <c r="O351">
        <v>3.5</v>
      </c>
      <c r="P351">
        <v>1.4</v>
      </c>
      <c r="Q351">
        <v>3</v>
      </c>
      <c r="R351">
        <v>3</v>
      </c>
      <c r="S351">
        <v>2</v>
      </c>
      <c r="T351" t="s">
        <v>23</v>
      </c>
      <c r="U351">
        <v>3</v>
      </c>
      <c r="W351" t="s">
        <v>1651</v>
      </c>
      <c r="X351" t="s">
        <v>1655</v>
      </c>
      <c r="Y351" t="s">
        <v>1661</v>
      </c>
      <c r="Z351">
        <v>0</v>
      </c>
    </row>
    <row r="352" spans="1:26" x14ac:dyDescent="0.35">
      <c r="A352" t="s">
        <v>430</v>
      </c>
      <c r="B352" s="6">
        <v>44279</v>
      </c>
      <c r="C352" t="s">
        <v>23</v>
      </c>
      <c r="D352">
        <v>26</v>
      </c>
      <c r="E352" t="s">
        <v>62</v>
      </c>
      <c r="F352" t="s">
        <v>25</v>
      </c>
      <c r="G352" t="s">
        <v>58</v>
      </c>
      <c r="H352" t="s">
        <v>38</v>
      </c>
      <c r="I352" t="s">
        <v>39</v>
      </c>
      <c r="J352" t="s">
        <v>1632</v>
      </c>
      <c r="K352" t="s">
        <v>84</v>
      </c>
      <c r="L352">
        <v>43000</v>
      </c>
      <c r="M352">
        <v>13.7</v>
      </c>
      <c r="N352">
        <v>5</v>
      </c>
      <c r="O352">
        <v>4.8</v>
      </c>
      <c r="P352">
        <v>2.2999999999999998</v>
      </c>
      <c r="Q352">
        <v>4</v>
      </c>
      <c r="R352">
        <v>3</v>
      </c>
      <c r="S352">
        <v>2</v>
      </c>
      <c r="T352" t="s">
        <v>23</v>
      </c>
      <c r="U352">
        <v>5</v>
      </c>
      <c r="W352" t="s">
        <v>1650</v>
      </c>
      <c r="X352" t="s">
        <v>1656</v>
      </c>
      <c r="Y352" t="s">
        <v>1661</v>
      </c>
      <c r="Z352">
        <v>0</v>
      </c>
    </row>
    <row r="353" spans="1:26" x14ac:dyDescent="0.35">
      <c r="A353" t="s">
        <v>327</v>
      </c>
      <c r="B353" s="6">
        <v>41904</v>
      </c>
      <c r="C353" t="s">
        <v>23</v>
      </c>
      <c r="D353">
        <v>40</v>
      </c>
      <c r="E353" t="s">
        <v>62</v>
      </c>
      <c r="F353" t="s">
        <v>25</v>
      </c>
      <c r="G353" t="s">
        <v>26</v>
      </c>
      <c r="H353" t="s">
        <v>55</v>
      </c>
      <c r="I353" t="s">
        <v>56</v>
      </c>
      <c r="J353" t="s">
        <v>1636</v>
      </c>
      <c r="K353" t="s">
        <v>84</v>
      </c>
      <c r="L353">
        <v>122000</v>
      </c>
      <c r="M353">
        <v>3.3</v>
      </c>
      <c r="N353">
        <v>14.9</v>
      </c>
      <c r="O353">
        <v>11.3</v>
      </c>
      <c r="P353">
        <v>4.3</v>
      </c>
      <c r="Q353">
        <v>2</v>
      </c>
      <c r="R353">
        <v>3</v>
      </c>
      <c r="S353">
        <v>1</v>
      </c>
      <c r="T353" t="s">
        <v>23</v>
      </c>
      <c r="U353">
        <v>5</v>
      </c>
      <c r="W353" t="s">
        <v>1649</v>
      </c>
      <c r="X353" t="s">
        <v>1658</v>
      </c>
      <c r="Y353" t="s">
        <v>1663</v>
      </c>
      <c r="Z353">
        <v>0</v>
      </c>
    </row>
    <row r="354" spans="1:26" x14ac:dyDescent="0.35">
      <c r="A354" t="s">
        <v>1547</v>
      </c>
      <c r="B354" s="6">
        <v>42919</v>
      </c>
      <c r="C354" t="s">
        <v>23</v>
      </c>
      <c r="D354">
        <v>31</v>
      </c>
      <c r="E354" t="s">
        <v>36</v>
      </c>
      <c r="F354" t="s">
        <v>25</v>
      </c>
      <c r="G354" t="s">
        <v>26</v>
      </c>
      <c r="H354" t="s">
        <v>48</v>
      </c>
      <c r="I354" t="s">
        <v>63</v>
      </c>
      <c r="J354" t="s">
        <v>1633</v>
      </c>
      <c r="K354" t="s">
        <v>84</v>
      </c>
      <c r="L354">
        <v>53000</v>
      </c>
      <c r="M354">
        <v>14.3</v>
      </c>
      <c r="N354">
        <v>13.6</v>
      </c>
      <c r="O354">
        <v>8.5</v>
      </c>
      <c r="P354">
        <v>1.3</v>
      </c>
      <c r="R354">
        <v>2</v>
      </c>
      <c r="S354">
        <v>3</v>
      </c>
      <c r="T354" t="s">
        <v>23</v>
      </c>
      <c r="U354">
        <v>4</v>
      </c>
      <c r="W354" t="s">
        <v>1650</v>
      </c>
      <c r="X354" t="s">
        <v>1656</v>
      </c>
      <c r="Y354" t="s">
        <v>1662</v>
      </c>
      <c r="Z354">
        <v>0</v>
      </c>
    </row>
    <row r="355" spans="1:26" x14ac:dyDescent="0.35">
      <c r="A355" t="s">
        <v>603</v>
      </c>
      <c r="B355" s="6">
        <v>45848</v>
      </c>
      <c r="C355" t="s">
        <v>23</v>
      </c>
      <c r="D355">
        <v>36</v>
      </c>
      <c r="E355" t="s">
        <v>24</v>
      </c>
      <c r="F355" t="s">
        <v>37</v>
      </c>
      <c r="G355" t="s">
        <v>26</v>
      </c>
      <c r="H355" t="s">
        <v>55</v>
      </c>
      <c r="I355" t="s">
        <v>179</v>
      </c>
      <c r="J355" t="s">
        <v>1633</v>
      </c>
      <c r="K355" t="s">
        <v>84</v>
      </c>
      <c r="L355">
        <v>81000</v>
      </c>
      <c r="M355">
        <v>6.4</v>
      </c>
      <c r="N355">
        <v>3.3</v>
      </c>
      <c r="O355">
        <v>0.5</v>
      </c>
      <c r="P355">
        <v>0</v>
      </c>
      <c r="Q355">
        <v>3</v>
      </c>
      <c r="R355">
        <v>2</v>
      </c>
      <c r="S355">
        <v>3</v>
      </c>
      <c r="T355" t="s">
        <v>23</v>
      </c>
      <c r="U355">
        <v>3</v>
      </c>
      <c r="W355" t="s">
        <v>1649</v>
      </c>
      <c r="X355" t="s">
        <v>1657</v>
      </c>
      <c r="Y355" t="s">
        <v>1664</v>
      </c>
      <c r="Z355">
        <v>0</v>
      </c>
    </row>
    <row r="356" spans="1:26" x14ac:dyDescent="0.35">
      <c r="A356" t="s">
        <v>1442</v>
      </c>
      <c r="B356" s="6">
        <v>45696</v>
      </c>
      <c r="C356" t="s">
        <v>30</v>
      </c>
      <c r="D356">
        <v>33</v>
      </c>
      <c r="E356" t="s">
        <v>62</v>
      </c>
      <c r="F356" t="s">
        <v>25</v>
      </c>
      <c r="G356" t="s">
        <v>54</v>
      </c>
      <c r="H356" t="s">
        <v>27</v>
      </c>
      <c r="I356" t="s">
        <v>28</v>
      </c>
      <c r="J356" t="s">
        <v>1635</v>
      </c>
      <c r="K356" t="s">
        <v>66</v>
      </c>
      <c r="L356">
        <v>76000</v>
      </c>
      <c r="M356">
        <v>15.1</v>
      </c>
      <c r="N356">
        <v>1.1000000000000001</v>
      </c>
      <c r="O356">
        <v>0.7</v>
      </c>
      <c r="P356">
        <v>0</v>
      </c>
      <c r="Q356">
        <v>4</v>
      </c>
      <c r="R356">
        <v>2</v>
      </c>
      <c r="S356">
        <v>3</v>
      </c>
      <c r="T356" t="s">
        <v>30</v>
      </c>
      <c r="U356">
        <v>4</v>
      </c>
      <c r="V356" s="7">
        <v>45952</v>
      </c>
      <c r="W356" t="s">
        <v>1650</v>
      </c>
      <c r="X356" t="s">
        <v>1659</v>
      </c>
      <c r="Y356" t="s">
        <v>1664</v>
      </c>
      <c r="Z356">
        <v>1</v>
      </c>
    </row>
    <row r="357" spans="1:26" x14ac:dyDescent="0.35">
      <c r="A357" t="s">
        <v>1486</v>
      </c>
      <c r="B357" s="6">
        <v>45066</v>
      </c>
      <c r="C357" t="s">
        <v>30</v>
      </c>
      <c r="D357">
        <v>37</v>
      </c>
      <c r="E357" t="s">
        <v>36</v>
      </c>
      <c r="F357" t="s">
        <v>25</v>
      </c>
      <c r="G357" t="s">
        <v>54</v>
      </c>
      <c r="H357" t="s">
        <v>68</v>
      </c>
      <c r="I357" t="s">
        <v>69</v>
      </c>
      <c r="J357" t="s">
        <v>1633</v>
      </c>
      <c r="K357" t="s">
        <v>34</v>
      </c>
      <c r="L357">
        <v>62000</v>
      </c>
      <c r="M357">
        <v>7.5</v>
      </c>
      <c r="N357">
        <v>6.8</v>
      </c>
      <c r="O357">
        <v>2.2999999999999998</v>
      </c>
      <c r="P357">
        <v>0.2</v>
      </c>
      <c r="Q357">
        <v>4</v>
      </c>
      <c r="R357">
        <v>4</v>
      </c>
      <c r="S357">
        <v>3</v>
      </c>
      <c r="T357" t="s">
        <v>23</v>
      </c>
      <c r="U357">
        <v>2</v>
      </c>
      <c r="V357" s="7">
        <v>45896</v>
      </c>
      <c r="W357" t="s">
        <v>1649</v>
      </c>
      <c r="X357" t="s">
        <v>1659</v>
      </c>
      <c r="Y357" t="s">
        <v>1665</v>
      </c>
      <c r="Z357">
        <v>1</v>
      </c>
    </row>
    <row r="358" spans="1:26" x14ac:dyDescent="0.35">
      <c r="A358" t="s">
        <v>374</v>
      </c>
      <c r="B358" s="6">
        <v>45614</v>
      </c>
      <c r="C358" t="s">
        <v>23</v>
      </c>
      <c r="D358">
        <v>26</v>
      </c>
      <c r="E358" t="s">
        <v>36</v>
      </c>
      <c r="F358" t="s">
        <v>37</v>
      </c>
      <c r="G358" t="s">
        <v>26</v>
      </c>
      <c r="H358" t="s">
        <v>55</v>
      </c>
      <c r="I358" t="s">
        <v>179</v>
      </c>
      <c r="J358" t="s">
        <v>1632</v>
      </c>
      <c r="K358" t="s">
        <v>34</v>
      </c>
      <c r="L358">
        <v>22000</v>
      </c>
      <c r="M358">
        <v>17.2</v>
      </c>
      <c r="N358">
        <v>2.6</v>
      </c>
      <c r="O358">
        <v>1.1000000000000001</v>
      </c>
      <c r="P358">
        <v>1</v>
      </c>
      <c r="Q358">
        <v>3</v>
      </c>
      <c r="R358">
        <v>3</v>
      </c>
      <c r="S358">
        <v>4</v>
      </c>
      <c r="T358" t="s">
        <v>23</v>
      </c>
      <c r="U358">
        <v>3</v>
      </c>
      <c r="W358" t="s">
        <v>1650</v>
      </c>
      <c r="X358" t="s">
        <v>1655</v>
      </c>
      <c r="Y358" t="s">
        <v>1665</v>
      </c>
      <c r="Z358">
        <v>0</v>
      </c>
    </row>
    <row r="359" spans="1:26" x14ac:dyDescent="0.35">
      <c r="A359" t="s">
        <v>686</v>
      </c>
      <c r="B359" s="6">
        <v>42608</v>
      </c>
      <c r="C359" t="s">
        <v>23</v>
      </c>
      <c r="D359">
        <v>31</v>
      </c>
      <c r="E359" t="s">
        <v>24</v>
      </c>
      <c r="F359" t="s">
        <v>42</v>
      </c>
      <c r="G359" t="s">
        <v>54</v>
      </c>
      <c r="H359" t="s">
        <v>38</v>
      </c>
      <c r="I359" t="s">
        <v>39</v>
      </c>
      <c r="J359" t="s">
        <v>1635</v>
      </c>
      <c r="K359" t="s">
        <v>34</v>
      </c>
      <c r="L359">
        <v>84000</v>
      </c>
      <c r="M359">
        <v>10.199999999999999</v>
      </c>
      <c r="N359">
        <v>13.4</v>
      </c>
      <c r="O359">
        <v>9.3000000000000007</v>
      </c>
      <c r="P359">
        <v>2.4</v>
      </c>
      <c r="Q359">
        <v>3</v>
      </c>
      <c r="R359">
        <v>3</v>
      </c>
      <c r="S359">
        <v>2</v>
      </c>
      <c r="T359" t="s">
        <v>23</v>
      </c>
      <c r="U359">
        <v>4</v>
      </c>
      <c r="W359" t="s">
        <v>1650</v>
      </c>
      <c r="X359" t="s">
        <v>1657</v>
      </c>
      <c r="Y359" t="s">
        <v>1662</v>
      </c>
      <c r="Z359">
        <v>0</v>
      </c>
    </row>
    <row r="360" spans="1:26" x14ac:dyDescent="0.35">
      <c r="A360" t="s">
        <v>628</v>
      </c>
      <c r="B360" s="6">
        <v>44872</v>
      </c>
      <c r="C360" t="s">
        <v>30</v>
      </c>
      <c r="D360">
        <v>39</v>
      </c>
      <c r="E360" t="s">
        <v>62</v>
      </c>
      <c r="F360" t="s">
        <v>25</v>
      </c>
      <c r="G360" t="s">
        <v>32</v>
      </c>
      <c r="H360" t="s">
        <v>27</v>
      </c>
      <c r="I360" t="s">
        <v>33</v>
      </c>
      <c r="J360" t="s">
        <v>1633</v>
      </c>
      <c r="K360" t="s">
        <v>40</v>
      </c>
      <c r="L360">
        <v>45000</v>
      </c>
      <c r="M360">
        <v>8.3000000000000007</v>
      </c>
      <c r="N360">
        <v>9</v>
      </c>
      <c r="O360">
        <v>2.4</v>
      </c>
      <c r="P360">
        <v>1.4</v>
      </c>
      <c r="Q360">
        <v>3</v>
      </c>
      <c r="R360">
        <v>4</v>
      </c>
      <c r="S360">
        <v>3</v>
      </c>
      <c r="T360" t="s">
        <v>30</v>
      </c>
      <c r="U360">
        <v>4</v>
      </c>
      <c r="V360" s="7">
        <v>45764</v>
      </c>
      <c r="W360" t="s">
        <v>1649</v>
      </c>
      <c r="X360" t="s">
        <v>1656</v>
      </c>
      <c r="Y360" t="s">
        <v>1665</v>
      </c>
      <c r="Z360">
        <v>1</v>
      </c>
    </row>
    <row r="361" spans="1:26" x14ac:dyDescent="0.35">
      <c r="A361" t="s">
        <v>1399</v>
      </c>
      <c r="B361" s="6">
        <v>43131</v>
      </c>
      <c r="C361" t="s">
        <v>23</v>
      </c>
      <c r="D361">
        <v>31</v>
      </c>
      <c r="E361" t="s">
        <v>62</v>
      </c>
      <c r="F361" t="s">
        <v>37</v>
      </c>
      <c r="G361" t="s">
        <v>54</v>
      </c>
      <c r="H361" t="s">
        <v>45</v>
      </c>
      <c r="I361" t="s">
        <v>164</v>
      </c>
      <c r="J361" t="s">
        <v>1635</v>
      </c>
      <c r="K361" t="s">
        <v>84</v>
      </c>
      <c r="L361">
        <v>86000</v>
      </c>
      <c r="M361">
        <v>11</v>
      </c>
      <c r="N361">
        <v>10.5</v>
      </c>
      <c r="O361">
        <v>7.9</v>
      </c>
      <c r="P361">
        <v>0.6</v>
      </c>
      <c r="Q361">
        <v>2</v>
      </c>
      <c r="R361">
        <v>3</v>
      </c>
      <c r="S361">
        <v>3</v>
      </c>
      <c r="T361" t="s">
        <v>23</v>
      </c>
      <c r="U361">
        <v>3</v>
      </c>
      <c r="W361" t="s">
        <v>1650</v>
      </c>
      <c r="X361" t="s">
        <v>1657</v>
      </c>
      <c r="Y361" t="s">
        <v>1662</v>
      </c>
      <c r="Z361">
        <v>0</v>
      </c>
    </row>
    <row r="362" spans="1:26" x14ac:dyDescent="0.35">
      <c r="A362" t="s">
        <v>177</v>
      </c>
      <c r="B362" s="6">
        <v>42421</v>
      </c>
      <c r="C362" t="s">
        <v>23</v>
      </c>
      <c r="D362">
        <v>38</v>
      </c>
      <c r="E362" t="s">
        <v>62</v>
      </c>
      <c r="F362" t="s">
        <v>42</v>
      </c>
      <c r="G362" t="s">
        <v>32</v>
      </c>
      <c r="H362" t="s">
        <v>48</v>
      </c>
      <c r="I362" t="s">
        <v>63</v>
      </c>
      <c r="J362" t="s">
        <v>1632</v>
      </c>
      <c r="K362" t="s">
        <v>40</v>
      </c>
      <c r="L362">
        <v>46000</v>
      </c>
      <c r="M362">
        <v>9.6999999999999993</v>
      </c>
      <c r="N362">
        <v>9.9</v>
      </c>
      <c r="O362">
        <v>9.9</v>
      </c>
      <c r="P362">
        <v>0.9</v>
      </c>
      <c r="Q362">
        <v>4</v>
      </c>
      <c r="R362">
        <v>2</v>
      </c>
      <c r="S362">
        <v>3</v>
      </c>
      <c r="T362" t="s">
        <v>23</v>
      </c>
      <c r="U362">
        <v>3</v>
      </c>
      <c r="W362" t="s">
        <v>1649</v>
      </c>
      <c r="X362" t="s">
        <v>1656</v>
      </c>
      <c r="Y362" t="s">
        <v>1662</v>
      </c>
      <c r="Z362">
        <v>0</v>
      </c>
    </row>
    <row r="363" spans="1:26" x14ac:dyDescent="0.35">
      <c r="A363" t="s">
        <v>1406</v>
      </c>
      <c r="B363" s="6">
        <v>42518</v>
      </c>
      <c r="C363" t="s">
        <v>23</v>
      </c>
      <c r="D363">
        <v>36</v>
      </c>
      <c r="E363" t="s">
        <v>62</v>
      </c>
      <c r="F363" t="s">
        <v>42</v>
      </c>
      <c r="G363" t="s">
        <v>32</v>
      </c>
      <c r="H363" t="s">
        <v>45</v>
      </c>
      <c r="I363" t="s">
        <v>77</v>
      </c>
      <c r="J363" t="s">
        <v>1633</v>
      </c>
      <c r="K363" t="s">
        <v>84</v>
      </c>
      <c r="L363">
        <v>44000</v>
      </c>
      <c r="M363">
        <v>6.9</v>
      </c>
      <c r="N363">
        <v>15.3</v>
      </c>
      <c r="O363">
        <v>9.6</v>
      </c>
      <c r="P363">
        <v>5.5</v>
      </c>
      <c r="Q363">
        <v>4</v>
      </c>
      <c r="R363">
        <v>4</v>
      </c>
      <c r="S363">
        <v>3</v>
      </c>
      <c r="T363" t="s">
        <v>23</v>
      </c>
      <c r="U363">
        <v>4</v>
      </c>
      <c r="W363" t="s">
        <v>1649</v>
      </c>
      <c r="X363" t="s">
        <v>1656</v>
      </c>
      <c r="Y363" t="s">
        <v>1662</v>
      </c>
      <c r="Z363">
        <v>0</v>
      </c>
    </row>
    <row r="364" spans="1:26" x14ac:dyDescent="0.35">
      <c r="A364" t="s">
        <v>488</v>
      </c>
      <c r="B364" s="6">
        <v>41777</v>
      </c>
      <c r="C364" t="s">
        <v>23</v>
      </c>
      <c r="D364">
        <v>42</v>
      </c>
      <c r="E364" t="s">
        <v>62</v>
      </c>
      <c r="F364" t="s">
        <v>42</v>
      </c>
      <c r="G364" t="s">
        <v>54</v>
      </c>
      <c r="H364" t="s">
        <v>38</v>
      </c>
      <c r="I364" t="s">
        <v>39</v>
      </c>
      <c r="J364" t="s">
        <v>1636</v>
      </c>
      <c r="K364" t="s">
        <v>34</v>
      </c>
      <c r="L364">
        <v>124000</v>
      </c>
      <c r="M364">
        <v>10.199999999999999</v>
      </c>
      <c r="N364">
        <v>12.5</v>
      </c>
      <c r="O364">
        <v>11.6</v>
      </c>
      <c r="P364">
        <v>1.7</v>
      </c>
      <c r="Q364">
        <v>3</v>
      </c>
      <c r="R364">
        <v>1</v>
      </c>
      <c r="S364">
        <v>3</v>
      </c>
      <c r="T364" t="s">
        <v>30</v>
      </c>
      <c r="U364">
        <v>4</v>
      </c>
      <c r="W364" t="s">
        <v>1649</v>
      </c>
      <c r="X364" t="s">
        <v>1658</v>
      </c>
      <c r="Y364" t="s">
        <v>1663</v>
      </c>
      <c r="Z364">
        <v>0</v>
      </c>
    </row>
    <row r="365" spans="1:26" x14ac:dyDescent="0.35">
      <c r="A365" t="s">
        <v>313</v>
      </c>
      <c r="B365" s="6">
        <v>43082</v>
      </c>
      <c r="C365" t="s">
        <v>23</v>
      </c>
      <c r="D365">
        <v>35</v>
      </c>
      <c r="E365" t="s">
        <v>24</v>
      </c>
      <c r="F365" t="s">
        <v>37</v>
      </c>
      <c r="G365" t="s">
        <v>26</v>
      </c>
      <c r="H365" t="s">
        <v>48</v>
      </c>
      <c r="I365" t="s">
        <v>201</v>
      </c>
      <c r="J365" t="s">
        <v>1635</v>
      </c>
      <c r="K365" t="s">
        <v>29</v>
      </c>
      <c r="L365">
        <v>103000</v>
      </c>
      <c r="M365">
        <v>11.3</v>
      </c>
      <c r="N365">
        <v>15.4</v>
      </c>
      <c r="O365">
        <v>8</v>
      </c>
      <c r="P365">
        <v>5</v>
      </c>
      <c r="Q365">
        <v>2</v>
      </c>
      <c r="R365">
        <v>2</v>
      </c>
      <c r="S365">
        <v>4</v>
      </c>
      <c r="T365" t="s">
        <v>23</v>
      </c>
      <c r="U365">
        <v>4</v>
      </c>
      <c r="W365" t="s">
        <v>1650</v>
      </c>
      <c r="X365" t="s">
        <v>1658</v>
      </c>
      <c r="Y365" t="s">
        <v>1662</v>
      </c>
      <c r="Z365">
        <v>0</v>
      </c>
    </row>
    <row r="366" spans="1:26" x14ac:dyDescent="0.35">
      <c r="A366" t="s">
        <v>785</v>
      </c>
      <c r="B366" s="6">
        <v>43833</v>
      </c>
      <c r="C366" t="s">
        <v>30</v>
      </c>
      <c r="D366">
        <v>38</v>
      </c>
      <c r="E366" t="s">
        <v>62</v>
      </c>
      <c r="F366" t="s">
        <v>37</v>
      </c>
      <c r="G366" t="s">
        <v>54</v>
      </c>
      <c r="H366" t="s">
        <v>38</v>
      </c>
      <c r="I366" t="s">
        <v>139</v>
      </c>
      <c r="J366" t="s">
        <v>1635</v>
      </c>
      <c r="K366" t="s">
        <v>66</v>
      </c>
      <c r="L366">
        <v>90000</v>
      </c>
      <c r="M366">
        <v>14.2</v>
      </c>
      <c r="N366">
        <v>12.3</v>
      </c>
      <c r="O366">
        <v>5.9</v>
      </c>
      <c r="P366">
        <v>5.0999999999999996</v>
      </c>
      <c r="Q366">
        <v>4</v>
      </c>
      <c r="R366">
        <v>4</v>
      </c>
      <c r="S366">
        <v>3</v>
      </c>
      <c r="T366" t="s">
        <v>23</v>
      </c>
      <c r="U366">
        <v>5</v>
      </c>
      <c r="V366" s="7">
        <v>45986</v>
      </c>
      <c r="W366" t="s">
        <v>1649</v>
      </c>
      <c r="X366" t="s">
        <v>1657</v>
      </c>
      <c r="Y366" t="s">
        <v>1661</v>
      </c>
      <c r="Z366">
        <v>1</v>
      </c>
    </row>
    <row r="367" spans="1:26" x14ac:dyDescent="0.35">
      <c r="A367" t="s">
        <v>299</v>
      </c>
      <c r="B367" s="6">
        <v>44948</v>
      </c>
      <c r="C367" t="s">
        <v>23</v>
      </c>
      <c r="D367">
        <v>32</v>
      </c>
      <c r="E367" t="s">
        <v>24</v>
      </c>
      <c r="F367" t="s">
        <v>37</v>
      </c>
      <c r="G367" t="s">
        <v>54</v>
      </c>
      <c r="H367" t="s">
        <v>48</v>
      </c>
      <c r="I367" t="s">
        <v>201</v>
      </c>
      <c r="J367" t="s">
        <v>1633</v>
      </c>
      <c r="K367" t="s">
        <v>29</v>
      </c>
      <c r="L367">
        <v>44000</v>
      </c>
      <c r="M367">
        <v>8.1999999999999993</v>
      </c>
      <c r="N367">
        <v>8.8000000000000007</v>
      </c>
      <c r="O367">
        <v>2.9</v>
      </c>
      <c r="P367">
        <v>2.1</v>
      </c>
      <c r="Q367">
        <v>1</v>
      </c>
      <c r="R367">
        <v>3</v>
      </c>
      <c r="S367">
        <v>4</v>
      </c>
      <c r="T367" t="s">
        <v>23</v>
      </c>
      <c r="U367">
        <v>4</v>
      </c>
      <c r="W367" t="s">
        <v>1650</v>
      </c>
      <c r="X367" t="s">
        <v>1656</v>
      </c>
      <c r="Y367" t="s">
        <v>1665</v>
      </c>
      <c r="Z367">
        <v>0</v>
      </c>
    </row>
    <row r="368" spans="1:26" x14ac:dyDescent="0.35">
      <c r="A368" t="s">
        <v>948</v>
      </c>
      <c r="B368" s="6">
        <v>42857</v>
      </c>
      <c r="C368" t="s">
        <v>23</v>
      </c>
      <c r="D368">
        <v>29</v>
      </c>
      <c r="E368" t="s">
        <v>62</v>
      </c>
      <c r="F368" t="s">
        <v>37</v>
      </c>
      <c r="G368" t="s">
        <v>32</v>
      </c>
      <c r="H368" t="s">
        <v>68</v>
      </c>
      <c r="I368" t="s">
        <v>102</v>
      </c>
      <c r="J368" t="s">
        <v>1635</v>
      </c>
      <c r="K368" t="s">
        <v>34</v>
      </c>
      <c r="L368">
        <v>82000</v>
      </c>
      <c r="M368">
        <v>15.7</v>
      </c>
      <c r="N368">
        <v>15.5</v>
      </c>
      <c r="O368">
        <v>8.6999999999999993</v>
      </c>
      <c r="P368">
        <v>4.5</v>
      </c>
      <c r="Q368">
        <v>4</v>
      </c>
      <c r="R368">
        <v>3</v>
      </c>
      <c r="S368">
        <v>3</v>
      </c>
      <c r="T368" t="s">
        <v>30</v>
      </c>
      <c r="U368">
        <v>4</v>
      </c>
      <c r="W368" t="s">
        <v>1650</v>
      </c>
      <c r="X368" t="s">
        <v>1657</v>
      </c>
      <c r="Y368" t="s">
        <v>1662</v>
      </c>
      <c r="Z368">
        <v>0</v>
      </c>
    </row>
    <row r="369" spans="1:26" x14ac:dyDescent="0.35">
      <c r="A369" t="s">
        <v>512</v>
      </c>
      <c r="B369" s="6">
        <v>44739</v>
      </c>
      <c r="C369" t="s">
        <v>23</v>
      </c>
      <c r="D369">
        <v>25</v>
      </c>
      <c r="E369" t="s">
        <v>62</v>
      </c>
      <c r="F369" t="s">
        <v>25</v>
      </c>
      <c r="G369" t="s">
        <v>58</v>
      </c>
      <c r="H369" t="s">
        <v>45</v>
      </c>
      <c r="I369" t="s">
        <v>164</v>
      </c>
      <c r="J369" t="s">
        <v>1632</v>
      </c>
      <c r="K369" t="s">
        <v>34</v>
      </c>
      <c r="L369">
        <v>36000</v>
      </c>
      <c r="M369">
        <v>13.8</v>
      </c>
      <c r="N369">
        <v>10.7</v>
      </c>
      <c r="O369">
        <v>3.5</v>
      </c>
      <c r="P369">
        <v>1.9</v>
      </c>
      <c r="Q369">
        <v>3</v>
      </c>
      <c r="R369">
        <v>1</v>
      </c>
      <c r="S369">
        <v>3</v>
      </c>
      <c r="T369" t="s">
        <v>23</v>
      </c>
      <c r="U369">
        <v>5</v>
      </c>
      <c r="W369" t="s">
        <v>1651</v>
      </c>
      <c r="X369" t="s">
        <v>1655</v>
      </c>
      <c r="Y369" t="s">
        <v>1661</v>
      </c>
      <c r="Z369">
        <v>0</v>
      </c>
    </row>
    <row r="370" spans="1:26" x14ac:dyDescent="0.35">
      <c r="A370" t="s">
        <v>726</v>
      </c>
      <c r="B370" s="6">
        <v>45762</v>
      </c>
      <c r="C370" t="s">
        <v>23</v>
      </c>
      <c r="D370">
        <v>32</v>
      </c>
      <c r="E370" t="s">
        <v>36</v>
      </c>
      <c r="F370" t="s">
        <v>25</v>
      </c>
      <c r="G370" t="s">
        <v>26</v>
      </c>
      <c r="H370" t="s">
        <v>68</v>
      </c>
      <c r="I370" t="s">
        <v>69</v>
      </c>
      <c r="J370" t="s">
        <v>1633</v>
      </c>
      <c r="K370" t="s">
        <v>84</v>
      </c>
      <c r="L370">
        <v>53000</v>
      </c>
      <c r="M370">
        <v>5.9</v>
      </c>
      <c r="N370">
        <v>5.2</v>
      </c>
      <c r="O370">
        <v>0.7</v>
      </c>
      <c r="P370">
        <v>0</v>
      </c>
      <c r="Q370">
        <v>4</v>
      </c>
      <c r="R370">
        <v>3</v>
      </c>
      <c r="S370">
        <v>2</v>
      </c>
      <c r="T370" t="s">
        <v>23</v>
      </c>
      <c r="U370">
        <v>2</v>
      </c>
      <c r="W370" t="s">
        <v>1650</v>
      </c>
      <c r="X370" t="s">
        <v>1656</v>
      </c>
      <c r="Y370" t="s">
        <v>1664</v>
      </c>
      <c r="Z370">
        <v>0</v>
      </c>
    </row>
    <row r="371" spans="1:26" x14ac:dyDescent="0.35">
      <c r="A371" t="s">
        <v>598</v>
      </c>
      <c r="B371" s="6">
        <v>45584</v>
      </c>
      <c r="C371" t="s">
        <v>23</v>
      </c>
      <c r="D371">
        <v>32</v>
      </c>
      <c r="E371" t="s">
        <v>62</v>
      </c>
      <c r="F371" t="s">
        <v>37</v>
      </c>
      <c r="G371" t="s">
        <v>54</v>
      </c>
      <c r="H371" t="s">
        <v>48</v>
      </c>
      <c r="I371" t="s">
        <v>63</v>
      </c>
      <c r="J371" t="s">
        <v>1633</v>
      </c>
      <c r="K371" t="s">
        <v>84</v>
      </c>
      <c r="L371">
        <v>59000</v>
      </c>
      <c r="M371">
        <v>5.5</v>
      </c>
      <c r="N371">
        <v>3.4</v>
      </c>
      <c r="O371">
        <v>1.2</v>
      </c>
      <c r="P371">
        <v>0.3</v>
      </c>
      <c r="Q371">
        <v>3</v>
      </c>
      <c r="R371">
        <v>4</v>
      </c>
      <c r="S371">
        <v>3</v>
      </c>
      <c r="T371" t="s">
        <v>23</v>
      </c>
      <c r="U371">
        <v>5</v>
      </c>
      <c r="W371" t="s">
        <v>1650</v>
      </c>
      <c r="X371" t="s">
        <v>1656</v>
      </c>
      <c r="Y371" t="s">
        <v>1665</v>
      </c>
      <c r="Z371">
        <v>0</v>
      </c>
    </row>
    <row r="372" spans="1:26" x14ac:dyDescent="0.35">
      <c r="A372" t="s">
        <v>869</v>
      </c>
      <c r="B372" s="6">
        <v>42918</v>
      </c>
      <c r="C372" t="s">
        <v>23</v>
      </c>
      <c r="D372">
        <v>38</v>
      </c>
      <c r="E372" t="s">
        <v>36</v>
      </c>
      <c r="F372" t="s">
        <v>42</v>
      </c>
      <c r="G372" t="s">
        <v>54</v>
      </c>
      <c r="H372" t="s">
        <v>1634</v>
      </c>
      <c r="I372" t="s">
        <v>86</v>
      </c>
      <c r="J372" t="s">
        <v>1633</v>
      </c>
      <c r="K372" t="s">
        <v>40</v>
      </c>
      <c r="L372">
        <v>48000</v>
      </c>
      <c r="M372">
        <v>15.9</v>
      </c>
      <c r="N372">
        <v>11.2</v>
      </c>
      <c r="O372">
        <v>8.5</v>
      </c>
      <c r="P372">
        <v>0.5</v>
      </c>
      <c r="Q372">
        <v>4</v>
      </c>
      <c r="R372">
        <v>2</v>
      </c>
      <c r="S372">
        <v>4</v>
      </c>
      <c r="T372" t="s">
        <v>23</v>
      </c>
      <c r="U372">
        <v>2</v>
      </c>
      <c r="W372" t="s">
        <v>1649</v>
      </c>
      <c r="X372" t="s">
        <v>1656</v>
      </c>
      <c r="Y372" t="s">
        <v>1662</v>
      </c>
      <c r="Z372">
        <v>0</v>
      </c>
    </row>
    <row r="373" spans="1:26" x14ac:dyDescent="0.35">
      <c r="A373" t="s">
        <v>1140</v>
      </c>
      <c r="B373" s="6">
        <v>45198</v>
      </c>
      <c r="C373" t="s">
        <v>30</v>
      </c>
      <c r="D373">
        <v>35</v>
      </c>
      <c r="E373" t="s">
        <v>62</v>
      </c>
      <c r="F373" t="s">
        <v>25</v>
      </c>
      <c r="G373" t="s">
        <v>32</v>
      </c>
      <c r="H373" t="s">
        <v>45</v>
      </c>
      <c r="I373" t="s">
        <v>46</v>
      </c>
      <c r="J373" t="s">
        <v>1635</v>
      </c>
      <c r="K373" t="s">
        <v>34</v>
      </c>
      <c r="L373">
        <v>80000</v>
      </c>
      <c r="M373">
        <v>3.3</v>
      </c>
      <c r="N373">
        <v>7.7</v>
      </c>
      <c r="O373">
        <v>1.6</v>
      </c>
      <c r="P373">
        <v>0.2</v>
      </c>
      <c r="Q373">
        <v>4</v>
      </c>
      <c r="R373">
        <v>2</v>
      </c>
      <c r="S373">
        <v>3</v>
      </c>
      <c r="T373" t="s">
        <v>23</v>
      </c>
      <c r="U373">
        <v>3</v>
      </c>
      <c r="V373" s="7">
        <v>45793</v>
      </c>
      <c r="W373" t="s">
        <v>1650</v>
      </c>
      <c r="X373" t="s">
        <v>1657</v>
      </c>
      <c r="Y373" t="s">
        <v>1665</v>
      </c>
      <c r="Z373">
        <v>1</v>
      </c>
    </row>
    <row r="374" spans="1:26" x14ac:dyDescent="0.35">
      <c r="A374" t="s">
        <v>404</v>
      </c>
      <c r="B374" s="6">
        <v>45618</v>
      </c>
      <c r="C374" t="s">
        <v>30</v>
      </c>
      <c r="D374">
        <v>22</v>
      </c>
      <c r="E374" t="s">
        <v>62</v>
      </c>
      <c r="F374" t="s">
        <v>25</v>
      </c>
      <c r="G374" t="s">
        <v>58</v>
      </c>
      <c r="H374" t="s">
        <v>45</v>
      </c>
      <c r="I374" t="s">
        <v>46</v>
      </c>
      <c r="J374" t="s">
        <v>1632</v>
      </c>
      <c r="K374" t="s">
        <v>34</v>
      </c>
      <c r="L374">
        <v>43000</v>
      </c>
      <c r="M374">
        <v>6.8</v>
      </c>
      <c r="N374">
        <v>3.8</v>
      </c>
      <c r="O374">
        <v>0.8</v>
      </c>
      <c r="P374">
        <v>0</v>
      </c>
      <c r="Q374">
        <v>4</v>
      </c>
      <c r="R374">
        <v>3</v>
      </c>
      <c r="S374">
        <v>4</v>
      </c>
      <c r="T374" t="s">
        <v>30</v>
      </c>
      <c r="U374">
        <v>2</v>
      </c>
      <c r="V374" s="7">
        <v>45907</v>
      </c>
      <c r="W374" t="s">
        <v>1651</v>
      </c>
      <c r="X374" t="s">
        <v>1656</v>
      </c>
      <c r="Y374" t="s">
        <v>1664</v>
      </c>
      <c r="Z374">
        <v>1</v>
      </c>
    </row>
    <row r="375" spans="1:26" x14ac:dyDescent="0.35">
      <c r="A375" t="s">
        <v>825</v>
      </c>
      <c r="B375" s="6">
        <v>45064</v>
      </c>
      <c r="C375" t="s">
        <v>23</v>
      </c>
      <c r="D375">
        <v>29</v>
      </c>
      <c r="E375" t="s">
        <v>36</v>
      </c>
      <c r="F375" t="s">
        <v>25</v>
      </c>
      <c r="G375" t="s">
        <v>32</v>
      </c>
      <c r="H375" t="s">
        <v>27</v>
      </c>
      <c r="I375" t="s">
        <v>28</v>
      </c>
      <c r="J375" t="s">
        <v>1633</v>
      </c>
      <c r="K375" t="s">
        <v>84</v>
      </c>
      <c r="L375">
        <v>52000</v>
      </c>
      <c r="M375">
        <v>15.2</v>
      </c>
      <c r="N375">
        <v>8.8000000000000007</v>
      </c>
      <c r="O375">
        <v>2.6</v>
      </c>
      <c r="P375">
        <v>1.9</v>
      </c>
      <c r="Q375">
        <v>3</v>
      </c>
      <c r="R375">
        <v>3</v>
      </c>
      <c r="S375">
        <v>3</v>
      </c>
      <c r="T375" t="s">
        <v>30</v>
      </c>
      <c r="U375">
        <v>3</v>
      </c>
      <c r="W375" t="s">
        <v>1650</v>
      </c>
      <c r="X375" t="s">
        <v>1656</v>
      </c>
      <c r="Y375" t="s">
        <v>1665</v>
      </c>
      <c r="Z375">
        <v>0</v>
      </c>
    </row>
    <row r="376" spans="1:26" x14ac:dyDescent="0.35">
      <c r="A376" t="s">
        <v>832</v>
      </c>
      <c r="B376" s="6">
        <v>42359</v>
      </c>
      <c r="C376" t="s">
        <v>30</v>
      </c>
      <c r="D376">
        <v>47</v>
      </c>
      <c r="E376" t="s">
        <v>24</v>
      </c>
      <c r="F376" t="s">
        <v>25</v>
      </c>
      <c r="G376" t="s">
        <v>32</v>
      </c>
      <c r="H376" t="s">
        <v>27</v>
      </c>
      <c r="I376" t="s">
        <v>43</v>
      </c>
      <c r="J376" t="s">
        <v>1635</v>
      </c>
      <c r="K376" t="s">
        <v>66</v>
      </c>
      <c r="L376">
        <v>84000</v>
      </c>
      <c r="M376">
        <v>13.1</v>
      </c>
      <c r="N376">
        <v>12.5</v>
      </c>
      <c r="O376">
        <v>9.6999999999999993</v>
      </c>
      <c r="P376">
        <v>4.4000000000000004</v>
      </c>
      <c r="Q376">
        <v>2</v>
      </c>
      <c r="R376">
        <v>3</v>
      </c>
      <c r="S376">
        <v>1</v>
      </c>
      <c r="T376" t="s">
        <v>30</v>
      </c>
      <c r="U376">
        <v>4</v>
      </c>
      <c r="V376" s="7">
        <v>45886</v>
      </c>
      <c r="W376" t="s">
        <v>1652</v>
      </c>
      <c r="X376" t="s">
        <v>1657</v>
      </c>
      <c r="Y376" t="s">
        <v>1662</v>
      </c>
      <c r="Z376">
        <v>1</v>
      </c>
    </row>
    <row r="377" spans="1:26" x14ac:dyDescent="0.35">
      <c r="A377" t="s">
        <v>763</v>
      </c>
      <c r="B377" s="6">
        <v>45400</v>
      </c>
      <c r="C377" t="s">
        <v>23</v>
      </c>
      <c r="D377">
        <v>38</v>
      </c>
      <c r="E377" t="s">
        <v>36</v>
      </c>
      <c r="F377" t="s">
        <v>42</v>
      </c>
      <c r="G377" t="s">
        <v>54</v>
      </c>
      <c r="H377" t="s">
        <v>45</v>
      </c>
      <c r="I377" t="s">
        <v>164</v>
      </c>
      <c r="J377" t="s">
        <v>1635</v>
      </c>
      <c r="K377" t="s">
        <v>29</v>
      </c>
      <c r="L377">
        <v>67000</v>
      </c>
      <c r="M377">
        <v>5.7</v>
      </c>
      <c r="N377">
        <v>8.9</v>
      </c>
      <c r="O377">
        <v>1.7</v>
      </c>
      <c r="P377">
        <v>1</v>
      </c>
      <c r="Q377">
        <v>2</v>
      </c>
      <c r="R377">
        <v>4</v>
      </c>
      <c r="S377">
        <v>4</v>
      </c>
      <c r="T377" t="s">
        <v>23</v>
      </c>
      <c r="U377">
        <v>4</v>
      </c>
      <c r="W377" t="s">
        <v>1649</v>
      </c>
      <c r="X377" t="s">
        <v>1659</v>
      </c>
      <c r="Y377" t="s">
        <v>1665</v>
      </c>
      <c r="Z377">
        <v>0</v>
      </c>
    </row>
    <row r="378" spans="1:26" x14ac:dyDescent="0.35">
      <c r="A378" t="s">
        <v>482</v>
      </c>
      <c r="B378" s="6">
        <v>44732</v>
      </c>
      <c r="C378" t="s">
        <v>23</v>
      </c>
      <c r="D378">
        <v>32</v>
      </c>
      <c r="E378" t="s">
        <v>36</v>
      </c>
      <c r="F378" t="s">
        <v>37</v>
      </c>
      <c r="G378" t="s">
        <v>58</v>
      </c>
      <c r="H378" t="s">
        <v>38</v>
      </c>
      <c r="I378" t="s">
        <v>52</v>
      </c>
      <c r="J378" t="s">
        <v>1636</v>
      </c>
      <c r="K378" t="s">
        <v>84</v>
      </c>
      <c r="L378">
        <v>120000</v>
      </c>
      <c r="M378">
        <v>11.8</v>
      </c>
      <c r="N378">
        <v>6.1</v>
      </c>
      <c r="O378">
        <v>3.5</v>
      </c>
      <c r="P378">
        <v>0.6</v>
      </c>
      <c r="Q378">
        <v>4</v>
      </c>
      <c r="R378">
        <v>2</v>
      </c>
      <c r="S378">
        <v>4</v>
      </c>
      <c r="T378" t="s">
        <v>23</v>
      </c>
      <c r="U378">
        <v>3</v>
      </c>
      <c r="W378" t="s">
        <v>1650</v>
      </c>
      <c r="X378" t="s">
        <v>1658</v>
      </c>
      <c r="Y378" t="s">
        <v>1661</v>
      </c>
      <c r="Z378">
        <v>0</v>
      </c>
    </row>
    <row r="379" spans="1:26" x14ac:dyDescent="0.35">
      <c r="A379" t="s">
        <v>158</v>
      </c>
      <c r="B379" s="6">
        <v>41727</v>
      </c>
      <c r="C379" t="s">
        <v>23</v>
      </c>
      <c r="D379">
        <v>34</v>
      </c>
      <c r="E379" t="s">
        <v>36</v>
      </c>
      <c r="F379" t="s">
        <v>25</v>
      </c>
      <c r="G379" t="s">
        <v>58</v>
      </c>
      <c r="H379" t="s">
        <v>55</v>
      </c>
      <c r="I379" t="s">
        <v>80</v>
      </c>
      <c r="J379" t="s">
        <v>1632</v>
      </c>
      <c r="K379" t="s">
        <v>50</v>
      </c>
      <c r="L379">
        <v>52000</v>
      </c>
      <c r="M379">
        <v>4.4000000000000004</v>
      </c>
      <c r="N379">
        <v>12.6</v>
      </c>
      <c r="O379">
        <v>11.8</v>
      </c>
      <c r="P379">
        <v>3.2</v>
      </c>
      <c r="Q379">
        <v>3</v>
      </c>
      <c r="R379">
        <v>3</v>
      </c>
      <c r="S379">
        <v>3</v>
      </c>
      <c r="T379" t="s">
        <v>30</v>
      </c>
      <c r="U379">
        <v>2</v>
      </c>
      <c r="W379" t="s">
        <v>1650</v>
      </c>
      <c r="X379" t="s">
        <v>1656</v>
      </c>
      <c r="Y379" t="s">
        <v>1663</v>
      </c>
      <c r="Z379">
        <v>0</v>
      </c>
    </row>
    <row r="380" spans="1:26" x14ac:dyDescent="0.35">
      <c r="A380" t="s">
        <v>525</v>
      </c>
      <c r="B380" s="6">
        <v>43867</v>
      </c>
      <c r="C380" t="s">
        <v>23</v>
      </c>
      <c r="D380">
        <v>28</v>
      </c>
      <c r="E380" t="s">
        <v>36</v>
      </c>
      <c r="F380" t="s">
        <v>42</v>
      </c>
      <c r="G380" t="s">
        <v>26</v>
      </c>
      <c r="H380" t="s">
        <v>38</v>
      </c>
      <c r="I380" t="s">
        <v>118</v>
      </c>
      <c r="J380" t="s">
        <v>1632</v>
      </c>
      <c r="K380" t="s">
        <v>66</v>
      </c>
      <c r="L380">
        <v>22000</v>
      </c>
      <c r="M380">
        <v>8.6999999999999993</v>
      </c>
      <c r="N380">
        <v>11.1</v>
      </c>
      <c r="O380">
        <v>5.9</v>
      </c>
      <c r="P380">
        <v>0</v>
      </c>
      <c r="Q380">
        <v>1</v>
      </c>
      <c r="R380">
        <v>1</v>
      </c>
      <c r="S380">
        <v>3</v>
      </c>
      <c r="T380" t="s">
        <v>23</v>
      </c>
      <c r="U380">
        <v>2</v>
      </c>
      <c r="W380" t="s">
        <v>1650</v>
      </c>
      <c r="X380" t="s">
        <v>1655</v>
      </c>
      <c r="Y380" t="s">
        <v>1661</v>
      </c>
      <c r="Z380">
        <v>0</v>
      </c>
    </row>
    <row r="381" spans="1:26" x14ac:dyDescent="0.35">
      <c r="A381" t="s">
        <v>678</v>
      </c>
      <c r="B381" s="6">
        <v>44187</v>
      </c>
      <c r="C381" t="s">
        <v>30</v>
      </c>
      <c r="D381">
        <v>44</v>
      </c>
      <c r="E381" t="s">
        <v>36</v>
      </c>
      <c r="F381" t="s">
        <v>42</v>
      </c>
      <c r="G381" t="s">
        <v>58</v>
      </c>
      <c r="H381" t="s">
        <v>45</v>
      </c>
      <c r="I381" t="s">
        <v>46</v>
      </c>
      <c r="J381" t="s">
        <v>1635</v>
      </c>
      <c r="K381" t="s">
        <v>34</v>
      </c>
      <c r="L381">
        <v>78000</v>
      </c>
      <c r="M381">
        <v>4.9000000000000004</v>
      </c>
      <c r="N381">
        <v>4.4000000000000004</v>
      </c>
      <c r="O381">
        <v>4.3</v>
      </c>
      <c r="P381">
        <v>4.0999999999999996</v>
      </c>
      <c r="Q381">
        <v>4</v>
      </c>
      <c r="R381">
        <v>4</v>
      </c>
      <c r="S381">
        <v>3</v>
      </c>
      <c r="T381" t="s">
        <v>23</v>
      </c>
      <c r="U381">
        <v>4</v>
      </c>
      <c r="V381" s="7">
        <v>45773</v>
      </c>
      <c r="W381" t="s">
        <v>1649</v>
      </c>
      <c r="X381" t="s">
        <v>1659</v>
      </c>
      <c r="Y381" t="s">
        <v>1661</v>
      </c>
      <c r="Z381">
        <v>1</v>
      </c>
    </row>
    <row r="382" spans="1:26" x14ac:dyDescent="0.35">
      <c r="A382" t="s">
        <v>1276</v>
      </c>
      <c r="B382" s="6">
        <v>42266</v>
      </c>
      <c r="C382" t="s">
        <v>23</v>
      </c>
      <c r="D382">
        <v>42</v>
      </c>
      <c r="E382" t="s">
        <v>36</v>
      </c>
      <c r="F382" t="s">
        <v>25</v>
      </c>
      <c r="G382" t="s">
        <v>54</v>
      </c>
      <c r="H382" t="s">
        <v>38</v>
      </c>
      <c r="I382" t="s">
        <v>118</v>
      </c>
      <c r="J382" t="s">
        <v>1633</v>
      </c>
      <c r="K382" t="s">
        <v>50</v>
      </c>
      <c r="L382">
        <v>65000</v>
      </c>
      <c r="M382">
        <v>8.1</v>
      </c>
      <c r="N382">
        <v>12.6</v>
      </c>
      <c r="O382">
        <v>10.3</v>
      </c>
      <c r="P382">
        <v>1.2</v>
      </c>
      <c r="Q382">
        <v>4</v>
      </c>
      <c r="R382">
        <v>3</v>
      </c>
      <c r="S382">
        <v>4</v>
      </c>
      <c r="T382" t="s">
        <v>23</v>
      </c>
      <c r="U382">
        <v>4</v>
      </c>
      <c r="W382" t="s">
        <v>1649</v>
      </c>
      <c r="X382" t="s">
        <v>1659</v>
      </c>
      <c r="Y382" t="s">
        <v>1663</v>
      </c>
      <c r="Z382">
        <v>0</v>
      </c>
    </row>
    <row r="383" spans="1:26" x14ac:dyDescent="0.35">
      <c r="A383" t="s">
        <v>1527</v>
      </c>
      <c r="B383" s="6">
        <v>42777</v>
      </c>
      <c r="C383" t="s">
        <v>30</v>
      </c>
      <c r="D383">
        <v>30</v>
      </c>
      <c r="E383" t="s">
        <v>36</v>
      </c>
      <c r="F383" t="s">
        <v>42</v>
      </c>
      <c r="G383" t="s">
        <v>54</v>
      </c>
      <c r="H383" t="s">
        <v>45</v>
      </c>
      <c r="I383" t="s">
        <v>77</v>
      </c>
      <c r="J383" t="s">
        <v>1635</v>
      </c>
      <c r="K383" t="s">
        <v>50</v>
      </c>
      <c r="L383">
        <v>82000</v>
      </c>
      <c r="M383">
        <v>16.5</v>
      </c>
      <c r="N383">
        <v>13.7</v>
      </c>
      <c r="O383">
        <v>7.9</v>
      </c>
      <c r="P383">
        <v>3.6</v>
      </c>
      <c r="Q383">
        <v>2</v>
      </c>
      <c r="R383">
        <v>3</v>
      </c>
      <c r="S383">
        <v>2</v>
      </c>
      <c r="T383" t="s">
        <v>23</v>
      </c>
      <c r="U383">
        <v>4</v>
      </c>
      <c r="V383" s="7">
        <v>45670</v>
      </c>
      <c r="W383" t="s">
        <v>1650</v>
      </c>
      <c r="X383" t="s">
        <v>1657</v>
      </c>
      <c r="Y383" t="s">
        <v>1662</v>
      </c>
      <c r="Z383">
        <v>1</v>
      </c>
    </row>
    <row r="384" spans="1:26" x14ac:dyDescent="0.35">
      <c r="A384" t="s">
        <v>330</v>
      </c>
      <c r="B384" s="6">
        <v>43122</v>
      </c>
      <c r="C384" t="s">
        <v>23</v>
      </c>
      <c r="D384">
        <v>30</v>
      </c>
      <c r="E384" t="s">
        <v>62</v>
      </c>
      <c r="F384" t="s">
        <v>37</v>
      </c>
      <c r="G384" t="s">
        <v>26</v>
      </c>
      <c r="H384" t="s">
        <v>38</v>
      </c>
      <c r="I384" t="s">
        <v>39</v>
      </c>
      <c r="J384" t="s">
        <v>1632</v>
      </c>
      <c r="K384" t="s">
        <v>50</v>
      </c>
      <c r="L384">
        <v>28000</v>
      </c>
      <c r="M384">
        <v>9.6</v>
      </c>
      <c r="N384">
        <v>13.3</v>
      </c>
      <c r="O384">
        <v>7.9</v>
      </c>
      <c r="P384">
        <v>2.8</v>
      </c>
      <c r="Q384">
        <v>2</v>
      </c>
      <c r="R384">
        <v>3</v>
      </c>
      <c r="S384">
        <v>4</v>
      </c>
      <c r="T384" t="s">
        <v>30</v>
      </c>
      <c r="U384">
        <v>2</v>
      </c>
      <c r="W384" t="s">
        <v>1650</v>
      </c>
      <c r="X384" t="s">
        <v>1655</v>
      </c>
      <c r="Y384" t="s">
        <v>1662</v>
      </c>
      <c r="Z384">
        <v>0</v>
      </c>
    </row>
    <row r="385" spans="1:26" x14ac:dyDescent="0.35">
      <c r="A385" t="s">
        <v>96</v>
      </c>
      <c r="B385" s="6">
        <v>45831</v>
      </c>
      <c r="C385" t="s">
        <v>23</v>
      </c>
      <c r="D385">
        <v>35</v>
      </c>
      <c r="E385" t="s">
        <v>24</v>
      </c>
      <c r="F385" t="s">
        <v>42</v>
      </c>
      <c r="G385" t="s">
        <v>32</v>
      </c>
      <c r="H385" t="s">
        <v>45</v>
      </c>
      <c r="I385" t="s">
        <v>97</v>
      </c>
      <c r="J385" t="s">
        <v>1635</v>
      </c>
      <c r="K385" t="s">
        <v>66</v>
      </c>
      <c r="L385">
        <v>71000</v>
      </c>
      <c r="M385">
        <v>7.1</v>
      </c>
      <c r="N385">
        <v>5.7</v>
      </c>
      <c r="O385">
        <v>0.5</v>
      </c>
      <c r="P385">
        <v>0</v>
      </c>
      <c r="Q385">
        <v>3</v>
      </c>
      <c r="R385">
        <v>3</v>
      </c>
      <c r="S385">
        <v>4</v>
      </c>
      <c r="T385" t="s">
        <v>23</v>
      </c>
      <c r="U385">
        <v>4</v>
      </c>
      <c r="W385" t="s">
        <v>1650</v>
      </c>
      <c r="X385" t="s">
        <v>1659</v>
      </c>
      <c r="Y385" t="s">
        <v>1664</v>
      </c>
      <c r="Z385">
        <v>0</v>
      </c>
    </row>
    <row r="386" spans="1:26" x14ac:dyDescent="0.35">
      <c r="A386" t="s">
        <v>818</v>
      </c>
      <c r="B386" s="6">
        <v>43370</v>
      </c>
      <c r="C386" t="s">
        <v>23</v>
      </c>
      <c r="D386">
        <v>37</v>
      </c>
      <c r="E386" t="s">
        <v>62</v>
      </c>
      <c r="F386" t="s">
        <v>25</v>
      </c>
      <c r="G386" t="s">
        <v>32</v>
      </c>
      <c r="H386" t="s">
        <v>38</v>
      </c>
      <c r="I386" t="s">
        <v>118</v>
      </c>
      <c r="J386" t="s">
        <v>1633</v>
      </c>
      <c r="K386" t="s">
        <v>84</v>
      </c>
      <c r="L386">
        <v>55000</v>
      </c>
      <c r="M386">
        <v>4.3</v>
      </c>
      <c r="N386">
        <v>10</v>
      </c>
      <c r="O386">
        <v>7.3</v>
      </c>
      <c r="P386">
        <v>5</v>
      </c>
      <c r="Q386">
        <v>1</v>
      </c>
      <c r="R386">
        <v>3</v>
      </c>
      <c r="S386">
        <v>3</v>
      </c>
      <c r="T386" t="s">
        <v>23</v>
      </c>
      <c r="U386">
        <v>2</v>
      </c>
      <c r="W386" t="s">
        <v>1649</v>
      </c>
      <c r="X386" t="s">
        <v>1656</v>
      </c>
      <c r="Y386" t="s">
        <v>1662</v>
      </c>
      <c r="Z386">
        <v>0</v>
      </c>
    </row>
    <row r="387" spans="1:26" x14ac:dyDescent="0.35">
      <c r="A387" t="s">
        <v>170</v>
      </c>
      <c r="B387" s="6">
        <v>43378</v>
      </c>
      <c r="C387" t="s">
        <v>30</v>
      </c>
      <c r="D387">
        <v>33</v>
      </c>
      <c r="E387" t="s">
        <v>24</v>
      </c>
      <c r="F387" t="s">
        <v>37</v>
      </c>
      <c r="G387" t="s">
        <v>54</v>
      </c>
      <c r="H387" t="s">
        <v>1634</v>
      </c>
      <c r="I387" t="s">
        <v>86</v>
      </c>
      <c r="J387" t="s">
        <v>1635</v>
      </c>
      <c r="K387" t="s">
        <v>40</v>
      </c>
      <c r="L387">
        <v>91000</v>
      </c>
      <c r="M387">
        <v>15.6</v>
      </c>
      <c r="N387">
        <v>8.1999999999999993</v>
      </c>
      <c r="O387">
        <v>6.8</v>
      </c>
      <c r="P387">
        <v>2.2000000000000002</v>
      </c>
      <c r="Q387">
        <v>2</v>
      </c>
      <c r="R387">
        <v>2</v>
      </c>
      <c r="S387">
        <v>2</v>
      </c>
      <c r="T387" t="s">
        <v>23</v>
      </c>
      <c r="U387">
        <v>4</v>
      </c>
      <c r="V387" s="7">
        <v>45870</v>
      </c>
      <c r="W387" t="s">
        <v>1650</v>
      </c>
      <c r="X387" t="s">
        <v>1657</v>
      </c>
      <c r="Y387" t="s">
        <v>1662</v>
      </c>
      <c r="Z387">
        <v>1</v>
      </c>
    </row>
    <row r="388" spans="1:26" x14ac:dyDescent="0.35">
      <c r="A388" t="s">
        <v>106</v>
      </c>
      <c r="B388" s="6">
        <v>45890</v>
      </c>
      <c r="C388" t="s">
        <v>23</v>
      </c>
      <c r="D388">
        <v>29</v>
      </c>
      <c r="E388" t="s">
        <v>24</v>
      </c>
      <c r="F388" t="s">
        <v>25</v>
      </c>
      <c r="G388" t="s">
        <v>58</v>
      </c>
      <c r="H388" t="s">
        <v>38</v>
      </c>
      <c r="I388" t="s">
        <v>52</v>
      </c>
      <c r="J388" t="s">
        <v>1632</v>
      </c>
      <c r="K388" t="s">
        <v>66</v>
      </c>
      <c r="L388">
        <v>42000</v>
      </c>
      <c r="M388">
        <v>5</v>
      </c>
      <c r="N388">
        <v>2.6</v>
      </c>
      <c r="O388">
        <v>0.4</v>
      </c>
      <c r="P388">
        <v>0</v>
      </c>
      <c r="Q388">
        <v>3</v>
      </c>
      <c r="R388">
        <v>4</v>
      </c>
      <c r="S388">
        <v>3</v>
      </c>
      <c r="T388" t="s">
        <v>23</v>
      </c>
      <c r="U388">
        <v>2</v>
      </c>
      <c r="W388" t="s">
        <v>1650</v>
      </c>
      <c r="X388" t="s">
        <v>1656</v>
      </c>
      <c r="Y388" t="s">
        <v>1664</v>
      </c>
      <c r="Z388">
        <v>0</v>
      </c>
    </row>
    <row r="389" spans="1:26" x14ac:dyDescent="0.35">
      <c r="A389" t="s">
        <v>1199</v>
      </c>
      <c r="B389" s="6">
        <v>45167</v>
      </c>
      <c r="C389" t="s">
        <v>23</v>
      </c>
      <c r="D389">
        <v>38</v>
      </c>
      <c r="E389" t="s">
        <v>62</v>
      </c>
      <c r="F389" t="s">
        <v>37</v>
      </c>
      <c r="G389" t="s">
        <v>32</v>
      </c>
      <c r="H389" t="s">
        <v>48</v>
      </c>
      <c r="I389" t="s">
        <v>201</v>
      </c>
      <c r="J389" t="s">
        <v>1633</v>
      </c>
      <c r="K389" t="s">
        <v>50</v>
      </c>
      <c r="L389">
        <v>66000</v>
      </c>
      <c r="M389">
        <v>8.6</v>
      </c>
      <c r="N389">
        <v>7.2</v>
      </c>
      <c r="O389">
        <v>2.2999999999999998</v>
      </c>
      <c r="P389">
        <v>0.2</v>
      </c>
      <c r="Q389">
        <v>3</v>
      </c>
      <c r="R389">
        <v>4</v>
      </c>
      <c r="S389">
        <v>3</v>
      </c>
      <c r="T389" t="s">
        <v>23</v>
      </c>
      <c r="U389">
        <v>3</v>
      </c>
      <c r="W389" t="s">
        <v>1649</v>
      </c>
      <c r="X389" t="s">
        <v>1659</v>
      </c>
      <c r="Y389" t="s">
        <v>1665</v>
      </c>
      <c r="Z389">
        <v>0</v>
      </c>
    </row>
    <row r="390" spans="1:26" x14ac:dyDescent="0.35">
      <c r="A390" t="s">
        <v>1328</v>
      </c>
      <c r="B390" s="6">
        <v>44398</v>
      </c>
      <c r="C390" t="s">
        <v>23</v>
      </c>
      <c r="D390">
        <v>27</v>
      </c>
      <c r="E390" t="s">
        <v>24</v>
      </c>
      <c r="F390" t="s">
        <v>1638</v>
      </c>
      <c r="G390" t="s">
        <v>54</v>
      </c>
      <c r="H390" t="s">
        <v>27</v>
      </c>
      <c r="I390" t="s">
        <v>43</v>
      </c>
      <c r="J390" t="s">
        <v>1632</v>
      </c>
      <c r="K390" t="s">
        <v>34</v>
      </c>
      <c r="L390">
        <v>25000</v>
      </c>
      <c r="M390">
        <v>8.1</v>
      </c>
      <c r="N390">
        <v>8.1999999999999993</v>
      </c>
      <c r="O390">
        <v>4.4000000000000004</v>
      </c>
      <c r="P390">
        <v>2.8</v>
      </c>
      <c r="Q390">
        <v>4</v>
      </c>
      <c r="R390">
        <v>2</v>
      </c>
      <c r="S390">
        <v>1</v>
      </c>
      <c r="T390" t="s">
        <v>23</v>
      </c>
      <c r="U390">
        <v>2</v>
      </c>
      <c r="W390" t="s">
        <v>1650</v>
      </c>
      <c r="X390" t="s">
        <v>1655</v>
      </c>
      <c r="Y390" t="s">
        <v>1661</v>
      </c>
      <c r="Z390">
        <v>0</v>
      </c>
    </row>
    <row r="391" spans="1:26" x14ac:dyDescent="0.35">
      <c r="A391" t="s">
        <v>266</v>
      </c>
      <c r="B391" s="6">
        <v>45729</v>
      </c>
      <c r="C391" t="s">
        <v>23</v>
      </c>
      <c r="D391">
        <v>39</v>
      </c>
      <c r="E391" t="s">
        <v>62</v>
      </c>
      <c r="F391" t="s">
        <v>37</v>
      </c>
      <c r="G391" t="s">
        <v>32</v>
      </c>
      <c r="H391" t="s">
        <v>55</v>
      </c>
      <c r="I391" t="s">
        <v>179</v>
      </c>
      <c r="J391" t="s">
        <v>1635</v>
      </c>
      <c r="K391" t="s">
        <v>50</v>
      </c>
      <c r="L391">
        <v>82000</v>
      </c>
      <c r="M391">
        <v>15</v>
      </c>
      <c r="N391">
        <v>3.5</v>
      </c>
      <c r="O391">
        <v>0.8</v>
      </c>
      <c r="P391">
        <v>0</v>
      </c>
      <c r="Q391">
        <v>3</v>
      </c>
      <c r="R391">
        <v>4</v>
      </c>
      <c r="S391">
        <v>1</v>
      </c>
      <c r="T391" t="s">
        <v>23</v>
      </c>
      <c r="U391">
        <v>4</v>
      </c>
      <c r="W391" t="s">
        <v>1649</v>
      </c>
      <c r="X391" t="s">
        <v>1657</v>
      </c>
      <c r="Y391" t="s">
        <v>1664</v>
      </c>
      <c r="Z391">
        <v>0</v>
      </c>
    </row>
    <row r="392" spans="1:26" x14ac:dyDescent="0.35">
      <c r="A392" t="s">
        <v>453</v>
      </c>
      <c r="B392" s="6">
        <v>44907</v>
      </c>
      <c r="C392" t="s">
        <v>23</v>
      </c>
      <c r="D392">
        <v>33</v>
      </c>
      <c r="E392" t="s">
        <v>24</v>
      </c>
      <c r="F392" t="s">
        <v>25</v>
      </c>
      <c r="G392" t="s">
        <v>54</v>
      </c>
      <c r="H392" t="s">
        <v>48</v>
      </c>
      <c r="I392" t="s">
        <v>63</v>
      </c>
      <c r="J392" t="s">
        <v>1632</v>
      </c>
      <c r="K392" t="s">
        <v>40</v>
      </c>
      <c r="L392">
        <v>28000</v>
      </c>
      <c r="M392">
        <v>0</v>
      </c>
      <c r="N392">
        <v>9</v>
      </c>
      <c r="O392">
        <v>3.1</v>
      </c>
      <c r="P392">
        <v>2.8</v>
      </c>
      <c r="Q392">
        <v>3</v>
      </c>
      <c r="R392">
        <v>2</v>
      </c>
      <c r="S392">
        <v>2</v>
      </c>
      <c r="T392" t="s">
        <v>23</v>
      </c>
      <c r="U392">
        <v>3</v>
      </c>
      <c r="W392" t="s">
        <v>1650</v>
      </c>
      <c r="X392" t="s">
        <v>1655</v>
      </c>
      <c r="Y392" t="s">
        <v>1661</v>
      </c>
      <c r="Z392">
        <v>0</v>
      </c>
    </row>
    <row r="393" spans="1:26" x14ac:dyDescent="0.35">
      <c r="A393" t="s">
        <v>924</v>
      </c>
      <c r="B393" s="6">
        <v>43413</v>
      </c>
      <c r="C393" t="s">
        <v>23</v>
      </c>
      <c r="D393">
        <v>38</v>
      </c>
      <c r="E393" t="s">
        <v>36</v>
      </c>
      <c r="F393" t="s">
        <v>42</v>
      </c>
      <c r="G393" t="s">
        <v>32</v>
      </c>
      <c r="H393" t="s">
        <v>48</v>
      </c>
      <c r="I393" t="s">
        <v>49</v>
      </c>
      <c r="J393" t="s">
        <v>1632</v>
      </c>
      <c r="K393" t="s">
        <v>84</v>
      </c>
      <c r="L393">
        <v>32000</v>
      </c>
      <c r="M393">
        <v>9.3000000000000007</v>
      </c>
      <c r="N393">
        <v>12</v>
      </c>
      <c r="O393">
        <v>7.1</v>
      </c>
      <c r="P393">
        <v>1.1000000000000001</v>
      </c>
      <c r="Q393">
        <v>3</v>
      </c>
      <c r="R393">
        <v>3</v>
      </c>
      <c r="S393">
        <v>3</v>
      </c>
      <c r="T393" t="s">
        <v>30</v>
      </c>
      <c r="U393">
        <v>3</v>
      </c>
      <c r="W393" t="s">
        <v>1649</v>
      </c>
      <c r="X393" t="s">
        <v>1655</v>
      </c>
      <c r="Y393" t="s">
        <v>1662</v>
      </c>
      <c r="Z393">
        <v>0</v>
      </c>
    </row>
    <row r="394" spans="1:26" x14ac:dyDescent="0.35">
      <c r="A394" t="s">
        <v>537</v>
      </c>
      <c r="B394" s="6">
        <v>45483</v>
      </c>
      <c r="C394" t="s">
        <v>23</v>
      </c>
      <c r="D394">
        <v>22</v>
      </c>
      <c r="E394" t="s">
        <v>62</v>
      </c>
      <c r="F394" t="s">
        <v>25</v>
      </c>
      <c r="G394" t="s">
        <v>32</v>
      </c>
      <c r="H394" t="s">
        <v>55</v>
      </c>
      <c r="I394" t="s">
        <v>56</v>
      </c>
      <c r="J394" t="s">
        <v>1632</v>
      </c>
      <c r="K394" t="s">
        <v>66</v>
      </c>
      <c r="L394">
        <v>34000</v>
      </c>
      <c r="M394">
        <v>12.2</v>
      </c>
      <c r="N394">
        <v>5.0999999999999996</v>
      </c>
      <c r="O394">
        <v>1.5</v>
      </c>
      <c r="P394">
        <v>0.3</v>
      </c>
      <c r="Q394">
        <v>2</v>
      </c>
      <c r="R394">
        <v>3</v>
      </c>
      <c r="S394">
        <v>4</v>
      </c>
      <c r="T394" t="s">
        <v>30</v>
      </c>
      <c r="U394">
        <v>4</v>
      </c>
      <c r="W394" t="s">
        <v>1651</v>
      </c>
      <c r="X394" t="s">
        <v>1655</v>
      </c>
      <c r="Y394" t="s">
        <v>1665</v>
      </c>
      <c r="Z394">
        <v>0</v>
      </c>
    </row>
    <row r="395" spans="1:26" x14ac:dyDescent="0.35">
      <c r="A395" t="s">
        <v>1112</v>
      </c>
      <c r="B395" s="6">
        <v>42251</v>
      </c>
      <c r="C395" t="s">
        <v>23</v>
      </c>
      <c r="D395">
        <v>35</v>
      </c>
      <c r="E395" t="s">
        <v>36</v>
      </c>
      <c r="F395" t="s">
        <v>42</v>
      </c>
      <c r="G395" t="s">
        <v>32</v>
      </c>
      <c r="H395" t="s">
        <v>27</v>
      </c>
      <c r="I395" t="s">
        <v>95</v>
      </c>
      <c r="J395" t="s">
        <v>1632</v>
      </c>
      <c r="K395" t="s">
        <v>66</v>
      </c>
      <c r="L395">
        <v>22000</v>
      </c>
      <c r="M395">
        <v>10.9</v>
      </c>
      <c r="N395">
        <v>17</v>
      </c>
      <c r="O395">
        <v>10.3</v>
      </c>
      <c r="P395">
        <v>1.7</v>
      </c>
      <c r="Q395">
        <v>4</v>
      </c>
      <c r="R395">
        <v>3</v>
      </c>
      <c r="S395">
        <v>3</v>
      </c>
      <c r="T395" t="s">
        <v>23</v>
      </c>
      <c r="U395">
        <v>3</v>
      </c>
      <c r="W395" t="s">
        <v>1650</v>
      </c>
      <c r="X395" t="s">
        <v>1655</v>
      </c>
      <c r="Y395" t="s">
        <v>1663</v>
      </c>
      <c r="Z395">
        <v>0</v>
      </c>
    </row>
    <row r="396" spans="1:26" x14ac:dyDescent="0.35">
      <c r="A396" t="s">
        <v>1236</v>
      </c>
      <c r="B396" s="6">
        <v>45654</v>
      </c>
      <c r="C396" t="s">
        <v>23</v>
      </c>
      <c r="D396">
        <v>22</v>
      </c>
      <c r="E396" t="s">
        <v>24</v>
      </c>
      <c r="F396" t="s">
        <v>42</v>
      </c>
      <c r="G396" t="s">
        <v>54</v>
      </c>
      <c r="H396" t="s">
        <v>55</v>
      </c>
      <c r="I396" t="s">
        <v>56</v>
      </c>
      <c r="J396" t="s">
        <v>1632</v>
      </c>
      <c r="K396" t="s">
        <v>40</v>
      </c>
      <c r="L396">
        <v>50000</v>
      </c>
      <c r="M396">
        <v>6.1</v>
      </c>
      <c r="N396">
        <v>5</v>
      </c>
      <c r="O396">
        <v>1</v>
      </c>
      <c r="P396">
        <v>0.4</v>
      </c>
      <c r="Q396">
        <v>4</v>
      </c>
      <c r="R396">
        <v>3</v>
      </c>
      <c r="S396">
        <v>4</v>
      </c>
      <c r="T396" t="s">
        <v>30</v>
      </c>
      <c r="U396">
        <v>4</v>
      </c>
      <c r="W396" t="s">
        <v>1651</v>
      </c>
      <c r="X396" t="s">
        <v>1656</v>
      </c>
      <c r="Y396" t="s">
        <v>1665</v>
      </c>
      <c r="Z396">
        <v>0</v>
      </c>
    </row>
    <row r="397" spans="1:26" x14ac:dyDescent="0.35">
      <c r="A397" t="s">
        <v>1373</v>
      </c>
      <c r="B397" s="6">
        <v>44175</v>
      </c>
      <c r="C397" t="s">
        <v>23</v>
      </c>
      <c r="D397">
        <v>34</v>
      </c>
      <c r="E397" t="s">
        <v>62</v>
      </c>
      <c r="F397" t="s">
        <v>25</v>
      </c>
      <c r="G397" t="s">
        <v>26</v>
      </c>
      <c r="H397" t="s">
        <v>38</v>
      </c>
      <c r="I397" t="s">
        <v>118</v>
      </c>
      <c r="J397" t="s">
        <v>1635</v>
      </c>
      <c r="K397" t="s">
        <v>34</v>
      </c>
      <c r="L397">
        <v>97000</v>
      </c>
      <c r="M397">
        <v>4.9000000000000004</v>
      </c>
      <c r="N397">
        <v>13</v>
      </c>
      <c r="O397">
        <v>5.0999999999999996</v>
      </c>
      <c r="P397">
        <v>0.1</v>
      </c>
      <c r="Q397">
        <v>3</v>
      </c>
      <c r="R397">
        <v>3</v>
      </c>
      <c r="S397">
        <v>2</v>
      </c>
      <c r="T397" t="s">
        <v>30</v>
      </c>
      <c r="U397">
        <v>3</v>
      </c>
      <c r="W397" t="s">
        <v>1650</v>
      </c>
      <c r="X397" t="s">
        <v>1657</v>
      </c>
      <c r="Y397" t="s">
        <v>1661</v>
      </c>
      <c r="Z397">
        <v>0</v>
      </c>
    </row>
    <row r="398" spans="1:26" x14ac:dyDescent="0.35">
      <c r="A398" t="s">
        <v>181</v>
      </c>
      <c r="B398" s="6">
        <v>44181</v>
      </c>
      <c r="C398" t="s">
        <v>23</v>
      </c>
      <c r="D398">
        <v>36</v>
      </c>
      <c r="E398" t="s">
        <v>24</v>
      </c>
      <c r="F398" t="s">
        <v>42</v>
      </c>
      <c r="G398" t="s">
        <v>54</v>
      </c>
      <c r="H398" t="s">
        <v>48</v>
      </c>
      <c r="I398" t="s">
        <v>49</v>
      </c>
      <c r="J398" t="s">
        <v>1636</v>
      </c>
      <c r="K398" t="s">
        <v>84</v>
      </c>
      <c r="L398">
        <v>121000</v>
      </c>
      <c r="M398">
        <v>9.6999999999999993</v>
      </c>
      <c r="N398">
        <v>10.1</v>
      </c>
      <c r="O398">
        <v>5</v>
      </c>
      <c r="P398">
        <v>4.3</v>
      </c>
      <c r="Q398">
        <v>3</v>
      </c>
      <c r="R398">
        <v>2</v>
      </c>
      <c r="S398">
        <v>4</v>
      </c>
      <c r="T398" t="s">
        <v>23</v>
      </c>
      <c r="U398">
        <v>3</v>
      </c>
      <c r="W398" t="s">
        <v>1649</v>
      </c>
      <c r="X398" t="s">
        <v>1658</v>
      </c>
      <c r="Y398" t="s">
        <v>1661</v>
      </c>
      <c r="Z398">
        <v>0</v>
      </c>
    </row>
    <row r="399" spans="1:26" x14ac:dyDescent="0.35">
      <c r="A399" t="s">
        <v>611</v>
      </c>
      <c r="B399" s="6">
        <v>43985</v>
      </c>
      <c r="C399" t="s">
        <v>23</v>
      </c>
      <c r="D399">
        <v>27</v>
      </c>
      <c r="E399" t="s">
        <v>36</v>
      </c>
      <c r="F399" t="s">
        <v>42</v>
      </c>
      <c r="G399" t="s">
        <v>26</v>
      </c>
      <c r="H399" t="s">
        <v>45</v>
      </c>
      <c r="I399" t="s">
        <v>97</v>
      </c>
      <c r="J399" t="s">
        <v>1632</v>
      </c>
      <c r="K399" t="s">
        <v>84</v>
      </c>
      <c r="L399">
        <v>32000</v>
      </c>
      <c r="M399">
        <v>4.7</v>
      </c>
      <c r="N399">
        <v>6</v>
      </c>
      <c r="O399">
        <v>5.6</v>
      </c>
      <c r="P399">
        <v>5.3</v>
      </c>
      <c r="Q399">
        <v>4</v>
      </c>
      <c r="R399">
        <v>3</v>
      </c>
      <c r="S399">
        <v>4</v>
      </c>
      <c r="T399" t="s">
        <v>30</v>
      </c>
      <c r="U399">
        <v>2</v>
      </c>
      <c r="W399" t="s">
        <v>1650</v>
      </c>
      <c r="X399" t="s">
        <v>1655</v>
      </c>
      <c r="Y399" t="s">
        <v>1661</v>
      </c>
      <c r="Z399">
        <v>0</v>
      </c>
    </row>
    <row r="400" spans="1:26" x14ac:dyDescent="0.35">
      <c r="A400" t="s">
        <v>1165</v>
      </c>
      <c r="B400" s="6">
        <v>42901</v>
      </c>
      <c r="C400" t="s">
        <v>30</v>
      </c>
      <c r="D400">
        <v>36</v>
      </c>
      <c r="E400" t="s">
        <v>62</v>
      </c>
      <c r="F400" t="s">
        <v>37</v>
      </c>
      <c r="G400" t="s">
        <v>32</v>
      </c>
      <c r="H400" t="s">
        <v>68</v>
      </c>
      <c r="I400" t="s">
        <v>109</v>
      </c>
      <c r="J400" t="s">
        <v>1635</v>
      </c>
      <c r="K400" t="s">
        <v>84</v>
      </c>
      <c r="L400">
        <v>85000</v>
      </c>
      <c r="M400">
        <v>0</v>
      </c>
      <c r="N400">
        <v>9.9</v>
      </c>
      <c r="O400">
        <v>8</v>
      </c>
      <c r="P400">
        <v>0.7</v>
      </c>
      <c r="Q400">
        <v>4</v>
      </c>
      <c r="R400">
        <v>3</v>
      </c>
      <c r="S400">
        <v>4</v>
      </c>
      <c r="T400" t="s">
        <v>23</v>
      </c>
      <c r="U400">
        <v>4</v>
      </c>
      <c r="V400" s="7">
        <v>45829</v>
      </c>
      <c r="W400" t="s">
        <v>1649</v>
      </c>
      <c r="X400" t="s">
        <v>1657</v>
      </c>
      <c r="Y400" t="s">
        <v>1662</v>
      </c>
      <c r="Z400">
        <v>1</v>
      </c>
    </row>
    <row r="401" spans="1:26" x14ac:dyDescent="0.35">
      <c r="A401" t="s">
        <v>853</v>
      </c>
      <c r="B401" s="6">
        <v>44106</v>
      </c>
      <c r="C401" t="s">
        <v>23</v>
      </c>
      <c r="D401">
        <v>37</v>
      </c>
      <c r="E401" t="s">
        <v>36</v>
      </c>
      <c r="F401" t="s">
        <v>42</v>
      </c>
      <c r="G401" t="s">
        <v>58</v>
      </c>
      <c r="H401" t="s">
        <v>68</v>
      </c>
      <c r="I401" t="s">
        <v>69</v>
      </c>
      <c r="J401" t="s">
        <v>1635</v>
      </c>
      <c r="K401" t="s">
        <v>29</v>
      </c>
      <c r="L401">
        <v>95000</v>
      </c>
      <c r="M401">
        <v>9.1</v>
      </c>
      <c r="N401">
        <v>9.3000000000000007</v>
      </c>
      <c r="O401">
        <v>5.2</v>
      </c>
      <c r="P401">
        <v>4.3</v>
      </c>
      <c r="Q401">
        <v>3</v>
      </c>
      <c r="R401">
        <v>3</v>
      </c>
      <c r="S401">
        <v>3</v>
      </c>
      <c r="T401" t="s">
        <v>30</v>
      </c>
      <c r="U401">
        <v>4</v>
      </c>
      <c r="W401" t="s">
        <v>1649</v>
      </c>
      <c r="X401" t="s">
        <v>1657</v>
      </c>
      <c r="Y401" t="s">
        <v>1661</v>
      </c>
      <c r="Z401">
        <v>0</v>
      </c>
    </row>
    <row r="402" spans="1:26" x14ac:dyDescent="0.35">
      <c r="A402" t="s">
        <v>275</v>
      </c>
      <c r="B402" s="6">
        <v>42135</v>
      </c>
      <c r="C402" t="s">
        <v>23</v>
      </c>
      <c r="D402">
        <v>32</v>
      </c>
      <c r="E402" t="s">
        <v>24</v>
      </c>
      <c r="F402" t="s">
        <v>37</v>
      </c>
      <c r="G402" t="s">
        <v>26</v>
      </c>
      <c r="H402" t="s">
        <v>45</v>
      </c>
      <c r="I402" t="s">
        <v>164</v>
      </c>
      <c r="J402" t="s">
        <v>1633</v>
      </c>
      <c r="K402" t="s">
        <v>84</v>
      </c>
      <c r="L402">
        <v>62000</v>
      </c>
      <c r="M402">
        <v>6.4</v>
      </c>
      <c r="N402">
        <v>18.3</v>
      </c>
      <c r="O402">
        <v>10.6</v>
      </c>
      <c r="P402">
        <v>0.5</v>
      </c>
      <c r="Q402">
        <v>3</v>
      </c>
      <c r="R402">
        <v>2</v>
      </c>
      <c r="S402">
        <v>2</v>
      </c>
      <c r="T402" t="s">
        <v>30</v>
      </c>
      <c r="U402">
        <v>2</v>
      </c>
      <c r="W402" t="s">
        <v>1650</v>
      </c>
      <c r="X402" t="s">
        <v>1659</v>
      </c>
      <c r="Y402" t="s">
        <v>1663</v>
      </c>
      <c r="Z402">
        <v>0</v>
      </c>
    </row>
    <row r="403" spans="1:26" x14ac:dyDescent="0.35">
      <c r="A403" t="s">
        <v>461</v>
      </c>
      <c r="B403" s="6">
        <v>44424</v>
      </c>
      <c r="C403" t="s">
        <v>23</v>
      </c>
      <c r="D403">
        <v>30</v>
      </c>
      <c r="E403" t="s">
        <v>62</v>
      </c>
      <c r="F403" t="s">
        <v>42</v>
      </c>
      <c r="G403" t="s">
        <v>58</v>
      </c>
      <c r="H403" t="s">
        <v>48</v>
      </c>
      <c r="I403" t="s">
        <v>49</v>
      </c>
      <c r="J403" t="s">
        <v>1635</v>
      </c>
      <c r="K403" t="s">
        <v>34</v>
      </c>
      <c r="L403">
        <v>71000</v>
      </c>
      <c r="M403">
        <v>9.5</v>
      </c>
      <c r="N403">
        <v>4.5999999999999996</v>
      </c>
      <c r="O403">
        <v>4.4000000000000004</v>
      </c>
      <c r="P403">
        <v>3.5</v>
      </c>
      <c r="Q403">
        <v>1</v>
      </c>
      <c r="R403">
        <v>4</v>
      </c>
      <c r="S403">
        <v>3</v>
      </c>
      <c r="T403" t="s">
        <v>23</v>
      </c>
      <c r="U403">
        <v>3</v>
      </c>
      <c r="W403" t="s">
        <v>1650</v>
      </c>
      <c r="X403" t="s">
        <v>1659</v>
      </c>
      <c r="Y403" t="s">
        <v>1661</v>
      </c>
      <c r="Z403">
        <v>0</v>
      </c>
    </row>
    <row r="404" spans="1:26" x14ac:dyDescent="0.35">
      <c r="A404" t="s">
        <v>1205</v>
      </c>
      <c r="B404" s="6">
        <v>43489</v>
      </c>
      <c r="C404" t="s">
        <v>23</v>
      </c>
      <c r="D404">
        <v>35</v>
      </c>
      <c r="E404" t="s">
        <v>36</v>
      </c>
      <c r="F404" t="s">
        <v>42</v>
      </c>
      <c r="G404" t="s">
        <v>32</v>
      </c>
      <c r="H404" t="s">
        <v>27</v>
      </c>
      <c r="I404" t="s">
        <v>33</v>
      </c>
      <c r="J404" t="s">
        <v>1635</v>
      </c>
      <c r="K404" t="s">
        <v>66</v>
      </c>
      <c r="L404">
        <v>71000</v>
      </c>
      <c r="M404">
        <v>7.8</v>
      </c>
      <c r="N404">
        <v>8.6999999999999993</v>
      </c>
      <c r="O404">
        <v>6.9</v>
      </c>
      <c r="P404">
        <v>2.2000000000000002</v>
      </c>
      <c r="Q404">
        <v>3</v>
      </c>
      <c r="R404">
        <v>3</v>
      </c>
      <c r="S404">
        <v>4</v>
      </c>
      <c r="T404" t="s">
        <v>23</v>
      </c>
      <c r="U404">
        <v>2</v>
      </c>
      <c r="W404" t="s">
        <v>1650</v>
      </c>
      <c r="X404" t="s">
        <v>1659</v>
      </c>
      <c r="Y404" t="s">
        <v>1662</v>
      </c>
      <c r="Z404">
        <v>0</v>
      </c>
    </row>
    <row r="405" spans="1:26" x14ac:dyDescent="0.35">
      <c r="A405" t="s">
        <v>416</v>
      </c>
      <c r="B405" s="6">
        <v>45164</v>
      </c>
      <c r="C405" t="s">
        <v>23</v>
      </c>
      <c r="D405">
        <v>39</v>
      </c>
      <c r="E405" t="s">
        <v>36</v>
      </c>
      <c r="F405" t="s">
        <v>37</v>
      </c>
      <c r="G405" t="s">
        <v>32</v>
      </c>
      <c r="H405" t="s">
        <v>55</v>
      </c>
      <c r="I405" t="s">
        <v>88</v>
      </c>
      <c r="J405" t="s">
        <v>1633</v>
      </c>
      <c r="K405" t="s">
        <v>1638</v>
      </c>
      <c r="L405">
        <v>61000</v>
      </c>
      <c r="M405">
        <v>8.3000000000000007</v>
      </c>
      <c r="N405">
        <v>3.6</v>
      </c>
      <c r="O405">
        <v>2.2999999999999998</v>
      </c>
      <c r="P405">
        <v>0.3</v>
      </c>
      <c r="Q405">
        <v>4</v>
      </c>
      <c r="R405">
        <v>4</v>
      </c>
      <c r="S405">
        <v>3</v>
      </c>
      <c r="T405" t="s">
        <v>23</v>
      </c>
      <c r="U405">
        <v>3</v>
      </c>
      <c r="W405" t="s">
        <v>1649</v>
      </c>
      <c r="X405" t="s">
        <v>1659</v>
      </c>
      <c r="Y405" t="s">
        <v>1665</v>
      </c>
      <c r="Z405">
        <v>0</v>
      </c>
    </row>
    <row r="406" spans="1:26" x14ac:dyDescent="0.35">
      <c r="A406" t="s">
        <v>1352</v>
      </c>
      <c r="B406" s="6">
        <v>41733</v>
      </c>
      <c r="C406" t="s">
        <v>23</v>
      </c>
      <c r="D406">
        <v>35</v>
      </c>
      <c r="E406" t="s">
        <v>36</v>
      </c>
      <c r="F406" t="s">
        <v>1638</v>
      </c>
      <c r="G406" t="s">
        <v>32</v>
      </c>
      <c r="H406" t="s">
        <v>45</v>
      </c>
      <c r="I406" t="s">
        <v>164</v>
      </c>
      <c r="J406" t="s">
        <v>1635</v>
      </c>
      <c r="K406" t="s">
        <v>50</v>
      </c>
      <c r="L406">
        <v>65000</v>
      </c>
      <c r="M406">
        <v>7.3</v>
      </c>
      <c r="N406">
        <v>16</v>
      </c>
      <c r="O406">
        <v>11.7</v>
      </c>
      <c r="P406">
        <v>0.7</v>
      </c>
      <c r="Q406">
        <v>3</v>
      </c>
      <c r="R406">
        <v>1</v>
      </c>
      <c r="S406">
        <v>4</v>
      </c>
      <c r="T406" t="s">
        <v>30</v>
      </c>
      <c r="U406">
        <v>4</v>
      </c>
      <c r="W406" t="s">
        <v>1650</v>
      </c>
      <c r="X406" t="s">
        <v>1659</v>
      </c>
      <c r="Y406" t="s">
        <v>1663</v>
      </c>
      <c r="Z406">
        <v>0</v>
      </c>
    </row>
    <row r="407" spans="1:26" x14ac:dyDescent="0.35">
      <c r="A407" t="s">
        <v>371</v>
      </c>
      <c r="B407" s="6">
        <v>44650</v>
      </c>
      <c r="C407" t="s">
        <v>23</v>
      </c>
      <c r="D407">
        <v>34</v>
      </c>
      <c r="E407" t="s">
        <v>36</v>
      </c>
      <c r="F407" t="s">
        <v>25</v>
      </c>
      <c r="G407" t="s">
        <v>26</v>
      </c>
      <c r="H407" t="s">
        <v>45</v>
      </c>
      <c r="I407" t="s">
        <v>77</v>
      </c>
      <c r="J407" t="s">
        <v>1635</v>
      </c>
      <c r="K407" t="s">
        <v>29</v>
      </c>
      <c r="L407">
        <v>59000</v>
      </c>
      <c r="M407">
        <v>12.7</v>
      </c>
      <c r="N407">
        <v>11.7</v>
      </c>
      <c r="O407">
        <v>3.8</v>
      </c>
      <c r="P407">
        <v>2.5</v>
      </c>
      <c r="Q407">
        <v>4</v>
      </c>
      <c r="R407">
        <v>4</v>
      </c>
      <c r="S407">
        <v>3</v>
      </c>
      <c r="T407" t="s">
        <v>23</v>
      </c>
      <c r="U407">
        <v>5</v>
      </c>
      <c r="W407" t="s">
        <v>1650</v>
      </c>
      <c r="X407" t="s">
        <v>1656</v>
      </c>
      <c r="Y407" t="s">
        <v>1661</v>
      </c>
      <c r="Z407">
        <v>0</v>
      </c>
    </row>
    <row r="408" spans="1:26" x14ac:dyDescent="0.35">
      <c r="A408" t="s">
        <v>1330</v>
      </c>
      <c r="B408" s="6">
        <v>43558</v>
      </c>
      <c r="C408" t="s">
        <v>23</v>
      </c>
      <c r="D408">
        <v>46</v>
      </c>
      <c r="E408" t="s">
        <v>24</v>
      </c>
      <c r="F408" t="s">
        <v>42</v>
      </c>
      <c r="G408" t="s">
        <v>32</v>
      </c>
      <c r="H408" t="s">
        <v>48</v>
      </c>
      <c r="I408" t="s">
        <v>63</v>
      </c>
      <c r="J408" t="s">
        <v>1633</v>
      </c>
      <c r="K408" t="s">
        <v>50</v>
      </c>
      <c r="L408">
        <v>65000</v>
      </c>
      <c r="M408">
        <v>7.2</v>
      </c>
      <c r="N408">
        <v>10.3</v>
      </c>
      <c r="O408">
        <v>6.7</v>
      </c>
      <c r="P408">
        <v>0.6</v>
      </c>
      <c r="Q408">
        <v>3</v>
      </c>
      <c r="R408">
        <v>1</v>
      </c>
      <c r="S408">
        <v>3</v>
      </c>
      <c r="T408" t="s">
        <v>23</v>
      </c>
      <c r="U408">
        <v>4</v>
      </c>
      <c r="W408" t="s">
        <v>1652</v>
      </c>
      <c r="X408" t="s">
        <v>1659</v>
      </c>
      <c r="Y408" t="s">
        <v>1662</v>
      </c>
      <c r="Z408">
        <v>0</v>
      </c>
    </row>
    <row r="409" spans="1:26" x14ac:dyDescent="0.35">
      <c r="A409" t="s">
        <v>529</v>
      </c>
      <c r="B409" s="6">
        <v>41821</v>
      </c>
      <c r="C409" t="s">
        <v>23</v>
      </c>
      <c r="D409">
        <v>33</v>
      </c>
      <c r="E409" t="s">
        <v>62</v>
      </c>
      <c r="F409" t="s">
        <v>42</v>
      </c>
      <c r="G409" t="s">
        <v>58</v>
      </c>
      <c r="H409" t="s">
        <v>38</v>
      </c>
      <c r="I409" t="s">
        <v>52</v>
      </c>
      <c r="J409" t="s">
        <v>1635</v>
      </c>
      <c r="K409" t="s">
        <v>34</v>
      </c>
      <c r="L409">
        <v>94000</v>
      </c>
      <c r="M409">
        <v>10.9</v>
      </c>
      <c r="N409">
        <v>16.3</v>
      </c>
      <c r="O409">
        <v>11.5</v>
      </c>
      <c r="P409">
        <v>3.1</v>
      </c>
      <c r="Q409">
        <v>3</v>
      </c>
      <c r="R409">
        <v>1</v>
      </c>
      <c r="S409">
        <v>3</v>
      </c>
      <c r="T409" t="s">
        <v>23</v>
      </c>
      <c r="U409">
        <v>3</v>
      </c>
      <c r="W409" t="s">
        <v>1650</v>
      </c>
      <c r="X409" t="s">
        <v>1657</v>
      </c>
      <c r="Y409" t="s">
        <v>1663</v>
      </c>
      <c r="Z409">
        <v>0</v>
      </c>
    </row>
    <row r="410" spans="1:26" x14ac:dyDescent="0.35">
      <c r="A410" t="s">
        <v>613</v>
      </c>
      <c r="B410" s="6">
        <v>44925</v>
      </c>
      <c r="C410" t="s">
        <v>30</v>
      </c>
      <c r="D410">
        <v>28</v>
      </c>
      <c r="E410" t="s">
        <v>36</v>
      </c>
      <c r="F410" t="s">
        <v>25</v>
      </c>
      <c r="G410" t="s">
        <v>54</v>
      </c>
      <c r="H410" t="s">
        <v>68</v>
      </c>
      <c r="I410" t="s">
        <v>102</v>
      </c>
      <c r="J410" t="s">
        <v>1633</v>
      </c>
      <c r="K410" t="s">
        <v>40</v>
      </c>
      <c r="L410">
        <v>62000</v>
      </c>
      <c r="M410">
        <v>7.7</v>
      </c>
      <c r="N410">
        <v>8.6</v>
      </c>
      <c r="O410">
        <v>2.6</v>
      </c>
      <c r="P410">
        <v>1.1000000000000001</v>
      </c>
      <c r="Q410">
        <v>4</v>
      </c>
      <c r="R410">
        <v>3</v>
      </c>
      <c r="S410">
        <v>2</v>
      </c>
      <c r="T410" t="s">
        <v>334</v>
      </c>
      <c r="U410">
        <v>4</v>
      </c>
      <c r="V410" s="7">
        <v>45885</v>
      </c>
      <c r="W410" t="s">
        <v>1650</v>
      </c>
      <c r="X410" t="s">
        <v>1659</v>
      </c>
      <c r="Y410" t="s">
        <v>1665</v>
      </c>
      <c r="Z410">
        <v>1</v>
      </c>
    </row>
    <row r="411" spans="1:26" x14ac:dyDescent="0.35">
      <c r="A411" t="s">
        <v>1113</v>
      </c>
      <c r="B411" s="6">
        <v>45614</v>
      </c>
      <c r="C411" t="s">
        <v>23</v>
      </c>
      <c r="D411">
        <v>26</v>
      </c>
      <c r="E411" t="s">
        <v>62</v>
      </c>
      <c r="F411" t="s">
        <v>42</v>
      </c>
      <c r="G411" t="s">
        <v>54</v>
      </c>
      <c r="H411" t="s">
        <v>1634</v>
      </c>
      <c r="I411" t="s">
        <v>75</v>
      </c>
      <c r="J411" t="s">
        <v>1632</v>
      </c>
      <c r="K411" t="s">
        <v>40</v>
      </c>
      <c r="L411">
        <v>37000</v>
      </c>
      <c r="M411">
        <v>17.3</v>
      </c>
      <c r="N411">
        <v>3.8</v>
      </c>
      <c r="O411">
        <v>1.1000000000000001</v>
      </c>
      <c r="P411">
        <v>1</v>
      </c>
      <c r="Q411">
        <v>4</v>
      </c>
      <c r="R411">
        <v>3</v>
      </c>
      <c r="S411">
        <v>3</v>
      </c>
      <c r="T411" t="s">
        <v>23</v>
      </c>
      <c r="U411">
        <v>1</v>
      </c>
      <c r="W411" t="s">
        <v>1650</v>
      </c>
      <c r="X411" t="s">
        <v>1655</v>
      </c>
      <c r="Y411" t="s">
        <v>1665</v>
      </c>
      <c r="Z411">
        <v>0</v>
      </c>
    </row>
    <row r="412" spans="1:26" x14ac:dyDescent="0.35">
      <c r="A412" t="s">
        <v>1220</v>
      </c>
      <c r="B412" s="6">
        <v>42685</v>
      </c>
      <c r="C412" t="s">
        <v>23</v>
      </c>
      <c r="D412">
        <v>33</v>
      </c>
      <c r="E412" t="s">
        <v>62</v>
      </c>
      <c r="F412" t="s">
        <v>25</v>
      </c>
      <c r="G412" t="s">
        <v>54</v>
      </c>
      <c r="H412" t="s">
        <v>27</v>
      </c>
      <c r="I412" t="s">
        <v>33</v>
      </c>
      <c r="J412" t="s">
        <v>1635</v>
      </c>
      <c r="K412" t="s">
        <v>40</v>
      </c>
      <c r="L412">
        <v>86000</v>
      </c>
      <c r="M412">
        <v>8.6999999999999993</v>
      </c>
      <c r="N412">
        <v>13.6</v>
      </c>
      <c r="O412">
        <v>9.1</v>
      </c>
      <c r="P412">
        <v>0.3</v>
      </c>
      <c r="Q412">
        <v>2</v>
      </c>
      <c r="R412">
        <v>4</v>
      </c>
      <c r="S412">
        <v>4</v>
      </c>
      <c r="T412" t="s">
        <v>30</v>
      </c>
      <c r="U412">
        <v>3</v>
      </c>
      <c r="W412" t="s">
        <v>1650</v>
      </c>
      <c r="X412" t="s">
        <v>1657</v>
      </c>
      <c r="Y412" t="s">
        <v>1662</v>
      </c>
      <c r="Z412">
        <v>0</v>
      </c>
    </row>
    <row r="413" spans="1:26" x14ac:dyDescent="0.35">
      <c r="A413" t="s">
        <v>1018</v>
      </c>
      <c r="B413" s="6">
        <v>45592</v>
      </c>
      <c r="C413" t="s">
        <v>23</v>
      </c>
      <c r="D413">
        <v>26</v>
      </c>
      <c r="E413" t="s">
        <v>62</v>
      </c>
      <c r="F413" t="s">
        <v>37</v>
      </c>
      <c r="G413" t="s">
        <v>26</v>
      </c>
      <c r="H413" t="s">
        <v>38</v>
      </c>
      <c r="I413" t="s">
        <v>118</v>
      </c>
      <c r="J413" t="s">
        <v>1632</v>
      </c>
      <c r="K413" t="s">
        <v>50</v>
      </c>
      <c r="L413">
        <v>42000</v>
      </c>
      <c r="M413">
        <v>8.3000000000000007</v>
      </c>
      <c r="N413">
        <v>2.2000000000000002</v>
      </c>
      <c r="O413">
        <v>1.2</v>
      </c>
      <c r="P413">
        <v>0.8</v>
      </c>
      <c r="Q413">
        <v>3</v>
      </c>
      <c r="R413">
        <v>3</v>
      </c>
      <c r="S413">
        <v>2</v>
      </c>
      <c r="T413" t="s">
        <v>23</v>
      </c>
      <c r="U413">
        <v>5</v>
      </c>
      <c r="W413" t="s">
        <v>1650</v>
      </c>
      <c r="X413" t="s">
        <v>1656</v>
      </c>
      <c r="Y413" t="s">
        <v>1665</v>
      </c>
      <c r="Z413">
        <v>0</v>
      </c>
    </row>
    <row r="414" spans="1:26" x14ac:dyDescent="0.35">
      <c r="A414" t="s">
        <v>149</v>
      </c>
      <c r="B414" s="6">
        <v>41765</v>
      </c>
      <c r="C414" t="s">
        <v>23</v>
      </c>
      <c r="D414">
        <v>41</v>
      </c>
      <c r="E414" t="s">
        <v>36</v>
      </c>
      <c r="F414" t="s">
        <v>25</v>
      </c>
      <c r="G414" t="s">
        <v>26</v>
      </c>
      <c r="H414" t="s">
        <v>1634</v>
      </c>
      <c r="I414" t="s">
        <v>150</v>
      </c>
      <c r="J414" t="s">
        <v>1635</v>
      </c>
      <c r="K414" t="s">
        <v>84</v>
      </c>
      <c r="L414">
        <v>99000</v>
      </c>
      <c r="M414">
        <v>11.3</v>
      </c>
      <c r="N414">
        <v>15.1</v>
      </c>
      <c r="O414">
        <v>11.7</v>
      </c>
      <c r="P414">
        <v>1.5</v>
      </c>
      <c r="Q414">
        <v>3</v>
      </c>
      <c r="R414">
        <v>3</v>
      </c>
      <c r="S414">
        <v>4</v>
      </c>
      <c r="T414" t="s">
        <v>23</v>
      </c>
      <c r="U414">
        <v>4</v>
      </c>
      <c r="W414" t="s">
        <v>1649</v>
      </c>
      <c r="X414" t="s">
        <v>1657</v>
      </c>
      <c r="Y414" t="s">
        <v>1663</v>
      </c>
      <c r="Z414">
        <v>0</v>
      </c>
    </row>
    <row r="415" spans="1:26" x14ac:dyDescent="0.35">
      <c r="A415" t="s">
        <v>1412</v>
      </c>
      <c r="B415" s="6">
        <v>43943</v>
      </c>
      <c r="C415" t="s">
        <v>30</v>
      </c>
      <c r="D415">
        <v>34</v>
      </c>
      <c r="E415" t="s">
        <v>24</v>
      </c>
      <c r="F415" t="s">
        <v>25</v>
      </c>
      <c r="G415" t="s">
        <v>32</v>
      </c>
      <c r="H415" t="s">
        <v>55</v>
      </c>
      <c r="I415" t="s">
        <v>56</v>
      </c>
      <c r="J415" t="s">
        <v>1633</v>
      </c>
      <c r="K415" t="s">
        <v>29</v>
      </c>
      <c r="L415">
        <v>58000</v>
      </c>
      <c r="M415">
        <v>10.4</v>
      </c>
      <c r="N415">
        <v>8.6</v>
      </c>
      <c r="O415">
        <v>5.2</v>
      </c>
      <c r="P415">
        <v>4.7</v>
      </c>
      <c r="Q415">
        <v>3</v>
      </c>
      <c r="R415">
        <v>3</v>
      </c>
      <c r="S415">
        <v>3</v>
      </c>
      <c r="T415" t="s">
        <v>23</v>
      </c>
      <c r="U415">
        <v>4</v>
      </c>
      <c r="V415" s="7">
        <v>45842</v>
      </c>
      <c r="W415" t="s">
        <v>1650</v>
      </c>
      <c r="X415" t="s">
        <v>1656</v>
      </c>
      <c r="Y415" t="s">
        <v>1661</v>
      </c>
      <c r="Z415">
        <v>1</v>
      </c>
    </row>
    <row r="416" spans="1:26" x14ac:dyDescent="0.35">
      <c r="A416" t="s">
        <v>843</v>
      </c>
      <c r="B416" s="6">
        <v>45199</v>
      </c>
      <c r="C416" t="s">
        <v>23</v>
      </c>
      <c r="D416">
        <v>34</v>
      </c>
      <c r="E416" t="s">
        <v>36</v>
      </c>
      <c r="F416" t="s">
        <v>37</v>
      </c>
      <c r="G416" t="s">
        <v>26</v>
      </c>
      <c r="H416" t="s">
        <v>55</v>
      </c>
      <c r="I416" t="s">
        <v>56</v>
      </c>
      <c r="J416" t="s">
        <v>1635</v>
      </c>
      <c r="K416" t="s">
        <v>40</v>
      </c>
      <c r="L416">
        <v>101000</v>
      </c>
      <c r="M416">
        <v>5</v>
      </c>
      <c r="N416">
        <v>8.6999999999999993</v>
      </c>
      <c r="O416">
        <v>2.2999999999999998</v>
      </c>
      <c r="P416">
        <v>0.6</v>
      </c>
      <c r="Q416">
        <v>3</v>
      </c>
      <c r="R416">
        <v>3</v>
      </c>
      <c r="S416">
        <v>3</v>
      </c>
      <c r="T416" t="s">
        <v>23</v>
      </c>
      <c r="U416">
        <v>4</v>
      </c>
      <c r="W416" t="s">
        <v>1650</v>
      </c>
      <c r="X416" t="s">
        <v>1658</v>
      </c>
      <c r="Y416" t="s">
        <v>1665</v>
      </c>
      <c r="Z416">
        <v>0</v>
      </c>
    </row>
    <row r="417" spans="1:26" x14ac:dyDescent="0.35">
      <c r="A417" t="s">
        <v>663</v>
      </c>
      <c r="B417" s="6">
        <v>43841</v>
      </c>
      <c r="C417" t="s">
        <v>30</v>
      </c>
      <c r="D417">
        <v>42</v>
      </c>
      <c r="E417" t="s">
        <v>62</v>
      </c>
      <c r="F417" t="s">
        <v>25</v>
      </c>
      <c r="G417" t="s">
        <v>26</v>
      </c>
      <c r="H417" t="s">
        <v>27</v>
      </c>
      <c r="I417" t="s">
        <v>28</v>
      </c>
      <c r="J417" t="s">
        <v>1633</v>
      </c>
      <c r="K417" t="s">
        <v>34</v>
      </c>
      <c r="L417">
        <v>50000</v>
      </c>
      <c r="M417">
        <v>0.5</v>
      </c>
      <c r="N417">
        <v>9.1999999999999993</v>
      </c>
      <c r="O417">
        <v>5.2</v>
      </c>
      <c r="P417">
        <v>4.3</v>
      </c>
      <c r="Q417">
        <v>4</v>
      </c>
      <c r="R417">
        <v>4</v>
      </c>
      <c r="S417">
        <v>3</v>
      </c>
      <c r="T417" t="s">
        <v>23</v>
      </c>
      <c r="U417">
        <v>4</v>
      </c>
      <c r="V417" s="7">
        <v>45737</v>
      </c>
      <c r="W417" t="s">
        <v>1649</v>
      </c>
      <c r="X417" t="s">
        <v>1656</v>
      </c>
      <c r="Y417" t="s">
        <v>1661</v>
      </c>
      <c r="Z417">
        <v>1</v>
      </c>
    </row>
    <row r="418" spans="1:26" x14ac:dyDescent="0.35">
      <c r="A418" t="s">
        <v>908</v>
      </c>
      <c r="B418" s="6">
        <v>45352</v>
      </c>
      <c r="C418" t="s">
        <v>23</v>
      </c>
      <c r="D418">
        <v>42</v>
      </c>
      <c r="E418" t="s">
        <v>24</v>
      </c>
      <c r="F418" t="s">
        <v>25</v>
      </c>
      <c r="G418" t="s">
        <v>58</v>
      </c>
      <c r="H418" t="s">
        <v>48</v>
      </c>
      <c r="I418" t="s">
        <v>63</v>
      </c>
      <c r="J418" t="s">
        <v>1633</v>
      </c>
      <c r="K418" t="s">
        <v>50</v>
      </c>
      <c r="L418">
        <v>55000</v>
      </c>
      <c r="M418">
        <v>5</v>
      </c>
      <c r="N418">
        <v>2.9</v>
      </c>
      <c r="O418">
        <v>1.8</v>
      </c>
      <c r="P418">
        <v>0.8</v>
      </c>
      <c r="Q418">
        <v>3</v>
      </c>
      <c r="R418">
        <v>4</v>
      </c>
      <c r="S418">
        <v>3</v>
      </c>
      <c r="T418" t="s">
        <v>30</v>
      </c>
      <c r="U418">
        <v>5</v>
      </c>
      <c r="W418" t="s">
        <v>1649</v>
      </c>
      <c r="X418" t="s">
        <v>1656</v>
      </c>
      <c r="Y418" t="s">
        <v>1665</v>
      </c>
      <c r="Z418">
        <v>0</v>
      </c>
    </row>
    <row r="419" spans="1:26" x14ac:dyDescent="0.35">
      <c r="A419" t="s">
        <v>1454</v>
      </c>
      <c r="B419" s="6">
        <v>42251</v>
      </c>
      <c r="C419" t="s">
        <v>30</v>
      </c>
      <c r="D419">
        <v>39</v>
      </c>
      <c r="E419" t="s">
        <v>36</v>
      </c>
      <c r="F419" t="s">
        <v>42</v>
      </c>
      <c r="G419" t="s">
        <v>26</v>
      </c>
      <c r="H419" t="s">
        <v>45</v>
      </c>
      <c r="I419" t="s">
        <v>164</v>
      </c>
      <c r="J419" t="s">
        <v>1633</v>
      </c>
      <c r="K419" t="s">
        <v>40</v>
      </c>
      <c r="L419">
        <v>54000</v>
      </c>
      <c r="M419">
        <v>8</v>
      </c>
      <c r="N419">
        <v>17.399999999999999</v>
      </c>
      <c r="O419">
        <v>9.5</v>
      </c>
      <c r="P419">
        <v>2.5</v>
      </c>
      <c r="Q419">
        <v>2</v>
      </c>
      <c r="R419">
        <v>4</v>
      </c>
      <c r="S419">
        <v>2</v>
      </c>
      <c r="T419" t="s">
        <v>30</v>
      </c>
      <c r="U419">
        <v>1</v>
      </c>
      <c r="V419" s="7">
        <v>45724</v>
      </c>
      <c r="W419" t="s">
        <v>1649</v>
      </c>
      <c r="X419" t="s">
        <v>1656</v>
      </c>
      <c r="Y419" t="s">
        <v>1662</v>
      </c>
      <c r="Z419">
        <v>1</v>
      </c>
    </row>
    <row r="420" spans="1:26" x14ac:dyDescent="0.35">
      <c r="A420" t="s">
        <v>936</v>
      </c>
      <c r="B420" s="6">
        <v>44094</v>
      </c>
      <c r="C420" t="s">
        <v>23</v>
      </c>
      <c r="D420">
        <v>30</v>
      </c>
      <c r="E420" t="s">
        <v>24</v>
      </c>
      <c r="F420" t="s">
        <v>25</v>
      </c>
      <c r="G420" t="s">
        <v>32</v>
      </c>
      <c r="H420" t="s">
        <v>38</v>
      </c>
      <c r="I420" t="s">
        <v>118</v>
      </c>
      <c r="J420" t="s">
        <v>1635</v>
      </c>
      <c r="K420" t="s">
        <v>40</v>
      </c>
      <c r="L420">
        <v>78000</v>
      </c>
      <c r="M420">
        <v>15.5</v>
      </c>
      <c r="N420">
        <v>5.8</v>
      </c>
      <c r="O420">
        <v>5.3</v>
      </c>
      <c r="P420">
        <v>3.5</v>
      </c>
      <c r="Q420">
        <v>2</v>
      </c>
      <c r="R420">
        <v>4</v>
      </c>
      <c r="S420">
        <v>4</v>
      </c>
      <c r="T420" t="s">
        <v>30</v>
      </c>
      <c r="U420">
        <v>5</v>
      </c>
      <c r="W420" t="s">
        <v>1650</v>
      </c>
      <c r="X420" t="s">
        <v>1659</v>
      </c>
      <c r="Y420" t="s">
        <v>1661</v>
      </c>
      <c r="Z420">
        <v>0</v>
      </c>
    </row>
    <row r="421" spans="1:26" x14ac:dyDescent="0.35">
      <c r="A421" t="s">
        <v>92</v>
      </c>
      <c r="B421" s="6">
        <v>45291</v>
      </c>
      <c r="C421" t="s">
        <v>23</v>
      </c>
      <c r="D421">
        <v>42</v>
      </c>
      <c r="E421" t="s">
        <v>24</v>
      </c>
      <c r="F421" t="s">
        <v>37</v>
      </c>
      <c r="G421" t="s">
        <v>26</v>
      </c>
      <c r="H421" t="s">
        <v>45</v>
      </c>
      <c r="I421" t="s">
        <v>77</v>
      </c>
      <c r="J421" t="s">
        <v>1632</v>
      </c>
      <c r="K421" t="s">
        <v>66</v>
      </c>
      <c r="L421">
        <v>45000</v>
      </c>
      <c r="M421">
        <v>13</v>
      </c>
      <c r="N421">
        <v>4.8</v>
      </c>
      <c r="O421">
        <v>2</v>
      </c>
      <c r="P421">
        <v>1.7</v>
      </c>
      <c r="Q421">
        <v>3</v>
      </c>
      <c r="R421">
        <v>4</v>
      </c>
      <c r="S421">
        <v>3</v>
      </c>
      <c r="T421" t="s">
        <v>23</v>
      </c>
      <c r="U421">
        <v>3</v>
      </c>
      <c r="W421" t="s">
        <v>1649</v>
      </c>
      <c r="X421" t="s">
        <v>1656</v>
      </c>
      <c r="Y421" t="s">
        <v>1665</v>
      </c>
      <c r="Z421">
        <v>0</v>
      </c>
    </row>
    <row r="422" spans="1:26" x14ac:dyDescent="0.35">
      <c r="A422" t="s">
        <v>596</v>
      </c>
      <c r="B422" s="6">
        <v>45179</v>
      </c>
      <c r="C422" t="s">
        <v>23</v>
      </c>
      <c r="D422">
        <v>36</v>
      </c>
      <c r="E422" t="s">
        <v>24</v>
      </c>
      <c r="F422" t="s">
        <v>42</v>
      </c>
      <c r="G422" t="s">
        <v>26</v>
      </c>
      <c r="H422" t="s">
        <v>55</v>
      </c>
      <c r="I422" t="s">
        <v>179</v>
      </c>
      <c r="J422" t="s">
        <v>1637</v>
      </c>
      <c r="K422" t="s">
        <v>40</v>
      </c>
      <c r="L422">
        <v>179000</v>
      </c>
      <c r="M422">
        <v>5.4</v>
      </c>
      <c r="N422">
        <v>9.6999999999999993</v>
      </c>
      <c r="O422">
        <v>2.2999999999999998</v>
      </c>
      <c r="P422">
        <v>2.1</v>
      </c>
      <c r="Q422">
        <v>1</v>
      </c>
      <c r="R422">
        <v>4</v>
      </c>
      <c r="S422">
        <v>3</v>
      </c>
      <c r="T422" t="s">
        <v>23</v>
      </c>
      <c r="U422">
        <v>4</v>
      </c>
      <c r="W422" t="s">
        <v>1649</v>
      </c>
      <c r="X422" t="s">
        <v>1658</v>
      </c>
      <c r="Y422" t="s">
        <v>1665</v>
      </c>
      <c r="Z422">
        <v>0</v>
      </c>
    </row>
    <row r="423" spans="1:26" x14ac:dyDescent="0.35">
      <c r="A423" t="s">
        <v>880</v>
      </c>
      <c r="B423" s="6">
        <v>44228</v>
      </c>
      <c r="C423" t="s">
        <v>23</v>
      </c>
      <c r="D423">
        <v>25</v>
      </c>
      <c r="E423" t="s">
        <v>36</v>
      </c>
      <c r="F423" t="s">
        <v>25</v>
      </c>
      <c r="G423" t="s">
        <v>58</v>
      </c>
      <c r="H423" t="s">
        <v>1634</v>
      </c>
      <c r="I423" t="s">
        <v>150</v>
      </c>
      <c r="J423" t="s">
        <v>1632</v>
      </c>
      <c r="K423" t="s">
        <v>66</v>
      </c>
      <c r="L423">
        <v>44000</v>
      </c>
      <c r="M423">
        <v>7.1</v>
      </c>
      <c r="N423">
        <v>11</v>
      </c>
      <c r="O423">
        <v>4.9000000000000004</v>
      </c>
      <c r="P423">
        <v>1.5</v>
      </c>
      <c r="Q423">
        <v>3</v>
      </c>
      <c r="R423">
        <v>3</v>
      </c>
      <c r="S423">
        <v>3</v>
      </c>
      <c r="T423" t="s">
        <v>23</v>
      </c>
      <c r="U423">
        <v>3</v>
      </c>
      <c r="W423" t="s">
        <v>1651</v>
      </c>
      <c r="X423" t="s">
        <v>1656</v>
      </c>
      <c r="Y423" t="s">
        <v>1661</v>
      </c>
      <c r="Z423">
        <v>0</v>
      </c>
    </row>
    <row r="424" spans="1:26" x14ac:dyDescent="0.35">
      <c r="A424" t="s">
        <v>1528</v>
      </c>
      <c r="B424" s="6">
        <v>43803</v>
      </c>
      <c r="C424" t="s">
        <v>23</v>
      </c>
      <c r="D424">
        <v>35</v>
      </c>
      <c r="E424" t="s">
        <v>36</v>
      </c>
      <c r="F424" t="s">
        <v>37</v>
      </c>
      <c r="G424" t="s">
        <v>26</v>
      </c>
      <c r="H424" t="s">
        <v>45</v>
      </c>
      <c r="I424" t="s">
        <v>164</v>
      </c>
      <c r="J424" t="s">
        <v>1632</v>
      </c>
      <c r="K424" t="s">
        <v>34</v>
      </c>
      <c r="L424">
        <v>29000</v>
      </c>
      <c r="M424">
        <v>11.3</v>
      </c>
      <c r="N424">
        <v>11.6</v>
      </c>
      <c r="O424">
        <v>6.1</v>
      </c>
      <c r="P424">
        <v>5</v>
      </c>
      <c r="Q424">
        <v>3</v>
      </c>
      <c r="R424">
        <v>2</v>
      </c>
      <c r="S424">
        <v>3</v>
      </c>
      <c r="T424" t="s">
        <v>23</v>
      </c>
      <c r="U424">
        <v>5</v>
      </c>
      <c r="W424" t="s">
        <v>1650</v>
      </c>
      <c r="X424" t="s">
        <v>1655</v>
      </c>
      <c r="Y424" t="s">
        <v>1662</v>
      </c>
      <c r="Z424">
        <v>0</v>
      </c>
    </row>
    <row r="425" spans="1:26" x14ac:dyDescent="0.35">
      <c r="A425" t="s">
        <v>998</v>
      </c>
      <c r="B425" s="6">
        <v>41645</v>
      </c>
      <c r="C425" t="s">
        <v>23</v>
      </c>
      <c r="D425">
        <v>39</v>
      </c>
      <c r="E425" t="s">
        <v>24</v>
      </c>
      <c r="F425" t="s">
        <v>25</v>
      </c>
      <c r="G425" t="s">
        <v>32</v>
      </c>
      <c r="H425" t="s">
        <v>45</v>
      </c>
      <c r="I425" t="s">
        <v>77</v>
      </c>
      <c r="J425" t="s">
        <v>1633</v>
      </c>
      <c r="K425" t="s">
        <v>50</v>
      </c>
      <c r="L425">
        <v>37000</v>
      </c>
      <c r="M425">
        <v>9.5</v>
      </c>
      <c r="N425">
        <v>17.3</v>
      </c>
      <c r="O425">
        <v>12</v>
      </c>
      <c r="P425">
        <v>0.5</v>
      </c>
      <c r="Q425">
        <v>2</v>
      </c>
      <c r="R425">
        <v>2</v>
      </c>
      <c r="S425">
        <v>3</v>
      </c>
      <c r="T425" t="s">
        <v>23</v>
      </c>
      <c r="U425">
        <v>4</v>
      </c>
      <c r="W425" t="s">
        <v>1649</v>
      </c>
      <c r="X425" t="s">
        <v>1655</v>
      </c>
      <c r="Y425" t="s">
        <v>1663</v>
      </c>
      <c r="Z425">
        <v>0</v>
      </c>
    </row>
    <row r="426" spans="1:26" x14ac:dyDescent="0.35">
      <c r="A426" t="s">
        <v>1365</v>
      </c>
      <c r="B426" s="6">
        <v>45208</v>
      </c>
      <c r="C426" t="s">
        <v>30</v>
      </c>
      <c r="D426">
        <v>26</v>
      </c>
      <c r="E426" t="s">
        <v>62</v>
      </c>
      <c r="F426" t="s">
        <v>42</v>
      </c>
      <c r="G426" t="s">
        <v>58</v>
      </c>
      <c r="H426" t="s">
        <v>68</v>
      </c>
      <c r="I426" t="s">
        <v>109</v>
      </c>
      <c r="J426" t="s">
        <v>1632</v>
      </c>
      <c r="K426" t="s">
        <v>34</v>
      </c>
      <c r="L426">
        <v>28000</v>
      </c>
      <c r="M426">
        <v>11.1</v>
      </c>
      <c r="N426">
        <v>7.6</v>
      </c>
      <c r="O426">
        <v>1.8</v>
      </c>
      <c r="P426">
        <v>0.5</v>
      </c>
      <c r="Q426">
        <v>4</v>
      </c>
      <c r="R426">
        <v>3</v>
      </c>
      <c r="S426">
        <v>3</v>
      </c>
      <c r="T426" t="s">
        <v>23</v>
      </c>
      <c r="U426">
        <v>3</v>
      </c>
      <c r="V426" s="7">
        <v>45875</v>
      </c>
      <c r="W426" t="s">
        <v>1650</v>
      </c>
      <c r="X426" t="s">
        <v>1655</v>
      </c>
      <c r="Y426" t="s">
        <v>1665</v>
      </c>
      <c r="Z426">
        <v>1</v>
      </c>
    </row>
    <row r="427" spans="1:26" x14ac:dyDescent="0.35">
      <c r="A427" t="s">
        <v>748</v>
      </c>
      <c r="B427" s="6">
        <v>43727</v>
      </c>
      <c r="C427" t="s">
        <v>30</v>
      </c>
      <c r="D427">
        <v>35</v>
      </c>
      <c r="E427" t="s">
        <v>24</v>
      </c>
      <c r="F427" t="s">
        <v>42</v>
      </c>
      <c r="G427" t="s">
        <v>26</v>
      </c>
      <c r="H427" t="s">
        <v>45</v>
      </c>
      <c r="I427" t="s">
        <v>46</v>
      </c>
      <c r="J427" t="s">
        <v>1637</v>
      </c>
      <c r="K427" t="s">
        <v>40</v>
      </c>
      <c r="L427">
        <v>148000</v>
      </c>
      <c r="M427">
        <v>11.5</v>
      </c>
      <c r="N427">
        <v>9.9</v>
      </c>
      <c r="O427">
        <v>6</v>
      </c>
      <c r="P427">
        <v>3.8</v>
      </c>
      <c r="Q427">
        <v>3</v>
      </c>
      <c r="R427">
        <v>2</v>
      </c>
      <c r="S427">
        <v>2</v>
      </c>
      <c r="T427" t="s">
        <v>30</v>
      </c>
      <c r="U427">
        <v>2</v>
      </c>
      <c r="V427" s="7">
        <v>45908</v>
      </c>
      <c r="W427" t="s">
        <v>1650</v>
      </c>
      <c r="X427" t="s">
        <v>1658</v>
      </c>
      <c r="Y427" t="s">
        <v>1661</v>
      </c>
      <c r="Z427">
        <v>1</v>
      </c>
    </row>
    <row r="428" spans="1:26" x14ac:dyDescent="0.35">
      <c r="A428" t="s">
        <v>1374</v>
      </c>
      <c r="B428" s="6">
        <v>43255</v>
      </c>
      <c r="C428" t="s">
        <v>23</v>
      </c>
      <c r="D428">
        <v>36</v>
      </c>
      <c r="E428" t="s">
        <v>36</v>
      </c>
      <c r="F428" t="s">
        <v>25</v>
      </c>
      <c r="G428" t="s">
        <v>58</v>
      </c>
      <c r="H428" t="s">
        <v>48</v>
      </c>
      <c r="I428" t="s">
        <v>129</v>
      </c>
      <c r="J428" t="s">
        <v>1633</v>
      </c>
      <c r="K428" t="s">
        <v>66</v>
      </c>
      <c r="L428">
        <v>53000</v>
      </c>
      <c r="M428">
        <v>11.7</v>
      </c>
      <c r="N428">
        <v>13.7</v>
      </c>
      <c r="O428">
        <v>7.6</v>
      </c>
      <c r="P428">
        <v>4.8</v>
      </c>
      <c r="Q428">
        <v>1</v>
      </c>
      <c r="R428">
        <v>2</v>
      </c>
      <c r="S428">
        <v>3</v>
      </c>
      <c r="T428" t="s">
        <v>30</v>
      </c>
      <c r="U428">
        <v>3</v>
      </c>
      <c r="W428" t="s">
        <v>1649</v>
      </c>
      <c r="X428" t="s">
        <v>1656</v>
      </c>
      <c r="Y428" t="s">
        <v>1662</v>
      </c>
      <c r="Z428">
        <v>0</v>
      </c>
    </row>
    <row r="429" spans="1:26" x14ac:dyDescent="0.35">
      <c r="A429" t="s">
        <v>983</v>
      </c>
      <c r="B429" s="6">
        <v>45778</v>
      </c>
      <c r="C429" t="s">
        <v>23</v>
      </c>
      <c r="D429">
        <v>32</v>
      </c>
      <c r="E429" t="s">
        <v>36</v>
      </c>
      <c r="F429" t="s">
        <v>25</v>
      </c>
      <c r="G429" t="s">
        <v>32</v>
      </c>
      <c r="H429" t="s">
        <v>27</v>
      </c>
      <c r="I429" t="s">
        <v>43</v>
      </c>
      <c r="J429" t="s">
        <v>1637</v>
      </c>
      <c r="K429" t="s">
        <v>34</v>
      </c>
      <c r="L429">
        <v>138000</v>
      </c>
      <c r="M429">
        <v>13.4</v>
      </c>
      <c r="N429">
        <v>3.2</v>
      </c>
      <c r="O429">
        <v>0.7</v>
      </c>
      <c r="P429">
        <v>0</v>
      </c>
      <c r="Q429">
        <v>4</v>
      </c>
      <c r="R429">
        <v>3</v>
      </c>
      <c r="S429">
        <v>1</v>
      </c>
      <c r="T429" t="s">
        <v>23</v>
      </c>
      <c r="U429">
        <v>4</v>
      </c>
      <c r="W429" t="s">
        <v>1650</v>
      </c>
      <c r="X429" t="s">
        <v>1658</v>
      </c>
      <c r="Y429" t="s">
        <v>1664</v>
      </c>
      <c r="Z429">
        <v>0</v>
      </c>
    </row>
    <row r="430" spans="1:26" x14ac:dyDescent="0.35">
      <c r="A430" t="s">
        <v>741</v>
      </c>
      <c r="B430" s="6">
        <v>45833</v>
      </c>
      <c r="C430" t="s">
        <v>23</v>
      </c>
      <c r="D430">
        <v>21</v>
      </c>
      <c r="E430" t="s">
        <v>24</v>
      </c>
      <c r="F430" t="s">
        <v>25</v>
      </c>
      <c r="G430" t="s">
        <v>26</v>
      </c>
      <c r="H430" t="s">
        <v>48</v>
      </c>
      <c r="I430" t="s">
        <v>49</v>
      </c>
      <c r="J430" t="s">
        <v>1632</v>
      </c>
      <c r="K430" t="s">
        <v>34</v>
      </c>
      <c r="L430">
        <v>43000</v>
      </c>
      <c r="M430">
        <v>6.9</v>
      </c>
      <c r="N430">
        <v>4.4000000000000004</v>
      </c>
      <c r="O430">
        <v>0.5</v>
      </c>
      <c r="P430">
        <v>0</v>
      </c>
      <c r="Q430">
        <v>4</v>
      </c>
      <c r="R430">
        <v>3</v>
      </c>
      <c r="S430">
        <v>3</v>
      </c>
      <c r="T430" t="s">
        <v>23</v>
      </c>
      <c r="U430">
        <v>4</v>
      </c>
      <c r="W430" t="s">
        <v>1651</v>
      </c>
      <c r="X430" t="s">
        <v>1656</v>
      </c>
      <c r="Y430" t="s">
        <v>1664</v>
      </c>
      <c r="Z430">
        <v>0</v>
      </c>
    </row>
    <row r="431" spans="1:26" x14ac:dyDescent="0.35">
      <c r="A431" t="s">
        <v>1172</v>
      </c>
      <c r="B431" s="6">
        <v>44298</v>
      </c>
      <c r="C431" t="s">
        <v>23</v>
      </c>
      <c r="D431">
        <v>35</v>
      </c>
      <c r="E431" t="s">
        <v>62</v>
      </c>
      <c r="F431" t="s">
        <v>37</v>
      </c>
      <c r="G431" t="s">
        <v>58</v>
      </c>
      <c r="H431" t="s">
        <v>68</v>
      </c>
      <c r="I431" t="s">
        <v>121</v>
      </c>
      <c r="J431" t="s">
        <v>1635</v>
      </c>
      <c r="K431" t="s">
        <v>34</v>
      </c>
      <c r="L431">
        <v>79000</v>
      </c>
      <c r="M431">
        <v>11.8</v>
      </c>
      <c r="N431">
        <v>5.2</v>
      </c>
      <c r="O431">
        <v>4.7</v>
      </c>
      <c r="P431">
        <v>2.8</v>
      </c>
      <c r="Q431">
        <v>4</v>
      </c>
      <c r="R431">
        <v>2</v>
      </c>
      <c r="S431">
        <v>3</v>
      </c>
      <c r="T431" t="s">
        <v>23</v>
      </c>
      <c r="U431">
        <v>4</v>
      </c>
      <c r="W431" t="s">
        <v>1650</v>
      </c>
      <c r="X431" t="s">
        <v>1659</v>
      </c>
      <c r="Y431" t="s">
        <v>1661</v>
      </c>
      <c r="Z431">
        <v>0</v>
      </c>
    </row>
    <row r="432" spans="1:26" x14ac:dyDescent="0.35">
      <c r="A432" t="s">
        <v>586</v>
      </c>
      <c r="B432" s="6">
        <v>44386</v>
      </c>
      <c r="C432" t="s">
        <v>23</v>
      </c>
      <c r="D432">
        <v>37</v>
      </c>
      <c r="E432" t="s">
        <v>36</v>
      </c>
      <c r="F432" t="s">
        <v>37</v>
      </c>
      <c r="G432" t="s">
        <v>26</v>
      </c>
      <c r="H432" t="s">
        <v>38</v>
      </c>
      <c r="I432" t="s">
        <v>52</v>
      </c>
      <c r="J432" t="s">
        <v>1633</v>
      </c>
      <c r="K432" t="s">
        <v>66</v>
      </c>
      <c r="L432">
        <v>57000</v>
      </c>
      <c r="M432">
        <v>12</v>
      </c>
      <c r="N432">
        <v>9.6999999999999993</v>
      </c>
      <c r="O432">
        <v>4.5</v>
      </c>
      <c r="P432">
        <v>2.7</v>
      </c>
      <c r="Q432">
        <v>3</v>
      </c>
      <c r="R432">
        <v>4</v>
      </c>
      <c r="S432">
        <v>2</v>
      </c>
      <c r="T432" t="s">
        <v>23</v>
      </c>
      <c r="U432">
        <v>3</v>
      </c>
      <c r="W432" t="s">
        <v>1649</v>
      </c>
      <c r="X432" t="s">
        <v>1656</v>
      </c>
      <c r="Y432" t="s">
        <v>1661</v>
      </c>
      <c r="Z432">
        <v>0</v>
      </c>
    </row>
    <row r="433" spans="1:26" x14ac:dyDescent="0.35">
      <c r="A433" t="s">
        <v>146</v>
      </c>
      <c r="B433" s="6">
        <v>44953</v>
      </c>
      <c r="C433" t="s">
        <v>23</v>
      </c>
      <c r="D433">
        <v>26</v>
      </c>
      <c r="E433" t="s">
        <v>36</v>
      </c>
      <c r="F433" t="s">
        <v>42</v>
      </c>
      <c r="G433" t="s">
        <v>26</v>
      </c>
      <c r="H433" t="s">
        <v>68</v>
      </c>
      <c r="I433" t="s">
        <v>102</v>
      </c>
      <c r="J433" t="s">
        <v>1632</v>
      </c>
      <c r="K433" t="s">
        <v>34</v>
      </c>
      <c r="L433">
        <v>43000</v>
      </c>
      <c r="M433">
        <v>6.9</v>
      </c>
      <c r="N433">
        <v>5.0999999999999996</v>
      </c>
      <c r="O433">
        <v>2.9</v>
      </c>
      <c r="P433">
        <v>2</v>
      </c>
      <c r="Q433">
        <v>3</v>
      </c>
      <c r="R433">
        <v>3</v>
      </c>
      <c r="S433">
        <v>4</v>
      </c>
      <c r="T433" t="s">
        <v>23</v>
      </c>
      <c r="U433">
        <v>3</v>
      </c>
      <c r="W433" t="s">
        <v>1650</v>
      </c>
      <c r="X433" t="s">
        <v>1656</v>
      </c>
      <c r="Y433" t="s">
        <v>1665</v>
      </c>
      <c r="Z433">
        <v>0</v>
      </c>
    </row>
    <row r="434" spans="1:26" x14ac:dyDescent="0.35">
      <c r="A434" t="s">
        <v>1287</v>
      </c>
      <c r="B434" s="6">
        <v>43764</v>
      </c>
      <c r="C434" t="s">
        <v>23</v>
      </c>
      <c r="D434">
        <v>36</v>
      </c>
      <c r="E434" t="s">
        <v>62</v>
      </c>
      <c r="F434" t="s">
        <v>37</v>
      </c>
      <c r="G434" t="s">
        <v>58</v>
      </c>
      <c r="H434" t="s">
        <v>38</v>
      </c>
      <c r="I434" t="s">
        <v>139</v>
      </c>
      <c r="J434" t="s">
        <v>1633</v>
      </c>
      <c r="K434" t="s">
        <v>84</v>
      </c>
      <c r="L434">
        <v>76000</v>
      </c>
      <c r="M434">
        <v>8.1</v>
      </c>
      <c r="N434">
        <v>9.1</v>
      </c>
      <c r="O434">
        <v>6.2</v>
      </c>
      <c r="P434">
        <v>2.6</v>
      </c>
      <c r="Q434">
        <v>3</v>
      </c>
      <c r="R434">
        <v>3</v>
      </c>
      <c r="S434">
        <v>4</v>
      </c>
      <c r="T434" t="s">
        <v>23</v>
      </c>
      <c r="U434">
        <v>4</v>
      </c>
      <c r="W434" t="s">
        <v>1649</v>
      </c>
      <c r="X434" t="s">
        <v>1659</v>
      </c>
      <c r="Y434" t="s">
        <v>1662</v>
      </c>
      <c r="Z434">
        <v>0</v>
      </c>
    </row>
    <row r="435" spans="1:26" x14ac:dyDescent="0.35">
      <c r="A435" t="s">
        <v>1056</v>
      </c>
      <c r="B435" s="6">
        <v>44195</v>
      </c>
      <c r="C435" t="s">
        <v>30</v>
      </c>
      <c r="D435">
        <v>33</v>
      </c>
      <c r="E435" t="s">
        <v>24</v>
      </c>
      <c r="F435" t="s">
        <v>42</v>
      </c>
      <c r="G435" t="s">
        <v>26</v>
      </c>
      <c r="H435" t="s">
        <v>38</v>
      </c>
      <c r="I435" t="s">
        <v>39</v>
      </c>
      <c r="J435" t="s">
        <v>1637</v>
      </c>
      <c r="K435" t="s">
        <v>29</v>
      </c>
      <c r="L435">
        <v>170000</v>
      </c>
      <c r="M435">
        <v>12.2</v>
      </c>
      <c r="N435">
        <v>5.6</v>
      </c>
      <c r="O435">
        <v>4.8</v>
      </c>
      <c r="P435">
        <v>1.6</v>
      </c>
      <c r="Q435">
        <v>4</v>
      </c>
      <c r="R435">
        <v>1</v>
      </c>
      <c r="S435">
        <v>4</v>
      </c>
      <c r="T435" t="s">
        <v>30</v>
      </c>
      <c r="U435">
        <v>3</v>
      </c>
      <c r="V435" s="7">
        <v>45954</v>
      </c>
      <c r="W435" t="s">
        <v>1650</v>
      </c>
      <c r="X435" t="s">
        <v>1658</v>
      </c>
      <c r="Y435" t="s">
        <v>1661</v>
      </c>
      <c r="Z435">
        <v>1</v>
      </c>
    </row>
    <row r="436" spans="1:26" x14ac:dyDescent="0.35">
      <c r="A436" t="s">
        <v>630</v>
      </c>
      <c r="B436" s="6">
        <v>44862</v>
      </c>
      <c r="C436" t="s">
        <v>23</v>
      </c>
      <c r="D436">
        <v>26</v>
      </c>
      <c r="E436" t="s">
        <v>24</v>
      </c>
      <c r="F436" t="s">
        <v>25</v>
      </c>
      <c r="G436" t="s">
        <v>32</v>
      </c>
      <c r="H436" t="s">
        <v>1634</v>
      </c>
      <c r="I436" t="s">
        <v>150</v>
      </c>
      <c r="J436" t="s">
        <v>1632</v>
      </c>
      <c r="K436" t="s">
        <v>66</v>
      </c>
      <c r="L436">
        <v>23000</v>
      </c>
      <c r="M436">
        <v>12.8</v>
      </c>
      <c r="N436">
        <v>6.5</v>
      </c>
      <c r="O436">
        <v>3.2</v>
      </c>
      <c r="P436">
        <v>0.8</v>
      </c>
      <c r="Q436">
        <v>3</v>
      </c>
      <c r="R436">
        <v>3</v>
      </c>
      <c r="S436">
        <v>3</v>
      </c>
      <c r="T436" t="s">
        <v>23</v>
      </c>
      <c r="U436">
        <v>4</v>
      </c>
      <c r="W436" t="s">
        <v>1650</v>
      </c>
      <c r="X436" t="s">
        <v>1655</v>
      </c>
      <c r="Y436" t="s">
        <v>1661</v>
      </c>
      <c r="Z436">
        <v>0</v>
      </c>
    </row>
    <row r="437" spans="1:26" x14ac:dyDescent="0.35">
      <c r="A437" t="s">
        <v>1022</v>
      </c>
      <c r="B437" s="6">
        <v>42392</v>
      </c>
      <c r="C437" t="s">
        <v>23</v>
      </c>
      <c r="D437">
        <v>32</v>
      </c>
      <c r="E437" t="s">
        <v>24</v>
      </c>
      <c r="F437" t="s">
        <v>25</v>
      </c>
      <c r="G437" t="s">
        <v>32</v>
      </c>
      <c r="H437" t="s">
        <v>48</v>
      </c>
      <c r="I437" t="s">
        <v>49</v>
      </c>
      <c r="J437" t="s">
        <v>1635</v>
      </c>
      <c r="K437" t="s">
        <v>84</v>
      </c>
      <c r="L437">
        <v>78000</v>
      </c>
      <c r="M437">
        <v>9.3000000000000007</v>
      </c>
      <c r="N437">
        <v>16.399999999999999</v>
      </c>
      <c r="O437">
        <v>9.9</v>
      </c>
      <c r="P437">
        <v>5.0999999999999996</v>
      </c>
      <c r="Q437">
        <v>3</v>
      </c>
      <c r="R437">
        <v>4</v>
      </c>
      <c r="S437">
        <v>4</v>
      </c>
      <c r="T437" t="s">
        <v>23</v>
      </c>
      <c r="U437">
        <v>4</v>
      </c>
      <c r="W437" t="s">
        <v>1650</v>
      </c>
      <c r="X437" t="s">
        <v>1659</v>
      </c>
      <c r="Y437" t="s">
        <v>1662</v>
      </c>
      <c r="Z437">
        <v>0</v>
      </c>
    </row>
    <row r="438" spans="1:26" x14ac:dyDescent="0.35">
      <c r="A438" t="s">
        <v>369</v>
      </c>
      <c r="B438" s="6">
        <v>45325</v>
      </c>
      <c r="C438" t="s">
        <v>23</v>
      </c>
      <c r="D438">
        <v>27</v>
      </c>
      <c r="E438" t="s">
        <v>36</v>
      </c>
      <c r="F438" t="s">
        <v>42</v>
      </c>
      <c r="G438" t="s">
        <v>32</v>
      </c>
      <c r="H438" t="s">
        <v>48</v>
      </c>
      <c r="I438" t="s">
        <v>49</v>
      </c>
      <c r="J438" t="s">
        <v>1632</v>
      </c>
      <c r="K438" t="s">
        <v>84</v>
      </c>
      <c r="L438">
        <v>37000</v>
      </c>
      <c r="M438">
        <v>12.9</v>
      </c>
      <c r="N438">
        <v>5.2</v>
      </c>
      <c r="O438">
        <v>1.9</v>
      </c>
      <c r="P438">
        <v>1.6</v>
      </c>
      <c r="Q438">
        <v>4</v>
      </c>
      <c r="R438">
        <v>4</v>
      </c>
      <c r="S438">
        <v>3</v>
      </c>
      <c r="T438" t="s">
        <v>23</v>
      </c>
      <c r="U438">
        <v>4</v>
      </c>
      <c r="W438" t="s">
        <v>1650</v>
      </c>
      <c r="X438" t="s">
        <v>1655</v>
      </c>
      <c r="Y438" t="s">
        <v>1665</v>
      </c>
      <c r="Z438">
        <v>0</v>
      </c>
    </row>
    <row r="439" spans="1:26" x14ac:dyDescent="0.35">
      <c r="A439" t="s">
        <v>711</v>
      </c>
      <c r="B439" s="6">
        <v>45428</v>
      </c>
      <c r="C439" t="s">
        <v>23</v>
      </c>
      <c r="D439">
        <v>34</v>
      </c>
      <c r="E439" t="s">
        <v>24</v>
      </c>
      <c r="F439" t="s">
        <v>42</v>
      </c>
      <c r="G439" t="s">
        <v>32</v>
      </c>
      <c r="H439" t="s">
        <v>45</v>
      </c>
      <c r="I439" t="s">
        <v>97</v>
      </c>
      <c r="J439" t="s">
        <v>1633</v>
      </c>
      <c r="K439" t="s">
        <v>50</v>
      </c>
      <c r="L439">
        <v>59000</v>
      </c>
      <c r="M439">
        <v>0</v>
      </c>
      <c r="N439">
        <v>5.3</v>
      </c>
      <c r="O439">
        <v>1.6</v>
      </c>
      <c r="P439">
        <v>0.9</v>
      </c>
      <c r="Q439">
        <v>2</v>
      </c>
      <c r="R439">
        <v>3</v>
      </c>
      <c r="S439">
        <v>3</v>
      </c>
      <c r="T439" t="s">
        <v>30</v>
      </c>
      <c r="U439">
        <v>1</v>
      </c>
      <c r="W439" t="s">
        <v>1650</v>
      </c>
      <c r="X439" t="s">
        <v>1656</v>
      </c>
      <c r="Y439" t="s">
        <v>1665</v>
      </c>
      <c r="Z439">
        <v>0</v>
      </c>
    </row>
    <row r="440" spans="1:26" x14ac:dyDescent="0.35">
      <c r="A440" t="s">
        <v>926</v>
      </c>
      <c r="B440" s="6">
        <v>45418</v>
      </c>
      <c r="C440" t="s">
        <v>23</v>
      </c>
      <c r="D440">
        <v>28</v>
      </c>
      <c r="E440" t="s">
        <v>36</v>
      </c>
      <c r="F440" t="s">
        <v>42</v>
      </c>
      <c r="G440" t="s">
        <v>26</v>
      </c>
      <c r="H440" t="s">
        <v>68</v>
      </c>
      <c r="I440" t="s">
        <v>69</v>
      </c>
      <c r="J440" t="s">
        <v>1635</v>
      </c>
      <c r="K440" t="s">
        <v>34</v>
      </c>
      <c r="L440">
        <v>60000</v>
      </c>
      <c r="M440">
        <v>11</v>
      </c>
      <c r="N440">
        <v>1.8</v>
      </c>
      <c r="O440">
        <v>1.7</v>
      </c>
      <c r="P440">
        <v>1.5</v>
      </c>
      <c r="Q440">
        <v>4</v>
      </c>
      <c r="R440">
        <v>2</v>
      </c>
      <c r="S440">
        <v>3</v>
      </c>
      <c r="T440" t="s">
        <v>23</v>
      </c>
      <c r="U440">
        <v>4</v>
      </c>
      <c r="W440" t="s">
        <v>1650</v>
      </c>
      <c r="X440" t="s">
        <v>1659</v>
      </c>
      <c r="Y440" t="s">
        <v>1665</v>
      </c>
      <c r="Z440">
        <v>0</v>
      </c>
    </row>
    <row r="441" spans="1:26" x14ac:dyDescent="0.35">
      <c r="A441" t="s">
        <v>913</v>
      </c>
      <c r="B441" s="6">
        <v>43473</v>
      </c>
      <c r="C441" t="s">
        <v>23</v>
      </c>
      <c r="D441">
        <v>32</v>
      </c>
      <c r="E441" t="s">
        <v>62</v>
      </c>
      <c r="F441" t="s">
        <v>37</v>
      </c>
      <c r="G441" t="s">
        <v>58</v>
      </c>
      <c r="H441" t="s">
        <v>1634</v>
      </c>
      <c r="I441" t="s">
        <v>86</v>
      </c>
      <c r="J441" t="s">
        <v>1633</v>
      </c>
      <c r="K441" t="s">
        <v>84</v>
      </c>
      <c r="L441">
        <v>60000</v>
      </c>
      <c r="M441">
        <v>15.4</v>
      </c>
      <c r="N441">
        <v>11.6</v>
      </c>
      <c r="O441">
        <v>7</v>
      </c>
      <c r="P441">
        <v>4.7</v>
      </c>
      <c r="Q441">
        <v>2</v>
      </c>
      <c r="R441">
        <v>3</v>
      </c>
      <c r="S441">
        <v>3</v>
      </c>
      <c r="T441" t="s">
        <v>23</v>
      </c>
      <c r="U441">
        <v>2</v>
      </c>
      <c r="W441" t="s">
        <v>1650</v>
      </c>
      <c r="X441" t="s">
        <v>1659</v>
      </c>
      <c r="Y441" t="s">
        <v>1662</v>
      </c>
      <c r="Z441">
        <v>0</v>
      </c>
    </row>
    <row r="442" spans="1:26" x14ac:dyDescent="0.35">
      <c r="A442" t="s">
        <v>1034</v>
      </c>
      <c r="B442" s="6">
        <v>42734</v>
      </c>
      <c r="C442" t="s">
        <v>30</v>
      </c>
      <c r="D442">
        <v>44</v>
      </c>
      <c r="E442" t="s">
        <v>36</v>
      </c>
      <c r="F442" t="s">
        <v>25</v>
      </c>
      <c r="G442" t="s">
        <v>26</v>
      </c>
      <c r="H442" t="s">
        <v>1634</v>
      </c>
      <c r="I442" t="s">
        <v>60</v>
      </c>
      <c r="J442" t="s">
        <v>1636</v>
      </c>
      <c r="K442" t="s">
        <v>84</v>
      </c>
      <c r="L442">
        <v>115000</v>
      </c>
      <c r="M442">
        <v>9.3000000000000007</v>
      </c>
      <c r="N442">
        <v>16.100000000000001</v>
      </c>
      <c r="O442">
        <v>8.3000000000000007</v>
      </c>
      <c r="P442">
        <v>2.6</v>
      </c>
      <c r="Q442">
        <v>2</v>
      </c>
      <c r="R442">
        <v>3</v>
      </c>
      <c r="S442">
        <v>3</v>
      </c>
      <c r="T442" t="s">
        <v>23</v>
      </c>
      <c r="U442">
        <v>3</v>
      </c>
      <c r="V442" s="7">
        <v>45767</v>
      </c>
      <c r="W442" t="s">
        <v>1649</v>
      </c>
      <c r="X442" t="s">
        <v>1658</v>
      </c>
      <c r="Y442" t="s">
        <v>1662</v>
      </c>
      <c r="Z442">
        <v>1</v>
      </c>
    </row>
    <row r="443" spans="1:26" x14ac:dyDescent="0.35">
      <c r="A443" t="s">
        <v>826</v>
      </c>
      <c r="B443" s="6">
        <v>44950</v>
      </c>
      <c r="C443" t="s">
        <v>30</v>
      </c>
      <c r="D443">
        <v>31</v>
      </c>
      <c r="E443" t="s">
        <v>62</v>
      </c>
      <c r="F443" t="s">
        <v>1638</v>
      </c>
      <c r="G443" t="s">
        <v>26</v>
      </c>
      <c r="H443" t="s">
        <v>27</v>
      </c>
      <c r="I443" t="s">
        <v>33</v>
      </c>
      <c r="J443" t="s">
        <v>1635</v>
      </c>
      <c r="K443" t="s">
        <v>29</v>
      </c>
      <c r="L443">
        <v>66000</v>
      </c>
      <c r="M443">
        <v>17.7</v>
      </c>
      <c r="N443">
        <v>8.3000000000000007</v>
      </c>
      <c r="O443">
        <v>2.6</v>
      </c>
      <c r="P443">
        <v>2.1</v>
      </c>
      <c r="Q443">
        <v>4</v>
      </c>
      <c r="R443">
        <v>1</v>
      </c>
      <c r="S443">
        <v>4</v>
      </c>
      <c r="T443" t="s">
        <v>30</v>
      </c>
      <c r="U443">
        <v>4</v>
      </c>
      <c r="V443" s="7">
        <v>45901</v>
      </c>
      <c r="W443" t="s">
        <v>1650</v>
      </c>
      <c r="X443" t="s">
        <v>1659</v>
      </c>
      <c r="Y443" t="s">
        <v>1665</v>
      </c>
      <c r="Z443">
        <v>1</v>
      </c>
    </row>
    <row r="444" spans="1:26" x14ac:dyDescent="0.35">
      <c r="A444" t="s">
        <v>166</v>
      </c>
      <c r="B444" s="6">
        <v>44269</v>
      </c>
      <c r="C444" t="s">
        <v>23</v>
      </c>
      <c r="D444">
        <v>34</v>
      </c>
      <c r="E444" t="s">
        <v>36</v>
      </c>
      <c r="F444" t="s">
        <v>42</v>
      </c>
      <c r="G444" t="s">
        <v>58</v>
      </c>
      <c r="H444" t="s">
        <v>1634</v>
      </c>
      <c r="I444" t="s">
        <v>86</v>
      </c>
      <c r="J444" t="s">
        <v>1633</v>
      </c>
      <c r="K444" t="s">
        <v>50</v>
      </c>
      <c r="L444">
        <v>57000</v>
      </c>
      <c r="M444">
        <v>9.1999999999999993</v>
      </c>
      <c r="N444">
        <v>10.3</v>
      </c>
      <c r="O444">
        <v>4.8</v>
      </c>
      <c r="P444">
        <v>2.6</v>
      </c>
      <c r="Q444">
        <v>3</v>
      </c>
      <c r="R444">
        <v>2</v>
      </c>
      <c r="S444">
        <v>3</v>
      </c>
      <c r="T444" t="s">
        <v>23</v>
      </c>
      <c r="U444">
        <v>1</v>
      </c>
      <c r="W444" t="s">
        <v>1650</v>
      </c>
      <c r="X444" t="s">
        <v>1656</v>
      </c>
      <c r="Y444" t="s">
        <v>1661</v>
      </c>
      <c r="Z444">
        <v>0</v>
      </c>
    </row>
    <row r="445" spans="1:26" x14ac:dyDescent="0.35">
      <c r="A445" t="s">
        <v>156</v>
      </c>
      <c r="B445" s="6">
        <v>43182</v>
      </c>
      <c r="C445" t="s">
        <v>23</v>
      </c>
      <c r="D445">
        <v>29</v>
      </c>
      <c r="E445" t="s">
        <v>36</v>
      </c>
      <c r="F445" t="s">
        <v>42</v>
      </c>
      <c r="G445" t="s">
        <v>54</v>
      </c>
      <c r="H445" t="s">
        <v>1634</v>
      </c>
      <c r="I445" t="s">
        <v>86</v>
      </c>
      <c r="J445" t="s">
        <v>1633</v>
      </c>
      <c r="K445" t="s">
        <v>84</v>
      </c>
      <c r="L445">
        <v>53000</v>
      </c>
      <c r="M445">
        <v>6</v>
      </c>
      <c r="N445">
        <v>14.3</v>
      </c>
      <c r="O445">
        <v>7.8</v>
      </c>
      <c r="P445">
        <v>3.9</v>
      </c>
      <c r="Q445">
        <v>3</v>
      </c>
      <c r="R445">
        <v>4</v>
      </c>
      <c r="S445">
        <v>3</v>
      </c>
      <c r="T445" t="s">
        <v>30</v>
      </c>
      <c r="U445">
        <v>2</v>
      </c>
      <c r="W445" t="s">
        <v>1650</v>
      </c>
      <c r="X445" t="s">
        <v>1656</v>
      </c>
      <c r="Y445" t="s">
        <v>1662</v>
      </c>
      <c r="Z445">
        <v>0</v>
      </c>
    </row>
    <row r="446" spans="1:26" x14ac:dyDescent="0.35">
      <c r="A446" t="s">
        <v>1434</v>
      </c>
      <c r="B446" s="6">
        <v>43306</v>
      </c>
      <c r="C446" t="s">
        <v>23</v>
      </c>
      <c r="D446">
        <v>29</v>
      </c>
      <c r="E446" t="s">
        <v>24</v>
      </c>
      <c r="F446" t="s">
        <v>37</v>
      </c>
      <c r="G446" t="s">
        <v>32</v>
      </c>
      <c r="H446" t="s">
        <v>45</v>
      </c>
      <c r="I446" t="s">
        <v>46</v>
      </c>
      <c r="J446" t="s">
        <v>1636</v>
      </c>
      <c r="K446" t="s">
        <v>29</v>
      </c>
      <c r="L446">
        <v>103000</v>
      </c>
      <c r="M446">
        <v>7.3</v>
      </c>
      <c r="N446">
        <v>10.3</v>
      </c>
      <c r="O446">
        <v>7.4</v>
      </c>
      <c r="P446">
        <v>3.6</v>
      </c>
      <c r="Q446">
        <v>3</v>
      </c>
      <c r="R446">
        <v>4</v>
      </c>
      <c r="S446">
        <v>3</v>
      </c>
      <c r="T446" t="s">
        <v>23</v>
      </c>
      <c r="U446">
        <v>3</v>
      </c>
      <c r="W446" t="s">
        <v>1650</v>
      </c>
      <c r="X446" t="s">
        <v>1658</v>
      </c>
      <c r="Y446" t="s">
        <v>1662</v>
      </c>
      <c r="Z446">
        <v>0</v>
      </c>
    </row>
    <row r="447" spans="1:26" x14ac:dyDescent="0.35">
      <c r="A447" t="s">
        <v>1530</v>
      </c>
      <c r="B447" s="6">
        <v>45910</v>
      </c>
      <c r="C447" t="s">
        <v>23</v>
      </c>
      <c r="D447">
        <v>23</v>
      </c>
      <c r="E447" t="s">
        <v>24</v>
      </c>
      <c r="F447" t="s">
        <v>25</v>
      </c>
      <c r="G447" t="s">
        <v>54</v>
      </c>
      <c r="H447" t="s">
        <v>48</v>
      </c>
      <c r="I447" t="s">
        <v>49</v>
      </c>
      <c r="J447" t="s">
        <v>1632</v>
      </c>
      <c r="K447" t="s">
        <v>84</v>
      </c>
      <c r="L447">
        <v>34000</v>
      </c>
      <c r="M447">
        <v>3</v>
      </c>
      <c r="N447">
        <v>1.2</v>
      </c>
      <c r="O447">
        <v>0.3</v>
      </c>
      <c r="P447">
        <v>0</v>
      </c>
      <c r="Q447">
        <v>3</v>
      </c>
      <c r="R447">
        <v>3</v>
      </c>
      <c r="S447">
        <v>4</v>
      </c>
      <c r="T447" t="s">
        <v>30</v>
      </c>
      <c r="U447">
        <v>4</v>
      </c>
      <c r="W447" t="s">
        <v>1651</v>
      </c>
      <c r="X447" t="s">
        <v>1655</v>
      </c>
      <c r="Y447" t="s">
        <v>1664</v>
      </c>
      <c r="Z447">
        <v>0</v>
      </c>
    </row>
    <row r="448" spans="1:26" x14ac:dyDescent="0.35">
      <c r="A448" t="s">
        <v>1511</v>
      </c>
      <c r="B448" s="6">
        <v>45342</v>
      </c>
      <c r="C448" t="s">
        <v>23</v>
      </c>
      <c r="D448">
        <v>34</v>
      </c>
      <c r="E448" t="s">
        <v>62</v>
      </c>
      <c r="F448" t="s">
        <v>37</v>
      </c>
      <c r="G448" t="s">
        <v>26</v>
      </c>
      <c r="H448" t="s">
        <v>48</v>
      </c>
      <c r="I448" t="s">
        <v>201</v>
      </c>
      <c r="J448" t="s">
        <v>1636</v>
      </c>
      <c r="K448" t="s">
        <v>50</v>
      </c>
      <c r="L448">
        <v>102000</v>
      </c>
      <c r="M448">
        <v>7.8</v>
      </c>
      <c r="N448">
        <v>4.0999999999999996</v>
      </c>
      <c r="O448">
        <v>1.9</v>
      </c>
      <c r="P448">
        <v>0.2</v>
      </c>
      <c r="Q448">
        <v>3</v>
      </c>
      <c r="R448">
        <v>3</v>
      </c>
      <c r="S448">
        <v>3</v>
      </c>
      <c r="T448" t="s">
        <v>30</v>
      </c>
      <c r="U448">
        <v>3</v>
      </c>
      <c r="W448" t="s">
        <v>1650</v>
      </c>
      <c r="X448" t="s">
        <v>1658</v>
      </c>
      <c r="Y448" t="s">
        <v>1665</v>
      </c>
      <c r="Z448">
        <v>0</v>
      </c>
    </row>
    <row r="449" spans="1:26" x14ac:dyDescent="0.35">
      <c r="A449" t="s">
        <v>392</v>
      </c>
      <c r="B449" s="6">
        <v>41750</v>
      </c>
      <c r="C449" t="s">
        <v>23</v>
      </c>
      <c r="D449">
        <v>35</v>
      </c>
      <c r="E449" t="s">
        <v>62</v>
      </c>
      <c r="F449" t="s">
        <v>37</v>
      </c>
      <c r="G449" t="s">
        <v>26</v>
      </c>
      <c r="H449" t="s">
        <v>27</v>
      </c>
      <c r="I449" t="s">
        <v>95</v>
      </c>
      <c r="J449" t="s">
        <v>1636</v>
      </c>
      <c r="K449" t="s">
        <v>29</v>
      </c>
      <c r="L449">
        <v>118000</v>
      </c>
      <c r="M449">
        <v>1.5</v>
      </c>
      <c r="N449">
        <v>14.9</v>
      </c>
      <c r="O449">
        <v>11.7</v>
      </c>
      <c r="P449">
        <v>2.6</v>
      </c>
      <c r="Q449">
        <v>3</v>
      </c>
      <c r="R449">
        <v>3</v>
      </c>
      <c r="S449">
        <v>2</v>
      </c>
      <c r="T449" t="s">
        <v>30</v>
      </c>
      <c r="U449">
        <v>3</v>
      </c>
      <c r="W449" t="s">
        <v>1650</v>
      </c>
      <c r="X449" t="s">
        <v>1658</v>
      </c>
      <c r="Y449" t="s">
        <v>1663</v>
      </c>
      <c r="Z449">
        <v>0</v>
      </c>
    </row>
    <row r="450" spans="1:26" x14ac:dyDescent="0.35">
      <c r="A450" t="s">
        <v>1292</v>
      </c>
      <c r="B450" s="6">
        <v>41946</v>
      </c>
      <c r="C450" t="s">
        <v>23</v>
      </c>
      <c r="D450">
        <v>32</v>
      </c>
      <c r="E450" t="s">
        <v>36</v>
      </c>
      <c r="F450" t="s">
        <v>37</v>
      </c>
      <c r="G450" t="s">
        <v>54</v>
      </c>
      <c r="H450" t="s">
        <v>27</v>
      </c>
      <c r="I450" t="s">
        <v>33</v>
      </c>
      <c r="J450" t="s">
        <v>1635</v>
      </c>
      <c r="K450" t="s">
        <v>40</v>
      </c>
      <c r="L450">
        <v>80000</v>
      </c>
      <c r="M450">
        <v>9.9</v>
      </c>
      <c r="N450">
        <v>12.8</v>
      </c>
      <c r="O450">
        <v>11.2</v>
      </c>
      <c r="P450">
        <v>5.7</v>
      </c>
      <c r="Q450">
        <v>3</v>
      </c>
      <c r="R450">
        <v>4</v>
      </c>
      <c r="S450">
        <v>3</v>
      </c>
      <c r="T450" t="s">
        <v>23</v>
      </c>
      <c r="U450">
        <v>4</v>
      </c>
      <c r="W450" t="s">
        <v>1650</v>
      </c>
      <c r="X450" t="s">
        <v>1657</v>
      </c>
      <c r="Y450" t="s">
        <v>1663</v>
      </c>
      <c r="Z450">
        <v>0</v>
      </c>
    </row>
    <row r="451" spans="1:26" x14ac:dyDescent="0.35">
      <c r="A451" t="s">
        <v>1581</v>
      </c>
      <c r="B451" s="6">
        <v>44807</v>
      </c>
      <c r="C451" t="s">
        <v>23</v>
      </c>
      <c r="D451">
        <v>31</v>
      </c>
      <c r="E451" t="s">
        <v>36</v>
      </c>
      <c r="F451" t="s">
        <v>25</v>
      </c>
      <c r="G451" t="s">
        <v>54</v>
      </c>
      <c r="H451" t="s">
        <v>27</v>
      </c>
      <c r="I451" t="s">
        <v>95</v>
      </c>
      <c r="J451" t="s">
        <v>1637</v>
      </c>
      <c r="K451" t="s">
        <v>50</v>
      </c>
      <c r="L451">
        <v>140000</v>
      </c>
      <c r="M451">
        <v>13.3</v>
      </c>
      <c r="N451">
        <v>4.5</v>
      </c>
      <c r="O451">
        <v>3.3</v>
      </c>
      <c r="P451">
        <v>1</v>
      </c>
      <c r="Q451">
        <v>3</v>
      </c>
      <c r="R451">
        <v>3</v>
      </c>
      <c r="S451">
        <v>3</v>
      </c>
      <c r="T451" t="s">
        <v>23</v>
      </c>
      <c r="U451">
        <v>5</v>
      </c>
      <c r="W451" t="s">
        <v>1650</v>
      </c>
      <c r="X451" t="s">
        <v>1658</v>
      </c>
      <c r="Y451" t="s">
        <v>1661</v>
      </c>
      <c r="Z451">
        <v>0</v>
      </c>
    </row>
    <row r="452" spans="1:26" x14ac:dyDescent="0.35">
      <c r="A452" t="s">
        <v>727</v>
      </c>
      <c r="B452" s="6">
        <v>44532</v>
      </c>
      <c r="C452" t="s">
        <v>23</v>
      </c>
      <c r="D452">
        <v>46</v>
      </c>
      <c r="E452" t="s">
        <v>36</v>
      </c>
      <c r="F452" t="s">
        <v>37</v>
      </c>
      <c r="G452" t="s">
        <v>54</v>
      </c>
      <c r="H452" t="s">
        <v>38</v>
      </c>
      <c r="I452" t="s">
        <v>52</v>
      </c>
      <c r="J452" t="s">
        <v>1633</v>
      </c>
      <c r="K452" t="s">
        <v>84</v>
      </c>
      <c r="L452">
        <v>59000</v>
      </c>
      <c r="M452">
        <v>6.2</v>
      </c>
      <c r="N452">
        <v>9.6999999999999993</v>
      </c>
      <c r="O452">
        <v>4.0999999999999996</v>
      </c>
      <c r="P452">
        <v>3</v>
      </c>
      <c r="R452">
        <v>3</v>
      </c>
      <c r="S452">
        <v>2</v>
      </c>
      <c r="T452" t="s">
        <v>23</v>
      </c>
      <c r="U452">
        <v>2</v>
      </c>
      <c r="W452" t="s">
        <v>1652</v>
      </c>
      <c r="X452" t="s">
        <v>1656</v>
      </c>
      <c r="Y452" t="s">
        <v>1661</v>
      </c>
      <c r="Z452">
        <v>0</v>
      </c>
    </row>
    <row r="453" spans="1:26" x14ac:dyDescent="0.35">
      <c r="A453" t="s">
        <v>881</v>
      </c>
      <c r="B453" s="6">
        <v>45912</v>
      </c>
      <c r="C453" t="s">
        <v>23</v>
      </c>
      <c r="D453">
        <v>21</v>
      </c>
      <c r="E453" t="s">
        <v>24</v>
      </c>
      <c r="F453" t="s">
        <v>25</v>
      </c>
      <c r="G453" t="s">
        <v>54</v>
      </c>
      <c r="H453" t="s">
        <v>27</v>
      </c>
      <c r="I453" t="s">
        <v>43</v>
      </c>
      <c r="J453" t="s">
        <v>1632</v>
      </c>
      <c r="K453" t="s">
        <v>84</v>
      </c>
      <c r="L453">
        <v>22000</v>
      </c>
      <c r="M453">
        <v>10.1</v>
      </c>
      <c r="N453">
        <v>5.7</v>
      </c>
      <c r="O453">
        <v>0.3</v>
      </c>
      <c r="P453">
        <v>0</v>
      </c>
      <c r="Q453">
        <v>3</v>
      </c>
      <c r="R453">
        <v>4</v>
      </c>
      <c r="S453">
        <v>1</v>
      </c>
      <c r="T453" t="s">
        <v>23</v>
      </c>
      <c r="U453">
        <v>3</v>
      </c>
      <c r="W453" t="s">
        <v>1651</v>
      </c>
      <c r="X453" t="s">
        <v>1655</v>
      </c>
      <c r="Y453" t="s">
        <v>1664</v>
      </c>
      <c r="Z453">
        <v>0</v>
      </c>
    </row>
    <row r="454" spans="1:26" x14ac:dyDescent="0.35">
      <c r="A454" t="s">
        <v>1023</v>
      </c>
      <c r="B454" s="6">
        <v>45857</v>
      </c>
      <c r="C454" t="s">
        <v>23</v>
      </c>
      <c r="D454">
        <v>22</v>
      </c>
      <c r="E454" t="s">
        <v>36</v>
      </c>
      <c r="F454" t="s">
        <v>42</v>
      </c>
      <c r="G454" t="s">
        <v>58</v>
      </c>
      <c r="H454" t="s">
        <v>48</v>
      </c>
      <c r="I454" t="s">
        <v>49</v>
      </c>
      <c r="J454" t="s">
        <v>1632</v>
      </c>
      <c r="K454" t="s">
        <v>84</v>
      </c>
      <c r="L454">
        <v>43000</v>
      </c>
      <c r="M454">
        <v>7.1</v>
      </c>
      <c r="N454">
        <v>3</v>
      </c>
      <c r="O454">
        <v>0.5</v>
      </c>
      <c r="P454">
        <v>0</v>
      </c>
      <c r="Q454">
        <v>3</v>
      </c>
      <c r="R454">
        <v>3</v>
      </c>
      <c r="S454">
        <v>4</v>
      </c>
      <c r="T454" t="s">
        <v>23</v>
      </c>
      <c r="U454">
        <v>3</v>
      </c>
      <c r="W454" t="s">
        <v>1651</v>
      </c>
      <c r="X454" t="s">
        <v>1656</v>
      </c>
      <c r="Y454" t="s">
        <v>1664</v>
      </c>
      <c r="Z454">
        <v>0</v>
      </c>
    </row>
    <row r="455" spans="1:26" x14ac:dyDescent="0.35">
      <c r="A455" t="s">
        <v>71</v>
      </c>
      <c r="B455" s="6">
        <v>44051</v>
      </c>
      <c r="C455" t="s">
        <v>23</v>
      </c>
      <c r="D455">
        <v>44</v>
      </c>
      <c r="E455" t="s">
        <v>24</v>
      </c>
      <c r="F455" t="s">
        <v>37</v>
      </c>
      <c r="G455" t="s">
        <v>26</v>
      </c>
      <c r="H455" t="s">
        <v>27</v>
      </c>
      <c r="I455" t="s">
        <v>28</v>
      </c>
      <c r="J455" t="s">
        <v>1635</v>
      </c>
      <c r="K455" t="s">
        <v>40</v>
      </c>
      <c r="L455">
        <v>82000</v>
      </c>
      <c r="M455">
        <v>7.9</v>
      </c>
      <c r="N455">
        <v>13</v>
      </c>
      <c r="O455">
        <v>5.4</v>
      </c>
      <c r="P455">
        <v>3</v>
      </c>
      <c r="Q455">
        <v>4</v>
      </c>
      <c r="R455">
        <v>4</v>
      </c>
      <c r="S455">
        <v>3</v>
      </c>
      <c r="T455" t="s">
        <v>30</v>
      </c>
      <c r="U455">
        <v>3</v>
      </c>
      <c r="W455" t="s">
        <v>1649</v>
      </c>
      <c r="X455" t="s">
        <v>1657</v>
      </c>
      <c r="Y455" t="s">
        <v>1661</v>
      </c>
      <c r="Z455">
        <v>0</v>
      </c>
    </row>
    <row r="456" spans="1:26" x14ac:dyDescent="0.35">
      <c r="A456" t="s">
        <v>584</v>
      </c>
      <c r="B456" s="6">
        <v>45793</v>
      </c>
      <c r="C456" t="s">
        <v>30</v>
      </c>
      <c r="D456">
        <v>21</v>
      </c>
      <c r="E456" t="s">
        <v>62</v>
      </c>
      <c r="F456" t="s">
        <v>37</v>
      </c>
      <c r="G456" t="s">
        <v>26</v>
      </c>
      <c r="H456" t="s">
        <v>55</v>
      </c>
      <c r="I456" t="s">
        <v>56</v>
      </c>
      <c r="J456" t="s">
        <v>1632</v>
      </c>
      <c r="K456" t="s">
        <v>1638</v>
      </c>
      <c r="L456">
        <v>33000</v>
      </c>
      <c r="M456">
        <v>8.1999999999999993</v>
      </c>
      <c r="N456">
        <v>0.8</v>
      </c>
      <c r="O456">
        <v>0.5</v>
      </c>
      <c r="P456">
        <v>0</v>
      </c>
      <c r="Q456">
        <v>3</v>
      </c>
      <c r="R456">
        <v>3</v>
      </c>
      <c r="S456">
        <v>3</v>
      </c>
      <c r="T456" t="s">
        <v>30</v>
      </c>
      <c r="U456">
        <v>3</v>
      </c>
      <c r="V456" s="7">
        <v>45979</v>
      </c>
      <c r="W456" t="s">
        <v>1651</v>
      </c>
      <c r="X456" t="s">
        <v>1655</v>
      </c>
      <c r="Y456" t="s">
        <v>1664</v>
      </c>
      <c r="Z456">
        <v>1</v>
      </c>
    </row>
    <row r="457" spans="1:26" x14ac:dyDescent="0.35">
      <c r="A457" t="s">
        <v>1070</v>
      </c>
      <c r="B457" s="6">
        <v>45141</v>
      </c>
      <c r="C457" t="s">
        <v>23</v>
      </c>
      <c r="D457">
        <v>32</v>
      </c>
      <c r="E457" t="s">
        <v>62</v>
      </c>
      <c r="F457" t="s">
        <v>37</v>
      </c>
      <c r="G457" t="s">
        <v>54</v>
      </c>
      <c r="H457" t="s">
        <v>38</v>
      </c>
      <c r="I457" t="s">
        <v>139</v>
      </c>
      <c r="J457" t="s">
        <v>1636</v>
      </c>
      <c r="K457" t="s">
        <v>50</v>
      </c>
      <c r="L457">
        <v>125000</v>
      </c>
      <c r="M457">
        <v>8.1</v>
      </c>
      <c r="N457">
        <v>9.5</v>
      </c>
      <c r="O457">
        <v>2.4</v>
      </c>
      <c r="P457">
        <v>1.4</v>
      </c>
      <c r="Q457">
        <v>3</v>
      </c>
      <c r="R457">
        <v>3</v>
      </c>
      <c r="S457">
        <v>4</v>
      </c>
      <c r="T457" t="s">
        <v>30</v>
      </c>
      <c r="U457">
        <v>4</v>
      </c>
      <c r="W457" t="s">
        <v>1650</v>
      </c>
      <c r="X457" t="s">
        <v>1658</v>
      </c>
      <c r="Y457" t="s">
        <v>1665</v>
      </c>
      <c r="Z457">
        <v>0</v>
      </c>
    </row>
    <row r="458" spans="1:26" x14ac:dyDescent="0.35">
      <c r="A458" t="s">
        <v>295</v>
      </c>
      <c r="B458" s="6">
        <v>42121</v>
      </c>
      <c r="C458" t="s">
        <v>23</v>
      </c>
      <c r="D458">
        <v>34</v>
      </c>
      <c r="E458" t="s">
        <v>24</v>
      </c>
      <c r="F458" t="s">
        <v>42</v>
      </c>
      <c r="G458" t="s">
        <v>54</v>
      </c>
      <c r="H458" t="s">
        <v>55</v>
      </c>
      <c r="I458" t="s">
        <v>80</v>
      </c>
      <c r="J458" t="s">
        <v>1635</v>
      </c>
      <c r="K458" t="s">
        <v>34</v>
      </c>
      <c r="L458">
        <v>94000</v>
      </c>
      <c r="M458">
        <v>4.5999999999999996</v>
      </c>
      <c r="N458">
        <v>13.8</v>
      </c>
      <c r="O458">
        <v>10.7</v>
      </c>
      <c r="P458">
        <v>3.5</v>
      </c>
      <c r="Q458">
        <v>3</v>
      </c>
      <c r="R458">
        <v>4</v>
      </c>
      <c r="S458">
        <v>4</v>
      </c>
      <c r="T458" t="s">
        <v>30</v>
      </c>
      <c r="U458">
        <v>2</v>
      </c>
      <c r="W458" t="s">
        <v>1650</v>
      </c>
      <c r="X458" t="s">
        <v>1657</v>
      </c>
      <c r="Y458" t="s">
        <v>1663</v>
      </c>
      <c r="Z458">
        <v>0</v>
      </c>
    </row>
    <row r="459" spans="1:26" x14ac:dyDescent="0.35">
      <c r="A459" t="s">
        <v>867</v>
      </c>
      <c r="B459" s="6">
        <v>45888</v>
      </c>
      <c r="C459" t="s">
        <v>23</v>
      </c>
      <c r="D459">
        <v>32</v>
      </c>
      <c r="E459" t="s">
        <v>24</v>
      </c>
      <c r="F459" t="s">
        <v>37</v>
      </c>
      <c r="G459" t="s">
        <v>58</v>
      </c>
      <c r="H459" t="s">
        <v>45</v>
      </c>
      <c r="I459" t="s">
        <v>77</v>
      </c>
      <c r="J459" t="s">
        <v>1635</v>
      </c>
      <c r="K459" t="s">
        <v>84</v>
      </c>
      <c r="L459">
        <v>72000</v>
      </c>
      <c r="M459">
        <v>11.8</v>
      </c>
      <c r="N459">
        <v>3</v>
      </c>
      <c r="O459">
        <v>0.4</v>
      </c>
      <c r="P459">
        <v>0</v>
      </c>
      <c r="Q459">
        <v>3</v>
      </c>
      <c r="R459">
        <v>3</v>
      </c>
      <c r="S459">
        <v>4</v>
      </c>
      <c r="T459" t="s">
        <v>23</v>
      </c>
      <c r="U459">
        <v>4</v>
      </c>
      <c r="W459" t="s">
        <v>1650</v>
      </c>
      <c r="X459" t="s">
        <v>1659</v>
      </c>
      <c r="Y459" t="s">
        <v>1664</v>
      </c>
      <c r="Z459">
        <v>0</v>
      </c>
    </row>
    <row r="460" spans="1:26" x14ac:dyDescent="0.35">
      <c r="A460" t="s">
        <v>1416</v>
      </c>
      <c r="B460" s="6">
        <v>43575</v>
      </c>
      <c r="C460" t="s">
        <v>23</v>
      </c>
      <c r="D460">
        <v>40</v>
      </c>
      <c r="E460" t="s">
        <v>36</v>
      </c>
      <c r="F460" t="s">
        <v>42</v>
      </c>
      <c r="G460" t="s">
        <v>58</v>
      </c>
      <c r="H460" t="s">
        <v>1634</v>
      </c>
      <c r="I460" t="s">
        <v>75</v>
      </c>
      <c r="J460" t="s">
        <v>1635</v>
      </c>
      <c r="K460" t="s">
        <v>29</v>
      </c>
      <c r="L460">
        <v>78000</v>
      </c>
      <c r="M460">
        <v>6.6</v>
      </c>
      <c r="N460">
        <v>8.6</v>
      </c>
      <c r="O460">
        <v>6.7</v>
      </c>
      <c r="P460">
        <v>4.5999999999999996</v>
      </c>
      <c r="Q460">
        <v>2</v>
      </c>
      <c r="R460">
        <v>3</v>
      </c>
      <c r="S460">
        <v>1</v>
      </c>
      <c r="T460" t="s">
        <v>23</v>
      </c>
      <c r="U460">
        <v>3</v>
      </c>
      <c r="W460" t="s">
        <v>1649</v>
      </c>
      <c r="X460" t="s">
        <v>1659</v>
      </c>
      <c r="Y460" t="s">
        <v>1662</v>
      </c>
      <c r="Z460">
        <v>0</v>
      </c>
    </row>
    <row r="461" spans="1:26" x14ac:dyDescent="0.35">
      <c r="A461" t="s">
        <v>1077</v>
      </c>
      <c r="B461" s="6">
        <v>45706</v>
      </c>
      <c r="C461" t="s">
        <v>23</v>
      </c>
      <c r="D461">
        <v>25</v>
      </c>
      <c r="E461" t="s">
        <v>62</v>
      </c>
      <c r="F461" t="s">
        <v>37</v>
      </c>
      <c r="G461" t="s">
        <v>54</v>
      </c>
      <c r="H461" t="s">
        <v>1634</v>
      </c>
      <c r="I461" t="s">
        <v>86</v>
      </c>
      <c r="J461" t="s">
        <v>1632</v>
      </c>
      <c r="K461" t="s">
        <v>34</v>
      </c>
      <c r="L461">
        <v>34000</v>
      </c>
      <c r="M461">
        <v>8.9</v>
      </c>
      <c r="N461">
        <v>3.3</v>
      </c>
      <c r="O461">
        <v>0.9</v>
      </c>
      <c r="P461">
        <v>0</v>
      </c>
      <c r="Q461">
        <v>3</v>
      </c>
      <c r="R461">
        <v>2</v>
      </c>
      <c r="S461">
        <v>3</v>
      </c>
      <c r="T461" t="s">
        <v>23</v>
      </c>
      <c r="U461">
        <v>4</v>
      </c>
      <c r="W461" t="s">
        <v>1651</v>
      </c>
      <c r="X461" t="s">
        <v>1655</v>
      </c>
      <c r="Y461" t="s">
        <v>1664</v>
      </c>
      <c r="Z461">
        <v>0</v>
      </c>
    </row>
    <row r="462" spans="1:26" x14ac:dyDescent="0.35">
      <c r="A462" t="s">
        <v>1344</v>
      </c>
      <c r="B462" s="6">
        <v>43347</v>
      </c>
      <c r="C462" t="s">
        <v>23</v>
      </c>
      <c r="D462">
        <v>32</v>
      </c>
      <c r="E462" t="s">
        <v>62</v>
      </c>
      <c r="F462" t="s">
        <v>37</v>
      </c>
      <c r="G462" t="s">
        <v>32</v>
      </c>
      <c r="H462" t="s">
        <v>48</v>
      </c>
      <c r="I462" t="s">
        <v>201</v>
      </c>
      <c r="J462" t="s">
        <v>1633</v>
      </c>
      <c r="K462" t="s">
        <v>34</v>
      </c>
      <c r="L462">
        <v>38000</v>
      </c>
      <c r="M462">
        <v>6.8</v>
      </c>
      <c r="N462">
        <v>8.8000000000000007</v>
      </c>
      <c r="O462">
        <v>7.3</v>
      </c>
      <c r="P462">
        <v>3.8</v>
      </c>
      <c r="Q462">
        <v>3</v>
      </c>
      <c r="R462">
        <v>2</v>
      </c>
      <c r="S462">
        <v>3</v>
      </c>
      <c r="T462" t="s">
        <v>30</v>
      </c>
      <c r="U462">
        <v>5</v>
      </c>
      <c r="W462" t="s">
        <v>1650</v>
      </c>
      <c r="X462" t="s">
        <v>1655</v>
      </c>
      <c r="Y462" t="s">
        <v>1662</v>
      </c>
      <c r="Z462">
        <v>0</v>
      </c>
    </row>
    <row r="463" spans="1:26" x14ac:dyDescent="0.35">
      <c r="A463" t="s">
        <v>1004</v>
      </c>
      <c r="B463" s="6">
        <v>44044</v>
      </c>
      <c r="C463" t="s">
        <v>23</v>
      </c>
      <c r="D463">
        <v>34</v>
      </c>
      <c r="E463" t="s">
        <v>24</v>
      </c>
      <c r="F463" t="s">
        <v>25</v>
      </c>
      <c r="G463" t="s">
        <v>26</v>
      </c>
      <c r="H463" t="s">
        <v>27</v>
      </c>
      <c r="I463" t="s">
        <v>43</v>
      </c>
      <c r="J463" t="s">
        <v>1633</v>
      </c>
      <c r="K463" t="s">
        <v>50</v>
      </c>
      <c r="L463">
        <v>41000</v>
      </c>
      <c r="M463">
        <v>14.1</v>
      </c>
      <c r="N463">
        <v>6.4</v>
      </c>
      <c r="O463">
        <v>5.4</v>
      </c>
      <c r="P463">
        <v>4.9000000000000004</v>
      </c>
      <c r="Q463">
        <v>3</v>
      </c>
      <c r="R463">
        <v>4</v>
      </c>
      <c r="S463">
        <v>3</v>
      </c>
      <c r="T463" t="s">
        <v>23</v>
      </c>
      <c r="U463">
        <v>3</v>
      </c>
      <c r="W463" t="s">
        <v>1650</v>
      </c>
      <c r="X463" t="s">
        <v>1656</v>
      </c>
      <c r="Y463" t="s">
        <v>1661</v>
      </c>
      <c r="Z463">
        <v>0</v>
      </c>
    </row>
    <row r="464" spans="1:26" x14ac:dyDescent="0.35">
      <c r="A464" t="s">
        <v>900</v>
      </c>
      <c r="B464" s="6">
        <v>44148</v>
      </c>
      <c r="C464" t="s">
        <v>23</v>
      </c>
      <c r="D464">
        <v>40</v>
      </c>
      <c r="E464" t="s">
        <v>36</v>
      </c>
      <c r="F464" t="s">
        <v>37</v>
      </c>
      <c r="G464" t="s">
        <v>32</v>
      </c>
      <c r="H464" t="s">
        <v>27</v>
      </c>
      <c r="I464" t="s">
        <v>43</v>
      </c>
      <c r="J464" t="s">
        <v>1635</v>
      </c>
      <c r="K464" t="s">
        <v>34</v>
      </c>
      <c r="L464">
        <v>77000</v>
      </c>
      <c r="M464">
        <v>6.4</v>
      </c>
      <c r="N464">
        <v>8</v>
      </c>
      <c r="O464">
        <v>5.0999999999999996</v>
      </c>
      <c r="P464">
        <v>3</v>
      </c>
      <c r="Q464">
        <v>3</v>
      </c>
      <c r="R464">
        <v>4</v>
      </c>
      <c r="S464">
        <v>1</v>
      </c>
      <c r="T464" t="s">
        <v>23</v>
      </c>
      <c r="U464">
        <v>4</v>
      </c>
      <c r="W464" t="s">
        <v>1649</v>
      </c>
      <c r="X464" t="s">
        <v>1659</v>
      </c>
      <c r="Y464" t="s">
        <v>1661</v>
      </c>
      <c r="Z464">
        <v>0</v>
      </c>
    </row>
    <row r="465" spans="1:26" x14ac:dyDescent="0.35">
      <c r="A465" t="s">
        <v>190</v>
      </c>
      <c r="B465" s="6">
        <v>45198</v>
      </c>
      <c r="C465" t="s">
        <v>23</v>
      </c>
      <c r="D465">
        <v>25</v>
      </c>
      <c r="E465" t="s">
        <v>24</v>
      </c>
      <c r="F465" t="s">
        <v>37</v>
      </c>
      <c r="G465" t="s">
        <v>32</v>
      </c>
      <c r="H465" t="s">
        <v>38</v>
      </c>
      <c r="I465" t="s">
        <v>118</v>
      </c>
      <c r="J465" t="s">
        <v>1632</v>
      </c>
      <c r="K465" t="s">
        <v>50</v>
      </c>
      <c r="L465">
        <v>46000</v>
      </c>
      <c r="M465">
        <v>13</v>
      </c>
      <c r="N465">
        <v>8.3000000000000007</v>
      </c>
      <c r="O465">
        <v>2.2999999999999998</v>
      </c>
      <c r="P465">
        <v>1</v>
      </c>
      <c r="Q465">
        <v>3</v>
      </c>
      <c r="R465">
        <v>4</v>
      </c>
      <c r="S465">
        <v>3</v>
      </c>
      <c r="T465" t="s">
        <v>23</v>
      </c>
      <c r="U465">
        <v>5</v>
      </c>
      <c r="W465" t="s">
        <v>1651</v>
      </c>
      <c r="X465" t="s">
        <v>1656</v>
      </c>
      <c r="Y465" t="s">
        <v>1665</v>
      </c>
      <c r="Z465">
        <v>0</v>
      </c>
    </row>
    <row r="466" spans="1:26" x14ac:dyDescent="0.35">
      <c r="A466" t="s">
        <v>923</v>
      </c>
      <c r="B466" s="6">
        <v>45459</v>
      </c>
      <c r="C466" t="s">
        <v>30</v>
      </c>
      <c r="D466">
        <v>43</v>
      </c>
      <c r="E466" t="s">
        <v>62</v>
      </c>
      <c r="F466" t="s">
        <v>42</v>
      </c>
      <c r="G466" t="s">
        <v>58</v>
      </c>
      <c r="H466" t="s">
        <v>45</v>
      </c>
      <c r="I466" t="s">
        <v>77</v>
      </c>
      <c r="J466" t="s">
        <v>1636</v>
      </c>
      <c r="K466" t="s">
        <v>66</v>
      </c>
      <c r="L466">
        <v>101000</v>
      </c>
      <c r="M466">
        <v>10.199999999999999</v>
      </c>
      <c r="N466">
        <v>6</v>
      </c>
      <c r="O466">
        <v>0.8</v>
      </c>
      <c r="P466">
        <v>0</v>
      </c>
      <c r="Q466">
        <v>1</v>
      </c>
      <c r="R466">
        <v>3</v>
      </c>
      <c r="S466">
        <v>3</v>
      </c>
      <c r="T466" t="s">
        <v>23</v>
      </c>
      <c r="U466">
        <v>4</v>
      </c>
      <c r="V466" s="7">
        <v>45745</v>
      </c>
      <c r="W466" t="s">
        <v>1649</v>
      </c>
      <c r="X466" t="s">
        <v>1658</v>
      </c>
      <c r="Y466" t="s">
        <v>1664</v>
      </c>
      <c r="Z466">
        <v>1</v>
      </c>
    </row>
    <row r="467" spans="1:26" x14ac:dyDescent="0.35">
      <c r="A467" t="s">
        <v>933</v>
      </c>
      <c r="B467" s="6">
        <v>41797</v>
      </c>
      <c r="C467" t="s">
        <v>30</v>
      </c>
      <c r="D467">
        <v>32</v>
      </c>
      <c r="E467" t="s">
        <v>24</v>
      </c>
      <c r="F467" t="s">
        <v>42</v>
      </c>
      <c r="G467" t="s">
        <v>32</v>
      </c>
      <c r="H467" t="s">
        <v>1634</v>
      </c>
      <c r="I467" t="s">
        <v>150</v>
      </c>
      <c r="J467" t="s">
        <v>1635</v>
      </c>
      <c r="K467" t="s">
        <v>29</v>
      </c>
      <c r="L467">
        <v>82000</v>
      </c>
      <c r="M467">
        <v>12.2</v>
      </c>
      <c r="N467">
        <v>10.9</v>
      </c>
      <c r="O467">
        <v>10.8</v>
      </c>
      <c r="P467">
        <v>0.7</v>
      </c>
      <c r="Q467">
        <v>4</v>
      </c>
      <c r="R467">
        <v>1</v>
      </c>
      <c r="S467">
        <v>4</v>
      </c>
      <c r="T467" t="s">
        <v>23</v>
      </c>
      <c r="U467">
        <v>4</v>
      </c>
      <c r="V467" s="7">
        <v>45727</v>
      </c>
      <c r="W467" t="s">
        <v>1650</v>
      </c>
      <c r="X467" t="s">
        <v>1657</v>
      </c>
      <c r="Y467" t="s">
        <v>1663</v>
      </c>
      <c r="Z467">
        <v>1</v>
      </c>
    </row>
    <row r="468" spans="1:26" x14ac:dyDescent="0.35">
      <c r="A468" t="s">
        <v>607</v>
      </c>
      <c r="B468" s="6">
        <v>42246</v>
      </c>
      <c r="C468" t="s">
        <v>23</v>
      </c>
      <c r="D468">
        <v>42</v>
      </c>
      <c r="E468" t="s">
        <v>36</v>
      </c>
      <c r="F468" t="s">
        <v>42</v>
      </c>
      <c r="G468" t="s">
        <v>54</v>
      </c>
      <c r="H468" t="s">
        <v>55</v>
      </c>
      <c r="I468" t="s">
        <v>80</v>
      </c>
      <c r="J468" t="s">
        <v>1636</v>
      </c>
      <c r="K468" t="s">
        <v>50</v>
      </c>
      <c r="L468">
        <v>114000</v>
      </c>
      <c r="M468">
        <v>13.1</v>
      </c>
      <c r="N468">
        <v>11.5</v>
      </c>
      <c r="O468">
        <v>10.3</v>
      </c>
      <c r="P468">
        <v>2.5</v>
      </c>
      <c r="Q468">
        <v>2</v>
      </c>
      <c r="R468">
        <v>2</v>
      </c>
      <c r="S468">
        <v>4</v>
      </c>
      <c r="T468" t="s">
        <v>23</v>
      </c>
      <c r="U468">
        <v>4</v>
      </c>
      <c r="W468" t="s">
        <v>1649</v>
      </c>
      <c r="X468" t="s">
        <v>1658</v>
      </c>
      <c r="Y468" t="s">
        <v>1663</v>
      </c>
      <c r="Z468">
        <v>0</v>
      </c>
    </row>
    <row r="469" spans="1:26" x14ac:dyDescent="0.35">
      <c r="A469" t="s">
        <v>57</v>
      </c>
      <c r="B469" s="6">
        <v>44908</v>
      </c>
      <c r="C469" t="s">
        <v>23</v>
      </c>
      <c r="D469">
        <v>25</v>
      </c>
      <c r="E469" t="s">
        <v>36</v>
      </c>
      <c r="F469" t="s">
        <v>25</v>
      </c>
      <c r="G469" t="s">
        <v>58</v>
      </c>
      <c r="H469" t="s">
        <v>1634</v>
      </c>
      <c r="I469" t="s">
        <v>60</v>
      </c>
      <c r="J469" t="s">
        <v>1632</v>
      </c>
      <c r="K469" t="s">
        <v>50</v>
      </c>
      <c r="L469">
        <v>29000</v>
      </c>
      <c r="M469">
        <v>4.5999999999999996</v>
      </c>
      <c r="N469">
        <v>3.5</v>
      </c>
      <c r="O469">
        <v>3</v>
      </c>
      <c r="P469">
        <v>0</v>
      </c>
      <c r="Q469">
        <v>3</v>
      </c>
      <c r="R469">
        <v>3</v>
      </c>
      <c r="S469">
        <v>3</v>
      </c>
      <c r="T469" t="s">
        <v>30</v>
      </c>
      <c r="U469">
        <v>5</v>
      </c>
      <c r="W469" t="s">
        <v>1651</v>
      </c>
      <c r="X469" t="s">
        <v>1655</v>
      </c>
      <c r="Y469" t="s">
        <v>1665</v>
      </c>
      <c r="Z469">
        <v>0</v>
      </c>
    </row>
    <row r="470" spans="1:26" x14ac:dyDescent="0.35">
      <c r="A470" t="s">
        <v>904</v>
      </c>
      <c r="B470" s="6">
        <v>43603</v>
      </c>
      <c r="C470" t="s">
        <v>23</v>
      </c>
      <c r="D470">
        <v>31</v>
      </c>
      <c r="E470" t="s">
        <v>24</v>
      </c>
      <c r="F470" t="s">
        <v>42</v>
      </c>
      <c r="G470" t="s">
        <v>54</v>
      </c>
      <c r="H470" t="s">
        <v>48</v>
      </c>
      <c r="I470" t="s">
        <v>201</v>
      </c>
      <c r="J470" t="s">
        <v>1635</v>
      </c>
      <c r="K470" t="s">
        <v>34</v>
      </c>
      <c r="L470">
        <v>87000</v>
      </c>
      <c r="M470">
        <v>14.2</v>
      </c>
      <c r="N470">
        <v>10.5</v>
      </c>
      <c r="O470">
        <v>6.6</v>
      </c>
      <c r="P470">
        <v>4.3</v>
      </c>
      <c r="Q470">
        <v>3</v>
      </c>
      <c r="R470">
        <v>3</v>
      </c>
      <c r="S470">
        <v>3</v>
      </c>
      <c r="T470" t="s">
        <v>23</v>
      </c>
      <c r="U470">
        <v>3</v>
      </c>
      <c r="W470" t="s">
        <v>1650</v>
      </c>
      <c r="X470" t="s">
        <v>1657</v>
      </c>
      <c r="Y470" t="s">
        <v>1662</v>
      </c>
      <c r="Z470">
        <v>0</v>
      </c>
    </row>
    <row r="471" spans="1:26" x14ac:dyDescent="0.35">
      <c r="A471" t="s">
        <v>860</v>
      </c>
      <c r="B471" s="6">
        <v>43860</v>
      </c>
      <c r="C471" t="s">
        <v>23</v>
      </c>
      <c r="D471">
        <v>29</v>
      </c>
      <c r="E471" t="s">
        <v>62</v>
      </c>
      <c r="F471" t="s">
        <v>42</v>
      </c>
      <c r="G471" t="s">
        <v>54</v>
      </c>
      <c r="H471" t="s">
        <v>38</v>
      </c>
      <c r="I471" t="s">
        <v>52</v>
      </c>
      <c r="J471" t="s">
        <v>1635</v>
      </c>
      <c r="K471" t="s">
        <v>40</v>
      </c>
      <c r="L471">
        <v>85000</v>
      </c>
      <c r="M471">
        <v>2.2999999999999998</v>
      </c>
      <c r="N471">
        <v>11.7</v>
      </c>
      <c r="O471">
        <v>5.9</v>
      </c>
      <c r="P471">
        <v>2.8</v>
      </c>
      <c r="Q471">
        <v>3</v>
      </c>
      <c r="R471">
        <v>3</v>
      </c>
      <c r="S471">
        <v>3</v>
      </c>
      <c r="T471" t="s">
        <v>23</v>
      </c>
      <c r="U471">
        <v>4</v>
      </c>
      <c r="W471" t="s">
        <v>1650</v>
      </c>
      <c r="X471" t="s">
        <v>1657</v>
      </c>
      <c r="Y471" t="s">
        <v>1661</v>
      </c>
      <c r="Z471">
        <v>0</v>
      </c>
    </row>
    <row r="472" spans="1:26" x14ac:dyDescent="0.35">
      <c r="A472" t="s">
        <v>1259</v>
      </c>
      <c r="B472" s="6">
        <v>42353</v>
      </c>
      <c r="C472" t="s">
        <v>23</v>
      </c>
      <c r="D472">
        <v>40</v>
      </c>
      <c r="E472" t="s">
        <v>62</v>
      </c>
      <c r="F472" t="s">
        <v>42</v>
      </c>
      <c r="G472" t="s">
        <v>32</v>
      </c>
      <c r="H472" t="s">
        <v>68</v>
      </c>
      <c r="I472" t="s">
        <v>121</v>
      </c>
      <c r="J472" t="s">
        <v>1637</v>
      </c>
      <c r="K472" t="s">
        <v>40</v>
      </c>
      <c r="L472">
        <v>168000</v>
      </c>
      <c r="M472">
        <v>4.0999999999999996</v>
      </c>
      <c r="N472">
        <v>16.399999999999999</v>
      </c>
      <c r="O472">
        <v>10</v>
      </c>
      <c r="P472">
        <v>5.0999999999999996</v>
      </c>
      <c r="Q472">
        <v>4</v>
      </c>
      <c r="R472">
        <v>3</v>
      </c>
      <c r="S472">
        <v>3</v>
      </c>
      <c r="T472" t="s">
        <v>23</v>
      </c>
      <c r="U472">
        <v>4</v>
      </c>
      <c r="W472" t="s">
        <v>1649</v>
      </c>
      <c r="X472" t="s">
        <v>1658</v>
      </c>
      <c r="Y472" t="s">
        <v>1662</v>
      </c>
      <c r="Z472">
        <v>0</v>
      </c>
    </row>
    <row r="473" spans="1:26" x14ac:dyDescent="0.35">
      <c r="A473" t="s">
        <v>396</v>
      </c>
      <c r="B473" s="6">
        <v>45482</v>
      </c>
      <c r="C473" t="s">
        <v>23</v>
      </c>
      <c r="D473">
        <v>33</v>
      </c>
      <c r="E473" t="s">
        <v>24</v>
      </c>
      <c r="F473" t="s">
        <v>37</v>
      </c>
      <c r="G473" t="s">
        <v>26</v>
      </c>
      <c r="H473" t="s">
        <v>55</v>
      </c>
      <c r="I473" t="s">
        <v>179</v>
      </c>
      <c r="J473" t="s">
        <v>1635</v>
      </c>
      <c r="K473" t="s">
        <v>50</v>
      </c>
      <c r="L473">
        <v>92000</v>
      </c>
      <c r="M473">
        <v>5.8</v>
      </c>
      <c r="N473">
        <v>3.2</v>
      </c>
      <c r="O473">
        <v>1.5</v>
      </c>
      <c r="P473">
        <v>0.1</v>
      </c>
      <c r="Q473">
        <v>4</v>
      </c>
      <c r="R473">
        <v>1</v>
      </c>
      <c r="S473">
        <v>4</v>
      </c>
      <c r="T473" t="s">
        <v>23</v>
      </c>
      <c r="U473">
        <v>3</v>
      </c>
      <c r="W473" t="s">
        <v>1650</v>
      </c>
      <c r="X473" t="s">
        <v>1657</v>
      </c>
      <c r="Y473" t="s">
        <v>1665</v>
      </c>
      <c r="Z473">
        <v>0</v>
      </c>
    </row>
    <row r="474" spans="1:26" x14ac:dyDescent="0.35">
      <c r="A474" t="s">
        <v>536</v>
      </c>
      <c r="B474" s="6">
        <v>45110</v>
      </c>
      <c r="C474" t="s">
        <v>23</v>
      </c>
      <c r="D474">
        <v>30</v>
      </c>
      <c r="E474" t="s">
        <v>62</v>
      </c>
      <c r="F474" t="s">
        <v>25</v>
      </c>
      <c r="G474" t="s">
        <v>26</v>
      </c>
      <c r="H474" t="s">
        <v>68</v>
      </c>
      <c r="I474" t="s">
        <v>121</v>
      </c>
      <c r="J474" t="s">
        <v>1633</v>
      </c>
      <c r="K474" t="s">
        <v>29</v>
      </c>
      <c r="L474">
        <v>53000</v>
      </c>
      <c r="M474">
        <v>11.2</v>
      </c>
      <c r="N474">
        <v>8.8000000000000007</v>
      </c>
      <c r="O474">
        <v>2.5</v>
      </c>
      <c r="P474">
        <v>1.9</v>
      </c>
      <c r="Q474">
        <v>3</v>
      </c>
      <c r="R474">
        <v>4</v>
      </c>
      <c r="S474">
        <v>3</v>
      </c>
      <c r="T474" t="s">
        <v>23</v>
      </c>
      <c r="U474">
        <v>5</v>
      </c>
      <c r="W474" t="s">
        <v>1650</v>
      </c>
      <c r="X474" t="s">
        <v>1656</v>
      </c>
      <c r="Y474" t="s">
        <v>1665</v>
      </c>
      <c r="Z474">
        <v>0</v>
      </c>
    </row>
    <row r="475" spans="1:26" x14ac:dyDescent="0.35">
      <c r="A475" t="s">
        <v>876</v>
      </c>
      <c r="B475" s="6">
        <v>42502</v>
      </c>
      <c r="C475" t="s">
        <v>23</v>
      </c>
      <c r="D475">
        <v>30</v>
      </c>
      <c r="E475" t="s">
        <v>24</v>
      </c>
      <c r="F475" t="s">
        <v>25</v>
      </c>
      <c r="G475" t="s">
        <v>26</v>
      </c>
      <c r="H475" t="s">
        <v>38</v>
      </c>
      <c r="I475" t="s">
        <v>52</v>
      </c>
      <c r="J475" t="s">
        <v>1635</v>
      </c>
      <c r="K475" t="s">
        <v>40</v>
      </c>
      <c r="L475">
        <v>85000</v>
      </c>
      <c r="M475">
        <v>8.6</v>
      </c>
      <c r="N475">
        <v>14.5</v>
      </c>
      <c r="O475">
        <v>9.6</v>
      </c>
      <c r="P475">
        <v>5.2</v>
      </c>
      <c r="Q475">
        <v>4</v>
      </c>
      <c r="R475">
        <v>2</v>
      </c>
      <c r="S475">
        <v>3</v>
      </c>
      <c r="T475" t="s">
        <v>23</v>
      </c>
      <c r="U475">
        <v>3</v>
      </c>
      <c r="W475" t="s">
        <v>1650</v>
      </c>
      <c r="X475" t="s">
        <v>1657</v>
      </c>
      <c r="Y475" t="s">
        <v>1662</v>
      </c>
      <c r="Z475">
        <v>0</v>
      </c>
    </row>
    <row r="476" spans="1:26" x14ac:dyDescent="0.35">
      <c r="A476" t="s">
        <v>625</v>
      </c>
      <c r="B476" s="6">
        <v>43145</v>
      </c>
      <c r="C476" t="s">
        <v>23</v>
      </c>
      <c r="D476">
        <v>31</v>
      </c>
      <c r="E476" t="s">
        <v>36</v>
      </c>
      <c r="F476" t="s">
        <v>37</v>
      </c>
      <c r="G476" t="s">
        <v>32</v>
      </c>
      <c r="H476" t="s">
        <v>68</v>
      </c>
      <c r="I476" t="s">
        <v>109</v>
      </c>
      <c r="J476" t="s">
        <v>1635</v>
      </c>
      <c r="K476" t="s">
        <v>34</v>
      </c>
      <c r="L476">
        <v>91000</v>
      </c>
      <c r="M476">
        <v>11.2</v>
      </c>
      <c r="N476">
        <v>9.1</v>
      </c>
      <c r="O476">
        <v>7.9</v>
      </c>
      <c r="P476">
        <v>2.2000000000000002</v>
      </c>
      <c r="Q476">
        <v>3</v>
      </c>
      <c r="R476">
        <v>4</v>
      </c>
      <c r="S476">
        <v>2</v>
      </c>
      <c r="T476" t="s">
        <v>23</v>
      </c>
      <c r="U476">
        <v>3</v>
      </c>
      <c r="W476" t="s">
        <v>1650</v>
      </c>
      <c r="X476" t="s">
        <v>1657</v>
      </c>
      <c r="Y476" t="s">
        <v>1662</v>
      </c>
      <c r="Z476">
        <v>0</v>
      </c>
    </row>
    <row r="477" spans="1:26" x14ac:dyDescent="0.35">
      <c r="A477" t="s">
        <v>1479</v>
      </c>
      <c r="B477" s="6">
        <v>45549</v>
      </c>
      <c r="C477" t="s">
        <v>23</v>
      </c>
      <c r="D477">
        <v>38</v>
      </c>
      <c r="E477" t="s">
        <v>36</v>
      </c>
      <c r="F477" t="s">
        <v>42</v>
      </c>
      <c r="G477" t="s">
        <v>54</v>
      </c>
      <c r="H477" t="s">
        <v>68</v>
      </c>
      <c r="I477" t="s">
        <v>69</v>
      </c>
      <c r="J477" t="s">
        <v>1635</v>
      </c>
      <c r="K477" t="s">
        <v>34</v>
      </c>
      <c r="L477">
        <v>74000</v>
      </c>
      <c r="M477">
        <v>13.7</v>
      </c>
      <c r="N477">
        <v>6.6</v>
      </c>
      <c r="O477">
        <v>1.3</v>
      </c>
      <c r="P477">
        <v>0.2</v>
      </c>
      <c r="Q477">
        <v>4</v>
      </c>
      <c r="R477">
        <v>4</v>
      </c>
      <c r="S477">
        <v>3</v>
      </c>
      <c r="T477" t="s">
        <v>23</v>
      </c>
      <c r="U477">
        <v>3</v>
      </c>
      <c r="W477" t="s">
        <v>1649</v>
      </c>
      <c r="X477" t="s">
        <v>1659</v>
      </c>
      <c r="Y477" t="s">
        <v>1665</v>
      </c>
      <c r="Z477">
        <v>0</v>
      </c>
    </row>
    <row r="478" spans="1:26" x14ac:dyDescent="0.35">
      <c r="A478" t="s">
        <v>589</v>
      </c>
      <c r="B478" s="6">
        <v>44022</v>
      </c>
      <c r="C478" t="s">
        <v>23</v>
      </c>
      <c r="D478">
        <v>32</v>
      </c>
      <c r="E478" t="s">
        <v>36</v>
      </c>
      <c r="F478" t="s">
        <v>37</v>
      </c>
      <c r="G478" t="s">
        <v>32</v>
      </c>
      <c r="H478" t="s">
        <v>1634</v>
      </c>
      <c r="I478" t="s">
        <v>150</v>
      </c>
      <c r="J478" t="s">
        <v>1636</v>
      </c>
      <c r="K478" t="s">
        <v>66</v>
      </c>
      <c r="L478">
        <v>112000</v>
      </c>
      <c r="M478">
        <v>2.7</v>
      </c>
      <c r="N478">
        <v>6</v>
      </c>
      <c r="O478">
        <v>5.5</v>
      </c>
      <c r="P478">
        <v>1.9</v>
      </c>
      <c r="Q478">
        <v>3</v>
      </c>
      <c r="R478">
        <v>3</v>
      </c>
      <c r="S478">
        <v>4</v>
      </c>
      <c r="T478" t="s">
        <v>23</v>
      </c>
      <c r="U478">
        <v>3</v>
      </c>
      <c r="W478" t="s">
        <v>1650</v>
      </c>
      <c r="X478" t="s">
        <v>1658</v>
      </c>
      <c r="Y478" t="s">
        <v>1661</v>
      </c>
      <c r="Z478">
        <v>0</v>
      </c>
    </row>
    <row r="479" spans="1:26" x14ac:dyDescent="0.35">
      <c r="A479" t="s">
        <v>872</v>
      </c>
      <c r="B479" s="6">
        <v>45193</v>
      </c>
      <c r="C479" t="s">
        <v>23</v>
      </c>
      <c r="D479">
        <v>25</v>
      </c>
      <c r="E479" t="s">
        <v>62</v>
      </c>
      <c r="F479" t="s">
        <v>37</v>
      </c>
      <c r="G479" t="s">
        <v>54</v>
      </c>
      <c r="H479" t="s">
        <v>38</v>
      </c>
      <c r="I479" t="s">
        <v>39</v>
      </c>
      <c r="J479" t="s">
        <v>1632</v>
      </c>
      <c r="K479" t="s">
        <v>34</v>
      </c>
      <c r="L479">
        <v>39000</v>
      </c>
      <c r="M479">
        <v>15.9</v>
      </c>
      <c r="N479">
        <v>8</v>
      </c>
      <c r="O479">
        <v>2.2999999999999998</v>
      </c>
      <c r="P479">
        <v>0.7</v>
      </c>
      <c r="Q479">
        <v>3</v>
      </c>
      <c r="R479">
        <v>3</v>
      </c>
      <c r="S479">
        <v>4</v>
      </c>
      <c r="T479" t="s">
        <v>23</v>
      </c>
      <c r="U479">
        <v>5</v>
      </c>
      <c r="W479" t="s">
        <v>1651</v>
      </c>
      <c r="X479" t="s">
        <v>1655</v>
      </c>
      <c r="Y479" t="s">
        <v>1665</v>
      </c>
      <c r="Z479">
        <v>0</v>
      </c>
    </row>
    <row r="480" spans="1:26" x14ac:dyDescent="0.35">
      <c r="A480" t="s">
        <v>326</v>
      </c>
      <c r="B480" s="6">
        <v>43245</v>
      </c>
      <c r="C480" t="s">
        <v>23</v>
      </c>
      <c r="D480">
        <v>37</v>
      </c>
      <c r="E480" t="s">
        <v>62</v>
      </c>
      <c r="F480" t="s">
        <v>42</v>
      </c>
      <c r="G480" t="s">
        <v>54</v>
      </c>
      <c r="H480" t="s">
        <v>45</v>
      </c>
      <c r="I480" t="s">
        <v>97</v>
      </c>
      <c r="J480" t="s">
        <v>1636</v>
      </c>
      <c r="K480" t="s">
        <v>29</v>
      </c>
      <c r="L480">
        <v>108000</v>
      </c>
      <c r="M480">
        <v>1.8</v>
      </c>
      <c r="N480">
        <v>14.1</v>
      </c>
      <c r="O480">
        <v>7.6</v>
      </c>
      <c r="P480">
        <v>3.9</v>
      </c>
      <c r="Q480">
        <v>3</v>
      </c>
      <c r="R480">
        <v>4</v>
      </c>
      <c r="S480">
        <v>4</v>
      </c>
      <c r="T480" t="s">
        <v>23</v>
      </c>
      <c r="U480">
        <v>2</v>
      </c>
      <c r="W480" t="s">
        <v>1649</v>
      </c>
      <c r="X480" t="s">
        <v>1658</v>
      </c>
      <c r="Y480" t="s">
        <v>1662</v>
      </c>
      <c r="Z480">
        <v>0</v>
      </c>
    </row>
    <row r="481" spans="1:26" x14ac:dyDescent="0.35">
      <c r="A481" t="s">
        <v>1360</v>
      </c>
      <c r="B481" s="6">
        <v>44639</v>
      </c>
      <c r="C481" t="s">
        <v>23</v>
      </c>
      <c r="D481">
        <v>27</v>
      </c>
      <c r="E481" t="s">
        <v>62</v>
      </c>
      <c r="F481" t="s">
        <v>25</v>
      </c>
      <c r="G481" t="s">
        <v>58</v>
      </c>
      <c r="H481" t="s">
        <v>45</v>
      </c>
      <c r="I481" t="s">
        <v>97</v>
      </c>
      <c r="J481" t="s">
        <v>1632</v>
      </c>
      <c r="K481" t="s">
        <v>40</v>
      </c>
      <c r="L481">
        <v>26000</v>
      </c>
      <c r="M481">
        <v>8.3000000000000007</v>
      </c>
      <c r="N481">
        <v>6.3</v>
      </c>
      <c r="O481">
        <v>3.8</v>
      </c>
      <c r="P481">
        <v>1.3</v>
      </c>
      <c r="Q481">
        <v>2</v>
      </c>
      <c r="R481">
        <v>3</v>
      </c>
      <c r="S481">
        <v>1</v>
      </c>
      <c r="T481" t="s">
        <v>23</v>
      </c>
      <c r="U481">
        <v>5</v>
      </c>
      <c r="W481" t="s">
        <v>1650</v>
      </c>
      <c r="X481" t="s">
        <v>1655</v>
      </c>
      <c r="Y481" t="s">
        <v>1661</v>
      </c>
      <c r="Z481">
        <v>0</v>
      </c>
    </row>
    <row r="482" spans="1:26" x14ac:dyDescent="0.35">
      <c r="A482" t="s">
        <v>447</v>
      </c>
      <c r="B482" s="6">
        <v>45727</v>
      </c>
      <c r="C482" t="s">
        <v>30</v>
      </c>
      <c r="D482">
        <v>21</v>
      </c>
      <c r="E482" t="s">
        <v>36</v>
      </c>
      <c r="F482" t="s">
        <v>42</v>
      </c>
      <c r="G482" t="s">
        <v>26</v>
      </c>
      <c r="H482" t="s">
        <v>1634</v>
      </c>
      <c r="I482" t="s">
        <v>150</v>
      </c>
      <c r="J482" t="s">
        <v>1632</v>
      </c>
      <c r="K482" t="s">
        <v>34</v>
      </c>
      <c r="L482">
        <v>40000</v>
      </c>
      <c r="M482">
        <v>4.7</v>
      </c>
      <c r="N482">
        <v>2.5</v>
      </c>
      <c r="O482">
        <v>0.4</v>
      </c>
      <c r="P482">
        <v>0</v>
      </c>
      <c r="Q482">
        <v>2</v>
      </c>
      <c r="R482">
        <v>2</v>
      </c>
      <c r="S482">
        <v>3</v>
      </c>
      <c r="T482" t="s">
        <v>23</v>
      </c>
      <c r="U482">
        <v>5</v>
      </c>
      <c r="V482" s="7">
        <v>45882</v>
      </c>
      <c r="W482" t="s">
        <v>1651</v>
      </c>
      <c r="X482" t="s">
        <v>1656</v>
      </c>
      <c r="Y482" t="s">
        <v>1664</v>
      </c>
      <c r="Z482">
        <v>1</v>
      </c>
    </row>
    <row r="483" spans="1:26" x14ac:dyDescent="0.35">
      <c r="A483" t="s">
        <v>213</v>
      </c>
      <c r="B483" s="6">
        <v>41687</v>
      </c>
      <c r="C483" t="s">
        <v>23</v>
      </c>
      <c r="D483">
        <v>48</v>
      </c>
      <c r="E483" t="s">
        <v>62</v>
      </c>
      <c r="F483" t="s">
        <v>25</v>
      </c>
      <c r="G483" t="s">
        <v>32</v>
      </c>
      <c r="H483" t="s">
        <v>68</v>
      </c>
      <c r="I483" t="s">
        <v>109</v>
      </c>
      <c r="J483" t="s">
        <v>1636</v>
      </c>
      <c r="K483" t="s">
        <v>29</v>
      </c>
      <c r="L483">
        <v>102000</v>
      </c>
      <c r="M483">
        <v>0</v>
      </c>
      <c r="N483">
        <v>16.100000000000001</v>
      </c>
      <c r="O483">
        <v>11.9</v>
      </c>
      <c r="P483">
        <v>3.6</v>
      </c>
      <c r="Q483">
        <v>4</v>
      </c>
      <c r="R483">
        <v>3</v>
      </c>
      <c r="S483">
        <v>3</v>
      </c>
      <c r="T483" t="s">
        <v>23</v>
      </c>
      <c r="U483">
        <v>4</v>
      </c>
      <c r="W483" t="s">
        <v>1652</v>
      </c>
      <c r="X483" t="s">
        <v>1658</v>
      </c>
      <c r="Y483" t="s">
        <v>1663</v>
      </c>
      <c r="Z483">
        <v>0</v>
      </c>
    </row>
    <row r="484" spans="1:26" x14ac:dyDescent="0.35">
      <c r="A484" t="s">
        <v>432</v>
      </c>
      <c r="B484" s="6">
        <v>43706</v>
      </c>
      <c r="C484" t="s">
        <v>23</v>
      </c>
      <c r="D484">
        <v>41</v>
      </c>
      <c r="E484" t="s">
        <v>24</v>
      </c>
      <c r="F484" t="s">
        <v>42</v>
      </c>
      <c r="G484" t="s">
        <v>32</v>
      </c>
      <c r="H484" t="s">
        <v>48</v>
      </c>
      <c r="I484" t="s">
        <v>49</v>
      </c>
      <c r="J484" t="s">
        <v>1633</v>
      </c>
      <c r="K484" t="s">
        <v>34</v>
      </c>
      <c r="L484">
        <v>73000</v>
      </c>
      <c r="M484">
        <v>4.0999999999999996</v>
      </c>
      <c r="N484">
        <v>7.5</v>
      </c>
      <c r="O484">
        <v>6.3</v>
      </c>
      <c r="P484">
        <v>2.6</v>
      </c>
      <c r="Q484">
        <v>4</v>
      </c>
      <c r="R484">
        <v>3</v>
      </c>
      <c r="S484">
        <v>2</v>
      </c>
      <c r="T484" t="s">
        <v>30</v>
      </c>
      <c r="U484">
        <v>3</v>
      </c>
      <c r="W484" t="s">
        <v>1649</v>
      </c>
      <c r="X484" t="s">
        <v>1659</v>
      </c>
      <c r="Y484" t="s">
        <v>1662</v>
      </c>
      <c r="Z484">
        <v>0</v>
      </c>
    </row>
    <row r="485" spans="1:26" x14ac:dyDescent="0.35">
      <c r="A485" t="s">
        <v>687</v>
      </c>
      <c r="B485" s="6">
        <v>44486</v>
      </c>
      <c r="C485" t="s">
        <v>23</v>
      </c>
      <c r="D485">
        <v>30</v>
      </c>
      <c r="E485" t="s">
        <v>62</v>
      </c>
      <c r="F485" t="s">
        <v>42</v>
      </c>
      <c r="G485" t="s">
        <v>32</v>
      </c>
      <c r="H485" t="s">
        <v>38</v>
      </c>
      <c r="I485" t="s">
        <v>39</v>
      </c>
      <c r="J485" t="s">
        <v>1635</v>
      </c>
      <c r="K485" t="s">
        <v>40</v>
      </c>
      <c r="L485">
        <v>85000</v>
      </c>
      <c r="M485">
        <v>19.600000000000001</v>
      </c>
      <c r="N485">
        <v>8.9</v>
      </c>
      <c r="O485">
        <v>4.2</v>
      </c>
      <c r="P485">
        <v>2.7</v>
      </c>
      <c r="Q485">
        <v>4</v>
      </c>
      <c r="R485">
        <v>4</v>
      </c>
      <c r="S485">
        <v>3</v>
      </c>
      <c r="T485" t="s">
        <v>23</v>
      </c>
      <c r="U485">
        <v>5</v>
      </c>
      <c r="W485" t="s">
        <v>1650</v>
      </c>
      <c r="X485" t="s">
        <v>1657</v>
      </c>
      <c r="Y485" t="s">
        <v>1661</v>
      </c>
      <c r="Z485">
        <v>0</v>
      </c>
    </row>
    <row r="486" spans="1:26" x14ac:dyDescent="0.35">
      <c r="A486" t="s">
        <v>1407</v>
      </c>
      <c r="B486" s="6">
        <v>43957</v>
      </c>
      <c r="C486" t="s">
        <v>23</v>
      </c>
      <c r="D486">
        <v>35</v>
      </c>
      <c r="E486" t="s">
        <v>24</v>
      </c>
      <c r="F486" t="s">
        <v>25</v>
      </c>
      <c r="G486" t="s">
        <v>54</v>
      </c>
      <c r="H486" t="s">
        <v>27</v>
      </c>
      <c r="I486" t="s">
        <v>95</v>
      </c>
      <c r="J486" t="s">
        <v>1635</v>
      </c>
      <c r="K486" t="s">
        <v>50</v>
      </c>
      <c r="L486">
        <v>78000</v>
      </c>
      <c r="M486">
        <v>13.3</v>
      </c>
      <c r="N486">
        <v>11.2</v>
      </c>
      <c r="O486">
        <v>5.7</v>
      </c>
      <c r="P486">
        <v>2.6</v>
      </c>
      <c r="Q486">
        <v>3</v>
      </c>
      <c r="R486">
        <v>1</v>
      </c>
      <c r="S486">
        <v>2</v>
      </c>
      <c r="T486" t="s">
        <v>23</v>
      </c>
      <c r="U486">
        <v>4</v>
      </c>
      <c r="W486" t="s">
        <v>1650</v>
      </c>
      <c r="X486" t="s">
        <v>1659</v>
      </c>
      <c r="Y486" t="s">
        <v>1661</v>
      </c>
      <c r="Z486">
        <v>0</v>
      </c>
    </row>
    <row r="487" spans="1:26" x14ac:dyDescent="0.35">
      <c r="A487" t="s">
        <v>89</v>
      </c>
      <c r="B487" s="6">
        <v>45741</v>
      </c>
      <c r="C487" t="s">
        <v>23</v>
      </c>
      <c r="D487">
        <v>35</v>
      </c>
      <c r="E487" t="s">
        <v>24</v>
      </c>
      <c r="F487" t="s">
        <v>42</v>
      </c>
      <c r="G487" t="s">
        <v>58</v>
      </c>
      <c r="H487" t="s">
        <v>38</v>
      </c>
      <c r="I487" t="s">
        <v>39</v>
      </c>
      <c r="J487" t="s">
        <v>1635</v>
      </c>
      <c r="K487" t="s">
        <v>40</v>
      </c>
      <c r="L487">
        <v>83000</v>
      </c>
      <c r="M487">
        <v>10.1</v>
      </c>
      <c r="N487">
        <v>3.2</v>
      </c>
      <c r="O487">
        <v>0.8</v>
      </c>
      <c r="P487">
        <v>0</v>
      </c>
      <c r="Q487">
        <v>3</v>
      </c>
      <c r="R487">
        <v>4</v>
      </c>
      <c r="S487">
        <v>2</v>
      </c>
      <c r="T487" t="s">
        <v>30</v>
      </c>
      <c r="U487">
        <v>4</v>
      </c>
      <c r="W487" t="s">
        <v>1650</v>
      </c>
      <c r="X487" t="s">
        <v>1657</v>
      </c>
      <c r="Y487" t="s">
        <v>1664</v>
      </c>
      <c r="Z487">
        <v>0</v>
      </c>
    </row>
    <row r="488" spans="1:26" x14ac:dyDescent="0.35">
      <c r="A488" t="s">
        <v>1345</v>
      </c>
      <c r="B488" s="6">
        <v>43573</v>
      </c>
      <c r="C488" t="s">
        <v>23</v>
      </c>
      <c r="D488">
        <v>37</v>
      </c>
      <c r="E488" t="s">
        <v>62</v>
      </c>
      <c r="F488" t="s">
        <v>37</v>
      </c>
      <c r="G488" t="s">
        <v>32</v>
      </c>
      <c r="H488" t="s">
        <v>55</v>
      </c>
      <c r="I488" t="s">
        <v>80</v>
      </c>
      <c r="J488" t="s">
        <v>1632</v>
      </c>
      <c r="K488" t="s">
        <v>66</v>
      </c>
      <c r="L488">
        <v>36000</v>
      </c>
      <c r="M488">
        <v>10.5</v>
      </c>
      <c r="N488">
        <v>9.1999999999999993</v>
      </c>
      <c r="O488">
        <v>6.7</v>
      </c>
      <c r="P488">
        <v>2.7</v>
      </c>
      <c r="Q488">
        <v>1</v>
      </c>
      <c r="R488">
        <v>3</v>
      </c>
      <c r="S488">
        <v>3</v>
      </c>
      <c r="T488" t="s">
        <v>30</v>
      </c>
      <c r="U488">
        <v>4</v>
      </c>
      <c r="W488" t="s">
        <v>1649</v>
      </c>
      <c r="X488" t="s">
        <v>1655</v>
      </c>
      <c r="Y488" t="s">
        <v>1662</v>
      </c>
      <c r="Z488">
        <v>0</v>
      </c>
    </row>
    <row r="489" spans="1:26" x14ac:dyDescent="0.35">
      <c r="A489" t="s">
        <v>1073</v>
      </c>
      <c r="B489" s="6">
        <v>43062</v>
      </c>
      <c r="C489" t="s">
        <v>30</v>
      </c>
      <c r="D489">
        <v>41</v>
      </c>
      <c r="E489" t="s">
        <v>62</v>
      </c>
      <c r="F489" t="s">
        <v>42</v>
      </c>
      <c r="G489" t="s">
        <v>58</v>
      </c>
      <c r="H489" t="s">
        <v>45</v>
      </c>
      <c r="I489" t="s">
        <v>46</v>
      </c>
      <c r="J489" t="s">
        <v>1635</v>
      </c>
      <c r="K489" t="s">
        <v>29</v>
      </c>
      <c r="L489">
        <v>72000</v>
      </c>
      <c r="M489">
        <v>1.9</v>
      </c>
      <c r="N489">
        <v>13.3</v>
      </c>
      <c r="O489">
        <v>8</v>
      </c>
      <c r="P489">
        <v>2.5</v>
      </c>
      <c r="Q489">
        <v>3</v>
      </c>
      <c r="R489">
        <v>2</v>
      </c>
      <c r="S489">
        <v>3</v>
      </c>
      <c r="T489" t="s">
        <v>30</v>
      </c>
      <c r="U489">
        <v>4</v>
      </c>
      <c r="V489" s="7">
        <v>45977</v>
      </c>
      <c r="W489" t="s">
        <v>1649</v>
      </c>
      <c r="X489" t="s">
        <v>1659</v>
      </c>
      <c r="Y489" t="s">
        <v>1662</v>
      </c>
      <c r="Z489">
        <v>1</v>
      </c>
    </row>
    <row r="490" spans="1:26" x14ac:dyDescent="0.35">
      <c r="A490" t="s">
        <v>806</v>
      </c>
      <c r="B490" s="6">
        <v>44182</v>
      </c>
      <c r="C490" t="s">
        <v>23</v>
      </c>
      <c r="D490">
        <v>27</v>
      </c>
      <c r="E490" t="s">
        <v>62</v>
      </c>
      <c r="F490" t="s">
        <v>37</v>
      </c>
      <c r="G490" t="s">
        <v>32</v>
      </c>
      <c r="H490" t="s">
        <v>38</v>
      </c>
      <c r="I490" t="s">
        <v>139</v>
      </c>
      <c r="J490" t="s">
        <v>1632</v>
      </c>
      <c r="K490" t="s">
        <v>34</v>
      </c>
      <c r="L490">
        <v>32000</v>
      </c>
      <c r="M490">
        <v>6.6</v>
      </c>
      <c r="N490">
        <v>9.5</v>
      </c>
      <c r="O490">
        <v>5</v>
      </c>
      <c r="P490">
        <v>0.6</v>
      </c>
      <c r="Q490">
        <v>4</v>
      </c>
      <c r="R490">
        <v>3</v>
      </c>
      <c r="S490">
        <v>2</v>
      </c>
      <c r="T490" t="s">
        <v>23</v>
      </c>
      <c r="U490">
        <v>4</v>
      </c>
      <c r="W490" t="s">
        <v>1650</v>
      </c>
      <c r="X490" t="s">
        <v>1655</v>
      </c>
      <c r="Y490" t="s">
        <v>1661</v>
      </c>
      <c r="Z490">
        <v>0</v>
      </c>
    </row>
    <row r="491" spans="1:26" x14ac:dyDescent="0.35">
      <c r="A491" t="s">
        <v>822</v>
      </c>
      <c r="B491" s="6">
        <v>45882</v>
      </c>
      <c r="C491" t="s">
        <v>30</v>
      </c>
      <c r="D491">
        <v>21</v>
      </c>
      <c r="E491" t="s">
        <v>62</v>
      </c>
      <c r="F491" t="s">
        <v>42</v>
      </c>
      <c r="G491" t="s">
        <v>54</v>
      </c>
      <c r="H491" t="s">
        <v>27</v>
      </c>
      <c r="I491" t="s">
        <v>43</v>
      </c>
      <c r="J491" t="s">
        <v>1632</v>
      </c>
      <c r="K491" t="s">
        <v>66</v>
      </c>
      <c r="L491">
        <v>60000</v>
      </c>
      <c r="M491">
        <v>13.2</v>
      </c>
      <c r="N491">
        <v>2.2000000000000002</v>
      </c>
      <c r="O491">
        <v>0.2</v>
      </c>
      <c r="P491">
        <v>0</v>
      </c>
      <c r="Q491">
        <v>2</v>
      </c>
      <c r="R491">
        <v>4</v>
      </c>
      <c r="S491">
        <v>3</v>
      </c>
      <c r="T491" t="s">
        <v>23</v>
      </c>
      <c r="U491">
        <v>4</v>
      </c>
      <c r="V491" s="7">
        <v>45968</v>
      </c>
      <c r="W491" t="s">
        <v>1651</v>
      </c>
      <c r="X491" t="s">
        <v>1659</v>
      </c>
      <c r="Y491" t="s">
        <v>1664</v>
      </c>
      <c r="Z491">
        <v>1</v>
      </c>
    </row>
    <row r="492" spans="1:26" x14ac:dyDescent="0.35">
      <c r="A492" t="s">
        <v>1525</v>
      </c>
      <c r="B492" s="6">
        <v>45814</v>
      </c>
      <c r="C492" t="s">
        <v>23</v>
      </c>
      <c r="D492">
        <v>33</v>
      </c>
      <c r="E492" t="s">
        <v>24</v>
      </c>
      <c r="F492" t="s">
        <v>37</v>
      </c>
      <c r="G492" t="s">
        <v>58</v>
      </c>
      <c r="H492" t="s">
        <v>38</v>
      </c>
      <c r="I492" t="s">
        <v>52</v>
      </c>
      <c r="J492" t="s">
        <v>1636</v>
      </c>
      <c r="K492" t="s">
        <v>50</v>
      </c>
      <c r="L492">
        <v>127000</v>
      </c>
      <c r="M492">
        <v>11.1</v>
      </c>
      <c r="N492">
        <v>3.1</v>
      </c>
      <c r="O492">
        <v>0.6</v>
      </c>
      <c r="P492">
        <v>0</v>
      </c>
      <c r="Q492">
        <v>3</v>
      </c>
      <c r="R492">
        <v>2</v>
      </c>
      <c r="S492">
        <v>2</v>
      </c>
      <c r="T492" t="s">
        <v>23</v>
      </c>
      <c r="U492">
        <v>2</v>
      </c>
      <c r="W492" t="s">
        <v>1650</v>
      </c>
      <c r="X492" t="s">
        <v>1658</v>
      </c>
      <c r="Y492" t="s">
        <v>1664</v>
      </c>
      <c r="Z492">
        <v>0</v>
      </c>
    </row>
    <row r="493" spans="1:26" x14ac:dyDescent="0.35">
      <c r="A493" t="s">
        <v>385</v>
      </c>
      <c r="B493" s="6">
        <v>43013</v>
      </c>
      <c r="C493" t="s">
        <v>23</v>
      </c>
      <c r="D493">
        <v>37</v>
      </c>
      <c r="E493" t="s">
        <v>36</v>
      </c>
      <c r="F493" t="s">
        <v>42</v>
      </c>
      <c r="G493" t="s">
        <v>26</v>
      </c>
      <c r="H493" t="s">
        <v>55</v>
      </c>
      <c r="I493" t="s">
        <v>88</v>
      </c>
      <c r="J493" t="s">
        <v>1637</v>
      </c>
      <c r="K493" t="s">
        <v>50</v>
      </c>
      <c r="L493">
        <v>180000</v>
      </c>
      <c r="M493">
        <v>8.1999999999999993</v>
      </c>
      <c r="N493">
        <v>13.9</v>
      </c>
      <c r="O493">
        <v>8.1999999999999993</v>
      </c>
      <c r="P493">
        <v>1.8</v>
      </c>
      <c r="Q493">
        <v>4</v>
      </c>
      <c r="R493">
        <v>2</v>
      </c>
      <c r="S493">
        <v>2</v>
      </c>
      <c r="T493" t="s">
        <v>30</v>
      </c>
      <c r="U493">
        <v>5</v>
      </c>
      <c r="W493" t="s">
        <v>1649</v>
      </c>
      <c r="X493" t="s">
        <v>1658</v>
      </c>
      <c r="Y493" t="s">
        <v>1662</v>
      </c>
      <c r="Z493">
        <v>0</v>
      </c>
    </row>
    <row r="494" spans="1:26" x14ac:dyDescent="0.35">
      <c r="A494" t="s">
        <v>1349</v>
      </c>
      <c r="B494" s="6">
        <v>43409</v>
      </c>
      <c r="C494" t="s">
        <v>23</v>
      </c>
      <c r="D494">
        <v>32</v>
      </c>
      <c r="E494" t="s">
        <v>36</v>
      </c>
      <c r="F494" t="s">
        <v>25</v>
      </c>
      <c r="G494" t="s">
        <v>32</v>
      </c>
      <c r="H494" t="s">
        <v>55</v>
      </c>
      <c r="I494" t="s">
        <v>179</v>
      </c>
      <c r="J494" t="s">
        <v>1635</v>
      </c>
      <c r="K494" t="s">
        <v>50</v>
      </c>
      <c r="L494">
        <v>100000</v>
      </c>
      <c r="M494">
        <v>11.4</v>
      </c>
      <c r="N494">
        <v>8.1</v>
      </c>
      <c r="O494">
        <v>7.2</v>
      </c>
      <c r="P494">
        <v>0.4</v>
      </c>
      <c r="Q494">
        <v>4</v>
      </c>
      <c r="R494">
        <v>3</v>
      </c>
      <c r="S494">
        <v>3</v>
      </c>
      <c r="T494" t="s">
        <v>23</v>
      </c>
      <c r="U494">
        <v>3</v>
      </c>
      <c r="W494" t="s">
        <v>1650</v>
      </c>
      <c r="X494" t="s">
        <v>1658</v>
      </c>
      <c r="Y494" t="s">
        <v>1662</v>
      </c>
      <c r="Z494">
        <v>0</v>
      </c>
    </row>
    <row r="495" spans="1:26" x14ac:dyDescent="0.35">
      <c r="A495" t="s">
        <v>922</v>
      </c>
      <c r="B495" s="6">
        <v>43542</v>
      </c>
      <c r="C495" t="s">
        <v>23</v>
      </c>
      <c r="D495">
        <v>38</v>
      </c>
      <c r="E495" t="s">
        <v>24</v>
      </c>
      <c r="F495" t="s">
        <v>37</v>
      </c>
      <c r="G495" t="s">
        <v>54</v>
      </c>
      <c r="H495" t="s">
        <v>68</v>
      </c>
      <c r="I495" t="s">
        <v>102</v>
      </c>
      <c r="J495" t="s">
        <v>1633</v>
      </c>
      <c r="K495" t="s">
        <v>66</v>
      </c>
      <c r="L495">
        <v>55000</v>
      </c>
      <c r="M495">
        <v>8.9</v>
      </c>
      <c r="N495">
        <v>7.5</v>
      </c>
      <c r="O495">
        <v>6.8</v>
      </c>
      <c r="P495">
        <v>3.8</v>
      </c>
      <c r="Q495">
        <v>3</v>
      </c>
      <c r="R495">
        <v>2</v>
      </c>
      <c r="S495">
        <v>4</v>
      </c>
      <c r="T495" t="s">
        <v>23</v>
      </c>
      <c r="U495">
        <v>3</v>
      </c>
      <c r="W495" t="s">
        <v>1649</v>
      </c>
      <c r="X495" t="s">
        <v>1656</v>
      </c>
      <c r="Y495" t="s">
        <v>1662</v>
      </c>
      <c r="Z495">
        <v>0</v>
      </c>
    </row>
    <row r="496" spans="1:26" x14ac:dyDescent="0.35">
      <c r="A496" t="s">
        <v>801</v>
      </c>
      <c r="B496" s="6">
        <v>43927</v>
      </c>
      <c r="C496" t="s">
        <v>23</v>
      </c>
      <c r="D496">
        <v>41</v>
      </c>
      <c r="E496" t="s">
        <v>36</v>
      </c>
      <c r="F496" t="s">
        <v>42</v>
      </c>
      <c r="G496" t="s">
        <v>32</v>
      </c>
      <c r="H496" t="s">
        <v>48</v>
      </c>
      <c r="I496" t="s">
        <v>63</v>
      </c>
      <c r="J496" t="s">
        <v>1632</v>
      </c>
      <c r="K496" t="s">
        <v>66</v>
      </c>
      <c r="L496">
        <v>44000</v>
      </c>
      <c r="M496">
        <v>5.9</v>
      </c>
      <c r="N496">
        <v>5.7</v>
      </c>
      <c r="O496">
        <v>5.7</v>
      </c>
      <c r="P496">
        <v>5.3</v>
      </c>
      <c r="Q496">
        <v>3</v>
      </c>
      <c r="R496">
        <v>3</v>
      </c>
      <c r="S496">
        <v>3</v>
      </c>
      <c r="T496" t="s">
        <v>23</v>
      </c>
      <c r="U496">
        <v>4</v>
      </c>
      <c r="W496" t="s">
        <v>1649</v>
      </c>
      <c r="X496" t="s">
        <v>1656</v>
      </c>
      <c r="Y496" t="s">
        <v>1661</v>
      </c>
      <c r="Z496">
        <v>0</v>
      </c>
    </row>
    <row r="497" spans="1:26" x14ac:dyDescent="0.35">
      <c r="A497" t="s">
        <v>388</v>
      </c>
      <c r="B497" s="6">
        <v>45818</v>
      </c>
      <c r="C497" t="s">
        <v>23</v>
      </c>
      <c r="D497">
        <v>26</v>
      </c>
      <c r="E497" t="s">
        <v>36</v>
      </c>
      <c r="F497" t="s">
        <v>37</v>
      </c>
      <c r="G497" t="s">
        <v>58</v>
      </c>
      <c r="H497" t="s">
        <v>1634</v>
      </c>
      <c r="I497" t="s">
        <v>150</v>
      </c>
      <c r="J497" t="s">
        <v>1632</v>
      </c>
      <c r="K497" t="s">
        <v>29</v>
      </c>
      <c r="L497">
        <v>22000</v>
      </c>
      <c r="M497">
        <v>6.5</v>
      </c>
      <c r="N497">
        <v>3.7</v>
      </c>
      <c r="O497">
        <v>0.6</v>
      </c>
      <c r="P497">
        <v>0</v>
      </c>
      <c r="Q497">
        <v>3</v>
      </c>
      <c r="R497">
        <v>2</v>
      </c>
      <c r="S497">
        <v>3</v>
      </c>
      <c r="T497" t="s">
        <v>23</v>
      </c>
      <c r="U497">
        <v>3</v>
      </c>
      <c r="W497" t="s">
        <v>1650</v>
      </c>
      <c r="X497" t="s">
        <v>1655</v>
      </c>
      <c r="Y497" t="s">
        <v>1664</v>
      </c>
      <c r="Z497">
        <v>0</v>
      </c>
    </row>
    <row r="498" spans="1:26" x14ac:dyDescent="0.35">
      <c r="A498" t="s">
        <v>1097</v>
      </c>
      <c r="B498" s="6">
        <v>42888</v>
      </c>
      <c r="C498" t="s">
        <v>23</v>
      </c>
      <c r="D498">
        <v>40</v>
      </c>
      <c r="E498" t="s">
        <v>24</v>
      </c>
      <c r="F498" t="s">
        <v>25</v>
      </c>
      <c r="G498" t="s">
        <v>54</v>
      </c>
      <c r="H498" t="s">
        <v>68</v>
      </c>
      <c r="I498" t="s">
        <v>69</v>
      </c>
      <c r="J498" t="s">
        <v>1637</v>
      </c>
      <c r="K498" t="s">
        <v>50</v>
      </c>
      <c r="L498">
        <v>158000</v>
      </c>
      <c r="M498">
        <v>11.9</v>
      </c>
      <c r="N498">
        <v>10.3</v>
      </c>
      <c r="O498">
        <v>8.6</v>
      </c>
      <c r="P498">
        <v>5.8</v>
      </c>
      <c r="Q498">
        <v>3</v>
      </c>
      <c r="R498">
        <v>3</v>
      </c>
      <c r="S498">
        <v>4</v>
      </c>
      <c r="T498" t="s">
        <v>30</v>
      </c>
      <c r="U498">
        <v>2</v>
      </c>
      <c r="W498" t="s">
        <v>1649</v>
      </c>
      <c r="X498" t="s">
        <v>1658</v>
      </c>
      <c r="Y498" t="s">
        <v>1662</v>
      </c>
      <c r="Z498">
        <v>0</v>
      </c>
    </row>
    <row r="499" spans="1:26" x14ac:dyDescent="0.35">
      <c r="A499" t="s">
        <v>1124</v>
      </c>
      <c r="B499" s="6">
        <v>43068</v>
      </c>
      <c r="C499" t="s">
        <v>23</v>
      </c>
      <c r="D499">
        <v>29</v>
      </c>
      <c r="E499" t="s">
        <v>62</v>
      </c>
      <c r="F499" t="s">
        <v>42</v>
      </c>
      <c r="G499" t="s">
        <v>26</v>
      </c>
      <c r="H499" t="s">
        <v>38</v>
      </c>
      <c r="I499" t="s">
        <v>139</v>
      </c>
      <c r="J499" t="s">
        <v>1633</v>
      </c>
      <c r="K499" t="s">
        <v>84</v>
      </c>
      <c r="L499">
        <v>63000</v>
      </c>
      <c r="M499">
        <v>12.2</v>
      </c>
      <c r="N499">
        <v>14.4</v>
      </c>
      <c r="O499">
        <v>8.1</v>
      </c>
      <c r="P499">
        <v>3.9</v>
      </c>
      <c r="Q499">
        <v>4</v>
      </c>
      <c r="R499">
        <v>2</v>
      </c>
      <c r="S499">
        <v>1</v>
      </c>
      <c r="T499" t="s">
        <v>23</v>
      </c>
      <c r="U499">
        <v>4</v>
      </c>
      <c r="W499" t="s">
        <v>1650</v>
      </c>
      <c r="X499" t="s">
        <v>1659</v>
      </c>
      <c r="Y499" t="s">
        <v>1662</v>
      </c>
      <c r="Z499">
        <v>0</v>
      </c>
    </row>
    <row r="500" spans="1:26" x14ac:dyDescent="0.35">
      <c r="A500" t="s">
        <v>1099</v>
      </c>
      <c r="B500" s="6">
        <v>44383</v>
      </c>
      <c r="C500" t="s">
        <v>23</v>
      </c>
      <c r="D500">
        <v>41</v>
      </c>
      <c r="E500" t="s">
        <v>24</v>
      </c>
      <c r="F500" t="s">
        <v>42</v>
      </c>
      <c r="G500" t="s">
        <v>58</v>
      </c>
      <c r="H500" t="s">
        <v>1634</v>
      </c>
      <c r="I500" t="s">
        <v>60</v>
      </c>
      <c r="J500" t="s">
        <v>1636</v>
      </c>
      <c r="K500" t="s">
        <v>40</v>
      </c>
      <c r="L500">
        <v>114000</v>
      </c>
      <c r="M500">
        <v>10.4</v>
      </c>
      <c r="N500">
        <v>4.5999999999999996</v>
      </c>
      <c r="O500">
        <v>4.5</v>
      </c>
      <c r="P500">
        <v>2.1</v>
      </c>
      <c r="Q500">
        <v>4</v>
      </c>
      <c r="R500">
        <v>4</v>
      </c>
      <c r="S500">
        <v>3</v>
      </c>
      <c r="T500" t="s">
        <v>30</v>
      </c>
      <c r="U500">
        <v>3</v>
      </c>
      <c r="W500" t="s">
        <v>1649</v>
      </c>
      <c r="X500" t="s">
        <v>1658</v>
      </c>
      <c r="Y500" t="s">
        <v>1661</v>
      </c>
      <c r="Z500">
        <v>0</v>
      </c>
    </row>
    <row r="501" spans="1:26" x14ac:dyDescent="0.35">
      <c r="A501" t="s">
        <v>799</v>
      </c>
      <c r="B501" s="6">
        <v>44968</v>
      </c>
      <c r="C501" t="s">
        <v>30</v>
      </c>
      <c r="D501">
        <v>33</v>
      </c>
      <c r="E501" t="s">
        <v>36</v>
      </c>
      <c r="F501" t="s">
        <v>1638</v>
      </c>
      <c r="G501" t="s">
        <v>58</v>
      </c>
      <c r="H501" t="s">
        <v>38</v>
      </c>
      <c r="I501" t="s">
        <v>39</v>
      </c>
      <c r="J501" t="s">
        <v>1636</v>
      </c>
      <c r="K501" t="s">
        <v>66</v>
      </c>
      <c r="L501">
        <v>116000</v>
      </c>
      <c r="M501">
        <v>8.3000000000000007</v>
      </c>
      <c r="N501">
        <v>9.8000000000000007</v>
      </c>
      <c r="O501">
        <v>2.6</v>
      </c>
      <c r="P501">
        <v>1.8</v>
      </c>
      <c r="Q501">
        <v>4</v>
      </c>
      <c r="R501">
        <v>2</v>
      </c>
      <c r="S501">
        <v>2</v>
      </c>
      <c r="T501" t="s">
        <v>23</v>
      </c>
      <c r="U501">
        <v>4</v>
      </c>
      <c r="V501" s="7">
        <v>45910</v>
      </c>
      <c r="W501" t="s">
        <v>1650</v>
      </c>
      <c r="X501" t="s">
        <v>1658</v>
      </c>
      <c r="Y501" t="s">
        <v>1665</v>
      </c>
      <c r="Z501">
        <v>1</v>
      </c>
    </row>
    <row r="502" spans="1:26" x14ac:dyDescent="0.35">
      <c r="A502" t="s">
        <v>411</v>
      </c>
      <c r="B502" s="6">
        <v>45368</v>
      </c>
      <c r="C502" t="s">
        <v>23</v>
      </c>
      <c r="D502">
        <v>28</v>
      </c>
      <c r="E502" t="s">
        <v>24</v>
      </c>
      <c r="F502" t="s">
        <v>25</v>
      </c>
      <c r="G502" t="s">
        <v>58</v>
      </c>
      <c r="H502" t="s">
        <v>27</v>
      </c>
      <c r="I502" t="s">
        <v>33</v>
      </c>
      <c r="J502" t="s">
        <v>1633</v>
      </c>
      <c r="K502" t="s">
        <v>40</v>
      </c>
      <c r="L502">
        <v>49000</v>
      </c>
      <c r="M502">
        <v>5.8</v>
      </c>
      <c r="N502">
        <v>3.2</v>
      </c>
      <c r="O502">
        <v>1.8</v>
      </c>
      <c r="P502">
        <v>1.1000000000000001</v>
      </c>
      <c r="Q502">
        <v>3</v>
      </c>
      <c r="R502">
        <v>4</v>
      </c>
      <c r="S502">
        <v>2</v>
      </c>
      <c r="T502" t="s">
        <v>23</v>
      </c>
      <c r="U502">
        <v>5</v>
      </c>
      <c r="W502" t="s">
        <v>1650</v>
      </c>
      <c r="X502" t="s">
        <v>1656</v>
      </c>
      <c r="Y502" t="s">
        <v>1665</v>
      </c>
      <c r="Z502">
        <v>0</v>
      </c>
    </row>
    <row r="503" spans="1:26" x14ac:dyDescent="0.35">
      <c r="A503" t="s">
        <v>791</v>
      </c>
      <c r="B503" s="6">
        <v>45659</v>
      </c>
      <c r="C503" t="s">
        <v>23</v>
      </c>
      <c r="D503">
        <v>21</v>
      </c>
      <c r="E503" t="s">
        <v>24</v>
      </c>
      <c r="F503" t="s">
        <v>42</v>
      </c>
      <c r="G503" t="s">
        <v>54</v>
      </c>
      <c r="H503" t="s">
        <v>1634</v>
      </c>
      <c r="I503" t="s">
        <v>75</v>
      </c>
      <c r="J503" t="s">
        <v>1632</v>
      </c>
      <c r="K503" t="s">
        <v>34</v>
      </c>
      <c r="L503">
        <v>35000</v>
      </c>
      <c r="M503">
        <v>9</v>
      </c>
      <c r="N503">
        <v>5.5</v>
      </c>
      <c r="O503">
        <v>1</v>
      </c>
      <c r="P503">
        <v>0.5</v>
      </c>
      <c r="Q503">
        <v>3</v>
      </c>
      <c r="R503">
        <v>4</v>
      </c>
      <c r="S503">
        <v>3</v>
      </c>
      <c r="T503" t="s">
        <v>23</v>
      </c>
      <c r="U503">
        <v>5</v>
      </c>
      <c r="W503" t="s">
        <v>1651</v>
      </c>
      <c r="X503" t="s">
        <v>1655</v>
      </c>
      <c r="Y503" t="s">
        <v>1665</v>
      </c>
      <c r="Z503">
        <v>0</v>
      </c>
    </row>
    <row r="504" spans="1:26" x14ac:dyDescent="0.35">
      <c r="A504" t="s">
        <v>514</v>
      </c>
      <c r="B504" s="6">
        <v>43919</v>
      </c>
      <c r="C504" t="s">
        <v>23</v>
      </c>
      <c r="D504">
        <v>38</v>
      </c>
      <c r="E504" t="s">
        <v>24</v>
      </c>
      <c r="F504" t="s">
        <v>42</v>
      </c>
      <c r="G504" t="s">
        <v>26</v>
      </c>
      <c r="H504" t="s">
        <v>68</v>
      </c>
      <c r="I504" t="s">
        <v>102</v>
      </c>
      <c r="J504" t="s">
        <v>1635</v>
      </c>
      <c r="K504" t="s">
        <v>66</v>
      </c>
      <c r="L504">
        <v>85000</v>
      </c>
      <c r="M504">
        <v>2.6</v>
      </c>
      <c r="N504">
        <v>7.6</v>
      </c>
      <c r="O504">
        <v>5.8</v>
      </c>
      <c r="P504">
        <v>1.6</v>
      </c>
      <c r="Q504">
        <v>4</v>
      </c>
      <c r="R504">
        <v>3</v>
      </c>
      <c r="S504">
        <v>3</v>
      </c>
      <c r="T504" t="s">
        <v>23</v>
      </c>
      <c r="U504">
        <v>1</v>
      </c>
      <c r="W504" t="s">
        <v>1649</v>
      </c>
      <c r="X504" t="s">
        <v>1657</v>
      </c>
      <c r="Y504" t="s">
        <v>1661</v>
      </c>
      <c r="Z504">
        <v>0</v>
      </c>
    </row>
    <row r="505" spans="1:26" x14ac:dyDescent="0.35">
      <c r="A505" t="s">
        <v>1472</v>
      </c>
      <c r="B505" s="6">
        <v>45278</v>
      </c>
      <c r="C505" t="s">
        <v>23</v>
      </c>
      <c r="D505">
        <v>28</v>
      </c>
      <c r="E505" t="s">
        <v>36</v>
      </c>
      <c r="F505" t="s">
        <v>37</v>
      </c>
      <c r="G505" t="s">
        <v>58</v>
      </c>
      <c r="H505" t="s">
        <v>1634</v>
      </c>
      <c r="I505" t="s">
        <v>75</v>
      </c>
      <c r="J505" t="s">
        <v>1637</v>
      </c>
      <c r="K505" t="s">
        <v>84</v>
      </c>
      <c r="L505">
        <v>142000</v>
      </c>
      <c r="M505">
        <v>12.3</v>
      </c>
      <c r="N505">
        <v>3.6</v>
      </c>
      <c r="O505">
        <v>2</v>
      </c>
      <c r="P505">
        <v>0.7</v>
      </c>
      <c r="Q505">
        <v>4</v>
      </c>
      <c r="R505">
        <v>1</v>
      </c>
      <c r="S505">
        <v>3</v>
      </c>
      <c r="T505" t="s">
        <v>23</v>
      </c>
      <c r="U505">
        <v>1</v>
      </c>
      <c r="W505" t="s">
        <v>1650</v>
      </c>
      <c r="X505" t="s">
        <v>1658</v>
      </c>
      <c r="Y505" t="s">
        <v>1665</v>
      </c>
      <c r="Z505">
        <v>0</v>
      </c>
    </row>
    <row r="506" spans="1:26" x14ac:dyDescent="0.35">
      <c r="A506" t="s">
        <v>539</v>
      </c>
      <c r="B506" s="6">
        <v>42166</v>
      </c>
      <c r="C506" t="s">
        <v>23</v>
      </c>
      <c r="D506">
        <v>31</v>
      </c>
      <c r="E506" t="s">
        <v>36</v>
      </c>
      <c r="F506" t="s">
        <v>25</v>
      </c>
      <c r="G506" t="s">
        <v>26</v>
      </c>
      <c r="H506" t="s">
        <v>55</v>
      </c>
      <c r="I506" t="s">
        <v>56</v>
      </c>
      <c r="J506" t="s">
        <v>1635</v>
      </c>
      <c r="K506" t="s">
        <v>50</v>
      </c>
      <c r="L506">
        <v>72000</v>
      </c>
      <c r="M506">
        <v>11.5</v>
      </c>
      <c r="N506">
        <v>12.5</v>
      </c>
      <c r="O506">
        <v>10.6</v>
      </c>
      <c r="P506">
        <v>0.4</v>
      </c>
      <c r="Q506">
        <v>4</v>
      </c>
      <c r="R506">
        <v>3</v>
      </c>
      <c r="S506">
        <v>3</v>
      </c>
      <c r="T506" t="s">
        <v>23</v>
      </c>
      <c r="U506">
        <v>2</v>
      </c>
      <c r="W506" t="s">
        <v>1650</v>
      </c>
      <c r="X506" t="s">
        <v>1659</v>
      </c>
      <c r="Y506" t="s">
        <v>1663</v>
      </c>
      <c r="Z506">
        <v>0</v>
      </c>
    </row>
    <row r="507" spans="1:26" x14ac:dyDescent="0.35">
      <c r="A507" t="s">
        <v>1570</v>
      </c>
      <c r="B507" s="6">
        <v>42109</v>
      </c>
      <c r="C507" t="s">
        <v>30</v>
      </c>
      <c r="D507">
        <v>33</v>
      </c>
      <c r="E507" t="s">
        <v>24</v>
      </c>
      <c r="F507" t="s">
        <v>42</v>
      </c>
      <c r="G507" t="s">
        <v>54</v>
      </c>
      <c r="H507" t="s">
        <v>38</v>
      </c>
      <c r="I507" t="s">
        <v>118</v>
      </c>
      <c r="J507" t="s">
        <v>1633</v>
      </c>
      <c r="K507" t="s">
        <v>34</v>
      </c>
      <c r="L507">
        <v>62000</v>
      </c>
      <c r="M507">
        <v>14.4</v>
      </c>
      <c r="N507">
        <v>10.8</v>
      </c>
      <c r="O507">
        <v>10.3</v>
      </c>
      <c r="P507">
        <v>3.7</v>
      </c>
      <c r="Q507">
        <v>4</v>
      </c>
      <c r="R507">
        <v>3</v>
      </c>
      <c r="S507">
        <v>2</v>
      </c>
      <c r="T507" t="s">
        <v>23</v>
      </c>
      <c r="U507">
        <v>2</v>
      </c>
      <c r="V507" s="7">
        <v>45884</v>
      </c>
      <c r="W507" t="s">
        <v>1650</v>
      </c>
      <c r="X507" t="s">
        <v>1659</v>
      </c>
      <c r="Y507" t="s">
        <v>1663</v>
      </c>
      <c r="Z507">
        <v>1</v>
      </c>
    </row>
    <row r="508" spans="1:26" x14ac:dyDescent="0.35">
      <c r="A508" t="s">
        <v>662</v>
      </c>
      <c r="B508" s="6">
        <v>45853</v>
      </c>
      <c r="C508" t="s">
        <v>30</v>
      </c>
      <c r="D508">
        <v>21</v>
      </c>
      <c r="E508" t="s">
        <v>62</v>
      </c>
      <c r="F508" t="s">
        <v>37</v>
      </c>
      <c r="G508" t="s">
        <v>54</v>
      </c>
      <c r="H508" t="s">
        <v>38</v>
      </c>
      <c r="I508" t="s">
        <v>52</v>
      </c>
      <c r="J508" t="s">
        <v>1632</v>
      </c>
      <c r="K508" t="s">
        <v>66</v>
      </c>
      <c r="L508">
        <v>39000</v>
      </c>
      <c r="M508">
        <v>16.2</v>
      </c>
      <c r="N508">
        <v>4</v>
      </c>
      <c r="O508">
        <v>0.3</v>
      </c>
      <c r="P508">
        <v>0</v>
      </c>
      <c r="Q508">
        <v>3</v>
      </c>
      <c r="R508">
        <v>3</v>
      </c>
      <c r="S508">
        <v>2</v>
      </c>
      <c r="T508" t="s">
        <v>23</v>
      </c>
      <c r="U508">
        <v>4</v>
      </c>
      <c r="V508" s="7">
        <v>45962</v>
      </c>
      <c r="W508" t="s">
        <v>1651</v>
      </c>
      <c r="X508" t="s">
        <v>1655</v>
      </c>
      <c r="Y508" t="s">
        <v>1664</v>
      </c>
      <c r="Z508">
        <v>1</v>
      </c>
    </row>
    <row r="509" spans="1:26" x14ac:dyDescent="0.35">
      <c r="A509" t="s">
        <v>1111</v>
      </c>
      <c r="B509" s="6">
        <v>45860</v>
      </c>
      <c r="C509" t="s">
        <v>23</v>
      </c>
      <c r="D509">
        <v>34</v>
      </c>
      <c r="E509" t="s">
        <v>62</v>
      </c>
      <c r="F509" t="s">
        <v>42</v>
      </c>
      <c r="G509" t="s">
        <v>32</v>
      </c>
      <c r="H509" t="s">
        <v>68</v>
      </c>
      <c r="I509" t="s">
        <v>109</v>
      </c>
      <c r="J509" t="s">
        <v>1633</v>
      </c>
      <c r="K509" t="s">
        <v>40</v>
      </c>
      <c r="L509">
        <v>48000</v>
      </c>
      <c r="M509">
        <v>12.2</v>
      </c>
      <c r="N509">
        <v>7.7</v>
      </c>
      <c r="O509">
        <v>0.4</v>
      </c>
      <c r="P509">
        <v>0</v>
      </c>
      <c r="Q509">
        <v>3</v>
      </c>
      <c r="R509">
        <v>3</v>
      </c>
      <c r="S509">
        <v>3</v>
      </c>
      <c r="T509" t="s">
        <v>23</v>
      </c>
      <c r="U509">
        <v>3</v>
      </c>
      <c r="W509" t="s">
        <v>1650</v>
      </c>
      <c r="X509" t="s">
        <v>1656</v>
      </c>
      <c r="Y509" t="s">
        <v>1664</v>
      </c>
      <c r="Z509">
        <v>0</v>
      </c>
    </row>
    <row r="510" spans="1:26" x14ac:dyDescent="0.35">
      <c r="A510" t="s">
        <v>1196</v>
      </c>
      <c r="B510" s="6">
        <v>44581</v>
      </c>
      <c r="C510" t="s">
        <v>23</v>
      </c>
      <c r="D510">
        <v>36</v>
      </c>
      <c r="E510" t="s">
        <v>36</v>
      </c>
      <c r="F510" t="s">
        <v>42</v>
      </c>
      <c r="G510" t="s">
        <v>58</v>
      </c>
      <c r="H510" t="s">
        <v>55</v>
      </c>
      <c r="I510" t="s">
        <v>56</v>
      </c>
      <c r="J510" t="s">
        <v>1632</v>
      </c>
      <c r="K510" t="s">
        <v>50</v>
      </c>
      <c r="L510">
        <v>44000</v>
      </c>
      <c r="M510">
        <v>13.2</v>
      </c>
      <c r="N510">
        <v>6.4</v>
      </c>
      <c r="O510">
        <v>3.9</v>
      </c>
      <c r="P510">
        <v>3.5</v>
      </c>
      <c r="Q510">
        <v>4</v>
      </c>
      <c r="R510">
        <v>4</v>
      </c>
      <c r="S510">
        <v>2</v>
      </c>
      <c r="T510" t="s">
        <v>23</v>
      </c>
      <c r="U510">
        <v>3</v>
      </c>
      <c r="W510" t="s">
        <v>1649</v>
      </c>
      <c r="X510" t="s">
        <v>1656</v>
      </c>
      <c r="Y510" t="s">
        <v>1661</v>
      </c>
      <c r="Z510">
        <v>0</v>
      </c>
    </row>
    <row r="511" spans="1:26" x14ac:dyDescent="0.35">
      <c r="A511" t="s">
        <v>572</v>
      </c>
      <c r="B511" s="6">
        <v>43746</v>
      </c>
      <c r="C511" t="s">
        <v>23</v>
      </c>
      <c r="D511">
        <v>36</v>
      </c>
      <c r="E511" t="s">
        <v>62</v>
      </c>
      <c r="F511" t="s">
        <v>42</v>
      </c>
      <c r="G511" t="s">
        <v>54</v>
      </c>
      <c r="H511" t="s">
        <v>27</v>
      </c>
      <c r="I511" t="s">
        <v>95</v>
      </c>
      <c r="J511" t="s">
        <v>1632</v>
      </c>
      <c r="K511" t="s">
        <v>66</v>
      </c>
      <c r="L511">
        <v>28000</v>
      </c>
      <c r="M511">
        <v>8.9</v>
      </c>
      <c r="N511">
        <v>7.8</v>
      </c>
      <c r="O511">
        <v>6.2</v>
      </c>
      <c r="P511">
        <v>1.2</v>
      </c>
      <c r="Q511">
        <v>4</v>
      </c>
      <c r="R511">
        <v>4</v>
      </c>
      <c r="S511">
        <v>4</v>
      </c>
      <c r="T511" t="s">
        <v>23</v>
      </c>
      <c r="U511">
        <v>3</v>
      </c>
      <c r="W511" t="s">
        <v>1649</v>
      </c>
      <c r="X511" t="s">
        <v>1655</v>
      </c>
      <c r="Y511" t="s">
        <v>1662</v>
      </c>
      <c r="Z511">
        <v>0</v>
      </c>
    </row>
    <row r="512" spans="1:26" x14ac:dyDescent="0.35">
      <c r="A512" t="s">
        <v>1267</v>
      </c>
      <c r="B512" s="6">
        <v>44321</v>
      </c>
      <c r="C512" t="s">
        <v>23</v>
      </c>
      <c r="D512">
        <v>28</v>
      </c>
      <c r="E512" t="s">
        <v>62</v>
      </c>
      <c r="F512" t="s">
        <v>37</v>
      </c>
      <c r="G512" t="s">
        <v>32</v>
      </c>
      <c r="H512" t="s">
        <v>45</v>
      </c>
      <c r="I512" t="s">
        <v>77</v>
      </c>
      <c r="J512" t="s">
        <v>1636</v>
      </c>
      <c r="K512" t="s">
        <v>34</v>
      </c>
      <c r="L512">
        <v>100000</v>
      </c>
      <c r="M512">
        <v>6.9</v>
      </c>
      <c r="N512">
        <v>5.5</v>
      </c>
      <c r="O512">
        <v>4.7</v>
      </c>
      <c r="P512">
        <v>4.0999999999999996</v>
      </c>
      <c r="Q512">
        <v>3</v>
      </c>
      <c r="R512">
        <v>4</v>
      </c>
      <c r="S512">
        <v>3</v>
      </c>
      <c r="T512" t="s">
        <v>23</v>
      </c>
      <c r="U512">
        <v>5</v>
      </c>
      <c r="W512" t="s">
        <v>1650</v>
      </c>
      <c r="X512" t="s">
        <v>1658</v>
      </c>
      <c r="Y512" t="s">
        <v>1661</v>
      </c>
      <c r="Z512">
        <v>0</v>
      </c>
    </row>
    <row r="513" spans="1:26" x14ac:dyDescent="0.35">
      <c r="A513" t="s">
        <v>1163</v>
      </c>
      <c r="B513" s="6">
        <v>45328</v>
      </c>
      <c r="C513" t="s">
        <v>23</v>
      </c>
      <c r="D513">
        <v>27</v>
      </c>
      <c r="E513" t="s">
        <v>24</v>
      </c>
      <c r="F513" t="s">
        <v>42</v>
      </c>
      <c r="G513" t="s">
        <v>26</v>
      </c>
      <c r="H513" t="s">
        <v>27</v>
      </c>
      <c r="I513" t="s">
        <v>95</v>
      </c>
      <c r="J513" t="s">
        <v>1632</v>
      </c>
      <c r="K513" t="s">
        <v>66</v>
      </c>
      <c r="L513">
        <v>42000</v>
      </c>
      <c r="M513">
        <v>9</v>
      </c>
      <c r="N513">
        <v>7.8</v>
      </c>
      <c r="O513">
        <v>1.9</v>
      </c>
      <c r="P513">
        <v>0.4</v>
      </c>
      <c r="Q513">
        <v>4</v>
      </c>
      <c r="R513">
        <v>2</v>
      </c>
      <c r="S513">
        <v>4</v>
      </c>
      <c r="T513" t="s">
        <v>23</v>
      </c>
      <c r="U513">
        <v>3</v>
      </c>
      <c r="W513" t="s">
        <v>1650</v>
      </c>
      <c r="X513" t="s">
        <v>1656</v>
      </c>
      <c r="Y513" t="s">
        <v>1665</v>
      </c>
      <c r="Z513">
        <v>0</v>
      </c>
    </row>
    <row r="514" spans="1:26" x14ac:dyDescent="0.35">
      <c r="A514" t="s">
        <v>415</v>
      </c>
      <c r="B514" s="6">
        <v>45153</v>
      </c>
      <c r="C514" t="s">
        <v>30</v>
      </c>
      <c r="D514">
        <v>31</v>
      </c>
      <c r="E514" t="s">
        <v>62</v>
      </c>
      <c r="F514" t="s">
        <v>37</v>
      </c>
      <c r="G514" t="s">
        <v>32</v>
      </c>
      <c r="H514" t="s">
        <v>38</v>
      </c>
      <c r="I514" t="s">
        <v>139</v>
      </c>
      <c r="J514" t="s">
        <v>1633</v>
      </c>
      <c r="K514" t="s">
        <v>40</v>
      </c>
      <c r="L514">
        <v>61000</v>
      </c>
      <c r="M514">
        <v>12.3</v>
      </c>
      <c r="N514">
        <v>3</v>
      </c>
      <c r="O514">
        <v>1.4</v>
      </c>
      <c r="P514">
        <v>0.4</v>
      </c>
      <c r="Q514">
        <v>4</v>
      </c>
      <c r="R514">
        <v>2</v>
      </c>
      <c r="S514">
        <v>3</v>
      </c>
      <c r="T514" t="s">
        <v>23</v>
      </c>
      <c r="U514">
        <v>3</v>
      </c>
      <c r="V514" s="7">
        <v>45673</v>
      </c>
      <c r="W514" t="s">
        <v>1650</v>
      </c>
      <c r="X514" t="s">
        <v>1659</v>
      </c>
      <c r="Y514" t="s">
        <v>1665</v>
      </c>
      <c r="Z514">
        <v>1</v>
      </c>
    </row>
    <row r="515" spans="1:26" x14ac:dyDescent="0.35">
      <c r="A515" t="s">
        <v>1147</v>
      </c>
      <c r="B515" s="6">
        <v>43352</v>
      </c>
      <c r="C515" t="s">
        <v>23</v>
      </c>
      <c r="D515">
        <v>28</v>
      </c>
      <c r="E515" t="s">
        <v>36</v>
      </c>
      <c r="F515" t="s">
        <v>25</v>
      </c>
      <c r="G515" t="s">
        <v>32</v>
      </c>
      <c r="H515" t="s">
        <v>38</v>
      </c>
      <c r="I515" t="s">
        <v>139</v>
      </c>
      <c r="J515" t="s">
        <v>1636</v>
      </c>
      <c r="K515" t="s">
        <v>66</v>
      </c>
      <c r="L515">
        <v>121000</v>
      </c>
      <c r="M515">
        <v>3.6</v>
      </c>
      <c r="N515">
        <v>13.6</v>
      </c>
      <c r="O515">
        <v>7.3</v>
      </c>
      <c r="P515">
        <v>0.7</v>
      </c>
      <c r="Q515">
        <v>3</v>
      </c>
      <c r="R515">
        <v>4</v>
      </c>
      <c r="S515">
        <v>3</v>
      </c>
      <c r="T515" t="s">
        <v>30</v>
      </c>
      <c r="U515">
        <v>3</v>
      </c>
      <c r="W515" t="s">
        <v>1650</v>
      </c>
      <c r="X515" t="s">
        <v>1658</v>
      </c>
      <c r="Y515" t="s">
        <v>1662</v>
      </c>
      <c r="Z515">
        <v>0</v>
      </c>
    </row>
    <row r="516" spans="1:26" x14ac:dyDescent="0.35">
      <c r="A516" t="s">
        <v>1132</v>
      </c>
      <c r="B516" s="6">
        <v>45681</v>
      </c>
      <c r="C516" t="s">
        <v>23</v>
      </c>
      <c r="D516">
        <v>30</v>
      </c>
      <c r="E516" t="s">
        <v>24</v>
      </c>
      <c r="F516" t="s">
        <v>37</v>
      </c>
      <c r="G516" t="s">
        <v>32</v>
      </c>
      <c r="H516" t="s">
        <v>1634</v>
      </c>
      <c r="I516" t="s">
        <v>60</v>
      </c>
      <c r="J516" t="s">
        <v>1636</v>
      </c>
      <c r="K516" t="s">
        <v>66</v>
      </c>
      <c r="L516">
        <v>116000</v>
      </c>
      <c r="M516">
        <v>10.1</v>
      </c>
      <c r="N516">
        <v>2.5</v>
      </c>
      <c r="O516">
        <v>0.9</v>
      </c>
      <c r="P516">
        <v>0</v>
      </c>
      <c r="Q516">
        <v>4</v>
      </c>
      <c r="R516">
        <v>3</v>
      </c>
      <c r="S516">
        <v>3</v>
      </c>
      <c r="T516" t="s">
        <v>30</v>
      </c>
      <c r="U516">
        <v>5</v>
      </c>
      <c r="W516" t="s">
        <v>1650</v>
      </c>
      <c r="X516" t="s">
        <v>1658</v>
      </c>
      <c r="Y516" t="s">
        <v>1664</v>
      </c>
      <c r="Z516">
        <v>0</v>
      </c>
    </row>
    <row r="517" spans="1:26" x14ac:dyDescent="0.35">
      <c r="A517" t="s">
        <v>221</v>
      </c>
      <c r="B517" s="6">
        <v>45685</v>
      </c>
      <c r="C517" t="s">
        <v>23</v>
      </c>
      <c r="D517">
        <v>39</v>
      </c>
      <c r="E517" t="s">
        <v>62</v>
      </c>
      <c r="F517" t="s">
        <v>25</v>
      </c>
      <c r="G517" t="s">
        <v>26</v>
      </c>
      <c r="H517" t="s">
        <v>68</v>
      </c>
      <c r="I517" t="s">
        <v>109</v>
      </c>
      <c r="J517" t="s">
        <v>1633</v>
      </c>
      <c r="K517" t="s">
        <v>40</v>
      </c>
      <c r="L517">
        <v>52000</v>
      </c>
      <c r="M517">
        <v>10.6</v>
      </c>
      <c r="N517">
        <v>8.6999999999999993</v>
      </c>
      <c r="O517">
        <v>0.9</v>
      </c>
      <c r="P517">
        <v>0</v>
      </c>
      <c r="Q517">
        <v>4</v>
      </c>
      <c r="R517">
        <v>2</v>
      </c>
      <c r="S517">
        <v>2</v>
      </c>
      <c r="T517" t="s">
        <v>23</v>
      </c>
      <c r="U517">
        <v>3</v>
      </c>
      <c r="W517" t="s">
        <v>1649</v>
      </c>
      <c r="X517" t="s">
        <v>1656</v>
      </c>
      <c r="Y517" t="s">
        <v>1664</v>
      </c>
      <c r="Z517">
        <v>0</v>
      </c>
    </row>
    <row r="518" spans="1:26" x14ac:dyDescent="0.35">
      <c r="A518" t="s">
        <v>1095</v>
      </c>
      <c r="B518" s="6">
        <v>43156</v>
      </c>
      <c r="C518" t="s">
        <v>23</v>
      </c>
      <c r="D518">
        <v>35</v>
      </c>
      <c r="E518" t="s">
        <v>36</v>
      </c>
      <c r="F518" t="s">
        <v>25</v>
      </c>
      <c r="G518" t="s">
        <v>54</v>
      </c>
      <c r="H518" t="s">
        <v>27</v>
      </c>
      <c r="I518" t="s">
        <v>33</v>
      </c>
      <c r="J518" t="s">
        <v>1635</v>
      </c>
      <c r="K518" t="s">
        <v>29</v>
      </c>
      <c r="L518">
        <v>68000</v>
      </c>
      <c r="M518">
        <v>0</v>
      </c>
      <c r="N518">
        <v>10.4</v>
      </c>
      <c r="O518">
        <v>7.8</v>
      </c>
      <c r="P518">
        <v>2.2000000000000002</v>
      </c>
      <c r="Q518">
        <v>3</v>
      </c>
      <c r="R518">
        <v>3</v>
      </c>
      <c r="S518">
        <v>3</v>
      </c>
      <c r="T518" t="s">
        <v>23</v>
      </c>
      <c r="U518">
        <v>3</v>
      </c>
      <c r="W518" t="s">
        <v>1650</v>
      </c>
      <c r="X518" t="s">
        <v>1659</v>
      </c>
      <c r="Y518" t="s">
        <v>1662</v>
      </c>
      <c r="Z518">
        <v>0</v>
      </c>
    </row>
    <row r="519" spans="1:26" x14ac:dyDescent="0.35">
      <c r="A519" t="s">
        <v>1440</v>
      </c>
      <c r="B519" s="6">
        <v>42089</v>
      </c>
      <c r="C519" t="s">
        <v>23</v>
      </c>
      <c r="D519">
        <v>43</v>
      </c>
      <c r="E519" t="s">
        <v>24</v>
      </c>
      <c r="F519" t="s">
        <v>37</v>
      </c>
      <c r="G519" t="s">
        <v>26</v>
      </c>
      <c r="H519" t="s">
        <v>1634</v>
      </c>
      <c r="I519" t="s">
        <v>75</v>
      </c>
      <c r="J519" t="s">
        <v>1633</v>
      </c>
      <c r="K519" t="s">
        <v>84</v>
      </c>
      <c r="L519">
        <v>60000</v>
      </c>
      <c r="M519">
        <v>12.9</v>
      </c>
      <c r="N519">
        <v>14.2</v>
      </c>
      <c r="O519">
        <v>10.8</v>
      </c>
      <c r="P519">
        <v>2.2999999999999998</v>
      </c>
      <c r="Q519">
        <v>2</v>
      </c>
      <c r="R519">
        <v>2</v>
      </c>
      <c r="S519">
        <v>4</v>
      </c>
      <c r="T519" t="s">
        <v>23</v>
      </c>
      <c r="U519">
        <v>3</v>
      </c>
      <c r="W519" t="s">
        <v>1649</v>
      </c>
      <c r="X519" t="s">
        <v>1659</v>
      </c>
      <c r="Y519" t="s">
        <v>1663</v>
      </c>
      <c r="Z519">
        <v>0</v>
      </c>
    </row>
    <row r="520" spans="1:26" x14ac:dyDescent="0.35">
      <c r="A520" t="s">
        <v>757</v>
      </c>
      <c r="B520" s="6">
        <v>45737</v>
      </c>
      <c r="C520" t="s">
        <v>23</v>
      </c>
      <c r="D520">
        <v>34</v>
      </c>
      <c r="E520" t="s">
        <v>36</v>
      </c>
      <c r="F520" t="s">
        <v>37</v>
      </c>
      <c r="G520" t="s">
        <v>58</v>
      </c>
      <c r="H520" t="s">
        <v>48</v>
      </c>
      <c r="I520" t="s">
        <v>129</v>
      </c>
      <c r="J520" t="s">
        <v>1633</v>
      </c>
      <c r="K520" t="s">
        <v>29</v>
      </c>
      <c r="L520">
        <v>57000</v>
      </c>
      <c r="M520">
        <v>6.5</v>
      </c>
      <c r="N520">
        <v>4.2</v>
      </c>
      <c r="O520">
        <v>0.8</v>
      </c>
      <c r="P520">
        <v>0</v>
      </c>
      <c r="Q520">
        <v>3</v>
      </c>
      <c r="R520">
        <v>3</v>
      </c>
      <c r="S520">
        <v>3</v>
      </c>
      <c r="T520" t="s">
        <v>23</v>
      </c>
      <c r="U520">
        <v>1</v>
      </c>
      <c r="W520" t="s">
        <v>1650</v>
      </c>
      <c r="X520" t="s">
        <v>1656</v>
      </c>
      <c r="Y520" t="s">
        <v>1664</v>
      </c>
      <c r="Z520">
        <v>0</v>
      </c>
    </row>
    <row r="521" spans="1:26" x14ac:dyDescent="0.35">
      <c r="A521" t="s">
        <v>378</v>
      </c>
      <c r="B521" s="6">
        <v>44654</v>
      </c>
      <c r="C521" t="s">
        <v>30</v>
      </c>
      <c r="D521">
        <v>37</v>
      </c>
      <c r="E521" t="s">
        <v>24</v>
      </c>
      <c r="F521" t="s">
        <v>25</v>
      </c>
      <c r="G521" t="s">
        <v>58</v>
      </c>
      <c r="H521" t="s">
        <v>38</v>
      </c>
      <c r="I521" t="s">
        <v>39</v>
      </c>
      <c r="J521" t="s">
        <v>1636</v>
      </c>
      <c r="K521" t="s">
        <v>84</v>
      </c>
      <c r="L521">
        <v>135000</v>
      </c>
      <c r="M521">
        <v>8.4</v>
      </c>
      <c r="N521">
        <v>10.5</v>
      </c>
      <c r="O521">
        <v>3.1</v>
      </c>
      <c r="P521">
        <v>0.3</v>
      </c>
      <c r="Q521">
        <v>3</v>
      </c>
      <c r="R521">
        <v>2</v>
      </c>
      <c r="S521">
        <v>1</v>
      </c>
      <c r="T521" t="s">
        <v>23</v>
      </c>
      <c r="U521">
        <v>3</v>
      </c>
      <c r="V521" s="7">
        <v>45799</v>
      </c>
      <c r="W521" t="s">
        <v>1649</v>
      </c>
      <c r="X521" t="s">
        <v>1658</v>
      </c>
      <c r="Y521" t="s">
        <v>1661</v>
      </c>
      <c r="Z521">
        <v>1</v>
      </c>
    </row>
    <row r="522" spans="1:26" x14ac:dyDescent="0.35">
      <c r="A522" t="s">
        <v>445</v>
      </c>
      <c r="B522" s="6">
        <v>43332</v>
      </c>
      <c r="C522" t="s">
        <v>23</v>
      </c>
      <c r="D522">
        <v>33</v>
      </c>
      <c r="E522" t="s">
        <v>36</v>
      </c>
      <c r="F522" t="s">
        <v>42</v>
      </c>
      <c r="G522" t="s">
        <v>26</v>
      </c>
      <c r="H522" t="s">
        <v>68</v>
      </c>
      <c r="I522" t="s">
        <v>69</v>
      </c>
      <c r="J522" t="s">
        <v>1633</v>
      </c>
      <c r="K522" t="s">
        <v>34</v>
      </c>
      <c r="L522">
        <v>58000</v>
      </c>
      <c r="M522">
        <v>3.2</v>
      </c>
      <c r="N522">
        <v>11.7</v>
      </c>
      <c r="O522">
        <v>7.4</v>
      </c>
      <c r="P522">
        <v>1.6</v>
      </c>
      <c r="Q522">
        <v>4</v>
      </c>
      <c r="R522">
        <v>4</v>
      </c>
      <c r="S522">
        <v>3</v>
      </c>
      <c r="T522" t="s">
        <v>30</v>
      </c>
      <c r="U522">
        <v>3</v>
      </c>
      <c r="W522" t="s">
        <v>1650</v>
      </c>
      <c r="X522" t="s">
        <v>1656</v>
      </c>
      <c r="Y522" t="s">
        <v>1662</v>
      </c>
      <c r="Z522">
        <v>0</v>
      </c>
    </row>
    <row r="523" spans="1:26" x14ac:dyDescent="0.35">
      <c r="A523" t="s">
        <v>1403</v>
      </c>
      <c r="B523" s="6">
        <v>45190</v>
      </c>
      <c r="C523" t="s">
        <v>23</v>
      </c>
      <c r="D523">
        <v>29</v>
      </c>
      <c r="E523" t="s">
        <v>24</v>
      </c>
      <c r="F523" t="s">
        <v>42</v>
      </c>
      <c r="G523" t="s">
        <v>32</v>
      </c>
      <c r="H523" t="s">
        <v>45</v>
      </c>
      <c r="I523" t="s">
        <v>97</v>
      </c>
      <c r="J523" t="s">
        <v>1636</v>
      </c>
      <c r="K523" t="s">
        <v>34</v>
      </c>
      <c r="L523">
        <v>93000</v>
      </c>
      <c r="M523">
        <v>7</v>
      </c>
      <c r="N523">
        <v>7</v>
      </c>
      <c r="O523">
        <v>2.2999999999999998</v>
      </c>
      <c r="P523">
        <v>1.3</v>
      </c>
      <c r="Q523">
        <v>2</v>
      </c>
      <c r="R523">
        <v>3</v>
      </c>
      <c r="S523">
        <v>4</v>
      </c>
      <c r="T523" t="s">
        <v>23</v>
      </c>
      <c r="U523">
        <v>3</v>
      </c>
      <c r="W523" t="s">
        <v>1650</v>
      </c>
      <c r="X523" t="s">
        <v>1657</v>
      </c>
      <c r="Y523" t="s">
        <v>1665</v>
      </c>
      <c r="Z523">
        <v>0</v>
      </c>
    </row>
    <row r="524" spans="1:26" x14ac:dyDescent="0.35">
      <c r="A524" t="s">
        <v>595</v>
      </c>
      <c r="B524" s="6">
        <v>44319</v>
      </c>
      <c r="C524" t="s">
        <v>23</v>
      </c>
      <c r="D524">
        <v>30</v>
      </c>
      <c r="E524" t="s">
        <v>36</v>
      </c>
      <c r="F524" t="s">
        <v>37</v>
      </c>
      <c r="G524" t="s">
        <v>54</v>
      </c>
      <c r="H524" t="s">
        <v>1634</v>
      </c>
      <c r="I524" t="s">
        <v>60</v>
      </c>
      <c r="J524" t="s">
        <v>1633</v>
      </c>
      <c r="K524" t="s">
        <v>34</v>
      </c>
      <c r="L524">
        <v>65000</v>
      </c>
      <c r="M524">
        <v>10.3</v>
      </c>
      <c r="N524">
        <v>5.7</v>
      </c>
      <c r="O524">
        <v>4.7</v>
      </c>
      <c r="P524">
        <v>4.4000000000000004</v>
      </c>
      <c r="Q524">
        <v>3</v>
      </c>
      <c r="R524">
        <v>1</v>
      </c>
      <c r="S524">
        <v>4</v>
      </c>
      <c r="T524" t="s">
        <v>23</v>
      </c>
      <c r="U524">
        <v>4</v>
      </c>
      <c r="W524" t="s">
        <v>1650</v>
      </c>
      <c r="X524" t="s">
        <v>1659</v>
      </c>
      <c r="Y524" t="s">
        <v>1661</v>
      </c>
      <c r="Z524">
        <v>0</v>
      </c>
    </row>
    <row r="525" spans="1:26" x14ac:dyDescent="0.35">
      <c r="A525" t="s">
        <v>346</v>
      </c>
      <c r="B525" s="6">
        <v>42962</v>
      </c>
      <c r="C525" t="s">
        <v>23</v>
      </c>
      <c r="D525">
        <v>37</v>
      </c>
      <c r="E525" t="s">
        <v>62</v>
      </c>
      <c r="F525" t="s">
        <v>25</v>
      </c>
      <c r="G525" t="s">
        <v>54</v>
      </c>
      <c r="H525" t="s">
        <v>45</v>
      </c>
      <c r="I525" t="s">
        <v>46</v>
      </c>
      <c r="J525" t="s">
        <v>1635</v>
      </c>
      <c r="K525" t="s">
        <v>34</v>
      </c>
      <c r="L525">
        <v>62000</v>
      </c>
      <c r="M525">
        <v>13.2</v>
      </c>
      <c r="N525">
        <v>8.6</v>
      </c>
      <c r="O525">
        <v>8.4</v>
      </c>
      <c r="P525">
        <v>0.8</v>
      </c>
      <c r="Q525">
        <v>3</v>
      </c>
      <c r="R525">
        <v>4</v>
      </c>
      <c r="S525">
        <v>4</v>
      </c>
      <c r="T525" t="s">
        <v>23</v>
      </c>
      <c r="U525">
        <v>4</v>
      </c>
      <c r="W525" t="s">
        <v>1649</v>
      </c>
      <c r="X525" t="s">
        <v>1659</v>
      </c>
      <c r="Y525" t="s">
        <v>1662</v>
      </c>
      <c r="Z525">
        <v>0</v>
      </c>
    </row>
    <row r="526" spans="1:26" x14ac:dyDescent="0.35">
      <c r="A526" t="s">
        <v>859</v>
      </c>
      <c r="B526" s="6">
        <v>44262</v>
      </c>
      <c r="C526" t="s">
        <v>23</v>
      </c>
      <c r="D526">
        <v>38</v>
      </c>
      <c r="E526" t="s">
        <v>62</v>
      </c>
      <c r="F526" t="s">
        <v>25</v>
      </c>
      <c r="G526" t="s">
        <v>54</v>
      </c>
      <c r="H526" t="s">
        <v>55</v>
      </c>
      <c r="I526" t="s">
        <v>80</v>
      </c>
      <c r="J526" t="s">
        <v>1632</v>
      </c>
      <c r="K526" t="s">
        <v>50</v>
      </c>
      <c r="L526">
        <v>30000</v>
      </c>
      <c r="M526">
        <v>2.8</v>
      </c>
      <c r="N526">
        <v>9.9</v>
      </c>
      <c r="O526">
        <v>4.8</v>
      </c>
      <c r="P526">
        <v>1.5</v>
      </c>
      <c r="Q526">
        <v>3</v>
      </c>
      <c r="R526">
        <v>2</v>
      </c>
      <c r="S526">
        <v>3</v>
      </c>
      <c r="T526" t="s">
        <v>23</v>
      </c>
      <c r="U526">
        <v>3</v>
      </c>
      <c r="W526" t="s">
        <v>1649</v>
      </c>
      <c r="X526" t="s">
        <v>1655</v>
      </c>
      <c r="Y526" t="s">
        <v>1661</v>
      </c>
      <c r="Z526">
        <v>0</v>
      </c>
    </row>
    <row r="527" spans="1:26" x14ac:dyDescent="0.35">
      <c r="A527" t="s">
        <v>254</v>
      </c>
      <c r="B527" s="6">
        <v>41798</v>
      </c>
      <c r="C527" t="s">
        <v>23</v>
      </c>
      <c r="D527">
        <v>36</v>
      </c>
      <c r="E527" t="s">
        <v>36</v>
      </c>
      <c r="F527" t="s">
        <v>42</v>
      </c>
      <c r="G527" t="s">
        <v>32</v>
      </c>
      <c r="H527" t="s">
        <v>55</v>
      </c>
      <c r="I527" t="s">
        <v>179</v>
      </c>
      <c r="J527" t="s">
        <v>1632</v>
      </c>
      <c r="K527" t="s">
        <v>50</v>
      </c>
      <c r="L527">
        <v>31000</v>
      </c>
      <c r="M527">
        <v>5.5</v>
      </c>
      <c r="N527">
        <v>12.1</v>
      </c>
      <c r="O527">
        <v>11.6</v>
      </c>
      <c r="P527">
        <v>0.3</v>
      </c>
      <c r="Q527">
        <v>2</v>
      </c>
      <c r="R527">
        <v>3</v>
      </c>
      <c r="S527">
        <v>2</v>
      </c>
      <c r="T527" t="s">
        <v>23</v>
      </c>
      <c r="U527">
        <v>4</v>
      </c>
      <c r="W527" t="s">
        <v>1649</v>
      </c>
      <c r="X527" t="s">
        <v>1655</v>
      </c>
      <c r="Y527" t="s">
        <v>1663</v>
      </c>
      <c r="Z527">
        <v>0</v>
      </c>
    </row>
    <row r="528" spans="1:26" x14ac:dyDescent="0.35">
      <c r="A528" t="s">
        <v>896</v>
      </c>
      <c r="B528" s="6">
        <v>45092</v>
      </c>
      <c r="C528" t="s">
        <v>23</v>
      </c>
      <c r="D528">
        <v>25</v>
      </c>
      <c r="E528" t="s">
        <v>62</v>
      </c>
      <c r="F528" t="s">
        <v>25</v>
      </c>
      <c r="G528" t="s">
        <v>58</v>
      </c>
      <c r="H528" t="s">
        <v>55</v>
      </c>
      <c r="I528" t="s">
        <v>80</v>
      </c>
      <c r="J528" t="s">
        <v>1632</v>
      </c>
      <c r="K528" t="s">
        <v>66</v>
      </c>
      <c r="L528">
        <v>54000</v>
      </c>
      <c r="M528">
        <v>5.4</v>
      </c>
      <c r="N528">
        <v>3.6</v>
      </c>
      <c r="O528">
        <v>2.5</v>
      </c>
      <c r="P528">
        <v>0.5</v>
      </c>
      <c r="Q528">
        <v>4</v>
      </c>
      <c r="R528">
        <v>3</v>
      </c>
      <c r="S528">
        <v>3</v>
      </c>
      <c r="T528" t="s">
        <v>30</v>
      </c>
      <c r="U528">
        <v>3</v>
      </c>
      <c r="W528" t="s">
        <v>1651</v>
      </c>
      <c r="X528" t="s">
        <v>1656</v>
      </c>
      <c r="Y528" t="s">
        <v>1665</v>
      </c>
      <c r="Z528">
        <v>0</v>
      </c>
    </row>
    <row r="529" spans="1:26" x14ac:dyDescent="0.35">
      <c r="A529" t="s">
        <v>794</v>
      </c>
      <c r="B529" s="6">
        <v>45884</v>
      </c>
      <c r="C529" t="s">
        <v>23</v>
      </c>
      <c r="D529">
        <v>31</v>
      </c>
      <c r="E529" t="s">
        <v>62</v>
      </c>
      <c r="F529" t="s">
        <v>37</v>
      </c>
      <c r="G529" t="s">
        <v>26</v>
      </c>
      <c r="H529" t="s">
        <v>55</v>
      </c>
      <c r="I529" t="s">
        <v>80</v>
      </c>
      <c r="J529" t="s">
        <v>1633</v>
      </c>
      <c r="K529" t="s">
        <v>84</v>
      </c>
      <c r="L529">
        <v>67000</v>
      </c>
      <c r="M529">
        <v>6.8</v>
      </c>
      <c r="N529">
        <v>6.8</v>
      </c>
      <c r="O529">
        <v>0.4</v>
      </c>
      <c r="P529">
        <v>0</v>
      </c>
      <c r="Q529">
        <v>1</v>
      </c>
      <c r="R529">
        <v>4</v>
      </c>
      <c r="S529">
        <v>4</v>
      </c>
      <c r="T529" t="s">
        <v>30</v>
      </c>
      <c r="U529">
        <v>3</v>
      </c>
      <c r="W529" t="s">
        <v>1650</v>
      </c>
      <c r="X529" t="s">
        <v>1659</v>
      </c>
      <c r="Y529" t="s">
        <v>1664</v>
      </c>
      <c r="Z529">
        <v>0</v>
      </c>
    </row>
    <row r="530" spans="1:26" x14ac:dyDescent="0.35">
      <c r="A530" t="s">
        <v>44</v>
      </c>
      <c r="B530" s="6">
        <v>42312</v>
      </c>
      <c r="C530" t="s">
        <v>23</v>
      </c>
      <c r="D530">
        <v>33</v>
      </c>
      <c r="E530" t="s">
        <v>36</v>
      </c>
      <c r="F530" t="s">
        <v>25</v>
      </c>
      <c r="G530" t="s">
        <v>32</v>
      </c>
      <c r="H530" t="s">
        <v>45</v>
      </c>
      <c r="I530" t="s">
        <v>46</v>
      </c>
      <c r="J530" t="s">
        <v>1633</v>
      </c>
      <c r="K530" t="s">
        <v>29</v>
      </c>
      <c r="L530">
        <v>40000</v>
      </c>
      <c r="M530">
        <v>12</v>
      </c>
      <c r="N530">
        <v>17</v>
      </c>
      <c r="O530">
        <v>10.199999999999999</v>
      </c>
      <c r="P530">
        <v>2.5</v>
      </c>
      <c r="Q530">
        <v>3</v>
      </c>
      <c r="R530">
        <v>2</v>
      </c>
      <c r="S530">
        <v>3</v>
      </c>
      <c r="T530" t="s">
        <v>23</v>
      </c>
      <c r="U530">
        <v>3</v>
      </c>
      <c r="W530" t="s">
        <v>1650</v>
      </c>
      <c r="X530" t="s">
        <v>1656</v>
      </c>
      <c r="Y530" t="s">
        <v>1663</v>
      </c>
      <c r="Z530">
        <v>0</v>
      </c>
    </row>
    <row r="531" spans="1:26" x14ac:dyDescent="0.35">
      <c r="A531" t="s">
        <v>451</v>
      </c>
      <c r="B531" s="6">
        <v>42217</v>
      </c>
      <c r="C531" t="s">
        <v>23</v>
      </c>
      <c r="D531">
        <v>31</v>
      </c>
      <c r="E531" t="s">
        <v>24</v>
      </c>
      <c r="F531" t="s">
        <v>42</v>
      </c>
      <c r="G531" t="s">
        <v>54</v>
      </c>
      <c r="H531" t="s">
        <v>27</v>
      </c>
      <c r="I531" t="s">
        <v>43</v>
      </c>
      <c r="J531" t="s">
        <v>1633</v>
      </c>
      <c r="K531" t="s">
        <v>66</v>
      </c>
      <c r="L531">
        <v>42000</v>
      </c>
      <c r="M531">
        <v>0</v>
      </c>
      <c r="N531">
        <v>15.4</v>
      </c>
      <c r="O531">
        <v>10.4</v>
      </c>
      <c r="P531">
        <v>1.8</v>
      </c>
      <c r="Q531">
        <v>4</v>
      </c>
      <c r="R531">
        <v>4</v>
      </c>
      <c r="S531">
        <v>3</v>
      </c>
      <c r="T531" t="s">
        <v>30</v>
      </c>
      <c r="U531">
        <v>4</v>
      </c>
      <c r="W531" t="s">
        <v>1650</v>
      </c>
      <c r="X531" t="s">
        <v>1656</v>
      </c>
      <c r="Y531" t="s">
        <v>1663</v>
      </c>
      <c r="Z531">
        <v>0</v>
      </c>
    </row>
    <row r="532" spans="1:26" x14ac:dyDescent="0.35">
      <c r="A532" t="s">
        <v>194</v>
      </c>
      <c r="B532" s="6">
        <v>45463</v>
      </c>
      <c r="C532" t="s">
        <v>23</v>
      </c>
      <c r="D532">
        <v>50</v>
      </c>
      <c r="E532" t="s">
        <v>62</v>
      </c>
      <c r="F532" t="s">
        <v>42</v>
      </c>
      <c r="G532" t="s">
        <v>54</v>
      </c>
      <c r="H532" t="s">
        <v>38</v>
      </c>
      <c r="I532" t="s">
        <v>39</v>
      </c>
      <c r="J532" t="s">
        <v>1632</v>
      </c>
      <c r="K532" t="s">
        <v>84</v>
      </c>
      <c r="L532">
        <v>45000</v>
      </c>
      <c r="M532">
        <v>8.9</v>
      </c>
      <c r="N532">
        <v>3.6</v>
      </c>
      <c r="O532">
        <v>1.5</v>
      </c>
      <c r="P532">
        <v>0.8</v>
      </c>
      <c r="Q532">
        <v>3</v>
      </c>
      <c r="R532">
        <v>3</v>
      </c>
      <c r="S532">
        <v>2</v>
      </c>
      <c r="T532" t="s">
        <v>23</v>
      </c>
      <c r="U532">
        <v>4</v>
      </c>
      <c r="W532" t="s">
        <v>1652</v>
      </c>
      <c r="X532" t="s">
        <v>1656</v>
      </c>
      <c r="Y532" t="s">
        <v>1665</v>
      </c>
      <c r="Z532">
        <v>0</v>
      </c>
    </row>
    <row r="533" spans="1:26" x14ac:dyDescent="0.35">
      <c r="A533" t="s">
        <v>1552</v>
      </c>
      <c r="B533" s="6">
        <v>44218</v>
      </c>
      <c r="C533" t="s">
        <v>23</v>
      </c>
      <c r="D533">
        <v>33</v>
      </c>
      <c r="E533" t="s">
        <v>24</v>
      </c>
      <c r="F533" t="s">
        <v>25</v>
      </c>
      <c r="G533" t="s">
        <v>54</v>
      </c>
      <c r="H533" t="s">
        <v>45</v>
      </c>
      <c r="I533" t="s">
        <v>46</v>
      </c>
      <c r="J533" t="s">
        <v>1636</v>
      </c>
      <c r="K533" t="s">
        <v>40</v>
      </c>
      <c r="L533">
        <v>108000</v>
      </c>
      <c r="M533">
        <v>4.3</v>
      </c>
      <c r="N533">
        <v>7.6</v>
      </c>
      <c r="O533">
        <v>4.9000000000000004</v>
      </c>
      <c r="P533">
        <v>3.7</v>
      </c>
      <c r="Q533">
        <v>2</v>
      </c>
      <c r="R533">
        <v>3</v>
      </c>
      <c r="S533">
        <v>2</v>
      </c>
      <c r="T533" t="s">
        <v>30</v>
      </c>
      <c r="U533">
        <v>4</v>
      </c>
      <c r="W533" t="s">
        <v>1650</v>
      </c>
      <c r="X533" t="s">
        <v>1658</v>
      </c>
      <c r="Y533" t="s">
        <v>1661</v>
      </c>
      <c r="Z533">
        <v>0</v>
      </c>
    </row>
    <row r="534" spans="1:26" x14ac:dyDescent="0.35">
      <c r="A534" t="s">
        <v>620</v>
      </c>
      <c r="B534" s="6">
        <v>45184</v>
      </c>
      <c r="C534" t="s">
        <v>30</v>
      </c>
      <c r="D534">
        <v>38</v>
      </c>
      <c r="E534" t="s">
        <v>24</v>
      </c>
      <c r="F534" t="s">
        <v>42</v>
      </c>
      <c r="G534" t="s">
        <v>58</v>
      </c>
      <c r="H534" t="s">
        <v>48</v>
      </c>
      <c r="I534" t="s">
        <v>129</v>
      </c>
      <c r="J534" t="s">
        <v>1636</v>
      </c>
      <c r="K534" t="s">
        <v>40</v>
      </c>
      <c r="L534">
        <v>121000</v>
      </c>
      <c r="M534">
        <v>10.8</v>
      </c>
      <c r="N534">
        <v>6.6</v>
      </c>
      <c r="O534">
        <v>2.2999999999999998</v>
      </c>
      <c r="P534">
        <v>0.9</v>
      </c>
      <c r="Q534">
        <v>2</v>
      </c>
      <c r="R534">
        <v>2</v>
      </c>
      <c r="S534">
        <v>4</v>
      </c>
      <c r="T534" t="s">
        <v>30</v>
      </c>
      <c r="U534">
        <v>4</v>
      </c>
      <c r="W534" t="s">
        <v>1649</v>
      </c>
      <c r="X534" t="s">
        <v>1658</v>
      </c>
      <c r="Y534" t="s">
        <v>1665</v>
      </c>
      <c r="Z534">
        <v>1</v>
      </c>
    </row>
    <row r="535" spans="1:26" x14ac:dyDescent="0.35">
      <c r="A535" t="s">
        <v>865</v>
      </c>
      <c r="B535" s="6">
        <v>43638</v>
      </c>
      <c r="C535" t="s">
        <v>23</v>
      </c>
      <c r="D535">
        <v>38</v>
      </c>
      <c r="E535" t="s">
        <v>36</v>
      </c>
      <c r="F535" t="s">
        <v>37</v>
      </c>
      <c r="G535" t="s">
        <v>26</v>
      </c>
      <c r="H535" t="s">
        <v>55</v>
      </c>
      <c r="I535" t="s">
        <v>56</v>
      </c>
      <c r="J535" t="s">
        <v>1636</v>
      </c>
      <c r="K535" t="s">
        <v>50</v>
      </c>
      <c r="L535">
        <v>134000</v>
      </c>
      <c r="M535">
        <v>7.6</v>
      </c>
      <c r="N535">
        <v>10.7</v>
      </c>
      <c r="O535">
        <v>6.5</v>
      </c>
      <c r="P535">
        <v>4</v>
      </c>
      <c r="Q535">
        <v>1</v>
      </c>
      <c r="R535">
        <v>3</v>
      </c>
      <c r="S535">
        <v>2</v>
      </c>
      <c r="T535" t="s">
        <v>23</v>
      </c>
      <c r="U535">
        <v>4</v>
      </c>
      <c r="W535" t="s">
        <v>1649</v>
      </c>
      <c r="X535" t="s">
        <v>1658</v>
      </c>
      <c r="Y535" t="s">
        <v>1662</v>
      </c>
      <c r="Z535">
        <v>0</v>
      </c>
    </row>
    <row r="536" spans="1:26" x14ac:dyDescent="0.35">
      <c r="A536" t="s">
        <v>279</v>
      </c>
      <c r="B536" s="6">
        <v>41944</v>
      </c>
      <c r="C536" t="s">
        <v>30</v>
      </c>
      <c r="D536">
        <v>34</v>
      </c>
      <c r="E536" t="s">
        <v>24</v>
      </c>
      <c r="F536" t="s">
        <v>25</v>
      </c>
      <c r="G536" t="s">
        <v>32</v>
      </c>
      <c r="H536" t="s">
        <v>1634</v>
      </c>
      <c r="I536" t="s">
        <v>60</v>
      </c>
      <c r="J536" t="s">
        <v>1635</v>
      </c>
      <c r="K536" t="s">
        <v>29</v>
      </c>
      <c r="L536">
        <v>89000</v>
      </c>
      <c r="M536">
        <v>4</v>
      </c>
      <c r="N536">
        <v>11</v>
      </c>
      <c r="O536">
        <v>10.8</v>
      </c>
      <c r="P536">
        <v>0.1</v>
      </c>
      <c r="Q536">
        <v>2</v>
      </c>
      <c r="R536">
        <v>4</v>
      </c>
      <c r="S536">
        <v>3</v>
      </c>
      <c r="T536" t="s">
        <v>23</v>
      </c>
      <c r="U536">
        <v>2</v>
      </c>
      <c r="V536" s="7">
        <v>45873</v>
      </c>
      <c r="W536" t="s">
        <v>1650</v>
      </c>
      <c r="X536" t="s">
        <v>1657</v>
      </c>
      <c r="Y536" t="s">
        <v>1663</v>
      </c>
      <c r="Z536">
        <v>1</v>
      </c>
    </row>
    <row r="537" spans="1:26" x14ac:dyDescent="0.35">
      <c r="A537" t="s">
        <v>1505</v>
      </c>
      <c r="B537" s="6">
        <v>45453</v>
      </c>
      <c r="C537" t="s">
        <v>23</v>
      </c>
      <c r="D537">
        <v>34</v>
      </c>
      <c r="E537" t="s">
        <v>36</v>
      </c>
      <c r="F537" t="s">
        <v>42</v>
      </c>
      <c r="G537" t="s">
        <v>32</v>
      </c>
      <c r="H537" t="s">
        <v>55</v>
      </c>
      <c r="I537" t="s">
        <v>56</v>
      </c>
      <c r="J537" t="s">
        <v>1633</v>
      </c>
      <c r="K537" t="s">
        <v>50</v>
      </c>
      <c r="L537">
        <v>62000</v>
      </c>
      <c r="M537">
        <v>9.6999999999999993</v>
      </c>
      <c r="N537">
        <v>3.2</v>
      </c>
      <c r="O537">
        <v>1.6</v>
      </c>
      <c r="P537">
        <v>0.9</v>
      </c>
      <c r="Q537">
        <v>3</v>
      </c>
      <c r="R537">
        <v>4</v>
      </c>
      <c r="S537">
        <v>2</v>
      </c>
      <c r="T537" t="s">
        <v>23</v>
      </c>
      <c r="U537">
        <v>3</v>
      </c>
      <c r="W537" t="s">
        <v>1650</v>
      </c>
      <c r="X537" t="s">
        <v>1659</v>
      </c>
      <c r="Y537" t="s">
        <v>1665</v>
      </c>
      <c r="Z537">
        <v>0</v>
      </c>
    </row>
    <row r="538" spans="1:26" x14ac:dyDescent="0.35">
      <c r="A538" t="s">
        <v>252</v>
      </c>
      <c r="B538" s="6">
        <v>45081</v>
      </c>
      <c r="C538" t="s">
        <v>23</v>
      </c>
      <c r="D538">
        <v>31</v>
      </c>
      <c r="E538" t="s">
        <v>36</v>
      </c>
      <c r="F538" t="s">
        <v>37</v>
      </c>
      <c r="G538" t="s">
        <v>32</v>
      </c>
      <c r="H538" t="s">
        <v>48</v>
      </c>
      <c r="I538" t="s">
        <v>129</v>
      </c>
      <c r="J538" t="s">
        <v>1632</v>
      </c>
      <c r="K538" t="s">
        <v>84</v>
      </c>
      <c r="L538">
        <v>48000</v>
      </c>
      <c r="M538">
        <v>2.6</v>
      </c>
      <c r="N538">
        <v>7.6</v>
      </c>
      <c r="O538">
        <v>2.6</v>
      </c>
      <c r="P538">
        <v>0.1</v>
      </c>
      <c r="Q538">
        <v>3</v>
      </c>
      <c r="R538">
        <v>4</v>
      </c>
      <c r="S538">
        <v>3</v>
      </c>
      <c r="T538" t="s">
        <v>30</v>
      </c>
      <c r="U538">
        <v>4</v>
      </c>
      <c r="W538" t="s">
        <v>1650</v>
      </c>
      <c r="X538" t="s">
        <v>1656</v>
      </c>
      <c r="Y538" t="s">
        <v>1665</v>
      </c>
      <c r="Z538">
        <v>0</v>
      </c>
    </row>
    <row r="539" spans="1:26" x14ac:dyDescent="0.35">
      <c r="A539" t="s">
        <v>1476</v>
      </c>
      <c r="B539" s="6">
        <v>42937</v>
      </c>
      <c r="C539" t="s">
        <v>23</v>
      </c>
      <c r="D539">
        <v>32</v>
      </c>
      <c r="E539" t="s">
        <v>36</v>
      </c>
      <c r="F539" t="s">
        <v>37</v>
      </c>
      <c r="G539" t="s">
        <v>58</v>
      </c>
      <c r="H539" t="s">
        <v>38</v>
      </c>
      <c r="I539" t="s">
        <v>39</v>
      </c>
      <c r="J539" t="s">
        <v>1637</v>
      </c>
      <c r="K539" t="s">
        <v>50</v>
      </c>
      <c r="L539">
        <v>158000</v>
      </c>
      <c r="M539">
        <v>8.3000000000000007</v>
      </c>
      <c r="N539">
        <v>11.1</v>
      </c>
      <c r="O539">
        <v>8.4</v>
      </c>
      <c r="P539">
        <v>3.8</v>
      </c>
      <c r="Q539">
        <v>4</v>
      </c>
      <c r="R539">
        <v>4</v>
      </c>
      <c r="S539">
        <v>3</v>
      </c>
      <c r="T539" t="s">
        <v>23</v>
      </c>
      <c r="U539">
        <v>4</v>
      </c>
      <c r="W539" t="s">
        <v>1650</v>
      </c>
      <c r="X539" t="s">
        <v>1658</v>
      </c>
      <c r="Y539" t="s">
        <v>1662</v>
      </c>
      <c r="Z539">
        <v>0</v>
      </c>
    </row>
    <row r="540" spans="1:26" x14ac:dyDescent="0.35">
      <c r="A540" t="s">
        <v>940</v>
      </c>
      <c r="B540" s="6">
        <v>43175</v>
      </c>
      <c r="C540" t="s">
        <v>23</v>
      </c>
      <c r="D540">
        <v>33</v>
      </c>
      <c r="E540" t="s">
        <v>24</v>
      </c>
      <c r="F540" t="s">
        <v>25</v>
      </c>
      <c r="G540" t="s">
        <v>26</v>
      </c>
      <c r="H540" t="s">
        <v>27</v>
      </c>
      <c r="I540" t="s">
        <v>33</v>
      </c>
      <c r="J540" t="s">
        <v>1633</v>
      </c>
      <c r="K540" t="s">
        <v>50</v>
      </c>
      <c r="L540">
        <v>53000</v>
      </c>
      <c r="M540">
        <v>4</v>
      </c>
      <c r="N540">
        <v>9.6999999999999993</v>
      </c>
      <c r="O540">
        <v>7.8</v>
      </c>
      <c r="P540">
        <v>3.7</v>
      </c>
      <c r="Q540">
        <v>3</v>
      </c>
      <c r="R540">
        <v>4</v>
      </c>
      <c r="S540">
        <v>3</v>
      </c>
      <c r="T540" t="s">
        <v>30</v>
      </c>
      <c r="U540">
        <v>4</v>
      </c>
      <c r="W540" t="s">
        <v>1650</v>
      </c>
      <c r="X540" t="s">
        <v>1656</v>
      </c>
      <c r="Y540" t="s">
        <v>1662</v>
      </c>
      <c r="Z540">
        <v>0</v>
      </c>
    </row>
    <row r="541" spans="1:26" x14ac:dyDescent="0.35">
      <c r="A541" t="s">
        <v>238</v>
      </c>
      <c r="B541" s="6">
        <v>45197</v>
      </c>
      <c r="C541" t="s">
        <v>23</v>
      </c>
      <c r="D541">
        <v>30</v>
      </c>
      <c r="E541" t="s">
        <v>36</v>
      </c>
      <c r="F541" t="s">
        <v>25</v>
      </c>
      <c r="G541" t="s">
        <v>26</v>
      </c>
      <c r="H541" t="s">
        <v>55</v>
      </c>
      <c r="I541" t="s">
        <v>88</v>
      </c>
      <c r="J541" t="s">
        <v>1635</v>
      </c>
      <c r="K541" t="s">
        <v>66</v>
      </c>
      <c r="L541">
        <v>87000</v>
      </c>
      <c r="M541">
        <v>14.1</v>
      </c>
      <c r="N541">
        <v>8.1</v>
      </c>
      <c r="O541">
        <v>2.2999999999999998</v>
      </c>
      <c r="P541">
        <v>2.2999999999999998</v>
      </c>
      <c r="Q541">
        <v>3</v>
      </c>
      <c r="R541">
        <v>3</v>
      </c>
      <c r="S541">
        <v>4</v>
      </c>
      <c r="T541" t="s">
        <v>23</v>
      </c>
      <c r="U541">
        <v>2</v>
      </c>
      <c r="W541" t="s">
        <v>1650</v>
      </c>
      <c r="X541" t="s">
        <v>1657</v>
      </c>
      <c r="Y541" t="s">
        <v>1665</v>
      </c>
      <c r="Z541">
        <v>0</v>
      </c>
    </row>
    <row r="542" spans="1:26" x14ac:dyDescent="0.35">
      <c r="A542" t="s">
        <v>1213</v>
      </c>
      <c r="B542" s="6">
        <v>44800</v>
      </c>
      <c r="C542" t="s">
        <v>23</v>
      </c>
      <c r="D542">
        <v>25</v>
      </c>
      <c r="E542" t="s">
        <v>24</v>
      </c>
      <c r="F542" t="s">
        <v>25</v>
      </c>
      <c r="G542" t="s">
        <v>32</v>
      </c>
      <c r="H542" t="s">
        <v>1634</v>
      </c>
      <c r="I542" t="s">
        <v>60</v>
      </c>
      <c r="J542" t="s">
        <v>1632</v>
      </c>
      <c r="K542" t="s">
        <v>66</v>
      </c>
      <c r="L542">
        <v>35000</v>
      </c>
      <c r="M542">
        <v>11</v>
      </c>
      <c r="N542">
        <v>6</v>
      </c>
      <c r="O542">
        <v>3.3</v>
      </c>
      <c r="P542">
        <v>0.8</v>
      </c>
      <c r="Q542">
        <v>1</v>
      </c>
      <c r="R542">
        <v>3</v>
      </c>
      <c r="S542">
        <v>4</v>
      </c>
      <c r="T542" t="s">
        <v>23</v>
      </c>
      <c r="U542">
        <v>4</v>
      </c>
      <c r="W542" t="s">
        <v>1651</v>
      </c>
      <c r="X542" t="s">
        <v>1655</v>
      </c>
      <c r="Y542" t="s">
        <v>1661</v>
      </c>
      <c r="Z542">
        <v>0</v>
      </c>
    </row>
    <row r="543" spans="1:26" x14ac:dyDescent="0.35">
      <c r="A543" t="s">
        <v>438</v>
      </c>
      <c r="B543" s="6">
        <v>45129</v>
      </c>
      <c r="C543" t="s">
        <v>23</v>
      </c>
      <c r="D543">
        <v>44</v>
      </c>
      <c r="E543" t="s">
        <v>24</v>
      </c>
      <c r="F543" t="s">
        <v>25</v>
      </c>
      <c r="G543" t="s">
        <v>32</v>
      </c>
      <c r="H543" t="s">
        <v>1634</v>
      </c>
      <c r="I543" t="s">
        <v>60</v>
      </c>
      <c r="J543" t="s">
        <v>1635</v>
      </c>
      <c r="K543" t="s">
        <v>40</v>
      </c>
      <c r="L543">
        <v>66000</v>
      </c>
      <c r="M543">
        <v>5.8</v>
      </c>
      <c r="N543">
        <v>10.1</v>
      </c>
      <c r="O543">
        <v>2.4</v>
      </c>
      <c r="P543">
        <v>0.1</v>
      </c>
      <c r="Q543">
        <v>1</v>
      </c>
      <c r="R543">
        <v>4</v>
      </c>
      <c r="S543">
        <v>4</v>
      </c>
      <c r="T543" t="s">
        <v>23</v>
      </c>
      <c r="U543">
        <v>2</v>
      </c>
      <c r="W543" t="s">
        <v>1649</v>
      </c>
      <c r="X543" t="s">
        <v>1659</v>
      </c>
      <c r="Y543" t="s">
        <v>1665</v>
      </c>
      <c r="Z543">
        <v>0</v>
      </c>
    </row>
    <row r="544" spans="1:26" x14ac:dyDescent="0.35">
      <c r="A544" t="s">
        <v>232</v>
      </c>
      <c r="B544" s="6">
        <v>44088</v>
      </c>
      <c r="C544" t="s">
        <v>23</v>
      </c>
      <c r="D544">
        <v>31</v>
      </c>
      <c r="E544" t="s">
        <v>36</v>
      </c>
      <c r="F544" t="s">
        <v>37</v>
      </c>
      <c r="G544" t="s">
        <v>58</v>
      </c>
      <c r="H544" t="s">
        <v>27</v>
      </c>
      <c r="I544" t="s">
        <v>43</v>
      </c>
      <c r="J544" t="s">
        <v>1633</v>
      </c>
      <c r="K544" t="s">
        <v>34</v>
      </c>
      <c r="L544">
        <v>55000</v>
      </c>
      <c r="M544">
        <v>12.9</v>
      </c>
      <c r="N544">
        <v>10.1</v>
      </c>
      <c r="O544">
        <v>5.3</v>
      </c>
      <c r="P544">
        <v>1.6</v>
      </c>
      <c r="Q544">
        <v>2</v>
      </c>
      <c r="R544">
        <v>3</v>
      </c>
      <c r="S544">
        <v>4</v>
      </c>
      <c r="T544" t="s">
        <v>30</v>
      </c>
      <c r="U544">
        <v>3</v>
      </c>
      <c r="W544" t="s">
        <v>1650</v>
      </c>
      <c r="X544" t="s">
        <v>1656</v>
      </c>
      <c r="Y544" t="s">
        <v>1661</v>
      </c>
      <c r="Z544">
        <v>0</v>
      </c>
    </row>
    <row r="545" spans="1:26" x14ac:dyDescent="0.35">
      <c r="A545" t="s">
        <v>919</v>
      </c>
      <c r="B545" s="6">
        <v>44261</v>
      </c>
      <c r="C545" t="s">
        <v>23</v>
      </c>
      <c r="D545">
        <v>31</v>
      </c>
      <c r="E545" t="s">
        <v>36</v>
      </c>
      <c r="F545" t="s">
        <v>25</v>
      </c>
      <c r="G545" t="s">
        <v>32</v>
      </c>
      <c r="H545" t="s">
        <v>48</v>
      </c>
      <c r="I545" t="s">
        <v>49</v>
      </c>
      <c r="J545" t="s">
        <v>1635</v>
      </c>
      <c r="K545" t="s">
        <v>66</v>
      </c>
      <c r="L545">
        <v>81000</v>
      </c>
      <c r="M545">
        <v>5.7</v>
      </c>
      <c r="N545">
        <v>12.5</v>
      </c>
      <c r="O545">
        <v>4.8</v>
      </c>
      <c r="P545">
        <v>2.2999999999999998</v>
      </c>
      <c r="Q545">
        <v>3</v>
      </c>
      <c r="R545">
        <v>4</v>
      </c>
      <c r="S545">
        <v>3</v>
      </c>
      <c r="T545" t="s">
        <v>23</v>
      </c>
      <c r="U545">
        <v>2</v>
      </c>
      <c r="W545" t="s">
        <v>1650</v>
      </c>
      <c r="X545" t="s">
        <v>1657</v>
      </c>
      <c r="Y545" t="s">
        <v>1661</v>
      </c>
      <c r="Z545">
        <v>0</v>
      </c>
    </row>
    <row r="546" spans="1:26" x14ac:dyDescent="0.35">
      <c r="A546" t="s">
        <v>717</v>
      </c>
      <c r="B546" s="6">
        <v>45753</v>
      </c>
      <c r="C546" t="s">
        <v>23</v>
      </c>
      <c r="D546">
        <v>22</v>
      </c>
      <c r="E546" t="s">
        <v>24</v>
      </c>
      <c r="F546" t="s">
        <v>37</v>
      </c>
      <c r="G546" t="s">
        <v>26</v>
      </c>
      <c r="H546" t="s">
        <v>45</v>
      </c>
      <c r="I546" t="s">
        <v>97</v>
      </c>
      <c r="J546" t="s">
        <v>1632</v>
      </c>
      <c r="K546" t="s">
        <v>66</v>
      </c>
      <c r="L546">
        <v>33000</v>
      </c>
      <c r="M546">
        <v>17.100000000000001</v>
      </c>
      <c r="N546">
        <v>5.6</v>
      </c>
      <c r="O546">
        <v>0.7</v>
      </c>
      <c r="P546">
        <v>0</v>
      </c>
      <c r="Q546">
        <v>3</v>
      </c>
      <c r="R546">
        <v>2</v>
      </c>
      <c r="S546">
        <v>3</v>
      </c>
      <c r="T546" t="s">
        <v>23</v>
      </c>
      <c r="U546">
        <v>2</v>
      </c>
      <c r="W546" t="s">
        <v>1651</v>
      </c>
      <c r="X546" t="s">
        <v>1655</v>
      </c>
      <c r="Y546" t="s">
        <v>1664</v>
      </c>
      <c r="Z546">
        <v>0</v>
      </c>
    </row>
    <row r="547" spans="1:26" x14ac:dyDescent="0.35">
      <c r="A547" t="s">
        <v>1384</v>
      </c>
      <c r="B547" s="6">
        <v>41957</v>
      </c>
      <c r="C547" t="s">
        <v>23</v>
      </c>
      <c r="D547">
        <v>32</v>
      </c>
      <c r="E547" t="s">
        <v>24</v>
      </c>
      <c r="F547" t="s">
        <v>42</v>
      </c>
      <c r="G547" t="s">
        <v>32</v>
      </c>
      <c r="H547" t="s">
        <v>45</v>
      </c>
      <c r="I547" t="s">
        <v>77</v>
      </c>
      <c r="J547" t="s">
        <v>1635</v>
      </c>
      <c r="K547" t="s">
        <v>40</v>
      </c>
      <c r="L547">
        <v>69000</v>
      </c>
      <c r="M547">
        <v>8.3000000000000007</v>
      </c>
      <c r="N547">
        <v>15</v>
      </c>
      <c r="O547">
        <v>11.1</v>
      </c>
      <c r="P547">
        <v>3.8</v>
      </c>
      <c r="Q547">
        <v>4</v>
      </c>
      <c r="R547">
        <v>3</v>
      </c>
      <c r="S547">
        <v>3</v>
      </c>
      <c r="T547" t="s">
        <v>23</v>
      </c>
      <c r="U547">
        <v>1</v>
      </c>
      <c r="W547" t="s">
        <v>1650</v>
      </c>
      <c r="X547" t="s">
        <v>1659</v>
      </c>
      <c r="Y547" t="s">
        <v>1663</v>
      </c>
      <c r="Z547">
        <v>0</v>
      </c>
    </row>
    <row r="548" spans="1:26" x14ac:dyDescent="0.35">
      <c r="A548" t="s">
        <v>961</v>
      </c>
      <c r="B548" s="6">
        <v>45668</v>
      </c>
      <c r="C548" t="s">
        <v>23</v>
      </c>
      <c r="D548">
        <v>21</v>
      </c>
      <c r="E548" t="s">
        <v>36</v>
      </c>
      <c r="F548" t="s">
        <v>25</v>
      </c>
      <c r="G548" t="s">
        <v>32</v>
      </c>
      <c r="H548" t="s">
        <v>1634</v>
      </c>
      <c r="I548" t="s">
        <v>60</v>
      </c>
      <c r="J548" t="s">
        <v>1632</v>
      </c>
      <c r="K548" t="s">
        <v>40</v>
      </c>
      <c r="L548">
        <v>47000</v>
      </c>
      <c r="M548">
        <v>3.3</v>
      </c>
      <c r="N548">
        <v>6.6</v>
      </c>
      <c r="O548">
        <v>1</v>
      </c>
      <c r="P548">
        <v>0.6</v>
      </c>
      <c r="Q548">
        <v>4</v>
      </c>
      <c r="R548">
        <v>3</v>
      </c>
      <c r="S548">
        <v>1</v>
      </c>
      <c r="T548" t="s">
        <v>23</v>
      </c>
      <c r="U548">
        <v>3</v>
      </c>
      <c r="W548" t="s">
        <v>1651</v>
      </c>
      <c r="X548" t="s">
        <v>1656</v>
      </c>
      <c r="Y548" t="s">
        <v>1665</v>
      </c>
      <c r="Z548">
        <v>0</v>
      </c>
    </row>
    <row r="549" spans="1:26" x14ac:dyDescent="0.35">
      <c r="A549" t="s">
        <v>61</v>
      </c>
      <c r="B549" s="6">
        <v>44632</v>
      </c>
      <c r="C549" t="s">
        <v>23</v>
      </c>
      <c r="D549">
        <v>30</v>
      </c>
      <c r="E549" t="s">
        <v>62</v>
      </c>
      <c r="F549" t="s">
        <v>25</v>
      </c>
      <c r="G549" t="s">
        <v>32</v>
      </c>
      <c r="H549" t="s">
        <v>48</v>
      </c>
      <c r="I549" t="s">
        <v>63</v>
      </c>
      <c r="J549" t="s">
        <v>1636</v>
      </c>
      <c r="K549" t="s">
        <v>50</v>
      </c>
      <c r="L549">
        <v>120000</v>
      </c>
      <c r="M549">
        <v>2.6</v>
      </c>
      <c r="N549">
        <v>5</v>
      </c>
      <c r="O549">
        <v>3.8</v>
      </c>
      <c r="P549">
        <v>2.2999999999999998</v>
      </c>
      <c r="Q549">
        <v>1</v>
      </c>
      <c r="R549">
        <v>4</v>
      </c>
      <c r="S549">
        <v>2</v>
      </c>
      <c r="T549" t="s">
        <v>23</v>
      </c>
      <c r="U549">
        <v>3</v>
      </c>
      <c r="W549" t="s">
        <v>1650</v>
      </c>
      <c r="X549" t="s">
        <v>1658</v>
      </c>
      <c r="Y549" t="s">
        <v>1661</v>
      </c>
      <c r="Z549">
        <v>0</v>
      </c>
    </row>
    <row r="550" spans="1:26" x14ac:dyDescent="0.35">
      <c r="A550" t="s">
        <v>263</v>
      </c>
      <c r="B550" s="6">
        <v>41995</v>
      </c>
      <c r="C550" t="s">
        <v>23</v>
      </c>
      <c r="D550">
        <v>47</v>
      </c>
      <c r="E550" t="s">
        <v>36</v>
      </c>
      <c r="F550" t="s">
        <v>25</v>
      </c>
      <c r="G550" t="s">
        <v>54</v>
      </c>
      <c r="H550" t="s">
        <v>38</v>
      </c>
      <c r="I550" t="s">
        <v>118</v>
      </c>
      <c r="J550" t="s">
        <v>1635</v>
      </c>
      <c r="K550" t="s">
        <v>66</v>
      </c>
      <c r="L550">
        <v>74000</v>
      </c>
      <c r="M550">
        <v>9.8000000000000007</v>
      </c>
      <c r="N550">
        <v>15.2</v>
      </c>
      <c r="O550">
        <v>11</v>
      </c>
      <c r="P550">
        <v>1.1000000000000001</v>
      </c>
      <c r="Q550">
        <v>3</v>
      </c>
      <c r="R550">
        <v>3</v>
      </c>
      <c r="S550">
        <v>4</v>
      </c>
      <c r="T550" t="s">
        <v>23</v>
      </c>
      <c r="U550">
        <v>3</v>
      </c>
      <c r="W550" t="s">
        <v>1652</v>
      </c>
      <c r="X550" t="s">
        <v>1659</v>
      </c>
      <c r="Y550" t="s">
        <v>1663</v>
      </c>
      <c r="Z550">
        <v>0</v>
      </c>
    </row>
    <row r="551" spans="1:26" x14ac:dyDescent="0.35">
      <c r="A551" t="s">
        <v>1036</v>
      </c>
      <c r="B551" s="6">
        <v>41963</v>
      </c>
      <c r="C551" t="s">
        <v>23</v>
      </c>
      <c r="D551">
        <v>36</v>
      </c>
      <c r="E551" t="s">
        <v>62</v>
      </c>
      <c r="F551" t="s">
        <v>42</v>
      </c>
      <c r="G551" t="s">
        <v>26</v>
      </c>
      <c r="H551" t="s">
        <v>68</v>
      </c>
      <c r="I551" t="s">
        <v>121</v>
      </c>
      <c r="J551" t="s">
        <v>1635</v>
      </c>
      <c r="K551" t="s">
        <v>40</v>
      </c>
      <c r="L551">
        <v>77000</v>
      </c>
      <c r="M551">
        <v>6.4</v>
      </c>
      <c r="N551">
        <v>17.5</v>
      </c>
      <c r="O551">
        <v>11.1</v>
      </c>
      <c r="P551">
        <v>4.9000000000000004</v>
      </c>
      <c r="Q551">
        <v>2</v>
      </c>
      <c r="R551">
        <v>3</v>
      </c>
      <c r="S551">
        <v>2</v>
      </c>
      <c r="T551" t="s">
        <v>23</v>
      </c>
      <c r="U551">
        <v>4</v>
      </c>
      <c r="W551" t="s">
        <v>1649</v>
      </c>
      <c r="X551" t="s">
        <v>1659</v>
      </c>
      <c r="Y551" t="s">
        <v>1663</v>
      </c>
      <c r="Z551">
        <v>0</v>
      </c>
    </row>
    <row r="552" spans="1:26" x14ac:dyDescent="0.35">
      <c r="A552" t="s">
        <v>1280</v>
      </c>
      <c r="B552" s="6">
        <v>45614</v>
      </c>
      <c r="C552" t="s">
        <v>23</v>
      </c>
      <c r="D552">
        <v>46</v>
      </c>
      <c r="E552" t="s">
        <v>24</v>
      </c>
      <c r="F552" t="s">
        <v>25</v>
      </c>
      <c r="G552" t="s">
        <v>26</v>
      </c>
      <c r="H552" t="s">
        <v>1634</v>
      </c>
      <c r="I552" t="s">
        <v>60</v>
      </c>
      <c r="J552" t="s">
        <v>1632</v>
      </c>
      <c r="K552" t="s">
        <v>34</v>
      </c>
      <c r="L552">
        <v>31000</v>
      </c>
      <c r="M552">
        <v>11.9</v>
      </c>
      <c r="N552">
        <v>7</v>
      </c>
      <c r="O552">
        <v>1.1000000000000001</v>
      </c>
      <c r="P552">
        <v>0.2</v>
      </c>
      <c r="Q552">
        <v>3</v>
      </c>
      <c r="R552">
        <v>3</v>
      </c>
      <c r="S552">
        <v>3</v>
      </c>
      <c r="T552" t="s">
        <v>23</v>
      </c>
      <c r="U552">
        <v>3</v>
      </c>
      <c r="W552" t="s">
        <v>1652</v>
      </c>
      <c r="X552" t="s">
        <v>1655</v>
      </c>
      <c r="Y552" t="s">
        <v>1665</v>
      </c>
      <c r="Z552">
        <v>0</v>
      </c>
    </row>
    <row r="553" spans="1:26" x14ac:dyDescent="0.35">
      <c r="A553" t="s">
        <v>855</v>
      </c>
      <c r="B553" s="6">
        <v>45526</v>
      </c>
      <c r="C553" t="s">
        <v>23</v>
      </c>
      <c r="D553">
        <v>26</v>
      </c>
      <c r="E553" t="s">
        <v>62</v>
      </c>
      <c r="F553" t="s">
        <v>37</v>
      </c>
      <c r="G553" t="s">
        <v>26</v>
      </c>
      <c r="H553" t="s">
        <v>27</v>
      </c>
      <c r="I553" t="s">
        <v>95</v>
      </c>
      <c r="J553" t="s">
        <v>1632</v>
      </c>
      <c r="K553" t="s">
        <v>84</v>
      </c>
      <c r="L553">
        <v>36000</v>
      </c>
      <c r="M553">
        <v>14.9</v>
      </c>
      <c r="N553">
        <v>3.4</v>
      </c>
      <c r="O553">
        <v>1.4</v>
      </c>
      <c r="P553">
        <v>1.3</v>
      </c>
      <c r="Q553">
        <v>2</v>
      </c>
      <c r="R553">
        <v>3</v>
      </c>
      <c r="S553">
        <v>3</v>
      </c>
      <c r="T553" t="s">
        <v>30</v>
      </c>
      <c r="U553">
        <v>4</v>
      </c>
      <c r="W553" t="s">
        <v>1650</v>
      </c>
      <c r="X553" t="s">
        <v>1655</v>
      </c>
      <c r="Y553" t="s">
        <v>1665</v>
      </c>
      <c r="Z553">
        <v>0</v>
      </c>
    </row>
    <row r="554" spans="1:26" x14ac:dyDescent="0.35">
      <c r="A554" t="s">
        <v>712</v>
      </c>
      <c r="B554" s="6">
        <v>45662</v>
      </c>
      <c r="C554" t="s">
        <v>23</v>
      </c>
      <c r="D554">
        <v>31</v>
      </c>
      <c r="E554" t="s">
        <v>24</v>
      </c>
      <c r="F554" t="s">
        <v>37</v>
      </c>
      <c r="G554" t="s">
        <v>32</v>
      </c>
      <c r="H554" t="s">
        <v>38</v>
      </c>
      <c r="I554" t="s">
        <v>52</v>
      </c>
      <c r="J554" t="s">
        <v>1633</v>
      </c>
      <c r="K554" t="s">
        <v>66</v>
      </c>
      <c r="L554">
        <v>59000</v>
      </c>
      <c r="M554">
        <v>4</v>
      </c>
      <c r="N554">
        <v>7.1</v>
      </c>
      <c r="O554">
        <v>1</v>
      </c>
      <c r="P554">
        <v>0</v>
      </c>
      <c r="Q554">
        <v>2</v>
      </c>
      <c r="R554">
        <v>3</v>
      </c>
      <c r="S554">
        <v>4</v>
      </c>
      <c r="T554" t="s">
        <v>30</v>
      </c>
      <c r="U554">
        <v>4</v>
      </c>
      <c r="W554" t="s">
        <v>1650</v>
      </c>
      <c r="X554" t="s">
        <v>1656</v>
      </c>
      <c r="Y554" t="s">
        <v>1665</v>
      </c>
      <c r="Z554">
        <v>0</v>
      </c>
    </row>
    <row r="555" spans="1:26" x14ac:dyDescent="0.35">
      <c r="A555" t="s">
        <v>934</v>
      </c>
      <c r="B555" s="6">
        <v>43690</v>
      </c>
      <c r="C555" t="s">
        <v>23</v>
      </c>
      <c r="D555">
        <v>39</v>
      </c>
      <c r="E555" t="s">
        <v>36</v>
      </c>
      <c r="F555" t="s">
        <v>37</v>
      </c>
      <c r="G555" t="s">
        <v>58</v>
      </c>
      <c r="H555" t="s">
        <v>1634</v>
      </c>
      <c r="I555" t="s">
        <v>75</v>
      </c>
      <c r="J555" t="s">
        <v>1633</v>
      </c>
      <c r="K555" t="s">
        <v>29</v>
      </c>
      <c r="L555">
        <v>48000</v>
      </c>
      <c r="M555">
        <v>7.1</v>
      </c>
      <c r="N555">
        <v>12.4</v>
      </c>
      <c r="O555">
        <v>6.4</v>
      </c>
      <c r="P555">
        <v>3.6</v>
      </c>
      <c r="Q555">
        <v>3</v>
      </c>
      <c r="R555">
        <v>3</v>
      </c>
      <c r="S555">
        <v>3</v>
      </c>
      <c r="T555" t="s">
        <v>23</v>
      </c>
      <c r="U555">
        <v>3</v>
      </c>
      <c r="W555" t="s">
        <v>1649</v>
      </c>
      <c r="X555" t="s">
        <v>1656</v>
      </c>
      <c r="Y555" t="s">
        <v>1662</v>
      </c>
      <c r="Z555">
        <v>0</v>
      </c>
    </row>
    <row r="556" spans="1:26" x14ac:dyDescent="0.35">
      <c r="A556" t="s">
        <v>1382</v>
      </c>
      <c r="B556" s="6">
        <v>42457</v>
      </c>
      <c r="C556" t="s">
        <v>30</v>
      </c>
      <c r="D556">
        <v>30</v>
      </c>
      <c r="E556" t="s">
        <v>62</v>
      </c>
      <c r="F556" t="s">
        <v>42</v>
      </c>
      <c r="G556" t="s">
        <v>32</v>
      </c>
      <c r="H556" t="s">
        <v>48</v>
      </c>
      <c r="I556" t="s">
        <v>201</v>
      </c>
      <c r="J556" t="s">
        <v>1635</v>
      </c>
      <c r="K556" t="s">
        <v>84</v>
      </c>
      <c r="L556">
        <v>79000</v>
      </c>
      <c r="M556">
        <v>17.399999999999999</v>
      </c>
      <c r="N556">
        <v>13</v>
      </c>
      <c r="O556">
        <v>9.6999999999999993</v>
      </c>
      <c r="P556">
        <v>5</v>
      </c>
      <c r="Q556">
        <v>4</v>
      </c>
      <c r="R556">
        <v>4</v>
      </c>
      <c r="S556">
        <v>1</v>
      </c>
      <c r="T556" t="s">
        <v>23</v>
      </c>
      <c r="U556">
        <v>2</v>
      </c>
      <c r="V556" s="7">
        <v>46015</v>
      </c>
      <c r="W556" t="s">
        <v>1650</v>
      </c>
      <c r="X556" t="s">
        <v>1659</v>
      </c>
      <c r="Y556" t="s">
        <v>1662</v>
      </c>
      <c r="Z556">
        <v>1</v>
      </c>
    </row>
    <row r="557" spans="1:26" x14ac:dyDescent="0.35">
      <c r="A557" t="s">
        <v>980</v>
      </c>
      <c r="B557" s="6">
        <v>43574</v>
      </c>
      <c r="C557" t="s">
        <v>23</v>
      </c>
      <c r="D557">
        <v>30</v>
      </c>
      <c r="E557" t="s">
        <v>62</v>
      </c>
      <c r="F557" t="s">
        <v>42</v>
      </c>
      <c r="G557" t="s">
        <v>32</v>
      </c>
      <c r="H557" t="s">
        <v>48</v>
      </c>
      <c r="I557" t="s">
        <v>201</v>
      </c>
      <c r="J557" t="s">
        <v>1635</v>
      </c>
      <c r="K557" t="s">
        <v>66</v>
      </c>
      <c r="L557">
        <v>74000</v>
      </c>
      <c r="M557">
        <v>12</v>
      </c>
      <c r="N557">
        <v>9.3000000000000007</v>
      </c>
      <c r="O557">
        <v>6.7</v>
      </c>
      <c r="P557">
        <v>3.8</v>
      </c>
      <c r="Q557">
        <v>3</v>
      </c>
      <c r="R557">
        <v>4</v>
      </c>
      <c r="S557">
        <v>4</v>
      </c>
      <c r="T557" t="s">
        <v>30</v>
      </c>
      <c r="U557">
        <v>4</v>
      </c>
      <c r="W557" t="s">
        <v>1650</v>
      </c>
      <c r="X557" t="s">
        <v>1659</v>
      </c>
      <c r="Y557" t="s">
        <v>1662</v>
      </c>
      <c r="Z557">
        <v>0</v>
      </c>
    </row>
    <row r="558" spans="1:26" x14ac:dyDescent="0.35">
      <c r="A558" t="s">
        <v>1156</v>
      </c>
      <c r="B558" s="6">
        <v>43680</v>
      </c>
      <c r="C558" t="s">
        <v>23</v>
      </c>
      <c r="D558">
        <v>28</v>
      </c>
      <c r="E558" t="s">
        <v>62</v>
      </c>
      <c r="F558" t="s">
        <v>37</v>
      </c>
      <c r="G558" t="s">
        <v>32</v>
      </c>
      <c r="H558" t="s">
        <v>48</v>
      </c>
      <c r="I558" t="s">
        <v>201</v>
      </c>
      <c r="J558" t="s">
        <v>1635</v>
      </c>
      <c r="K558" t="s">
        <v>66</v>
      </c>
      <c r="L558">
        <v>92000</v>
      </c>
      <c r="M558">
        <v>14.7</v>
      </c>
      <c r="N558">
        <v>10.199999999999999</v>
      </c>
      <c r="O558">
        <v>6.4</v>
      </c>
      <c r="P558">
        <v>4</v>
      </c>
      <c r="Q558">
        <v>4</v>
      </c>
      <c r="R558">
        <v>3</v>
      </c>
      <c r="S558">
        <v>2</v>
      </c>
      <c r="T558" t="s">
        <v>23</v>
      </c>
      <c r="U558">
        <v>3</v>
      </c>
      <c r="W558" t="s">
        <v>1650</v>
      </c>
      <c r="X558" t="s">
        <v>1657</v>
      </c>
      <c r="Y558" t="s">
        <v>1662</v>
      </c>
      <c r="Z558">
        <v>0</v>
      </c>
    </row>
    <row r="559" spans="1:26" x14ac:dyDescent="0.35">
      <c r="A559" t="s">
        <v>1260</v>
      </c>
      <c r="B559" s="6">
        <v>45880</v>
      </c>
      <c r="C559" t="s">
        <v>23</v>
      </c>
      <c r="D559">
        <v>21</v>
      </c>
      <c r="E559" t="s">
        <v>62</v>
      </c>
      <c r="F559" t="s">
        <v>25</v>
      </c>
      <c r="G559" t="s">
        <v>32</v>
      </c>
      <c r="H559" t="s">
        <v>27</v>
      </c>
      <c r="I559" t="s">
        <v>43</v>
      </c>
      <c r="J559" t="s">
        <v>1632</v>
      </c>
      <c r="K559" t="s">
        <v>40</v>
      </c>
      <c r="L559">
        <v>41000</v>
      </c>
      <c r="M559">
        <v>6.3</v>
      </c>
      <c r="N559">
        <v>4.8</v>
      </c>
      <c r="O559">
        <v>0.4</v>
      </c>
      <c r="P559">
        <v>0</v>
      </c>
      <c r="Q559">
        <v>3</v>
      </c>
      <c r="R559">
        <v>2</v>
      </c>
      <c r="S559">
        <v>3</v>
      </c>
      <c r="T559" t="s">
        <v>23</v>
      </c>
      <c r="U559">
        <v>2</v>
      </c>
      <c r="W559" t="s">
        <v>1651</v>
      </c>
      <c r="X559" t="s">
        <v>1656</v>
      </c>
      <c r="Y559" t="s">
        <v>1664</v>
      </c>
      <c r="Z559">
        <v>0</v>
      </c>
    </row>
    <row r="560" spans="1:26" x14ac:dyDescent="0.35">
      <c r="A560" t="s">
        <v>668</v>
      </c>
      <c r="B560" s="6">
        <v>45720</v>
      </c>
      <c r="C560" t="s">
        <v>23</v>
      </c>
      <c r="D560">
        <v>21</v>
      </c>
      <c r="E560" t="s">
        <v>24</v>
      </c>
      <c r="F560" t="s">
        <v>25</v>
      </c>
      <c r="G560" t="s">
        <v>58</v>
      </c>
      <c r="H560" t="s">
        <v>55</v>
      </c>
      <c r="I560" t="s">
        <v>179</v>
      </c>
      <c r="J560" t="s">
        <v>1632</v>
      </c>
      <c r="K560" t="s">
        <v>29</v>
      </c>
      <c r="L560">
        <v>47000</v>
      </c>
      <c r="M560">
        <v>4.2</v>
      </c>
      <c r="N560">
        <v>6.6</v>
      </c>
      <c r="O560">
        <v>0.8</v>
      </c>
      <c r="P560">
        <v>0</v>
      </c>
      <c r="Q560">
        <v>2</v>
      </c>
      <c r="R560">
        <v>4</v>
      </c>
      <c r="S560">
        <v>4</v>
      </c>
      <c r="T560" t="s">
        <v>23</v>
      </c>
      <c r="U560">
        <v>4</v>
      </c>
      <c r="W560" t="s">
        <v>1651</v>
      </c>
      <c r="X560" t="s">
        <v>1656</v>
      </c>
      <c r="Y560" t="s">
        <v>1664</v>
      </c>
      <c r="Z560">
        <v>0</v>
      </c>
    </row>
    <row r="561" spans="1:26" x14ac:dyDescent="0.35">
      <c r="A561" t="s">
        <v>312</v>
      </c>
      <c r="B561" s="6">
        <v>41970</v>
      </c>
      <c r="C561" t="s">
        <v>23</v>
      </c>
      <c r="D561">
        <v>33</v>
      </c>
      <c r="E561" t="s">
        <v>36</v>
      </c>
      <c r="F561" t="s">
        <v>42</v>
      </c>
      <c r="G561" t="s">
        <v>54</v>
      </c>
      <c r="H561" t="s">
        <v>48</v>
      </c>
      <c r="I561" t="s">
        <v>63</v>
      </c>
      <c r="J561" t="s">
        <v>1635</v>
      </c>
      <c r="K561" t="s">
        <v>29</v>
      </c>
      <c r="L561">
        <v>71000</v>
      </c>
      <c r="M561">
        <v>7.4</v>
      </c>
      <c r="N561">
        <v>13.8</v>
      </c>
      <c r="O561">
        <v>11.1</v>
      </c>
      <c r="P561">
        <v>1.3</v>
      </c>
      <c r="Q561">
        <v>3</v>
      </c>
      <c r="R561">
        <v>3</v>
      </c>
      <c r="S561">
        <v>4</v>
      </c>
      <c r="T561" t="s">
        <v>23</v>
      </c>
      <c r="U561">
        <v>2</v>
      </c>
      <c r="W561" t="s">
        <v>1650</v>
      </c>
      <c r="X561" t="s">
        <v>1659</v>
      </c>
      <c r="Y561" t="s">
        <v>1663</v>
      </c>
      <c r="Z561">
        <v>0</v>
      </c>
    </row>
    <row r="562" spans="1:26" x14ac:dyDescent="0.35">
      <c r="A562" t="s">
        <v>531</v>
      </c>
      <c r="B562" s="6">
        <v>44958</v>
      </c>
      <c r="C562" t="s">
        <v>30</v>
      </c>
      <c r="D562">
        <v>34</v>
      </c>
      <c r="E562" t="s">
        <v>36</v>
      </c>
      <c r="F562" t="s">
        <v>25</v>
      </c>
      <c r="G562" t="s">
        <v>26</v>
      </c>
      <c r="H562" t="s">
        <v>45</v>
      </c>
      <c r="I562" t="s">
        <v>46</v>
      </c>
      <c r="J562" t="s">
        <v>1636</v>
      </c>
      <c r="K562" t="s">
        <v>84</v>
      </c>
      <c r="L562">
        <v>109000</v>
      </c>
      <c r="M562">
        <v>16.899999999999999</v>
      </c>
      <c r="N562">
        <v>10.199999999999999</v>
      </c>
      <c r="O562">
        <v>2.7</v>
      </c>
      <c r="P562">
        <v>2</v>
      </c>
      <c r="Q562">
        <v>2</v>
      </c>
      <c r="R562">
        <v>2</v>
      </c>
      <c r="S562">
        <v>3</v>
      </c>
      <c r="T562" t="s">
        <v>30</v>
      </c>
      <c r="U562">
        <v>4</v>
      </c>
      <c r="V562" s="7">
        <v>45961</v>
      </c>
      <c r="W562" t="s">
        <v>1650</v>
      </c>
      <c r="X562" t="s">
        <v>1658</v>
      </c>
      <c r="Y562" t="s">
        <v>1665</v>
      </c>
      <c r="Z562">
        <v>1</v>
      </c>
    </row>
    <row r="563" spans="1:26" x14ac:dyDescent="0.35">
      <c r="A563" t="s">
        <v>984</v>
      </c>
      <c r="B563" s="6">
        <v>41726</v>
      </c>
      <c r="C563" t="s">
        <v>23</v>
      </c>
      <c r="D563">
        <v>44</v>
      </c>
      <c r="E563" t="s">
        <v>62</v>
      </c>
      <c r="F563" t="s">
        <v>42</v>
      </c>
      <c r="G563" t="s">
        <v>58</v>
      </c>
      <c r="H563" t="s">
        <v>38</v>
      </c>
      <c r="I563" t="s">
        <v>139</v>
      </c>
      <c r="J563" t="s">
        <v>1636</v>
      </c>
      <c r="K563" t="s">
        <v>40</v>
      </c>
      <c r="L563">
        <v>125000</v>
      </c>
      <c r="M563">
        <v>5.4</v>
      </c>
      <c r="N563">
        <v>18.100000000000001</v>
      </c>
      <c r="O563">
        <v>11.8</v>
      </c>
      <c r="P563">
        <v>3.1</v>
      </c>
      <c r="Q563">
        <v>3</v>
      </c>
      <c r="R563">
        <v>3</v>
      </c>
      <c r="S563">
        <v>2</v>
      </c>
      <c r="T563" t="s">
        <v>23</v>
      </c>
      <c r="U563">
        <v>3</v>
      </c>
      <c r="W563" t="s">
        <v>1649</v>
      </c>
      <c r="X563" t="s">
        <v>1658</v>
      </c>
      <c r="Y563" t="s">
        <v>1663</v>
      </c>
      <c r="Z563">
        <v>0</v>
      </c>
    </row>
    <row r="564" spans="1:26" x14ac:dyDescent="0.35">
      <c r="A564" t="s">
        <v>165</v>
      </c>
      <c r="B564" s="6">
        <v>43777</v>
      </c>
      <c r="C564" t="s">
        <v>23</v>
      </c>
      <c r="D564">
        <v>32</v>
      </c>
      <c r="E564" t="s">
        <v>62</v>
      </c>
      <c r="F564" t="s">
        <v>37</v>
      </c>
      <c r="G564" t="s">
        <v>58</v>
      </c>
      <c r="H564" t="s">
        <v>1634</v>
      </c>
      <c r="I564" t="s">
        <v>150</v>
      </c>
      <c r="J564" t="s">
        <v>1636</v>
      </c>
      <c r="K564" t="s">
        <v>29</v>
      </c>
      <c r="L564">
        <v>116000</v>
      </c>
      <c r="M564">
        <v>8.5</v>
      </c>
      <c r="N564">
        <v>11.5</v>
      </c>
      <c r="O564">
        <v>6.1</v>
      </c>
      <c r="P564">
        <v>4.8</v>
      </c>
      <c r="Q564">
        <v>3</v>
      </c>
      <c r="R564">
        <v>3</v>
      </c>
      <c r="S564">
        <v>3</v>
      </c>
      <c r="T564" t="s">
        <v>23</v>
      </c>
      <c r="U564">
        <v>3</v>
      </c>
      <c r="W564" t="s">
        <v>1650</v>
      </c>
      <c r="X564" t="s">
        <v>1658</v>
      </c>
      <c r="Y564" t="s">
        <v>1662</v>
      </c>
      <c r="Z564">
        <v>0</v>
      </c>
    </row>
    <row r="565" spans="1:26" x14ac:dyDescent="0.35">
      <c r="A565" t="s">
        <v>1138</v>
      </c>
      <c r="B565" s="6">
        <v>45291</v>
      </c>
      <c r="C565" t="s">
        <v>23</v>
      </c>
      <c r="D565">
        <v>23</v>
      </c>
      <c r="E565" t="s">
        <v>24</v>
      </c>
      <c r="F565" t="s">
        <v>25</v>
      </c>
      <c r="G565" t="s">
        <v>26</v>
      </c>
      <c r="H565" t="s">
        <v>27</v>
      </c>
      <c r="I565" t="s">
        <v>33</v>
      </c>
      <c r="J565" t="s">
        <v>1632</v>
      </c>
      <c r="K565" t="s">
        <v>40</v>
      </c>
      <c r="L565">
        <v>32000</v>
      </c>
      <c r="M565">
        <v>4</v>
      </c>
      <c r="N565">
        <v>2.5</v>
      </c>
      <c r="O565">
        <v>2</v>
      </c>
      <c r="P565">
        <v>1.6</v>
      </c>
      <c r="Q565">
        <v>3</v>
      </c>
      <c r="R565">
        <v>2</v>
      </c>
      <c r="S565">
        <v>3</v>
      </c>
      <c r="T565" t="s">
        <v>30</v>
      </c>
      <c r="U565">
        <v>4</v>
      </c>
      <c r="W565" t="s">
        <v>1651</v>
      </c>
      <c r="X565" t="s">
        <v>1655</v>
      </c>
      <c r="Y565" t="s">
        <v>1665</v>
      </c>
      <c r="Z565">
        <v>0</v>
      </c>
    </row>
    <row r="566" spans="1:26" x14ac:dyDescent="0.35">
      <c r="A566" t="s">
        <v>856</v>
      </c>
      <c r="B566" s="6">
        <v>44635</v>
      </c>
      <c r="C566" t="s">
        <v>23</v>
      </c>
      <c r="D566">
        <v>39</v>
      </c>
      <c r="E566" t="s">
        <v>36</v>
      </c>
      <c r="F566" t="s">
        <v>42</v>
      </c>
      <c r="G566" t="s">
        <v>26</v>
      </c>
      <c r="H566" t="s">
        <v>1634</v>
      </c>
      <c r="I566" t="s">
        <v>60</v>
      </c>
      <c r="J566" t="s">
        <v>1635</v>
      </c>
      <c r="K566" t="s">
        <v>66</v>
      </c>
      <c r="L566">
        <v>71000</v>
      </c>
      <c r="M566">
        <v>0</v>
      </c>
      <c r="N566">
        <v>4</v>
      </c>
      <c r="O566">
        <v>3.8</v>
      </c>
      <c r="P566">
        <v>1.5</v>
      </c>
      <c r="Q566">
        <v>4</v>
      </c>
      <c r="R566">
        <v>3</v>
      </c>
      <c r="S566">
        <v>3</v>
      </c>
      <c r="T566" t="s">
        <v>23</v>
      </c>
      <c r="U566">
        <v>3</v>
      </c>
      <c r="W566" t="s">
        <v>1649</v>
      </c>
      <c r="X566" t="s">
        <v>1659</v>
      </c>
      <c r="Y566" t="s">
        <v>1661</v>
      </c>
      <c r="Z566">
        <v>0</v>
      </c>
    </row>
    <row r="567" spans="1:26" x14ac:dyDescent="0.35">
      <c r="A567" t="s">
        <v>564</v>
      </c>
      <c r="B567" s="6">
        <v>41968</v>
      </c>
      <c r="C567" t="s">
        <v>30</v>
      </c>
      <c r="D567">
        <v>36</v>
      </c>
      <c r="E567" t="s">
        <v>36</v>
      </c>
      <c r="F567" t="s">
        <v>25</v>
      </c>
      <c r="G567" t="s">
        <v>32</v>
      </c>
      <c r="H567" t="s">
        <v>45</v>
      </c>
      <c r="I567" t="s">
        <v>77</v>
      </c>
      <c r="J567" t="s">
        <v>1633</v>
      </c>
      <c r="K567" t="s">
        <v>66</v>
      </c>
      <c r="L567">
        <v>53000</v>
      </c>
      <c r="M567">
        <v>13.9</v>
      </c>
      <c r="N567">
        <v>16.600000000000001</v>
      </c>
      <c r="O567">
        <v>10.6</v>
      </c>
      <c r="P567">
        <v>3.5</v>
      </c>
      <c r="Q567">
        <v>3</v>
      </c>
      <c r="R567">
        <v>4</v>
      </c>
      <c r="S567">
        <v>4</v>
      </c>
      <c r="T567" t="s">
        <v>23</v>
      </c>
      <c r="U567">
        <v>4</v>
      </c>
      <c r="V567" s="7">
        <v>45823</v>
      </c>
      <c r="W567" t="s">
        <v>1649</v>
      </c>
      <c r="X567" t="s">
        <v>1656</v>
      </c>
      <c r="Y567" t="s">
        <v>1663</v>
      </c>
      <c r="Z567">
        <v>1</v>
      </c>
    </row>
    <row r="568" spans="1:26" x14ac:dyDescent="0.35">
      <c r="A568" t="s">
        <v>776</v>
      </c>
      <c r="B568" s="6">
        <v>44669</v>
      </c>
      <c r="C568" t="s">
        <v>23</v>
      </c>
      <c r="D568">
        <v>38</v>
      </c>
      <c r="E568" t="s">
        <v>24</v>
      </c>
      <c r="F568" t="s">
        <v>42</v>
      </c>
      <c r="G568" t="s">
        <v>54</v>
      </c>
      <c r="H568" t="s">
        <v>55</v>
      </c>
      <c r="I568" t="s">
        <v>80</v>
      </c>
      <c r="J568" t="s">
        <v>1635</v>
      </c>
      <c r="K568" t="s">
        <v>29</v>
      </c>
      <c r="L568">
        <v>100000</v>
      </c>
      <c r="M568">
        <v>1.9</v>
      </c>
      <c r="N568">
        <v>9.6</v>
      </c>
      <c r="O568">
        <v>3.7</v>
      </c>
      <c r="P568">
        <v>0</v>
      </c>
      <c r="Q568">
        <v>2</v>
      </c>
      <c r="R568">
        <v>3</v>
      </c>
      <c r="S568">
        <v>3</v>
      </c>
      <c r="T568" t="s">
        <v>30</v>
      </c>
      <c r="U568">
        <v>4</v>
      </c>
      <c r="W568" t="s">
        <v>1649</v>
      </c>
      <c r="X568" t="s">
        <v>1658</v>
      </c>
      <c r="Y568" t="s">
        <v>1661</v>
      </c>
      <c r="Z568">
        <v>0</v>
      </c>
    </row>
    <row r="569" spans="1:26" x14ac:dyDescent="0.35">
      <c r="A569" t="s">
        <v>1130</v>
      </c>
      <c r="B569" s="6">
        <v>45608</v>
      </c>
      <c r="C569" t="s">
        <v>30</v>
      </c>
      <c r="D569">
        <v>29</v>
      </c>
      <c r="E569" t="s">
        <v>24</v>
      </c>
      <c r="F569" t="s">
        <v>37</v>
      </c>
      <c r="G569" t="s">
        <v>32</v>
      </c>
      <c r="H569" t="s">
        <v>1634</v>
      </c>
      <c r="I569" t="s">
        <v>86</v>
      </c>
      <c r="J569" t="s">
        <v>1636</v>
      </c>
      <c r="K569" t="s">
        <v>34</v>
      </c>
      <c r="L569">
        <v>107000</v>
      </c>
      <c r="M569">
        <v>10.4</v>
      </c>
      <c r="N569">
        <v>6.1</v>
      </c>
      <c r="O569">
        <v>0.9</v>
      </c>
      <c r="P569">
        <v>0</v>
      </c>
      <c r="Q569">
        <v>2</v>
      </c>
      <c r="R569">
        <v>4</v>
      </c>
      <c r="S569">
        <v>3</v>
      </c>
      <c r="T569" t="s">
        <v>23</v>
      </c>
      <c r="U569">
        <v>3</v>
      </c>
      <c r="V569" s="7">
        <v>45931</v>
      </c>
      <c r="W569" t="s">
        <v>1650</v>
      </c>
      <c r="X569" t="s">
        <v>1658</v>
      </c>
      <c r="Y569" t="s">
        <v>1664</v>
      </c>
      <c r="Z569">
        <v>1</v>
      </c>
    </row>
    <row r="570" spans="1:26" x14ac:dyDescent="0.35">
      <c r="A570" t="s">
        <v>486</v>
      </c>
      <c r="B570" s="6">
        <v>43228</v>
      </c>
      <c r="C570" t="s">
        <v>23</v>
      </c>
      <c r="D570">
        <v>28</v>
      </c>
      <c r="E570" t="s">
        <v>36</v>
      </c>
      <c r="F570" t="s">
        <v>25</v>
      </c>
      <c r="G570" t="s">
        <v>54</v>
      </c>
      <c r="H570" t="s">
        <v>48</v>
      </c>
      <c r="I570" t="s">
        <v>129</v>
      </c>
      <c r="J570" t="s">
        <v>1635</v>
      </c>
      <c r="K570" t="s">
        <v>84</v>
      </c>
      <c r="L570">
        <v>80000</v>
      </c>
      <c r="M570">
        <v>4.7</v>
      </c>
      <c r="N570">
        <v>14</v>
      </c>
      <c r="O570">
        <v>7.6</v>
      </c>
      <c r="P570">
        <v>4</v>
      </c>
      <c r="Q570">
        <v>3</v>
      </c>
      <c r="R570">
        <v>4</v>
      </c>
      <c r="S570">
        <v>4</v>
      </c>
      <c r="T570" t="s">
        <v>23</v>
      </c>
      <c r="U570">
        <v>4</v>
      </c>
      <c r="W570" t="s">
        <v>1650</v>
      </c>
      <c r="X570" t="s">
        <v>1657</v>
      </c>
      <c r="Y570" t="s">
        <v>1662</v>
      </c>
      <c r="Z570">
        <v>0</v>
      </c>
    </row>
    <row r="571" spans="1:26" x14ac:dyDescent="0.35">
      <c r="A571" t="s">
        <v>117</v>
      </c>
      <c r="B571" s="6">
        <v>45391</v>
      </c>
      <c r="C571" t="s">
        <v>23</v>
      </c>
      <c r="D571">
        <v>38</v>
      </c>
      <c r="E571" t="s">
        <v>62</v>
      </c>
      <c r="F571" t="s">
        <v>37</v>
      </c>
      <c r="G571" t="s">
        <v>54</v>
      </c>
      <c r="H571" t="s">
        <v>38</v>
      </c>
      <c r="I571" t="s">
        <v>118</v>
      </c>
      <c r="J571" t="s">
        <v>1633</v>
      </c>
      <c r="K571" t="s">
        <v>34</v>
      </c>
      <c r="L571">
        <v>49000</v>
      </c>
      <c r="M571">
        <v>11.7</v>
      </c>
      <c r="N571">
        <v>6.4</v>
      </c>
      <c r="O571">
        <v>1.7</v>
      </c>
      <c r="P571">
        <v>1.7</v>
      </c>
      <c r="Q571">
        <v>4</v>
      </c>
      <c r="R571">
        <v>3</v>
      </c>
      <c r="S571">
        <v>3</v>
      </c>
      <c r="T571" t="s">
        <v>23</v>
      </c>
      <c r="U571">
        <v>2</v>
      </c>
      <c r="W571" t="s">
        <v>1649</v>
      </c>
      <c r="X571" t="s">
        <v>1656</v>
      </c>
      <c r="Y571" t="s">
        <v>1665</v>
      </c>
      <c r="Z571">
        <v>0</v>
      </c>
    </row>
    <row r="572" spans="1:26" x14ac:dyDescent="0.35">
      <c r="A572" t="s">
        <v>646</v>
      </c>
      <c r="B572" s="6">
        <v>45837</v>
      </c>
      <c r="C572" t="s">
        <v>23</v>
      </c>
      <c r="D572">
        <v>21</v>
      </c>
      <c r="E572" t="s">
        <v>62</v>
      </c>
      <c r="F572" t="s">
        <v>25</v>
      </c>
      <c r="G572" t="s">
        <v>54</v>
      </c>
      <c r="H572" t="s">
        <v>45</v>
      </c>
      <c r="I572" t="s">
        <v>46</v>
      </c>
      <c r="J572" t="s">
        <v>1632</v>
      </c>
      <c r="K572" t="s">
        <v>50</v>
      </c>
      <c r="L572">
        <v>25000</v>
      </c>
      <c r="M572">
        <v>13.8</v>
      </c>
      <c r="N572">
        <v>7.4</v>
      </c>
      <c r="O572">
        <v>0.5</v>
      </c>
      <c r="P572">
        <v>0</v>
      </c>
      <c r="Q572">
        <v>3</v>
      </c>
      <c r="R572">
        <v>3</v>
      </c>
      <c r="S572">
        <v>3</v>
      </c>
      <c r="T572" t="s">
        <v>30</v>
      </c>
      <c r="U572">
        <v>3</v>
      </c>
      <c r="W572" t="s">
        <v>1651</v>
      </c>
      <c r="X572" t="s">
        <v>1655</v>
      </c>
      <c r="Y572" t="s">
        <v>1664</v>
      </c>
      <c r="Z572">
        <v>0</v>
      </c>
    </row>
    <row r="573" spans="1:26" x14ac:dyDescent="0.35">
      <c r="A573" t="s">
        <v>733</v>
      </c>
      <c r="B573" s="6">
        <v>45178</v>
      </c>
      <c r="C573" t="s">
        <v>23</v>
      </c>
      <c r="D573">
        <v>30</v>
      </c>
      <c r="E573" t="s">
        <v>62</v>
      </c>
      <c r="F573" t="s">
        <v>37</v>
      </c>
      <c r="G573" t="s">
        <v>32</v>
      </c>
      <c r="H573" t="s">
        <v>27</v>
      </c>
      <c r="I573" t="s">
        <v>43</v>
      </c>
      <c r="J573" t="s">
        <v>1635</v>
      </c>
      <c r="K573" t="s">
        <v>50</v>
      </c>
      <c r="L573">
        <v>78000</v>
      </c>
      <c r="M573">
        <v>12.1</v>
      </c>
      <c r="N573">
        <v>7.9</v>
      </c>
      <c r="O573">
        <v>2.2999999999999998</v>
      </c>
      <c r="P573">
        <v>0</v>
      </c>
      <c r="Q573">
        <v>2</v>
      </c>
      <c r="R573">
        <v>3</v>
      </c>
      <c r="S573">
        <v>3</v>
      </c>
      <c r="T573" t="s">
        <v>23</v>
      </c>
      <c r="U573">
        <v>1</v>
      </c>
      <c r="W573" t="s">
        <v>1650</v>
      </c>
      <c r="X573" t="s">
        <v>1659</v>
      </c>
      <c r="Y573" t="s">
        <v>1665</v>
      </c>
      <c r="Z573">
        <v>0</v>
      </c>
    </row>
    <row r="574" spans="1:26" x14ac:dyDescent="0.35">
      <c r="A574" t="s">
        <v>849</v>
      </c>
      <c r="B574" s="6">
        <v>45802</v>
      </c>
      <c r="C574" t="s">
        <v>23</v>
      </c>
      <c r="D574">
        <v>29</v>
      </c>
      <c r="E574" t="s">
        <v>62</v>
      </c>
      <c r="F574" t="s">
        <v>42</v>
      </c>
      <c r="G574" t="s">
        <v>54</v>
      </c>
      <c r="H574" t="s">
        <v>27</v>
      </c>
      <c r="I574" t="s">
        <v>28</v>
      </c>
      <c r="J574" t="s">
        <v>1636</v>
      </c>
      <c r="K574" t="s">
        <v>40</v>
      </c>
      <c r="L574">
        <v>119000</v>
      </c>
      <c r="M574">
        <v>16</v>
      </c>
      <c r="N574">
        <v>5</v>
      </c>
      <c r="O574">
        <v>0.6</v>
      </c>
      <c r="P574">
        <v>0</v>
      </c>
      <c r="Q574">
        <v>3</v>
      </c>
      <c r="R574">
        <v>4</v>
      </c>
      <c r="S574">
        <v>1</v>
      </c>
      <c r="T574" t="s">
        <v>23</v>
      </c>
      <c r="U574">
        <v>3</v>
      </c>
      <c r="W574" t="s">
        <v>1650</v>
      </c>
      <c r="X574" t="s">
        <v>1658</v>
      </c>
      <c r="Y574" t="s">
        <v>1664</v>
      </c>
      <c r="Z574">
        <v>0</v>
      </c>
    </row>
    <row r="575" spans="1:26" x14ac:dyDescent="0.35">
      <c r="A575" t="s">
        <v>1240</v>
      </c>
      <c r="B575" s="6">
        <v>43679</v>
      </c>
      <c r="C575" t="s">
        <v>23</v>
      </c>
      <c r="D575">
        <v>34</v>
      </c>
      <c r="E575" t="s">
        <v>36</v>
      </c>
      <c r="F575" t="s">
        <v>37</v>
      </c>
      <c r="G575" t="s">
        <v>32</v>
      </c>
      <c r="H575" t="s">
        <v>27</v>
      </c>
      <c r="I575" t="s">
        <v>33</v>
      </c>
      <c r="J575" t="s">
        <v>1635</v>
      </c>
      <c r="K575" t="s">
        <v>66</v>
      </c>
      <c r="L575">
        <v>66000</v>
      </c>
      <c r="M575">
        <v>5.7</v>
      </c>
      <c r="N575">
        <v>8.1</v>
      </c>
      <c r="O575">
        <v>6.4</v>
      </c>
      <c r="P575">
        <v>0.6</v>
      </c>
      <c r="Q575">
        <v>3</v>
      </c>
      <c r="R575">
        <v>4</v>
      </c>
      <c r="S575">
        <v>2</v>
      </c>
      <c r="T575" t="s">
        <v>23</v>
      </c>
      <c r="U575">
        <v>3</v>
      </c>
      <c r="W575" t="s">
        <v>1650</v>
      </c>
      <c r="X575" t="s">
        <v>1659</v>
      </c>
      <c r="Y575" t="s">
        <v>1662</v>
      </c>
      <c r="Z575">
        <v>0</v>
      </c>
    </row>
    <row r="576" spans="1:26" x14ac:dyDescent="0.35">
      <c r="A576" t="s">
        <v>683</v>
      </c>
      <c r="B576" s="6">
        <v>44727</v>
      </c>
      <c r="C576" t="s">
        <v>23</v>
      </c>
      <c r="D576">
        <v>36</v>
      </c>
      <c r="E576" t="s">
        <v>62</v>
      </c>
      <c r="F576" t="s">
        <v>42</v>
      </c>
      <c r="G576" t="s">
        <v>32</v>
      </c>
      <c r="H576" t="s">
        <v>27</v>
      </c>
      <c r="I576" t="s">
        <v>95</v>
      </c>
      <c r="J576" t="s">
        <v>1635</v>
      </c>
      <c r="K576" t="s">
        <v>66</v>
      </c>
      <c r="L576">
        <v>86000</v>
      </c>
      <c r="M576">
        <v>11.6</v>
      </c>
      <c r="N576">
        <v>5.6</v>
      </c>
      <c r="O576">
        <v>3.5</v>
      </c>
      <c r="P576">
        <v>2.2999999999999998</v>
      </c>
      <c r="Q576">
        <v>3</v>
      </c>
      <c r="R576">
        <v>2</v>
      </c>
      <c r="S576">
        <v>3</v>
      </c>
      <c r="T576" t="s">
        <v>23</v>
      </c>
      <c r="U576">
        <v>5</v>
      </c>
      <c r="W576" t="s">
        <v>1649</v>
      </c>
      <c r="X576" t="s">
        <v>1657</v>
      </c>
      <c r="Y576" t="s">
        <v>1661</v>
      </c>
      <c r="Z576">
        <v>0</v>
      </c>
    </row>
    <row r="577" spans="1:26" x14ac:dyDescent="0.35">
      <c r="A577" t="s">
        <v>1239</v>
      </c>
      <c r="B577" s="6">
        <v>44762</v>
      </c>
      <c r="C577" t="s">
        <v>23</v>
      </c>
      <c r="D577">
        <v>40</v>
      </c>
      <c r="E577" t="s">
        <v>36</v>
      </c>
      <c r="F577" t="s">
        <v>42</v>
      </c>
      <c r="G577" t="s">
        <v>54</v>
      </c>
      <c r="H577" t="s">
        <v>55</v>
      </c>
      <c r="I577" t="s">
        <v>56</v>
      </c>
      <c r="J577" t="s">
        <v>1635</v>
      </c>
      <c r="K577" t="s">
        <v>50</v>
      </c>
      <c r="L577">
        <v>81000</v>
      </c>
      <c r="M577">
        <v>7.5</v>
      </c>
      <c r="N577">
        <v>8</v>
      </c>
      <c r="O577">
        <v>3.4</v>
      </c>
      <c r="P577">
        <v>2.2000000000000002</v>
      </c>
      <c r="Q577">
        <v>3</v>
      </c>
      <c r="R577">
        <v>3</v>
      </c>
      <c r="S577">
        <v>2</v>
      </c>
      <c r="T577" t="s">
        <v>23</v>
      </c>
      <c r="U577">
        <v>4</v>
      </c>
      <c r="W577" t="s">
        <v>1649</v>
      </c>
      <c r="X577" t="s">
        <v>1657</v>
      </c>
      <c r="Y577" t="s">
        <v>1661</v>
      </c>
      <c r="Z577">
        <v>0</v>
      </c>
    </row>
    <row r="578" spans="1:26" x14ac:dyDescent="0.35">
      <c r="A578" t="s">
        <v>309</v>
      </c>
      <c r="B578" s="6">
        <v>45380</v>
      </c>
      <c r="C578" t="s">
        <v>30</v>
      </c>
      <c r="D578">
        <v>47</v>
      </c>
      <c r="E578" t="s">
        <v>36</v>
      </c>
      <c r="F578" t="s">
        <v>37</v>
      </c>
      <c r="G578" t="s">
        <v>26</v>
      </c>
      <c r="H578" t="s">
        <v>27</v>
      </c>
      <c r="I578" t="s">
        <v>95</v>
      </c>
      <c r="J578" t="s">
        <v>1632</v>
      </c>
      <c r="K578" t="s">
        <v>34</v>
      </c>
      <c r="L578">
        <v>60000</v>
      </c>
      <c r="M578">
        <v>11.4</v>
      </c>
      <c r="N578">
        <v>2.4</v>
      </c>
      <c r="O578">
        <v>1.7</v>
      </c>
      <c r="P578">
        <v>1.5</v>
      </c>
      <c r="Q578">
        <v>3</v>
      </c>
      <c r="R578">
        <v>4</v>
      </c>
      <c r="S578">
        <v>2</v>
      </c>
      <c r="T578" t="s">
        <v>30</v>
      </c>
      <c r="U578">
        <v>4</v>
      </c>
      <c r="V578" s="7">
        <v>45985</v>
      </c>
      <c r="W578" t="s">
        <v>1652</v>
      </c>
      <c r="X578" t="s">
        <v>1659</v>
      </c>
      <c r="Y578" t="s">
        <v>1665</v>
      </c>
      <c r="Z578">
        <v>1</v>
      </c>
    </row>
    <row r="579" spans="1:26" x14ac:dyDescent="0.35">
      <c r="A579" t="s">
        <v>1054</v>
      </c>
      <c r="B579" s="6">
        <v>42568</v>
      </c>
      <c r="C579" t="s">
        <v>23</v>
      </c>
      <c r="D579">
        <v>37</v>
      </c>
      <c r="E579" t="s">
        <v>36</v>
      </c>
      <c r="F579" t="s">
        <v>25</v>
      </c>
      <c r="G579" t="s">
        <v>58</v>
      </c>
      <c r="H579" t="s">
        <v>55</v>
      </c>
      <c r="I579" t="s">
        <v>80</v>
      </c>
      <c r="J579" t="s">
        <v>1637</v>
      </c>
      <c r="K579" t="s">
        <v>66</v>
      </c>
      <c r="L579">
        <v>187000</v>
      </c>
      <c r="M579">
        <v>7.7</v>
      </c>
      <c r="N579">
        <v>14.2</v>
      </c>
      <c r="O579">
        <v>9.5</v>
      </c>
      <c r="P579">
        <v>4.8</v>
      </c>
      <c r="Q579">
        <v>3</v>
      </c>
      <c r="R579">
        <v>2</v>
      </c>
      <c r="S579">
        <v>3</v>
      </c>
      <c r="T579" t="s">
        <v>30</v>
      </c>
      <c r="U579">
        <v>4</v>
      </c>
      <c r="W579" t="s">
        <v>1649</v>
      </c>
      <c r="X579" t="s">
        <v>1658</v>
      </c>
      <c r="Y579" t="s">
        <v>1662</v>
      </c>
      <c r="Z579">
        <v>0</v>
      </c>
    </row>
    <row r="580" spans="1:26" x14ac:dyDescent="0.35">
      <c r="A580" t="s">
        <v>460</v>
      </c>
      <c r="B580" s="6">
        <v>41868</v>
      </c>
      <c r="C580" t="s">
        <v>23</v>
      </c>
      <c r="D580">
        <v>35</v>
      </c>
      <c r="E580" t="s">
        <v>24</v>
      </c>
      <c r="F580" t="s">
        <v>42</v>
      </c>
      <c r="G580" t="s">
        <v>26</v>
      </c>
      <c r="H580" t="s">
        <v>38</v>
      </c>
      <c r="I580" t="s">
        <v>118</v>
      </c>
      <c r="J580" t="s">
        <v>1633</v>
      </c>
      <c r="K580" t="s">
        <v>29</v>
      </c>
      <c r="L580">
        <v>64000</v>
      </c>
      <c r="M580">
        <v>11.7</v>
      </c>
      <c r="N580">
        <v>19.100000000000001</v>
      </c>
      <c r="O580">
        <v>11.4</v>
      </c>
      <c r="P580">
        <v>3.2</v>
      </c>
      <c r="Q580">
        <v>3</v>
      </c>
      <c r="R580">
        <v>3</v>
      </c>
      <c r="S580">
        <v>4</v>
      </c>
      <c r="T580" t="s">
        <v>23</v>
      </c>
      <c r="U580">
        <v>3</v>
      </c>
      <c r="W580" t="s">
        <v>1650</v>
      </c>
      <c r="X580" t="s">
        <v>1659</v>
      </c>
      <c r="Y580" t="s">
        <v>1663</v>
      </c>
      <c r="Z580">
        <v>0</v>
      </c>
    </row>
    <row r="581" spans="1:26" x14ac:dyDescent="0.35">
      <c r="A581" t="s">
        <v>522</v>
      </c>
      <c r="B581" s="6">
        <v>45303</v>
      </c>
      <c r="C581" t="s">
        <v>23</v>
      </c>
      <c r="D581">
        <v>39</v>
      </c>
      <c r="E581" t="s">
        <v>36</v>
      </c>
      <c r="F581" t="s">
        <v>37</v>
      </c>
      <c r="G581" t="s">
        <v>54</v>
      </c>
      <c r="H581" t="s">
        <v>27</v>
      </c>
      <c r="I581" t="s">
        <v>95</v>
      </c>
      <c r="J581" t="s">
        <v>1635</v>
      </c>
      <c r="K581" t="s">
        <v>84</v>
      </c>
      <c r="L581">
        <v>68000</v>
      </c>
      <c r="M581">
        <v>6.8</v>
      </c>
      <c r="N581">
        <v>7.1</v>
      </c>
      <c r="O581">
        <v>2</v>
      </c>
      <c r="P581">
        <v>0.7</v>
      </c>
      <c r="Q581">
        <v>3</v>
      </c>
      <c r="R581">
        <v>4</v>
      </c>
      <c r="S581">
        <v>3</v>
      </c>
      <c r="T581" t="s">
        <v>23</v>
      </c>
      <c r="U581">
        <v>3</v>
      </c>
      <c r="W581" t="s">
        <v>1649</v>
      </c>
      <c r="X581" t="s">
        <v>1659</v>
      </c>
      <c r="Y581" t="s">
        <v>1665</v>
      </c>
      <c r="Z581">
        <v>0</v>
      </c>
    </row>
    <row r="582" spans="1:26" x14ac:dyDescent="0.35">
      <c r="A582" t="s">
        <v>422</v>
      </c>
      <c r="B582" s="6">
        <v>44734</v>
      </c>
      <c r="C582" t="s">
        <v>23</v>
      </c>
      <c r="D582">
        <v>36</v>
      </c>
      <c r="E582" t="s">
        <v>36</v>
      </c>
      <c r="F582" t="s">
        <v>37</v>
      </c>
      <c r="G582" t="s">
        <v>26</v>
      </c>
      <c r="H582" t="s">
        <v>1634</v>
      </c>
      <c r="I582" t="s">
        <v>60</v>
      </c>
      <c r="J582" t="s">
        <v>1635</v>
      </c>
      <c r="K582" t="s">
        <v>50</v>
      </c>
      <c r="L582">
        <v>82000</v>
      </c>
      <c r="M582">
        <v>10.8</v>
      </c>
      <c r="N582">
        <v>10</v>
      </c>
      <c r="O582">
        <v>3.5</v>
      </c>
      <c r="P582">
        <v>1.1000000000000001</v>
      </c>
      <c r="Q582">
        <v>4</v>
      </c>
      <c r="R582">
        <v>4</v>
      </c>
      <c r="S582">
        <v>4</v>
      </c>
      <c r="T582" t="s">
        <v>23</v>
      </c>
      <c r="U582">
        <v>3</v>
      </c>
      <c r="W582" t="s">
        <v>1649</v>
      </c>
      <c r="X582" t="s">
        <v>1657</v>
      </c>
      <c r="Y582" t="s">
        <v>1661</v>
      </c>
      <c r="Z582">
        <v>0</v>
      </c>
    </row>
    <row r="583" spans="1:26" x14ac:dyDescent="0.35">
      <c r="A583" t="s">
        <v>206</v>
      </c>
      <c r="B583" s="6">
        <v>45207</v>
      </c>
      <c r="C583" t="s">
        <v>23</v>
      </c>
      <c r="D583">
        <v>33</v>
      </c>
      <c r="E583" t="s">
        <v>62</v>
      </c>
      <c r="F583" t="s">
        <v>37</v>
      </c>
      <c r="G583" t="s">
        <v>54</v>
      </c>
      <c r="H583" t="s">
        <v>45</v>
      </c>
      <c r="I583" t="s">
        <v>97</v>
      </c>
      <c r="J583" t="s">
        <v>1636</v>
      </c>
      <c r="K583" t="s">
        <v>34</v>
      </c>
      <c r="L583">
        <v>110000</v>
      </c>
      <c r="M583">
        <v>4.5999999999999996</v>
      </c>
      <c r="N583">
        <v>6.2</v>
      </c>
      <c r="O583">
        <v>2.2000000000000002</v>
      </c>
      <c r="P583">
        <v>1.9</v>
      </c>
      <c r="Q583">
        <v>4</v>
      </c>
      <c r="R583">
        <v>4</v>
      </c>
      <c r="S583">
        <v>3</v>
      </c>
      <c r="T583" t="s">
        <v>30</v>
      </c>
      <c r="U583">
        <v>3</v>
      </c>
      <c r="W583" t="s">
        <v>1650</v>
      </c>
      <c r="X583" t="s">
        <v>1658</v>
      </c>
      <c r="Y583" t="s">
        <v>1665</v>
      </c>
      <c r="Z583">
        <v>0</v>
      </c>
    </row>
    <row r="584" spans="1:26" x14ac:dyDescent="0.35">
      <c r="A584" t="s">
        <v>928</v>
      </c>
      <c r="B584" s="6">
        <v>43279</v>
      </c>
      <c r="C584" t="s">
        <v>23</v>
      </c>
      <c r="D584">
        <v>38</v>
      </c>
      <c r="E584" t="s">
        <v>62</v>
      </c>
      <c r="F584" t="s">
        <v>25</v>
      </c>
      <c r="G584" t="s">
        <v>26</v>
      </c>
      <c r="H584" t="s">
        <v>27</v>
      </c>
      <c r="I584" t="s">
        <v>43</v>
      </c>
      <c r="J584" t="s">
        <v>1633</v>
      </c>
      <c r="K584" t="s">
        <v>66</v>
      </c>
      <c r="L584">
        <v>58000</v>
      </c>
      <c r="M584">
        <v>7.8</v>
      </c>
      <c r="N584">
        <v>13.1</v>
      </c>
      <c r="O584">
        <v>7.5</v>
      </c>
      <c r="P584">
        <v>4.5</v>
      </c>
      <c r="Q584">
        <v>4</v>
      </c>
      <c r="R584">
        <v>2</v>
      </c>
      <c r="S584">
        <v>3</v>
      </c>
      <c r="T584" t="s">
        <v>23</v>
      </c>
      <c r="U584">
        <v>5</v>
      </c>
      <c r="W584" t="s">
        <v>1649</v>
      </c>
      <c r="X584" t="s">
        <v>1656</v>
      </c>
      <c r="Y584" t="s">
        <v>1662</v>
      </c>
      <c r="Z584">
        <v>0</v>
      </c>
    </row>
    <row r="585" spans="1:26" x14ac:dyDescent="0.35">
      <c r="A585" t="s">
        <v>888</v>
      </c>
      <c r="B585" s="6">
        <v>45494</v>
      </c>
      <c r="C585" t="s">
        <v>30</v>
      </c>
      <c r="D585">
        <v>22</v>
      </c>
      <c r="E585" t="s">
        <v>24</v>
      </c>
      <c r="F585" t="s">
        <v>42</v>
      </c>
      <c r="G585" t="s">
        <v>26</v>
      </c>
      <c r="H585" t="s">
        <v>48</v>
      </c>
      <c r="I585" t="s">
        <v>49</v>
      </c>
      <c r="J585" t="s">
        <v>1632</v>
      </c>
      <c r="K585" t="s">
        <v>84</v>
      </c>
      <c r="L585">
        <v>32000</v>
      </c>
      <c r="M585">
        <v>12.6</v>
      </c>
      <c r="N585">
        <v>3.5</v>
      </c>
      <c r="O585">
        <v>0.6</v>
      </c>
      <c r="P585">
        <v>0</v>
      </c>
      <c r="Q585">
        <v>3</v>
      </c>
      <c r="R585">
        <v>3</v>
      </c>
      <c r="S585">
        <v>1</v>
      </c>
      <c r="T585" t="s">
        <v>23</v>
      </c>
      <c r="U585">
        <v>3</v>
      </c>
      <c r="V585" s="7">
        <v>45696</v>
      </c>
      <c r="W585" t="s">
        <v>1651</v>
      </c>
      <c r="X585" t="s">
        <v>1655</v>
      </c>
      <c r="Y585" t="s">
        <v>1664</v>
      </c>
      <c r="Z585">
        <v>1</v>
      </c>
    </row>
    <row r="586" spans="1:26" x14ac:dyDescent="0.35">
      <c r="A586" t="s">
        <v>1088</v>
      </c>
      <c r="B586" s="6">
        <v>42277</v>
      </c>
      <c r="C586" t="s">
        <v>23</v>
      </c>
      <c r="D586">
        <v>37</v>
      </c>
      <c r="E586" t="s">
        <v>62</v>
      </c>
      <c r="F586" t="s">
        <v>25</v>
      </c>
      <c r="G586" t="s">
        <v>26</v>
      </c>
      <c r="H586" t="s">
        <v>45</v>
      </c>
      <c r="I586" t="s">
        <v>97</v>
      </c>
      <c r="J586" t="s">
        <v>1636</v>
      </c>
      <c r="K586" t="s">
        <v>34</v>
      </c>
      <c r="L586">
        <v>104000</v>
      </c>
      <c r="M586">
        <v>9</v>
      </c>
      <c r="N586">
        <v>12.4</v>
      </c>
      <c r="O586">
        <v>10.3</v>
      </c>
      <c r="P586">
        <v>0</v>
      </c>
      <c r="Q586">
        <v>3</v>
      </c>
      <c r="R586">
        <v>3</v>
      </c>
      <c r="S586">
        <v>3</v>
      </c>
      <c r="T586" t="s">
        <v>23</v>
      </c>
      <c r="U586">
        <v>5</v>
      </c>
      <c r="W586" t="s">
        <v>1649</v>
      </c>
      <c r="X586" t="s">
        <v>1658</v>
      </c>
      <c r="Y586" t="s">
        <v>1663</v>
      </c>
      <c r="Z586">
        <v>0</v>
      </c>
    </row>
    <row r="587" spans="1:26" x14ac:dyDescent="0.35">
      <c r="A587" t="s">
        <v>31</v>
      </c>
      <c r="B587" s="6">
        <v>45888</v>
      </c>
      <c r="C587" t="s">
        <v>30</v>
      </c>
      <c r="D587">
        <v>38</v>
      </c>
      <c r="E587" t="s">
        <v>24</v>
      </c>
      <c r="F587" t="s">
        <v>25</v>
      </c>
      <c r="G587" t="s">
        <v>32</v>
      </c>
      <c r="H587" t="s">
        <v>27</v>
      </c>
      <c r="I587" t="s">
        <v>33</v>
      </c>
      <c r="J587" t="s">
        <v>1632</v>
      </c>
      <c r="K587" t="s">
        <v>34</v>
      </c>
      <c r="L587">
        <v>36000</v>
      </c>
      <c r="M587">
        <v>11</v>
      </c>
      <c r="N587">
        <v>7.4</v>
      </c>
      <c r="O587">
        <v>0.3</v>
      </c>
      <c r="P587">
        <v>0</v>
      </c>
      <c r="Q587">
        <v>3</v>
      </c>
      <c r="R587">
        <v>3</v>
      </c>
      <c r="S587">
        <v>2</v>
      </c>
      <c r="T587" t="s">
        <v>23</v>
      </c>
      <c r="U587">
        <v>3</v>
      </c>
      <c r="V587" s="7">
        <v>45992</v>
      </c>
      <c r="W587" t="s">
        <v>1649</v>
      </c>
      <c r="X587" t="s">
        <v>1655</v>
      </c>
      <c r="Y587" t="s">
        <v>1664</v>
      </c>
      <c r="Z587">
        <v>1</v>
      </c>
    </row>
    <row r="588" spans="1:26" x14ac:dyDescent="0.35">
      <c r="A588" t="s">
        <v>500</v>
      </c>
      <c r="B588" s="6">
        <v>45911</v>
      </c>
      <c r="C588" t="s">
        <v>23</v>
      </c>
      <c r="D588">
        <v>21</v>
      </c>
      <c r="E588" t="s">
        <v>36</v>
      </c>
      <c r="F588" t="s">
        <v>25</v>
      </c>
      <c r="G588" t="s">
        <v>54</v>
      </c>
      <c r="H588" t="s">
        <v>38</v>
      </c>
      <c r="I588" t="s">
        <v>52</v>
      </c>
      <c r="J588" t="s">
        <v>1632</v>
      </c>
      <c r="K588" t="s">
        <v>1638</v>
      </c>
      <c r="L588">
        <v>48000</v>
      </c>
      <c r="M588">
        <v>7.1</v>
      </c>
      <c r="N588">
        <v>3.3</v>
      </c>
      <c r="O588">
        <v>0.3</v>
      </c>
      <c r="P588">
        <v>0</v>
      </c>
      <c r="Q588">
        <v>3</v>
      </c>
      <c r="R588">
        <v>4</v>
      </c>
      <c r="S588">
        <v>3</v>
      </c>
      <c r="T588" t="s">
        <v>23</v>
      </c>
      <c r="U588">
        <v>3</v>
      </c>
      <c r="W588" t="s">
        <v>1651</v>
      </c>
      <c r="X588" t="s">
        <v>1656</v>
      </c>
      <c r="Y588" t="s">
        <v>1664</v>
      </c>
      <c r="Z588">
        <v>0</v>
      </c>
    </row>
    <row r="589" spans="1:26" x14ac:dyDescent="0.35">
      <c r="A589" t="s">
        <v>308</v>
      </c>
      <c r="B589" s="6">
        <v>45888</v>
      </c>
      <c r="C589" t="s">
        <v>30</v>
      </c>
      <c r="D589">
        <v>38</v>
      </c>
      <c r="E589" t="s">
        <v>24</v>
      </c>
      <c r="F589" t="s">
        <v>42</v>
      </c>
      <c r="G589" t="s">
        <v>58</v>
      </c>
      <c r="H589" t="s">
        <v>55</v>
      </c>
      <c r="I589" t="s">
        <v>88</v>
      </c>
      <c r="J589" t="s">
        <v>1635</v>
      </c>
      <c r="K589" t="s">
        <v>50</v>
      </c>
      <c r="L589">
        <v>86000</v>
      </c>
      <c r="M589">
        <v>13.2</v>
      </c>
      <c r="N589">
        <v>0.6</v>
      </c>
      <c r="O589">
        <v>0.3</v>
      </c>
      <c r="P589">
        <v>0</v>
      </c>
      <c r="Q589">
        <v>3</v>
      </c>
      <c r="R589">
        <v>4</v>
      </c>
      <c r="S589">
        <v>4</v>
      </c>
      <c r="T589" t="s">
        <v>23</v>
      </c>
      <c r="U589">
        <v>2</v>
      </c>
      <c r="V589" s="7">
        <v>45984</v>
      </c>
      <c r="W589" t="s">
        <v>1649</v>
      </c>
      <c r="X589" t="s">
        <v>1657</v>
      </c>
      <c r="Y589" t="s">
        <v>1664</v>
      </c>
      <c r="Z589">
        <v>1</v>
      </c>
    </row>
    <row r="590" spans="1:26" x14ac:dyDescent="0.35">
      <c r="A590" t="s">
        <v>871</v>
      </c>
      <c r="B590" s="6">
        <v>42495</v>
      </c>
      <c r="C590" t="s">
        <v>23</v>
      </c>
      <c r="D590">
        <v>38</v>
      </c>
      <c r="E590" t="s">
        <v>24</v>
      </c>
      <c r="F590" t="s">
        <v>37</v>
      </c>
      <c r="G590" t="s">
        <v>26</v>
      </c>
      <c r="H590" t="s">
        <v>48</v>
      </c>
      <c r="I590" t="s">
        <v>201</v>
      </c>
      <c r="J590" t="s">
        <v>1635</v>
      </c>
      <c r="K590" t="s">
        <v>40</v>
      </c>
      <c r="L590">
        <v>68000</v>
      </c>
      <c r="M590">
        <v>13.8</v>
      </c>
      <c r="N590">
        <v>16.7</v>
      </c>
      <c r="O590">
        <v>9.6999999999999993</v>
      </c>
      <c r="P590">
        <v>3</v>
      </c>
      <c r="Q590">
        <v>3</v>
      </c>
      <c r="R590">
        <v>4</v>
      </c>
      <c r="S590">
        <v>4</v>
      </c>
      <c r="T590" t="s">
        <v>23</v>
      </c>
      <c r="U590">
        <v>3</v>
      </c>
      <c r="W590" t="s">
        <v>1649</v>
      </c>
      <c r="X590" t="s">
        <v>1659</v>
      </c>
      <c r="Y590" t="s">
        <v>1662</v>
      </c>
      <c r="Z590">
        <v>0</v>
      </c>
    </row>
    <row r="591" spans="1:26" x14ac:dyDescent="0.35">
      <c r="A591" t="s">
        <v>1464</v>
      </c>
      <c r="B591" s="6">
        <v>43194</v>
      </c>
      <c r="C591" t="s">
        <v>23</v>
      </c>
      <c r="D591">
        <v>30</v>
      </c>
      <c r="E591" t="s">
        <v>36</v>
      </c>
      <c r="F591" t="s">
        <v>37</v>
      </c>
      <c r="G591" t="s">
        <v>32</v>
      </c>
      <c r="H591" t="s">
        <v>55</v>
      </c>
      <c r="I591" t="s">
        <v>88</v>
      </c>
      <c r="J591" t="s">
        <v>1635</v>
      </c>
      <c r="K591" t="s">
        <v>29</v>
      </c>
      <c r="L591">
        <v>91000</v>
      </c>
      <c r="M591">
        <v>1.9</v>
      </c>
      <c r="N591">
        <v>15.6</v>
      </c>
      <c r="O591">
        <v>7.7</v>
      </c>
      <c r="P591">
        <v>4.4000000000000004</v>
      </c>
      <c r="Q591">
        <v>3</v>
      </c>
      <c r="R591">
        <v>3</v>
      </c>
      <c r="S591">
        <v>3</v>
      </c>
      <c r="T591" t="s">
        <v>30</v>
      </c>
      <c r="U591">
        <v>3</v>
      </c>
      <c r="W591" t="s">
        <v>1650</v>
      </c>
      <c r="X591" t="s">
        <v>1657</v>
      </c>
      <c r="Y591" t="s">
        <v>1662</v>
      </c>
      <c r="Z591">
        <v>0</v>
      </c>
    </row>
    <row r="592" spans="1:26" x14ac:dyDescent="0.35">
      <c r="A592" t="s">
        <v>698</v>
      </c>
      <c r="B592" s="6">
        <v>45394</v>
      </c>
      <c r="C592" t="s">
        <v>23</v>
      </c>
      <c r="D592">
        <v>26</v>
      </c>
      <c r="E592" t="s">
        <v>62</v>
      </c>
      <c r="F592" t="s">
        <v>25</v>
      </c>
      <c r="G592" t="s">
        <v>32</v>
      </c>
      <c r="H592" t="s">
        <v>27</v>
      </c>
      <c r="I592" t="s">
        <v>95</v>
      </c>
      <c r="J592" t="s">
        <v>1632</v>
      </c>
      <c r="K592" t="s">
        <v>40</v>
      </c>
      <c r="L592">
        <v>22000</v>
      </c>
      <c r="M592">
        <v>2.9</v>
      </c>
      <c r="N592">
        <v>3.7</v>
      </c>
      <c r="O592">
        <v>1.7</v>
      </c>
      <c r="P592">
        <v>1.4</v>
      </c>
      <c r="Q592">
        <v>4</v>
      </c>
      <c r="R592">
        <v>2</v>
      </c>
      <c r="S592">
        <v>3</v>
      </c>
      <c r="T592" t="s">
        <v>23</v>
      </c>
      <c r="U592">
        <v>4</v>
      </c>
      <c r="W592" t="s">
        <v>1650</v>
      </c>
      <c r="X592" t="s">
        <v>1655</v>
      </c>
      <c r="Y592" t="s">
        <v>1665</v>
      </c>
      <c r="Z592">
        <v>0</v>
      </c>
    </row>
    <row r="593" spans="1:26" x14ac:dyDescent="0.35">
      <c r="A593" t="s">
        <v>1567</v>
      </c>
      <c r="B593" s="6">
        <v>45493</v>
      </c>
      <c r="C593" t="s">
        <v>23</v>
      </c>
      <c r="D593">
        <v>29</v>
      </c>
      <c r="E593" t="s">
        <v>36</v>
      </c>
      <c r="F593" t="s">
        <v>25</v>
      </c>
      <c r="G593" t="s">
        <v>32</v>
      </c>
      <c r="H593" t="s">
        <v>1634</v>
      </c>
      <c r="I593" t="s">
        <v>86</v>
      </c>
      <c r="J593" t="s">
        <v>1633</v>
      </c>
      <c r="K593" t="s">
        <v>40</v>
      </c>
      <c r="L593">
        <v>66000</v>
      </c>
      <c r="M593">
        <v>6.9</v>
      </c>
      <c r="N593">
        <v>4.9000000000000004</v>
      </c>
      <c r="O593">
        <v>1.4</v>
      </c>
      <c r="P593">
        <v>0.9</v>
      </c>
      <c r="Q593">
        <v>4</v>
      </c>
      <c r="R593">
        <v>2</v>
      </c>
      <c r="S593">
        <v>1</v>
      </c>
      <c r="T593" t="s">
        <v>30</v>
      </c>
      <c r="U593">
        <v>3</v>
      </c>
      <c r="W593" t="s">
        <v>1650</v>
      </c>
      <c r="X593" t="s">
        <v>1659</v>
      </c>
      <c r="Y593" t="s">
        <v>1665</v>
      </c>
      <c r="Z593">
        <v>0</v>
      </c>
    </row>
    <row r="594" spans="1:26" x14ac:dyDescent="0.35">
      <c r="A594" t="s">
        <v>1234</v>
      </c>
      <c r="B594" s="6">
        <v>45090</v>
      </c>
      <c r="C594" t="s">
        <v>23</v>
      </c>
      <c r="D594">
        <v>25</v>
      </c>
      <c r="E594" t="s">
        <v>24</v>
      </c>
      <c r="F594" t="s">
        <v>37</v>
      </c>
      <c r="G594" t="s">
        <v>26</v>
      </c>
      <c r="H594" t="s">
        <v>68</v>
      </c>
      <c r="I594" t="s">
        <v>121</v>
      </c>
      <c r="J594" t="s">
        <v>1632</v>
      </c>
      <c r="K594" t="s">
        <v>50</v>
      </c>
      <c r="L594">
        <v>45000</v>
      </c>
      <c r="M594">
        <v>8.4</v>
      </c>
      <c r="N594">
        <v>4.7</v>
      </c>
      <c r="O594">
        <v>2.6</v>
      </c>
      <c r="P594">
        <v>0.7</v>
      </c>
      <c r="Q594">
        <v>3</v>
      </c>
      <c r="R594">
        <v>3</v>
      </c>
      <c r="S594">
        <v>3</v>
      </c>
      <c r="T594" t="s">
        <v>23</v>
      </c>
      <c r="U594">
        <v>3</v>
      </c>
      <c r="W594" t="s">
        <v>1651</v>
      </c>
      <c r="X594" t="s">
        <v>1656</v>
      </c>
      <c r="Y594" t="s">
        <v>1665</v>
      </c>
      <c r="Z594">
        <v>0</v>
      </c>
    </row>
    <row r="595" spans="1:26" x14ac:dyDescent="0.35">
      <c r="A595" t="s">
        <v>739</v>
      </c>
      <c r="B595" s="6">
        <v>43896</v>
      </c>
      <c r="C595" t="s">
        <v>23</v>
      </c>
      <c r="D595">
        <v>34</v>
      </c>
      <c r="E595" t="s">
        <v>62</v>
      </c>
      <c r="F595" t="s">
        <v>37</v>
      </c>
      <c r="G595" t="s">
        <v>58</v>
      </c>
      <c r="H595" t="s">
        <v>38</v>
      </c>
      <c r="I595" t="s">
        <v>39</v>
      </c>
      <c r="J595" t="s">
        <v>1633</v>
      </c>
      <c r="K595" t="s">
        <v>84</v>
      </c>
      <c r="L595">
        <v>64000</v>
      </c>
      <c r="M595">
        <v>13.5</v>
      </c>
      <c r="N595">
        <v>13.4</v>
      </c>
      <c r="O595">
        <v>5.8</v>
      </c>
      <c r="P595">
        <v>2.1</v>
      </c>
      <c r="Q595">
        <v>2</v>
      </c>
      <c r="R595">
        <v>3</v>
      </c>
      <c r="S595">
        <v>2</v>
      </c>
      <c r="T595" t="s">
        <v>23</v>
      </c>
      <c r="U595">
        <v>1</v>
      </c>
      <c r="W595" t="s">
        <v>1650</v>
      </c>
      <c r="X595" t="s">
        <v>1659</v>
      </c>
      <c r="Y595" t="s">
        <v>1661</v>
      </c>
      <c r="Z595">
        <v>0</v>
      </c>
    </row>
    <row r="596" spans="1:26" x14ac:dyDescent="0.35">
      <c r="A596" t="s">
        <v>513</v>
      </c>
      <c r="B596" s="6">
        <v>43826</v>
      </c>
      <c r="C596" t="s">
        <v>23</v>
      </c>
      <c r="D596">
        <v>30</v>
      </c>
      <c r="E596" t="s">
        <v>24</v>
      </c>
      <c r="F596" t="s">
        <v>25</v>
      </c>
      <c r="G596" t="s">
        <v>32</v>
      </c>
      <c r="H596" t="s">
        <v>45</v>
      </c>
      <c r="I596" t="s">
        <v>77</v>
      </c>
      <c r="J596" t="s">
        <v>1635</v>
      </c>
      <c r="K596" t="s">
        <v>40</v>
      </c>
      <c r="L596">
        <v>60000</v>
      </c>
      <c r="M596">
        <v>7.3</v>
      </c>
      <c r="N596">
        <v>10.7</v>
      </c>
      <c r="O596">
        <v>6</v>
      </c>
      <c r="P596">
        <v>0.5</v>
      </c>
      <c r="Q596">
        <v>2</v>
      </c>
      <c r="R596">
        <v>2</v>
      </c>
      <c r="S596">
        <v>3</v>
      </c>
      <c r="T596" t="s">
        <v>23</v>
      </c>
      <c r="U596">
        <v>4</v>
      </c>
      <c r="W596" t="s">
        <v>1650</v>
      </c>
      <c r="X596" t="s">
        <v>1659</v>
      </c>
      <c r="Y596" t="s">
        <v>1661</v>
      </c>
      <c r="Z596">
        <v>0</v>
      </c>
    </row>
    <row r="597" spans="1:26" x14ac:dyDescent="0.35">
      <c r="A597" t="s">
        <v>1093</v>
      </c>
      <c r="B597" s="6">
        <v>43986</v>
      </c>
      <c r="C597" t="s">
        <v>23</v>
      </c>
      <c r="D597">
        <v>26</v>
      </c>
      <c r="E597" t="s">
        <v>24</v>
      </c>
      <c r="F597" t="s">
        <v>42</v>
      </c>
      <c r="G597" t="s">
        <v>58</v>
      </c>
      <c r="H597" t="s">
        <v>45</v>
      </c>
      <c r="I597" t="s">
        <v>46</v>
      </c>
      <c r="J597" t="s">
        <v>1632</v>
      </c>
      <c r="K597" t="s">
        <v>66</v>
      </c>
      <c r="L597">
        <v>23000</v>
      </c>
      <c r="M597">
        <v>10.4</v>
      </c>
      <c r="N597">
        <v>11.4</v>
      </c>
      <c r="O597">
        <v>5.6</v>
      </c>
      <c r="P597">
        <v>5.5</v>
      </c>
      <c r="Q597">
        <v>3</v>
      </c>
      <c r="R597">
        <v>2</v>
      </c>
      <c r="S597">
        <v>3</v>
      </c>
      <c r="T597" t="s">
        <v>30</v>
      </c>
      <c r="U597">
        <v>1</v>
      </c>
      <c r="W597" t="s">
        <v>1650</v>
      </c>
      <c r="X597" t="s">
        <v>1655</v>
      </c>
      <c r="Y597" t="s">
        <v>1661</v>
      </c>
      <c r="Z597">
        <v>0</v>
      </c>
    </row>
    <row r="598" spans="1:26" x14ac:dyDescent="0.35">
      <c r="A598" t="s">
        <v>91</v>
      </c>
      <c r="B598" s="6">
        <v>42847</v>
      </c>
      <c r="C598" t="s">
        <v>23</v>
      </c>
      <c r="D598">
        <v>33</v>
      </c>
      <c r="E598" t="s">
        <v>24</v>
      </c>
      <c r="F598" t="s">
        <v>42</v>
      </c>
      <c r="G598" t="s">
        <v>26</v>
      </c>
      <c r="H598" t="s">
        <v>68</v>
      </c>
      <c r="I598" t="s">
        <v>69</v>
      </c>
      <c r="J598" t="s">
        <v>1633</v>
      </c>
      <c r="K598" t="s">
        <v>66</v>
      </c>
      <c r="L598">
        <v>46000</v>
      </c>
      <c r="M598">
        <v>8.1</v>
      </c>
      <c r="N598">
        <v>16.100000000000001</v>
      </c>
      <c r="O598">
        <v>8.6999999999999993</v>
      </c>
      <c r="P598">
        <v>3</v>
      </c>
      <c r="Q598">
        <v>1</v>
      </c>
      <c r="R598">
        <v>1</v>
      </c>
      <c r="S598">
        <v>3</v>
      </c>
      <c r="T598" t="s">
        <v>23</v>
      </c>
      <c r="U598">
        <v>4</v>
      </c>
      <c r="W598" t="s">
        <v>1650</v>
      </c>
      <c r="X598" t="s">
        <v>1656</v>
      </c>
      <c r="Y598" t="s">
        <v>1662</v>
      </c>
      <c r="Z598">
        <v>0</v>
      </c>
    </row>
    <row r="599" spans="1:26" x14ac:dyDescent="0.35">
      <c r="A599" t="s">
        <v>332</v>
      </c>
      <c r="B599" s="6">
        <v>44214</v>
      </c>
      <c r="C599" t="s">
        <v>23</v>
      </c>
      <c r="D599">
        <v>39</v>
      </c>
      <c r="E599" t="s">
        <v>36</v>
      </c>
      <c r="F599" t="s">
        <v>37</v>
      </c>
      <c r="G599" t="s">
        <v>32</v>
      </c>
      <c r="H599" t="s">
        <v>38</v>
      </c>
      <c r="I599" t="s">
        <v>139</v>
      </c>
      <c r="J599" t="s">
        <v>1635</v>
      </c>
      <c r="K599" t="s">
        <v>50</v>
      </c>
      <c r="L599">
        <v>96000</v>
      </c>
      <c r="M599">
        <v>1.6</v>
      </c>
      <c r="N599">
        <v>6.3</v>
      </c>
      <c r="O599">
        <v>5</v>
      </c>
      <c r="P599">
        <v>3.8</v>
      </c>
      <c r="Q599">
        <v>4</v>
      </c>
      <c r="S599">
        <v>4</v>
      </c>
      <c r="T599" t="s">
        <v>23</v>
      </c>
      <c r="U599">
        <v>3</v>
      </c>
      <c r="W599" t="s">
        <v>1649</v>
      </c>
      <c r="X599" t="s">
        <v>1657</v>
      </c>
      <c r="Y599" t="s">
        <v>1661</v>
      </c>
      <c r="Z599">
        <v>0</v>
      </c>
    </row>
    <row r="600" spans="1:26" x14ac:dyDescent="0.35">
      <c r="A600" t="s">
        <v>420</v>
      </c>
      <c r="B600" s="6">
        <v>45329</v>
      </c>
      <c r="C600" t="s">
        <v>23</v>
      </c>
      <c r="D600">
        <v>23</v>
      </c>
      <c r="E600" t="s">
        <v>36</v>
      </c>
      <c r="F600" t="s">
        <v>25</v>
      </c>
      <c r="G600" t="s">
        <v>26</v>
      </c>
      <c r="H600" t="s">
        <v>55</v>
      </c>
      <c r="I600" t="s">
        <v>179</v>
      </c>
      <c r="J600" t="s">
        <v>1632</v>
      </c>
      <c r="K600" t="s">
        <v>40</v>
      </c>
      <c r="L600">
        <v>33000</v>
      </c>
      <c r="M600">
        <v>8.6999999999999993</v>
      </c>
      <c r="N600">
        <v>5.9</v>
      </c>
      <c r="O600">
        <v>1.9</v>
      </c>
      <c r="P600">
        <v>1.4</v>
      </c>
      <c r="Q600">
        <v>4</v>
      </c>
      <c r="R600">
        <v>3</v>
      </c>
      <c r="S600">
        <v>4</v>
      </c>
      <c r="T600" t="s">
        <v>30</v>
      </c>
      <c r="U600">
        <v>3</v>
      </c>
      <c r="W600" t="s">
        <v>1651</v>
      </c>
      <c r="X600" t="s">
        <v>1655</v>
      </c>
      <c r="Y600" t="s">
        <v>1665</v>
      </c>
      <c r="Z600">
        <v>0</v>
      </c>
    </row>
    <row r="601" spans="1:26" x14ac:dyDescent="0.35">
      <c r="A601" t="s">
        <v>1354</v>
      </c>
      <c r="B601" s="6">
        <v>44607</v>
      </c>
      <c r="C601" t="s">
        <v>23</v>
      </c>
      <c r="D601">
        <v>27</v>
      </c>
      <c r="E601" t="s">
        <v>24</v>
      </c>
      <c r="F601" t="s">
        <v>25</v>
      </c>
      <c r="G601" t="s">
        <v>26</v>
      </c>
      <c r="H601" t="s">
        <v>55</v>
      </c>
      <c r="I601" t="s">
        <v>56</v>
      </c>
      <c r="J601" t="s">
        <v>1632</v>
      </c>
      <c r="K601" t="s">
        <v>50</v>
      </c>
      <c r="L601">
        <v>30000</v>
      </c>
      <c r="M601">
        <v>9.8000000000000007</v>
      </c>
      <c r="N601">
        <v>6.1</v>
      </c>
      <c r="O601">
        <v>3.9</v>
      </c>
      <c r="P601">
        <v>0.5</v>
      </c>
      <c r="Q601">
        <v>3</v>
      </c>
      <c r="R601">
        <v>4</v>
      </c>
      <c r="S601">
        <v>1</v>
      </c>
      <c r="T601" t="s">
        <v>23</v>
      </c>
      <c r="U601">
        <v>5</v>
      </c>
      <c r="W601" t="s">
        <v>1650</v>
      </c>
      <c r="X601" t="s">
        <v>1655</v>
      </c>
      <c r="Y601" t="s">
        <v>1661</v>
      </c>
      <c r="Z601">
        <v>0</v>
      </c>
    </row>
    <row r="602" spans="1:26" x14ac:dyDescent="0.35">
      <c r="A602" t="s">
        <v>526</v>
      </c>
      <c r="B602" s="6">
        <v>43179</v>
      </c>
      <c r="C602" t="s">
        <v>23</v>
      </c>
      <c r="D602">
        <v>28</v>
      </c>
      <c r="E602" t="s">
        <v>62</v>
      </c>
      <c r="F602" t="s">
        <v>37</v>
      </c>
      <c r="G602" t="s">
        <v>58</v>
      </c>
      <c r="H602" t="s">
        <v>45</v>
      </c>
      <c r="I602" t="s">
        <v>77</v>
      </c>
      <c r="J602" t="s">
        <v>1635</v>
      </c>
      <c r="K602" t="s">
        <v>40</v>
      </c>
      <c r="L602">
        <v>74000</v>
      </c>
      <c r="M602">
        <v>6.8</v>
      </c>
      <c r="N602">
        <v>9.9</v>
      </c>
      <c r="O602">
        <v>7.8</v>
      </c>
      <c r="P602">
        <v>0.8</v>
      </c>
      <c r="Q602">
        <v>4</v>
      </c>
      <c r="R602">
        <v>4</v>
      </c>
      <c r="S602">
        <v>3</v>
      </c>
      <c r="T602" t="s">
        <v>23</v>
      </c>
      <c r="U602">
        <v>5</v>
      </c>
      <c r="W602" t="s">
        <v>1650</v>
      </c>
      <c r="X602" t="s">
        <v>1659</v>
      </c>
      <c r="Y602" t="s">
        <v>1662</v>
      </c>
      <c r="Z602">
        <v>0</v>
      </c>
    </row>
    <row r="603" spans="1:26" x14ac:dyDescent="0.35">
      <c r="A603" t="s">
        <v>1370</v>
      </c>
      <c r="B603" s="6">
        <v>41761</v>
      </c>
      <c r="C603" t="s">
        <v>23</v>
      </c>
      <c r="D603">
        <v>45</v>
      </c>
      <c r="E603" t="s">
        <v>62</v>
      </c>
      <c r="F603" t="s">
        <v>25</v>
      </c>
      <c r="G603" t="s">
        <v>32</v>
      </c>
      <c r="H603" t="s">
        <v>45</v>
      </c>
      <c r="I603" t="s">
        <v>77</v>
      </c>
      <c r="J603" t="s">
        <v>1633</v>
      </c>
      <c r="K603" t="s">
        <v>34</v>
      </c>
      <c r="L603">
        <v>62000</v>
      </c>
      <c r="M603">
        <v>3.8</v>
      </c>
      <c r="N603">
        <v>17.899999999999999</v>
      </c>
      <c r="O603">
        <v>11.7</v>
      </c>
      <c r="P603">
        <v>0.6</v>
      </c>
      <c r="Q603">
        <v>4</v>
      </c>
      <c r="R603">
        <v>4</v>
      </c>
      <c r="S603">
        <v>3</v>
      </c>
      <c r="T603" t="s">
        <v>23</v>
      </c>
      <c r="U603">
        <v>4</v>
      </c>
      <c r="W603" t="s">
        <v>1649</v>
      </c>
      <c r="X603" t="s">
        <v>1659</v>
      </c>
      <c r="Y603" t="s">
        <v>1663</v>
      </c>
      <c r="Z603">
        <v>0</v>
      </c>
    </row>
    <row r="604" spans="1:26" x14ac:dyDescent="0.35">
      <c r="A604" t="s">
        <v>216</v>
      </c>
      <c r="B604" s="6">
        <v>43427</v>
      </c>
      <c r="C604" t="s">
        <v>23</v>
      </c>
      <c r="D604">
        <v>39</v>
      </c>
      <c r="E604" t="s">
        <v>24</v>
      </c>
      <c r="F604" t="s">
        <v>42</v>
      </c>
      <c r="G604" t="s">
        <v>32</v>
      </c>
      <c r="H604" t="s">
        <v>55</v>
      </c>
      <c r="I604" t="s">
        <v>88</v>
      </c>
      <c r="J604" t="s">
        <v>1633</v>
      </c>
      <c r="K604" t="s">
        <v>40</v>
      </c>
      <c r="L604">
        <v>51000</v>
      </c>
      <c r="M604">
        <v>12.3</v>
      </c>
      <c r="N604">
        <v>9</v>
      </c>
      <c r="O604">
        <v>7.1</v>
      </c>
      <c r="P604">
        <v>4.4000000000000004</v>
      </c>
      <c r="Q604">
        <v>4</v>
      </c>
      <c r="R604">
        <v>3</v>
      </c>
      <c r="S604">
        <v>4</v>
      </c>
      <c r="T604" t="s">
        <v>23</v>
      </c>
      <c r="U604">
        <v>2</v>
      </c>
      <c r="W604" t="s">
        <v>1649</v>
      </c>
      <c r="X604" t="s">
        <v>1656</v>
      </c>
      <c r="Y604" t="s">
        <v>1662</v>
      </c>
      <c r="Z604">
        <v>0</v>
      </c>
    </row>
    <row r="605" spans="1:26" x14ac:dyDescent="0.35">
      <c r="A605" t="s">
        <v>659</v>
      </c>
      <c r="B605" s="6">
        <v>44293</v>
      </c>
      <c r="C605" t="s">
        <v>23</v>
      </c>
      <c r="D605">
        <v>25</v>
      </c>
      <c r="E605" t="s">
        <v>36</v>
      </c>
      <c r="F605" t="s">
        <v>37</v>
      </c>
      <c r="G605" t="s">
        <v>54</v>
      </c>
      <c r="H605" t="s">
        <v>55</v>
      </c>
      <c r="I605" t="s">
        <v>80</v>
      </c>
      <c r="J605" t="s">
        <v>1632</v>
      </c>
      <c r="K605" t="s">
        <v>29</v>
      </c>
      <c r="L605">
        <v>31000</v>
      </c>
      <c r="M605">
        <v>13.1</v>
      </c>
      <c r="N605">
        <v>11.8</v>
      </c>
      <c r="O605">
        <v>4.7</v>
      </c>
      <c r="P605">
        <v>3.8</v>
      </c>
      <c r="Q605">
        <v>3</v>
      </c>
      <c r="R605">
        <v>3</v>
      </c>
      <c r="S605">
        <v>2</v>
      </c>
      <c r="T605" t="s">
        <v>30</v>
      </c>
      <c r="U605">
        <v>2</v>
      </c>
      <c r="W605" t="s">
        <v>1651</v>
      </c>
      <c r="X605" t="s">
        <v>1655</v>
      </c>
      <c r="Y605" t="s">
        <v>1661</v>
      </c>
      <c r="Z605">
        <v>0</v>
      </c>
    </row>
    <row r="606" spans="1:26" x14ac:dyDescent="0.35">
      <c r="A606" t="s">
        <v>1277</v>
      </c>
      <c r="B606" s="6">
        <v>45326</v>
      </c>
      <c r="C606" t="s">
        <v>30</v>
      </c>
      <c r="D606">
        <v>37</v>
      </c>
      <c r="E606" t="s">
        <v>24</v>
      </c>
      <c r="F606" t="s">
        <v>37</v>
      </c>
      <c r="G606" t="s">
        <v>58</v>
      </c>
      <c r="H606" t="s">
        <v>48</v>
      </c>
      <c r="I606" t="s">
        <v>63</v>
      </c>
      <c r="J606" t="s">
        <v>1635</v>
      </c>
      <c r="K606" t="s">
        <v>40</v>
      </c>
      <c r="L606">
        <v>83000</v>
      </c>
      <c r="M606">
        <v>10.6</v>
      </c>
      <c r="N606">
        <v>1.6</v>
      </c>
      <c r="O606">
        <v>1.4</v>
      </c>
      <c r="P606">
        <v>1.2</v>
      </c>
      <c r="Q606">
        <v>1</v>
      </c>
      <c r="R606">
        <v>4</v>
      </c>
      <c r="S606">
        <v>3</v>
      </c>
      <c r="T606" t="s">
        <v>23</v>
      </c>
      <c r="U606">
        <v>1</v>
      </c>
      <c r="V606" s="7">
        <v>45854</v>
      </c>
      <c r="W606" t="s">
        <v>1649</v>
      </c>
      <c r="X606" t="s">
        <v>1657</v>
      </c>
      <c r="Y606" t="s">
        <v>1665</v>
      </c>
      <c r="Z606">
        <v>1</v>
      </c>
    </row>
    <row r="607" spans="1:26" x14ac:dyDescent="0.35">
      <c r="A607" t="s">
        <v>965</v>
      </c>
      <c r="B607" s="6">
        <v>45873</v>
      </c>
      <c r="C607" t="s">
        <v>23</v>
      </c>
      <c r="D607">
        <v>40</v>
      </c>
      <c r="E607" t="s">
        <v>24</v>
      </c>
      <c r="F607" t="s">
        <v>42</v>
      </c>
      <c r="G607" t="s">
        <v>58</v>
      </c>
      <c r="H607" t="s">
        <v>45</v>
      </c>
      <c r="I607" t="s">
        <v>164</v>
      </c>
      <c r="J607" t="s">
        <v>1635</v>
      </c>
      <c r="K607" t="s">
        <v>34</v>
      </c>
      <c r="L607">
        <v>83000</v>
      </c>
      <c r="M607">
        <v>8.1</v>
      </c>
      <c r="N607">
        <v>7.2</v>
      </c>
      <c r="O607">
        <v>0.4</v>
      </c>
      <c r="P607">
        <v>0</v>
      </c>
      <c r="Q607">
        <v>3</v>
      </c>
      <c r="R607">
        <v>2</v>
      </c>
      <c r="S607">
        <v>3</v>
      </c>
      <c r="T607" t="s">
        <v>23</v>
      </c>
      <c r="U607">
        <v>5</v>
      </c>
      <c r="W607" t="s">
        <v>1649</v>
      </c>
      <c r="X607" t="s">
        <v>1657</v>
      </c>
      <c r="Y607" t="s">
        <v>1664</v>
      </c>
      <c r="Z607">
        <v>0</v>
      </c>
    </row>
    <row r="608" spans="1:26" x14ac:dyDescent="0.35">
      <c r="A608" t="s">
        <v>701</v>
      </c>
      <c r="B608" s="6">
        <v>45878</v>
      </c>
      <c r="C608" t="s">
        <v>30</v>
      </c>
      <c r="D608">
        <v>22</v>
      </c>
      <c r="E608" t="s">
        <v>24</v>
      </c>
      <c r="F608" t="s">
        <v>37</v>
      </c>
      <c r="G608" t="s">
        <v>32</v>
      </c>
      <c r="H608" t="s">
        <v>55</v>
      </c>
      <c r="I608" t="s">
        <v>179</v>
      </c>
      <c r="J608" t="s">
        <v>1632</v>
      </c>
      <c r="K608" t="s">
        <v>34</v>
      </c>
      <c r="L608">
        <v>44000</v>
      </c>
      <c r="M608">
        <v>11.3</v>
      </c>
      <c r="N608">
        <v>1</v>
      </c>
      <c r="O608">
        <v>0.2</v>
      </c>
      <c r="P608">
        <v>0</v>
      </c>
      <c r="Q608">
        <v>3</v>
      </c>
      <c r="R608">
        <v>3</v>
      </c>
      <c r="S608">
        <v>4</v>
      </c>
      <c r="T608" t="s">
        <v>23</v>
      </c>
      <c r="U608">
        <v>2</v>
      </c>
      <c r="V608" s="7">
        <v>45943</v>
      </c>
      <c r="W608" t="s">
        <v>1651</v>
      </c>
      <c r="X608" t="s">
        <v>1656</v>
      </c>
      <c r="Y608" t="s">
        <v>1664</v>
      </c>
      <c r="Z608">
        <v>1</v>
      </c>
    </row>
    <row r="609" spans="1:26" x14ac:dyDescent="0.35">
      <c r="A609" t="s">
        <v>1198</v>
      </c>
      <c r="B609" s="6">
        <v>44687</v>
      </c>
      <c r="C609" t="s">
        <v>23</v>
      </c>
      <c r="D609">
        <v>41</v>
      </c>
      <c r="E609" t="s">
        <v>36</v>
      </c>
      <c r="F609" t="s">
        <v>42</v>
      </c>
      <c r="G609" t="s">
        <v>26</v>
      </c>
      <c r="H609" t="s">
        <v>48</v>
      </c>
      <c r="I609" t="s">
        <v>49</v>
      </c>
      <c r="J609" t="s">
        <v>1633</v>
      </c>
      <c r="K609" t="s">
        <v>66</v>
      </c>
      <c r="L609">
        <v>52000</v>
      </c>
      <c r="M609">
        <v>11.3</v>
      </c>
      <c r="N609">
        <v>9.4</v>
      </c>
      <c r="O609">
        <v>3.7</v>
      </c>
      <c r="P609">
        <v>3.3</v>
      </c>
      <c r="Q609">
        <v>3</v>
      </c>
      <c r="R609">
        <v>3</v>
      </c>
      <c r="S609">
        <v>4</v>
      </c>
      <c r="T609" t="s">
        <v>23</v>
      </c>
      <c r="U609">
        <v>3</v>
      </c>
      <c r="W609" t="s">
        <v>1649</v>
      </c>
      <c r="X609" t="s">
        <v>1656</v>
      </c>
      <c r="Y609" t="s">
        <v>1661</v>
      </c>
      <c r="Z609">
        <v>0</v>
      </c>
    </row>
    <row r="610" spans="1:26" x14ac:dyDescent="0.35">
      <c r="A610" t="s">
        <v>1168</v>
      </c>
      <c r="B610" s="6">
        <v>41961</v>
      </c>
      <c r="C610" t="s">
        <v>30</v>
      </c>
      <c r="D610">
        <v>33</v>
      </c>
      <c r="E610" t="s">
        <v>36</v>
      </c>
      <c r="F610" t="s">
        <v>25</v>
      </c>
      <c r="G610" t="s">
        <v>58</v>
      </c>
      <c r="H610" t="s">
        <v>68</v>
      </c>
      <c r="I610" t="s">
        <v>102</v>
      </c>
      <c r="J610" t="s">
        <v>1633</v>
      </c>
      <c r="K610" t="s">
        <v>84</v>
      </c>
      <c r="L610">
        <v>51000</v>
      </c>
      <c r="M610">
        <v>9.9</v>
      </c>
      <c r="N610">
        <v>15</v>
      </c>
      <c r="O610">
        <v>10.7</v>
      </c>
      <c r="P610">
        <v>3.6</v>
      </c>
      <c r="Q610">
        <v>1</v>
      </c>
      <c r="R610">
        <v>3</v>
      </c>
      <c r="S610">
        <v>2</v>
      </c>
      <c r="T610" t="s">
        <v>30</v>
      </c>
      <c r="U610">
        <v>4</v>
      </c>
      <c r="V610" s="7">
        <v>45877</v>
      </c>
      <c r="W610" t="s">
        <v>1650</v>
      </c>
      <c r="X610" t="s">
        <v>1656</v>
      </c>
      <c r="Y610" t="s">
        <v>1663</v>
      </c>
      <c r="Z610">
        <v>1</v>
      </c>
    </row>
    <row r="611" spans="1:26" x14ac:dyDescent="0.35">
      <c r="A611" t="s">
        <v>1215</v>
      </c>
      <c r="B611" s="6">
        <v>43085</v>
      </c>
      <c r="C611" t="s">
        <v>23</v>
      </c>
      <c r="D611">
        <v>32</v>
      </c>
      <c r="E611" t="s">
        <v>36</v>
      </c>
      <c r="F611" t="s">
        <v>37</v>
      </c>
      <c r="G611" t="s">
        <v>54</v>
      </c>
      <c r="H611" t="s">
        <v>38</v>
      </c>
      <c r="I611" t="s">
        <v>39</v>
      </c>
      <c r="J611" t="s">
        <v>1636</v>
      </c>
      <c r="K611" t="s">
        <v>34</v>
      </c>
      <c r="L611">
        <v>132000</v>
      </c>
      <c r="M611">
        <v>7.3</v>
      </c>
      <c r="N611">
        <v>8.6999999999999993</v>
      </c>
      <c r="O611">
        <v>8</v>
      </c>
      <c r="P611">
        <v>0</v>
      </c>
      <c r="Q611">
        <v>4</v>
      </c>
      <c r="R611">
        <v>4</v>
      </c>
      <c r="S611">
        <v>2</v>
      </c>
      <c r="T611" t="s">
        <v>23</v>
      </c>
      <c r="U611">
        <v>4</v>
      </c>
      <c r="W611" t="s">
        <v>1650</v>
      </c>
      <c r="X611" t="s">
        <v>1658</v>
      </c>
      <c r="Y611" t="s">
        <v>1662</v>
      </c>
      <c r="Z611">
        <v>0</v>
      </c>
    </row>
    <row r="612" spans="1:26" x14ac:dyDescent="0.35">
      <c r="A612" t="s">
        <v>358</v>
      </c>
      <c r="B612" s="6">
        <v>45429</v>
      </c>
      <c r="C612" t="s">
        <v>23</v>
      </c>
      <c r="D612">
        <v>45</v>
      </c>
      <c r="E612" t="s">
        <v>36</v>
      </c>
      <c r="F612" t="s">
        <v>25</v>
      </c>
      <c r="G612" t="s">
        <v>54</v>
      </c>
      <c r="H612" t="s">
        <v>45</v>
      </c>
      <c r="I612" t="s">
        <v>46</v>
      </c>
      <c r="J612" t="s">
        <v>1636</v>
      </c>
      <c r="K612" t="s">
        <v>66</v>
      </c>
      <c r="L612">
        <v>116000</v>
      </c>
      <c r="M612">
        <v>3.8</v>
      </c>
      <c r="N612">
        <v>4.2</v>
      </c>
      <c r="O612">
        <v>1.6</v>
      </c>
      <c r="P612">
        <v>0.2</v>
      </c>
      <c r="Q612">
        <v>3</v>
      </c>
      <c r="R612">
        <v>4</v>
      </c>
      <c r="S612">
        <v>3</v>
      </c>
      <c r="T612" t="s">
        <v>23</v>
      </c>
      <c r="U612">
        <v>3</v>
      </c>
      <c r="W612" t="s">
        <v>1649</v>
      </c>
      <c r="X612" t="s">
        <v>1658</v>
      </c>
      <c r="Y612" t="s">
        <v>1665</v>
      </c>
      <c r="Z612">
        <v>0</v>
      </c>
    </row>
    <row r="613" spans="1:26" x14ac:dyDescent="0.35">
      <c r="A613" t="s">
        <v>952</v>
      </c>
      <c r="B613" s="6">
        <v>42913</v>
      </c>
      <c r="C613" t="s">
        <v>23</v>
      </c>
      <c r="D613">
        <v>29</v>
      </c>
      <c r="E613" t="s">
        <v>62</v>
      </c>
      <c r="F613" t="s">
        <v>42</v>
      </c>
      <c r="G613" t="s">
        <v>32</v>
      </c>
      <c r="H613" t="s">
        <v>1634</v>
      </c>
      <c r="I613" t="s">
        <v>150</v>
      </c>
      <c r="J613" t="s">
        <v>1633</v>
      </c>
      <c r="K613" t="s">
        <v>29</v>
      </c>
      <c r="L613">
        <v>54000</v>
      </c>
      <c r="M613">
        <v>10.199999999999999</v>
      </c>
      <c r="N613">
        <v>12.8</v>
      </c>
      <c r="O613">
        <v>8.5</v>
      </c>
      <c r="P613">
        <v>3</v>
      </c>
      <c r="Q613">
        <v>3</v>
      </c>
      <c r="R613">
        <v>3</v>
      </c>
      <c r="S613">
        <v>2</v>
      </c>
      <c r="T613" t="s">
        <v>23</v>
      </c>
      <c r="U613">
        <v>2</v>
      </c>
      <c r="W613" t="s">
        <v>1650</v>
      </c>
      <c r="X613" t="s">
        <v>1656</v>
      </c>
      <c r="Y613" t="s">
        <v>1662</v>
      </c>
      <c r="Z613">
        <v>0</v>
      </c>
    </row>
    <row r="614" spans="1:26" x14ac:dyDescent="0.35">
      <c r="A614" t="s">
        <v>145</v>
      </c>
      <c r="B614" s="6">
        <v>45341</v>
      </c>
      <c r="C614" t="s">
        <v>23</v>
      </c>
      <c r="D614">
        <v>28</v>
      </c>
      <c r="E614" t="s">
        <v>24</v>
      </c>
      <c r="F614" t="s">
        <v>42</v>
      </c>
      <c r="G614" t="s">
        <v>54</v>
      </c>
      <c r="H614" t="s">
        <v>38</v>
      </c>
      <c r="I614" t="s">
        <v>139</v>
      </c>
      <c r="J614" t="s">
        <v>1633</v>
      </c>
      <c r="K614" t="s">
        <v>40</v>
      </c>
      <c r="L614">
        <v>53000</v>
      </c>
      <c r="M614">
        <v>5.3</v>
      </c>
      <c r="N614">
        <v>2.9</v>
      </c>
      <c r="O614">
        <v>1.9</v>
      </c>
      <c r="P614">
        <v>0.2</v>
      </c>
      <c r="Q614">
        <v>3</v>
      </c>
      <c r="R614">
        <v>4</v>
      </c>
      <c r="S614">
        <v>3</v>
      </c>
      <c r="T614" t="s">
        <v>23</v>
      </c>
      <c r="U614">
        <v>4</v>
      </c>
      <c r="W614" t="s">
        <v>1650</v>
      </c>
      <c r="X614" t="s">
        <v>1656</v>
      </c>
      <c r="Y614" t="s">
        <v>1665</v>
      </c>
      <c r="Z614">
        <v>0</v>
      </c>
    </row>
    <row r="615" spans="1:26" x14ac:dyDescent="0.35">
      <c r="A615" t="s">
        <v>1326</v>
      </c>
      <c r="B615" s="6">
        <v>42375</v>
      </c>
      <c r="C615" t="s">
        <v>23</v>
      </c>
      <c r="D615">
        <v>33</v>
      </c>
      <c r="E615" t="s">
        <v>62</v>
      </c>
      <c r="F615" t="s">
        <v>37</v>
      </c>
      <c r="G615" t="s">
        <v>26</v>
      </c>
      <c r="H615" t="s">
        <v>1634</v>
      </c>
      <c r="I615" t="s">
        <v>60</v>
      </c>
      <c r="J615" t="s">
        <v>1633</v>
      </c>
      <c r="K615" t="s">
        <v>34</v>
      </c>
      <c r="L615">
        <v>45000</v>
      </c>
      <c r="M615">
        <v>11.7</v>
      </c>
      <c r="N615">
        <v>15.6</v>
      </c>
      <c r="O615">
        <v>10</v>
      </c>
      <c r="P615">
        <v>2.2999999999999998</v>
      </c>
      <c r="Q615">
        <v>2</v>
      </c>
      <c r="R615">
        <v>1</v>
      </c>
      <c r="S615">
        <v>4</v>
      </c>
      <c r="T615" t="s">
        <v>30</v>
      </c>
      <c r="U615">
        <v>3</v>
      </c>
      <c r="W615" t="s">
        <v>1650</v>
      </c>
      <c r="X615" t="s">
        <v>1656</v>
      </c>
      <c r="Y615" t="s">
        <v>1662</v>
      </c>
      <c r="Z615">
        <v>0</v>
      </c>
    </row>
    <row r="616" spans="1:26" x14ac:dyDescent="0.35">
      <c r="A616" t="s">
        <v>1050</v>
      </c>
      <c r="B616" s="6">
        <v>44752</v>
      </c>
      <c r="C616" t="s">
        <v>23</v>
      </c>
      <c r="D616">
        <v>29</v>
      </c>
      <c r="E616" t="s">
        <v>62</v>
      </c>
      <c r="F616" t="s">
        <v>42</v>
      </c>
      <c r="G616" t="s">
        <v>54</v>
      </c>
      <c r="H616" t="s">
        <v>1634</v>
      </c>
      <c r="I616" t="s">
        <v>86</v>
      </c>
      <c r="J616" t="s">
        <v>1632</v>
      </c>
      <c r="K616" t="s">
        <v>34</v>
      </c>
      <c r="L616">
        <v>35000</v>
      </c>
      <c r="M616">
        <v>11</v>
      </c>
      <c r="N616">
        <v>10</v>
      </c>
      <c r="O616">
        <v>3.5</v>
      </c>
      <c r="P616">
        <v>0.5</v>
      </c>
      <c r="Q616">
        <v>1</v>
      </c>
      <c r="R616">
        <v>2</v>
      </c>
      <c r="S616">
        <v>3</v>
      </c>
      <c r="T616" t="s">
        <v>30</v>
      </c>
      <c r="U616">
        <v>4</v>
      </c>
      <c r="W616" t="s">
        <v>1650</v>
      </c>
      <c r="X616" t="s">
        <v>1655</v>
      </c>
      <c r="Y616" t="s">
        <v>1661</v>
      </c>
      <c r="Z616">
        <v>0</v>
      </c>
    </row>
    <row r="617" spans="1:26" x14ac:dyDescent="0.35">
      <c r="A617" t="s">
        <v>570</v>
      </c>
      <c r="B617" s="6">
        <v>43157</v>
      </c>
      <c r="C617" t="s">
        <v>30</v>
      </c>
      <c r="D617">
        <v>34</v>
      </c>
      <c r="E617" t="s">
        <v>62</v>
      </c>
      <c r="F617" t="s">
        <v>42</v>
      </c>
      <c r="G617" t="s">
        <v>58</v>
      </c>
      <c r="H617" t="s">
        <v>45</v>
      </c>
      <c r="I617" t="s">
        <v>77</v>
      </c>
      <c r="J617" t="s">
        <v>1633</v>
      </c>
      <c r="K617" t="s">
        <v>66</v>
      </c>
      <c r="L617">
        <v>56000</v>
      </c>
      <c r="M617">
        <v>10.9</v>
      </c>
      <c r="N617">
        <v>8</v>
      </c>
      <c r="O617">
        <v>7.7</v>
      </c>
      <c r="P617">
        <v>4.5</v>
      </c>
      <c r="Q617">
        <v>2</v>
      </c>
      <c r="R617">
        <v>3</v>
      </c>
      <c r="S617">
        <v>1</v>
      </c>
      <c r="T617" t="s">
        <v>30</v>
      </c>
      <c r="U617">
        <v>4</v>
      </c>
      <c r="V617" s="7">
        <v>45986</v>
      </c>
      <c r="W617" t="s">
        <v>1650</v>
      </c>
      <c r="X617" t="s">
        <v>1656</v>
      </c>
      <c r="Y617" t="s">
        <v>1662</v>
      </c>
      <c r="Z617">
        <v>1</v>
      </c>
    </row>
    <row r="618" spans="1:26" x14ac:dyDescent="0.35">
      <c r="A618" t="s">
        <v>22</v>
      </c>
      <c r="B618" s="6">
        <v>44102</v>
      </c>
      <c r="C618" t="s">
        <v>23</v>
      </c>
      <c r="D618">
        <v>39</v>
      </c>
      <c r="E618" t="s">
        <v>24</v>
      </c>
      <c r="F618" t="s">
        <v>25</v>
      </c>
      <c r="G618" t="s">
        <v>26</v>
      </c>
      <c r="H618" t="s">
        <v>27</v>
      </c>
      <c r="I618" t="s">
        <v>28</v>
      </c>
      <c r="J618" t="s">
        <v>1635</v>
      </c>
      <c r="K618" t="s">
        <v>29</v>
      </c>
      <c r="L618">
        <v>82000</v>
      </c>
      <c r="M618">
        <v>5.9</v>
      </c>
      <c r="N618">
        <v>13.1</v>
      </c>
      <c r="O618">
        <v>5.3</v>
      </c>
      <c r="P618">
        <v>0.7</v>
      </c>
      <c r="Q618">
        <v>4</v>
      </c>
      <c r="R618">
        <v>2</v>
      </c>
      <c r="S618">
        <v>3</v>
      </c>
      <c r="T618" t="s">
        <v>30</v>
      </c>
      <c r="U618">
        <v>3</v>
      </c>
      <c r="W618" t="s">
        <v>1649</v>
      </c>
      <c r="X618" t="s">
        <v>1657</v>
      </c>
      <c r="Y618" t="s">
        <v>1661</v>
      </c>
      <c r="Z618">
        <v>0</v>
      </c>
    </row>
    <row r="619" spans="1:26" x14ac:dyDescent="0.35">
      <c r="A619" t="s">
        <v>333</v>
      </c>
      <c r="B619" s="6">
        <v>43170</v>
      </c>
      <c r="C619" t="s">
        <v>23</v>
      </c>
      <c r="D619">
        <v>38</v>
      </c>
      <c r="E619" t="s">
        <v>36</v>
      </c>
      <c r="F619" t="s">
        <v>1638</v>
      </c>
      <c r="G619" t="s">
        <v>32</v>
      </c>
      <c r="H619" t="s">
        <v>48</v>
      </c>
      <c r="I619" t="s">
        <v>201</v>
      </c>
      <c r="J619" t="s">
        <v>1633</v>
      </c>
      <c r="K619" t="s">
        <v>84</v>
      </c>
      <c r="L619">
        <v>53000</v>
      </c>
      <c r="M619">
        <v>13.3</v>
      </c>
      <c r="N619">
        <v>13</v>
      </c>
      <c r="O619">
        <v>7.8</v>
      </c>
      <c r="P619">
        <v>1.2</v>
      </c>
      <c r="Q619">
        <v>2</v>
      </c>
      <c r="R619">
        <v>2</v>
      </c>
      <c r="S619">
        <v>2</v>
      </c>
      <c r="T619" t="s">
        <v>334</v>
      </c>
      <c r="U619">
        <v>4</v>
      </c>
      <c r="W619" t="s">
        <v>1649</v>
      </c>
      <c r="X619" t="s">
        <v>1656</v>
      </c>
      <c r="Y619" t="s">
        <v>1662</v>
      </c>
      <c r="Z619">
        <v>0</v>
      </c>
    </row>
    <row r="620" spans="1:26" x14ac:dyDescent="0.35">
      <c r="A620" t="s">
        <v>242</v>
      </c>
      <c r="B620" s="6">
        <v>45753</v>
      </c>
      <c r="C620" t="s">
        <v>23</v>
      </c>
      <c r="D620">
        <v>27</v>
      </c>
      <c r="E620" t="s">
        <v>62</v>
      </c>
      <c r="F620" t="s">
        <v>37</v>
      </c>
      <c r="G620" t="s">
        <v>54</v>
      </c>
      <c r="H620" t="s">
        <v>55</v>
      </c>
      <c r="I620" t="s">
        <v>56</v>
      </c>
      <c r="J620" t="s">
        <v>1632</v>
      </c>
      <c r="K620" t="s">
        <v>50</v>
      </c>
      <c r="L620">
        <v>27000</v>
      </c>
      <c r="M620">
        <v>10.199999999999999</v>
      </c>
      <c r="N620">
        <v>5.2</v>
      </c>
      <c r="O620">
        <v>0.7</v>
      </c>
      <c r="P620">
        <v>0</v>
      </c>
      <c r="Q620">
        <v>4</v>
      </c>
      <c r="R620">
        <v>1</v>
      </c>
      <c r="S620">
        <v>3</v>
      </c>
      <c r="T620" t="s">
        <v>23</v>
      </c>
      <c r="U620">
        <v>5</v>
      </c>
      <c r="W620" t="s">
        <v>1650</v>
      </c>
      <c r="X620" t="s">
        <v>1655</v>
      </c>
      <c r="Y620" t="s">
        <v>1664</v>
      </c>
      <c r="Z620">
        <v>0</v>
      </c>
    </row>
    <row r="621" spans="1:26" x14ac:dyDescent="0.35">
      <c r="A621" t="s">
        <v>344</v>
      </c>
      <c r="B621" s="6">
        <v>44707</v>
      </c>
      <c r="C621" t="s">
        <v>23</v>
      </c>
      <c r="D621">
        <v>31</v>
      </c>
      <c r="E621" t="s">
        <v>62</v>
      </c>
      <c r="F621" t="s">
        <v>37</v>
      </c>
      <c r="G621" t="s">
        <v>58</v>
      </c>
      <c r="H621" t="s">
        <v>38</v>
      </c>
      <c r="I621" t="s">
        <v>39</v>
      </c>
      <c r="J621" t="s">
        <v>1632</v>
      </c>
      <c r="K621" t="s">
        <v>34</v>
      </c>
      <c r="L621">
        <v>51000</v>
      </c>
      <c r="M621">
        <v>3.6</v>
      </c>
      <c r="N621">
        <v>7.6</v>
      </c>
      <c r="O621">
        <v>3.6</v>
      </c>
      <c r="P621">
        <v>1.1000000000000001</v>
      </c>
      <c r="Q621">
        <v>4</v>
      </c>
      <c r="R621">
        <v>3</v>
      </c>
      <c r="S621">
        <v>3</v>
      </c>
      <c r="T621" t="s">
        <v>23</v>
      </c>
      <c r="U621">
        <v>2</v>
      </c>
      <c r="W621" t="s">
        <v>1650</v>
      </c>
      <c r="X621" t="s">
        <v>1656</v>
      </c>
      <c r="Y621" t="s">
        <v>1661</v>
      </c>
      <c r="Z621">
        <v>0</v>
      </c>
    </row>
    <row r="622" spans="1:26" x14ac:dyDescent="0.35">
      <c r="A622" t="s">
        <v>1470</v>
      </c>
      <c r="B622" s="6">
        <v>43450</v>
      </c>
      <c r="C622" t="s">
        <v>23</v>
      </c>
      <c r="D622">
        <v>29</v>
      </c>
      <c r="E622" t="s">
        <v>62</v>
      </c>
      <c r="F622" t="s">
        <v>37</v>
      </c>
      <c r="G622" t="s">
        <v>32</v>
      </c>
      <c r="H622" t="s">
        <v>45</v>
      </c>
      <c r="I622" t="s">
        <v>164</v>
      </c>
      <c r="J622" t="s">
        <v>1635</v>
      </c>
      <c r="K622" t="s">
        <v>40</v>
      </c>
      <c r="L622">
        <v>87000</v>
      </c>
      <c r="M622">
        <v>17</v>
      </c>
      <c r="N622">
        <v>14</v>
      </c>
      <c r="O622">
        <v>7</v>
      </c>
      <c r="P622">
        <v>0.2</v>
      </c>
      <c r="Q622">
        <v>4</v>
      </c>
      <c r="R622">
        <v>2</v>
      </c>
      <c r="S622">
        <v>3</v>
      </c>
      <c r="T622" t="s">
        <v>30</v>
      </c>
      <c r="U622">
        <v>2</v>
      </c>
      <c r="W622" t="s">
        <v>1650</v>
      </c>
      <c r="X622" t="s">
        <v>1657</v>
      </c>
      <c r="Y622" t="s">
        <v>1662</v>
      </c>
      <c r="Z622">
        <v>0</v>
      </c>
    </row>
    <row r="623" spans="1:26" x14ac:dyDescent="0.35">
      <c r="A623" t="s">
        <v>1519</v>
      </c>
      <c r="B623" s="6">
        <v>45401</v>
      </c>
      <c r="C623" t="s">
        <v>23</v>
      </c>
      <c r="D623">
        <v>29</v>
      </c>
      <c r="E623" t="s">
        <v>36</v>
      </c>
      <c r="F623" t="s">
        <v>25</v>
      </c>
      <c r="G623" t="s">
        <v>54</v>
      </c>
      <c r="H623" t="s">
        <v>1634</v>
      </c>
      <c r="I623" t="s">
        <v>86</v>
      </c>
      <c r="J623" t="s">
        <v>1635</v>
      </c>
      <c r="K623" t="s">
        <v>50</v>
      </c>
      <c r="L623">
        <v>83000</v>
      </c>
      <c r="M623">
        <v>7.5</v>
      </c>
      <c r="N623">
        <v>6.9</v>
      </c>
      <c r="O623">
        <v>1.7</v>
      </c>
      <c r="P623">
        <v>1.6</v>
      </c>
      <c r="Q623">
        <v>3</v>
      </c>
      <c r="R623">
        <v>3</v>
      </c>
      <c r="S623">
        <v>4</v>
      </c>
      <c r="T623" t="s">
        <v>23</v>
      </c>
      <c r="U623">
        <v>3</v>
      </c>
      <c r="W623" t="s">
        <v>1650</v>
      </c>
      <c r="X623" t="s">
        <v>1657</v>
      </c>
      <c r="Y623" t="s">
        <v>1665</v>
      </c>
      <c r="Z623">
        <v>0</v>
      </c>
    </row>
    <row r="624" spans="1:26" x14ac:dyDescent="0.35">
      <c r="A624" t="s">
        <v>1342</v>
      </c>
      <c r="B624" s="6">
        <v>41652</v>
      </c>
      <c r="C624" t="s">
        <v>23</v>
      </c>
      <c r="D624">
        <v>33</v>
      </c>
      <c r="E624" t="s">
        <v>24</v>
      </c>
      <c r="F624" t="s">
        <v>42</v>
      </c>
      <c r="G624" t="s">
        <v>26</v>
      </c>
      <c r="H624" t="s">
        <v>45</v>
      </c>
      <c r="I624" t="s">
        <v>46</v>
      </c>
      <c r="J624" t="s">
        <v>1633</v>
      </c>
      <c r="K624" t="s">
        <v>34</v>
      </c>
      <c r="L624">
        <v>32000</v>
      </c>
      <c r="M624">
        <v>8.9</v>
      </c>
      <c r="N624">
        <v>19.899999999999999</v>
      </c>
      <c r="O624">
        <v>12</v>
      </c>
      <c r="P624">
        <v>0.6</v>
      </c>
      <c r="Q624">
        <v>4</v>
      </c>
      <c r="R624">
        <v>1</v>
      </c>
      <c r="S624">
        <v>4</v>
      </c>
      <c r="T624" t="s">
        <v>23</v>
      </c>
      <c r="U624">
        <v>3</v>
      </c>
      <c r="W624" t="s">
        <v>1650</v>
      </c>
      <c r="X624" t="s">
        <v>1655</v>
      </c>
      <c r="Y624" t="s">
        <v>1663</v>
      </c>
      <c r="Z624">
        <v>0</v>
      </c>
    </row>
    <row r="625" spans="1:26" x14ac:dyDescent="0.35">
      <c r="A625" t="s">
        <v>228</v>
      </c>
      <c r="B625" s="6">
        <v>45341</v>
      </c>
      <c r="C625" t="s">
        <v>30</v>
      </c>
      <c r="D625">
        <v>30</v>
      </c>
      <c r="E625" t="s">
        <v>36</v>
      </c>
      <c r="F625" t="s">
        <v>25</v>
      </c>
      <c r="G625" t="s">
        <v>32</v>
      </c>
      <c r="H625" t="s">
        <v>68</v>
      </c>
      <c r="I625" t="s">
        <v>109</v>
      </c>
      <c r="J625" t="s">
        <v>1636</v>
      </c>
      <c r="K625" t="s">
        <v>50</v>
      </c>
      <c r="L625">
        <v>123000</v>
      </c>
      <c r="M625">
        <v>4</v>
      </c>
      <c r="N625">
        <v>6.8</v>
      </c>
      <c r="O625">
        <v>1.1000000000000001</v>
      </c>
      <c r="P625">
        <v>0.5</v>
      </c>
      <c r="Q625">
        <v>3</v>
      </c>
      <c r="R625">
        <v>4</v>
      </c>
      <c r="S625">
        <v>4</v>
      </c>
      <c r="T625" t="s">
        <v>23</v>
      </c>
      <c r="U625">
        <v>4</v>
      </c>
      <c r="V625" s="7">
        <v>45749</v>
      </c>
      <c r="W625" t="s">
        <v>1650</v>
      </c>
      <c r="X625" t="s">
        <v>1658</v>
      </c>
      <c r="Y625" t="s">
        <v>1665</v>
      </c>
      <c r="Z625">
        <v>1</v>
      </c>
    </row>
    <row r="626" spans="1:26" x14ac:dyDescent="0.35">
      <c r="A626" t="s">
        <v>192</v>
      </c>
      <c r="B626" s="6">
        <v>42556</v>
      </c>
      <c r="C626" t="s">
        <v>23</v>
      </c>
      <c r="D626">
        <v>31</v>
      </c>
      <c r="E626" t="s">
        <v>62</v>
      </c>
      <c r="F626" t="s">
        <v>42</v>
      </c>
      <c r="G626" t="s">
        <v>54</v>
      </c>
      <c r="H626" t="s">
        <v>27</v>
      </c>
      <c r="I626" t="s">
        <v>33</v>
      </c>
      <c r="J626" t="s">
        <v>1632</v>
      </c>
      <c r="K626" t="s">
        <v>84</v>
      </c>
      <c r="L626">
        <v>30000</v>
      </c>
      <c r="M626">
        <v>12.2</v>
      </c>
      <c r="N626">
        <v>10.5</v>
      </c>
      <c r="O626">
        <v>9.5</v>
      </c>
      <c r="P626">
        <v>2.2000000000000002</v>
      </c>
      <c r="Q626">
        <v>4</v>
      </c>
      <c r="R626">
        <v>4</v>
      </c>
      <c r="S626">
        <v>4</v>
      </c>
      <c r="T626" t="s">
        <v>23</v>
      </c>
      <c r="U626">
        <v>3</v>
      </c>
      <c r="W626" t="s">
        <v>1650</v>
      </c>
      <c r="X626" t="s">
        <v>1655</v>
      </c>
      <c r="Y626" t="s">
        <v>1662</v>
      </c>
      <c r="Z626">
        <v>0</v>
      </c>
    </row>
    <row r="627" spans="1:26" x14ac:dyDescent="0.35">
      <c r="A627" t="s">
        <v>267</v>
      </c>
      <c r="B627" s="6">
        <v>43161</v>
      </c>
      <c r="C627" t="s">
        <v>23</v>
      </c>
      <c r="D627">
        <v>37</v>
      </c>
      <c r="E627" t="s">
        <v>24</v>
      </c>
      <c r="F627" t="s">
        <v>37</v>
      </c>
      <c r="G627" t="s">
        <v>54</v>
      </c>
      <c r="H627" t="s">
        <v>45</v>
      </c>
      <c r="I627" t="s">
        <v>164</v>
      </c>
      <c r="J627" t="s">
        <v>1635</v>
      </c>
      <c r="K627" t="s">
        <v>34</v>
      </c>
      <c r="L627">
        <v>81000</v>
      </c>
      <c r="M627">
        <v>7.7</v>
      </c>
      <c r="N627">
        <v>7.9</v>
      </c>
      <c r="O627">
        <v>7.8</v>
      </c>
      <c r="P627">
        <v>5.0999999999999996</v>
      </c>
      <c r="Q627">
        <v>2</v>
      </c>
      <c r="R627">
        <v>3</v>
      </c>
      <c r="S627">
        <v>2</v>
      </c>
      <c r="T627" t="s">
        <v>23</v>
      </c>
      <c r="U627">
        <v>3</v>
      </c>
      <c r="W627" t="s">
        <v>1649</v>
      </c>
      <c r="X627" t="s">
        <v>1657</v>
      </c>
      <c r="Y627" t="s">
        <v>1662</v>
      </c>
      <c r="Z627">
        <v>0</v>
      </c>
    </row>
    <row r="628" spans="1:26" x14ac:dyDescent="0.35">
      <c r="A628" t="s">
        <v>1534</v>
      </c>
      <c r="B628" s="6">
        <v>45314</v>
      </c>
      <c r="C628" t="s">
        <v>23</v>
      </c>
      <c r="D628">
        <v>25</v>
      </c>
      <c r="E628" t="s">
        <v>36</v>
      </c>
      <c r="F628" t="s">
        <v>37</v>
      </c>
      <c r="G628" t="s">
        <v>54</v>
      </c>
      <c r="H628" t="s">
        <v>45</v>
      </c>
      <c r="I628" t="s">
        <v>164</v>
      </c>
      <c r="J628" t="s">
        <v>1632</v>
      </c>
      <c r="K628" t="s">
        <v>84</v>
      </c>
      <c r="L628">
        <v>24000</v>
      </c>
      <c r="M628">
        <v>20.8</v>
      </c>
      <c r="N628">
        <v>2.8</v>
      </c>
      <c r="O628">
        <v>1.9</v>
      </c>
      <c r="P628">
        <v>0.3</v>
      </c>
      <c r="Q628">
        <v>3</v>
      </c>
      <c r="R628">
        <v>2</v>
      </c>
      <c r="S628">
        <v>4</v>
      </c>
      <c r="T628" t="s">
        <v>23</v>
      </c>
      <c r="U628">
        <v>3</v>
      </c>
      <c r="W628" t="s">
        <v>1651</v>
      </c>
      <c r="X628" t="s">
        <v>1655</v>
      </c>
      <c r="Y628" t="s">
        <v>1665</v>
      </c>
      <c r="Z628">
        <v>0</v>
      </c>
    </row>
    <row r="629" spans="1:26" x14ac:dyDescent="0.35">
      <c r="A629" t="s">
        <v>740</v>
      </c>
      <c r="B629" s="6">
        <v>45450</v>
      </c>
      <c r="C629" t="s">
        <v>23</v>
      </c>
      <c r="D629">
        <v>24</v>
      </c>
      <c r="E629" t="s">
        <v>24</v>
      </c>
      <c r="F629" t="s">
        <v>42</v>
      </c>
      <c r="G629" t="s">
        <v>26</v>
      </c>
      <c r="H629" t="s">
        <v>38</v>
      </c>
      <c r="I629" t="s">
        <v>39</v>
      </c>
      <c r="J629" t="s">
        <v>1632</v>
      </c>
      <c r="K629" t="s">
        <v>66</v>
      </c>
      <c r="L629">
        <v>26000</v>
      </c>
      <c r="M629">
        <v>10.9</v>
      </c>
      <c r="N629">
        <v>2.5</v>
      </c>
      <c r="O629">
        <v>1.6</v>
      </c>
      <c r="P629">
        <v>0.7</v>
      </c>
      <c r="Q629">
        <v>2</v>
      </c>
      <c r="R629">
        <v>3</v>
      </c>
      <c r="S629">
        <v>4</v>
      </c>
      <c r="T629" t="s">
        <v>23</v>
      </c>
      <c r="U629">
        <v>2</v>
      </c>
      <c r="W629" t="s">
        <v>1651</v>
      </c>
      <c r="X629" t="s">
        <v>1655</v>
      </c>
      <c r="Y629" t="s">
        <v>1665</v>
      </c>
      <c r="Z629">
        <v>0</v>
      </c>
    </row>
    <row r="630" spans="1:26" x14ac:dyDescent="0.35">
      <c r="A630" t="s">
        <v>511</v>
      </c>
      <c r="B630" s="6">
        <v>42458</v>
      </c>
      <c r="C630" t="s">
        <v>23</v>
      </c>
      <c r="D630">
        <v>37</v>
      </c>
      <c r="E630" t="s">
        <v>24</v>
      </c>
      <c r="F630" t="s">
        <v>37</v>
      </c>
      <c r="G630" t="s">
        <v>32</v>
      </c>
      <c r="H630" t="s">
        <v>1634</v>
      </c>
      <c r="I630" t="s">
        <v>60</v>
      </c>
      <c r="J630" t="s">
        <v>1632</v>
      </c>
      <c r="K630" t="s">
        <v>50</v>
      </c>
      <c r="L630">
        <v>31000</v>
      </c>
      <c r="M630">
        <v>8.5</v>
      </c>
      <c r="N630">
        <v>11.4</v>
      </c>
      <c r="O630">
        <v>9.8000000000000007</v>
      </c>
      <c r="P630">
        <v>0.1</v>
      </c>
      <c r="Q630">
        <v>4</v>
      </c>
      <c r="R630">
        <v>4</v>
      </c>
      <c r="S630">
        <v>3</v>
      </c>
      <c r="T630" t="s">
        <v>23</v>
      </c>
      <c r="U630">
        <v>3</v>
      </c>
      <c r="W630" t="s">
        <v>1649</v>
      </c>
      <c r="X630" t="s">
        <v>1655</v>
      </c>
      <c r="Y630" t="s">
        <v>1662</v>
      </c>
      <c r="Z630">
        <v>0</v>
      </c>
    </row>
    <row r="631" spans="1:26" x14ac:dyDescent="0.35">
      <c r="A631" t="s">
        <v>1181</v>
      </c>
      <c r="B631" s="6">
        <v>42179</v>
      </c>
      <c r="C631" t="s">
        <v>23</v>
      </c>
      <c r="D631">
        <v>34</v>
      </c>
      <c r="E631" t="s">
        <v>36</v>
      </c>
      <c r="F631" t="s">
        <v>37</v>
      </c>
      <c r="G631" t="s">
        <v>32</v>
      </c>
      <c r="H631" t="s">
        <v>68</v>
      </c>
      <c r="I631" t="s">
        <v>121</v>
      </c>
      <c r="J631" t="s">
        <v>1632</v>
      </c>
      <c r="K631" t="s">
        <v>84</v>
      </c>
      <c r="L631">
        <v>22000</v>
      </c>
      <c r="M631">
        <v>8.1</v>
      </c>
      <c r="N631">
        <v>17.7</v>
      </c>
      <c r="O631">
        <v>10.5</v>
      </c>
      <c r="P631">
        <v>1.1000000000000001</v>
      </c>
      <c r="Q631">
        <v>3</v>
      </c>
      <c r="R631">
        <v>1</v>
      </c>
      <c r="S631">
        <v>4</v>
      </c>
      <c r="T631" t="s">
        <v>23</v>
      </c>
      <c r="U631">
        <v>3</v>
      </c>
      <c r="W631" t="s">
        <v>1650</v>
      </c>
      <c r="X631" t="s">
        <v>1655</v>
      </c>
      <c r="Y631" t="s">
        <v>1663</v>
      </c>
      <c r="Z631">
        <v>0</v>
      </c>
    </row>
    <row r="632" spans="1:26" x14ac:dyDescent="0.35">
      <c r="A632" t="s">
        <v>976</v>
      </c>
      <c r="B632" s="6">
        <v>42969</v>
      </c>
      <c r="C632" t="s">
        <v>23</v>
      </c>
      <c r="D632">
        <v>34</v>
      </c>
      <c r="E632" t="s">
        <v>24</v>
      </c>
      <c r="F632" t="s">
        <v>25</v>
      </c>
      <c r="G632" t="s">
        <v>32</v>
      </c>
      <c r="H632" t="s">
        <v>48</v>
      </c>
      <c r="I632" t="s">
        <v>201</v>
      </c>
      <c r="J632" t="s">
        <v>1635</v>
      </c>
      <c r="K632" t="s">
        <v>84</v>
      </c>
      <c r="L632">
        <v>107000</v>
      </c>
      <c r="M632">
        <v>10.5</v>
      </c>
      <c r="N632">
        <v>13.9</v>
      </c>
      <c r="O632">
        <v>8.4</v>
      </c>
      <c r="P632">
        <v>2.2999999999999998</v>
      </c>
      <c r="Q632">
        <v>3</v>
      </c>
      <c r="R632">
        <v>1</v>
      </c>
      <c r="S632">
        <v>4</v>
      </c>
      <c r="T632" t="s">
        <v>30</v>
      </c>
      <c r="U632">
        <v>4</v>
      </c>
      <c r="W632" t="s">
        <v>1650</v>
      </c>
      <c r="X632" t="s">
        <v>1658</v>
      </c>
      <c r="Y632" t="s">
        <v>1662</v>
      </c>
      <c r="Z632">
        <v>0</v>
      </c>
    </row>
    <row r="633" spans="1:26" x14ac:dyDescent="0.35">
      <c r="A633" t="s">
        <v>827</v>
      </c>
      <c r="B633" s="6">
        <v>42082</v>
      </c>
      <c r="C633" t="s">
        <v>23</v>
      </c>
      <c r="D633">
        <v>39</v>
      </c>
      <c r="E633" t="s">
        <v>24</v>
      </c>
      <c r="F633" t="s">
        <v>25</v>
      </c>
      <c r="G633" t="s">
        <v>54</v>
      </c>
      <c r="H633" t="s">
        <v>45</v>
      </c>
      <c r="I633" t="s">
        <v>77</v>
      </c>
      <c r="J633" t="s">
        <v>1632</v>
      </c>
      <c r="K633" t="s">
        <v>29</v>
      </c>
      <c r="L633">
        <v>36000</v>
      </c>
      <c r="M633">
        <v>10.7</v>
      </c>
      <c r="N633">
        <v>17.100000000000001</v>
      </c>
      <c r="O633">
        <v>10.8</v>
      </c>
      <c r="P633">
        <v>4</v>
      </c>
      <c r="Q633">
        <v>3</v>
      </c>
      <c r="R633">
        <v>3</v>
      </c>
      <c r="S633">
        <v>3</v>
      </c>
      <c r="T633" t="s">
        <v>23</v>
      </c>
      <c r="U633">
        <v>5</v>
      </c>
      <c r="W633" t="s">
        <v>1649</v>
      </c>
      <c r="X633" t="s">
        <v>1655</v>
      </c>
      <c r="Y633" t="s">
        <v>1663</v>
      </c>
      <c r="Z633">
        <v>0</v>
      </c>
    </row>
    <row r="634" spans="1:26" x14ac:dyDescent="0.35">
      <c r="A634" t="s">
        <v>1145</v>
      </c>
      <c r="B634" s="6">
        <v>42726</v>
      </c>
      <c r="C634" t="s">
        <v>23</v>
      </c>
      <c r="D634">
        <v>47</v>
      </c>
      <c r="E634" t="s">
        <v>24</v>
      </c>
      <c r="F634" t="s">
        <v>42</v>
      </c>
      <c r="G634" t="s">
        <v>58</v>
      </c>
      <c r="H634" t="s">
        <v>27</v>
      </c>
      <c r="I634" t="s">
        <v>43</v>
      </c>
      <c r="J634" t="s">
        <v>1632</v>
      </c>
      <c r="K634" t="s">
        <v>50</v>
      </c>
      <c r="L634">
        <v>22000</v>
      </c>
      <c r="M634">
        <v>10.9</v>
      </c>
      <c r="N634">
        <v>13.8</v>
      </c>
      <c r="O634">
        <v>9</v>
      </c>
      <c r="P634">
        <v>1.3</v>
      </c>
      <c r="Q634">
        <v>3</v>
      </c>
      <c r="R634">
        <v>2</v>
      </c>
      <c r="S634">
        <v>2</v>
      </c>
      <c r="T634" t="s">
        <v>30</v>
      </c>
      <c r="U634">
        <v>4</v>
      </c>
      <c r="W634" t="s">
        <v>1652</v>
      </c>
      <c r="X634" t="s">
        <v>1655</v>
      </c>
      <c r="Y634" t="s">
        <v>1662</v>
      </c>
      <c r="Z634">
        <v>0</v>
      </c>
    </row>
    <row r="635" spans="1:26" x14ac:dyDescent="0.35">
      <c r="A635" t="s">
        <v>1258</v>
      </c>
      <c r="B635" s="6">
        <v>42205</v>
      </c>
      <c r="C635" t="s">
        <v>23</v>
      </c>
      <c r="D635">
        <v>37</v>
      </c>
      <c r="E635" t="s">
        <v>24</v>
      </c>
      <c r="F635" t="s">
        <v>37</v>
      </c>
      <c r="G635" t="s">
        <v>54</v>
      </c>
      <c r="H635" t="s">
        <v>68</v>
      </c>
      <c r="I635" t="s">
        <v>69</v>
      </c>
      <c r="J635" t="s">
        <v>1635</v>
      </c>
      <c r="K635" t="s">
        <v>34</v>
      </c>
      <c r="L635">
        <v>69000</v>
      </c>
      <c r="M635">
        <v>7.3</v>
      </c>
      <c r="N635">
        <v>13.7</v>
      </c>
      <c r="O635">
        <v>10.5</v>
      </c>
      <c r="P635">
        <v>2.1</v>
      </c>
      <c r="Q635">
        <v>3</v>
      </c>
      <c r="R635">
        <v>3</v>
      </c>
      <c r="S635">
        <v>3</v>
      </c>
      <c r="T635" t="s">
        <v>23</v>
      </c>
      <c r="U635">
        <v>4</v>
      </c>
      <c r="W635" t="s">
        <v>1649</v>
      </c>
      <c r="X635" t="s">
        <v>1659</v>
      </c>
      <c r="Y635" t="s">
        <v>1663</v>
      </c>
      <c r="Z635">
        <v>0</v>
      </c>
    </row>
    <row r="636" spans="1:26" x14ac:dyDescent="0.35">
      <c r="A636" t="s">
        <v>1520</v>
      </c>
      <c r="B636" s="6">
        <v>45218</v>
      </c>
      <c r="C636" t="s">
        <v>23</v>
      </c>
      <c r="D636">
        <v>40</v>
      </c>
      <c r="E636" t="s">
        <v>24</v>
      </c>
      <c r="F636" t="s">
        <v>37</v>
      </c>
      <c r="G636" t="s">
        <v>26</v>
      </c>
      <c r="H636" t="s">
        <v>68</v>
      </c>
      <c r="I636" t="s">
        <v>109</v>
      </c>
      <c r="J636" t="s">
        <v>1635</v>
      </c>
      <c r="K636" t="s">
        <v>50</v>
      </c>
      <c r="L636">
        <v>85000</v>
      </c>
      <c r="M636">
        <v>4</v>
      </c>
      <c r="N636">
        <v>7.6</v>
      </c>
      <c r="O636">
        <v>2.2000000000000002</v>
      </c>
      <c r="P636">
        <v>1.4</v>
      </c>
      <c r="Q636">
        <v>3</v>
      </c>
      <c r="R636">
        <v>3</v>
      </c>
      <c r="S636">
        <v>4</v>
      </c>
      <c r="T636" t="s">
        <v>23</v>
      </c>
      <c r="U636">
        <v>5</v>
      </c>
      <c r="W636" t="s">
        <v>1649</v>
      </c>
      <c r="X636" t="s">
        <v>1657</v>
      </c>
      <c r="Y636" t="s">
        <v>1665</v>
      </c>
      <c r="Z636">
        <v>0</v>
      </c>
    </row>
    <row r="637" spans="1:26" x14ac:dyDescent="0.35">
      <c r="A637" t="s">
        <v>1150</v>
      </c>
      <c r="B637" s="6">
        <v>44756</v>
      </c>
      <c r="C637" t="s">
        <v>23</v>
      </c>
      <c r="D637">
        <v>28</v>
      </c>
      <c r="E637" t="s">
        <v>36</v>
      </c>
      <c r="F637" t="s">
        <v>37</v>
      </c>
      <c r="G637" t="s">
        <v>32</v>
      </c>
      <c r="H637" t="s">
        <v>45</v>
      </c>
      <c r="I637" t="s">
        <v>164</v>
      </c>
      <c r="J637" t="s">
        <v>1635</v>
      </c>
      <c r="K637" t="s">
        <v>34</v>
      </c>
      <c r="L637">
        <v>61000</v>
      </c>
      <c r="N637">
        <v>4.3</v>
      </c>
      <c r="O637">
        <v>3.5</v>
      </c>
      <c r="P637">
        <v>1.6</v>
      </c>
      <c r="Q637">
        <v>4</v>
      </c>
      <c r="R637">
        <v>3</v>
      </c>
      <c r="S637">
        <v>1</v>
      </c>
      <c r="T637" t="s">
        <v>23</v>
      </c>
      <c r="U637">
        <v>3</v>
      </c>
      <c r="W637" t="s">
        <v>1650</v>
      </c>
      <c r="X637" t="s">
        <v>1659</v>
      </c>
      <c r="Y637" t="s">
        <v>1661</v>
      </c>
      <c r="Z637">
        <v>0</v>
      </c>
    </row>
    <row r="638" spans="1:26" x14ac:dyDescent="0.35">
      <c r="A638" t="s">
        <v>555</v>
      </c>
      <c r="B638" s="6">
        <v>42253</v>
      </c>
      <c r="C638" t="s">
        <v>23</v>
      </c>
      <c r="D638">
        <v>50</v>
      </c>
      <c r="E638" t="s">
        <v>36</v>
      </c>
      <c r="F638" t="s">
        <v>37</v>
      </c>
      <c r="G638" t="s">
        <v>58</v>
      </c>
      <c r="H638" t="s">
        <v>27</v>
      </c>
      <c r="I638" t="s">
        <v>33</v>
      </c>
      <c r="J638" t="s">
        <v>1633</v>
      </c>
      <c r="K638" t="s">
        <v>84</v>
      </c>
      <c r="L638">
        <v>54000</v>
      </c>
      <c r="M638">
        <v>3.5</v>
      </c>
      <c r="N638">
        <v>14</v>
      </c>
      <c r="O638">
        <v>10.3</v>
      </c>
      <c r="P638">
        <v>5.4</v>
      </c>
      <c r="Q638">
        <v>3</v>
      </c>
      <c r="R638">
        <v>3</v>
      </c>
      <c r="S638">
        <v>4</v>
      </c>
      <c r="T638" t="s">
        <v>23</v>
      </c>
      <c r="U638">
        <v>3</v>
      </c>
      <c r="W638" t="s">
        <v>1652</v>
      </c>
      <c r="X638" t="s">
        <v>1656</v>
      </c>
      <c r="Y638" t="s">
        <v>1663</v>
      </c>
      <c r="Z638">
        <v>0</v>
      </c>
    </row>
    <row r="639" spans="1:26" x14ac:dyDescent="0.35">
      <c r="A639" t="s">
        <v>407</v>
      </c>
      <c r="B639" s="6">
        <v>42055</v>
      </c>
      <c r="C639" t="s">
        <v>30</v>
      </c>
      <c r="D639">
        <v>40</v>
      </c>
      <c r="E639" t="s">
        <v>62</v>
      </c>
      <c r="F639" t="s">
        <v>25</v>
      </c>
      <c r="G639" t="s">
        <v>58</v>
      </c>
      <c r="H639" t="s">
        <v>45</v>
      </c>
      <c r="I639" t="s">
        <v>77</v>
      </c>
      <c r="J639" t="s">
        <v>1633</v>
      </c>
      <c r="K639" t="s">
        <v>84</v>
      </c>
      <c r="L639">
        <v>68000</v>
      </c>
      <c r="M639">
        <v>2.7</v>
      </c>
      <c r="N639">
        <v>10.7</v>
      </c>
      <c r="O639">
        <v>10.4</v>
      </c>
      <c r="P639">
        <v>0.2</v>
      </c>
      <c r="Q639">
        <v>3</v>
      </c>
      <c r="R639">
        <v>4</v>
      </c>
      <c r="S639">
        <v>4</v>
      </c>
      <c r="T639" t="s">
        <v>23</v>
      </c>
      <c r="U639">
        <v>3</v>
      </c>
      <c r="V639" s="7">
        <v>45870</v>
      </c>
      <c r="W639" t="s">
        <v>1649</v>
      </c>
      <c r="X639" t="s">
        <v>1659</v>
      </c>
      <c r="Y639" t="s">
        <v>1663</v>
      </c>
      <c r="Z639">
        <v>1</v>
      </c>
    </row>
    <row r="640" spans="1:26" x14ac:dyDescent="0.35">
      <c r="A640" t="s">
        <v>202</v>
      </c>
      <c r="B640" s="6">
        <v>41753</v>
      </c>
      <c r="C640" t="s">
        <v>23</v>
      </c>
      <c r="D640">
        <v>46</v>
      </c>
      <c r="E640" t="s">
        <v>24</v>
      </c>
      <c r="F640" t="s">
        <v>42</v>
      </c>
      <c r="G640" t="s">
        <v>58</v>
      </c>
      <c r="H640" t="s">
        <v>55</v>
      </c>
      <c r="I640" t="s">
        <v>80</v>
      </c>
      <c r="J640" t="s">
        <v>1633</v>
      </c>
      <c r="K640" t="s">
        <v>66</v>
      </c>
      <c r="L640">
        <v>65000</v>
      </c>
      <c r="M640">
        <v>5.5</v>
      </c>
      <c r="N640">
        <v>18.100000000000001</v>
      </c>
      <c r="O640">
        <v>11.7</v>
      </c>
      <c r="P640">
        <v>3.5</v>
      </c>
      <c r="Q640">
        <v>3</v>
      </c>
      <c r="R640">
        <v>2</v>
      </c>
      <c r="S640">
        <v>3</v>
      </c>
      <c r="T640" t="s">
        <v>30</v>
      </c>
      <c r="U640">
        <v>5</v>
      </c>
      <c r="W640" t="s">
        <v>1652</v>
      </c>
      <c r="X640" t="s">
        <v>1659</v>
      </c>
      <c r="Y640" t="s">
        <v>1663</v>
      </c>
      <c r="Z640">
        <v>0</v>
      </c>
    </row>
    <row r="641" spans="1:26" x14ac:dyDescent="0.35">
      <c r="A641" t="s">
        <v>829</v>
      </c>
      <c r="B641" s="6">
        <v>45854</v>
      </c>
      <c r="C641" t="s">
        <v>30</v>
      </c>
      <c r="D641">
        <v>21</v>
      </c>
      <c r="E641" t="s">
        <v>36</v>
      </c>
      <c r="F641" t="s">
        <v>37</v>
      </c>
      <c r="G641" t="s">
        <v>26</v>
      </c>
      <c r="H641" t="s">
        <v>55</v>
      </c>
      <c r="I641" t="s">
        <v>80</v>
      </c>
      <c r="J641" t="s">
        <v>1632</v>
      </c>
      <c r="K641" t="s">
        <v>50</v>
      </c>
      <c r="L641">
        <v>39000</v>
      </c>
      <c r="M641">
        <v>10.3</v>
      </c>
      <c r="N641">
        <v>6.6</v>
      </c>
      <c r="O641">
        <v>0.4</v>
      </c>
      <c r="P641">
        <v>0</v>
      </c>
      <c r="Q641">
        <v>2</v>
      </c>
      <c r="R641">
        <v>3</v>
      </c>
      <c r="S641">
        <v>3</v>
      </c>
      <c r="T641" t="s">
        <v>23</v>
      </c>
      <c r="U641">
        <v>4</v>
      </c>
      <c r="V641" s="7">
        <v>45987</v>
      </c>
      <c r="W641" t="s">
        <v>1651</v>
      </c>
      <c r="X641" t="s">
        <v>1655</v>
      </c>
      <c r="Y641" t="s">
        <v>1664</v>
      </c>
      <c r="Z641">
        <v>1</v>
      </c>
    </row>
    <row r="642" spans="1:26" x14ac:dyDescent="0.35">
      <c r="A642" t="s">
        <v>93</v>
      </c>
      <c r="B642" s="6">
        <v>45889</v>
      </c>
      <c r="C642" t="s">
        <v>23</v>
      </c>
      <c r="D642">
        <v>26</v>
      </c>
      <c r="E642" t="s">
        <v>36</v>
      </c>
      <c r="F642" t="s">
        <v>25</v>
      </c>
      <c r="G642" t="s">
        <v>58</v>
      </c>
      <c r="H642" t="s">
        <v>38</v>
      </c>
      <c r="I642" t="s">
        <v>52</v>
      </c>
      <c r="J642" t="s">
        <v>1632</v>
      </c>
      <c r="K642" t="s">
        <v>40</v>
      </c>
      <c r="L642">
        <v>39000</v>
      </c>
      <c r="M642">
        <v>5.3</v>
      </c>
      <c r="N642">
        <v>4.7</v>
      </c>
      <c r="O642">
        <v>0.4</v>
      </c>
      <c r="P642">
        <v>0</v>
      </c>
      <c r="Q642">
        <v>2</v>
      </c>
      <c r="R642">
        <v>3</v>
      </c>
      <c r="S642">
        <v>1</v>
      </c>
      <c r="T642" t="s">
        <v>23</v>
      </c>
      <c r="U642">
        <v>4</v>
      </c>
      <c r="W642" t="s">
        <v>1650</v>
      </c>
      <c r="X642" t="s">
        <v>1655</v>
      </c>
      <c r="Y642" t="s">
        <v>1664</v>
      </c>
      <c r="Z642">
        <v>0</v>
      </c>
    </row>
    <row r="643" spans="1:26" x14ac:dyDescent="0.35">
      <c r="A643" t="s">
        <v>1591</v>
      </c>
      <c r="B643" s="6">
        <v>45186</v>
      </c>
      <c r="C643" t="s">
        <v>23</v>
      </c>
      <c r="D643">
        <v>27</v>
      </c>
      <c r="E643" t="s">
        <v>62</v>
      </c>
      <c r="F643" t="s">
        <v>37</v>
      </c>
      <c r="G643" t="s">
        <v>26</v>
      </c>
      <c r="H643" t="s">
        <v>55</v>
      </c>
      <c r="I643" t="s">
        <v>179</v>
      </c>
      <c r="J643" t="s">
        <v>1632</v>
      </c>
      <c r="K643" t="s">
        <v>50</v>
      </c>
      <c r="L643">
        <v>36000</v>
      </c>
      <c r="M643">
        <v>5</v>
      </c>
      <c r="N643">
        <v>8.6</v>
      </c>
      <c r="O643">
        <v>2.2999999999999998</v>
      </c>
      <c r="P643">
        <v>1.8</v>
      </c>
      <c r="Q643">
        <v>2</v>
      </c>
      <c r="S643">
        <v>3</v>
      </c>
      <c r="T643" t="s">
        <v>23</v>
      </c>
      <c r="U643">
        <v>5</v>
      </c>
      <c r="W643" t="s">
        <v>1650</v>
      </c>
      <c r="X643" t="s">
        <v>1655</v>
      </c>
      <c r="Y643" t="s">
        <v>1665</v>
      </c>
      <c r="Z643">
        <v>0</v>
      </c>
    </row>
    <row r="644" spans="1:26" x14ac:dyDescent="0.35">
      <c r="A644" t="s">
        <v>1226</v>
      </c>
      <c r="B644" s="6">
        <v>44706</v>
      </c>
      <c r="C644" t="s">
        <v>23</v>
      </c>
      <c r="D644">
        <v>39</v>
      </c>
      <c r="E644" t="s">
        <v>24</v>
      </c>
      <c r="F644" t="s">
        <v>42</v>
      </c>
      <c r="G644" t="s">
        <v>26</v>
      </c>
      <c r="H644" t="s">
        <v>48</v>
      </c>
      <c r="I644" t="s">
        <v>63</v>
      </c>
      <c r="J644" t="s">
        <v>1633</v>
      </c>
      <c r="K644" t="s">
        <v>40</v>
      </c>
      <c r="L644">
        <v>53000</v>
      </c>
      <c r="M644">
        <v>9.1999999999999993</v>
      </c>
      <c r="N644">
        <v>6.5</v>
      </c>
      <c r="O644">
        <v>3.6</v>
      </c>
      <c r="P644">
        <v>3</v>
      </c>
      <c r="Q644">
        <v>2</v>
      </c>
      <c r="R644">
        <v>3</v>
      </c>
      <c r="S644">
        <v>3</v>
      </c>
      <c r="T644" t="s">
        <v>23</v>
      </c>
      <c r="U644">
        <v>1</v>
      </c>
      <c r="W644" t="s">
        <v>1649</v>
      </c>
      <c r="X644" t="s">
        <v>1656</v>
      </c>
      <c r="Y644" t="s">
        <v>1661</v>
      </c>
      <c r="Z644">
        <v>0</v>
      </c>
    </row>
    <row r="645" spans="1:26" x14ac:dyDescent="0.35">
      <c r="A645" t="s">
        <v>674</v>
      </c>
      <c r="B645" s="6">
        <v>44687</v>
      </c>
      <c r="C645" t="s">
        <v>23</v>
      </c>
      <c r="D645">
        <v>31</v>
      </c>
      <c r="E645" t="s">
        <v>36</v>
      </c>
      <c r="F645" t="s">
        <v>42</v>
      </c>
      <c r="G645" t="s">
        <v>54</v>
      </c>
      <c r="H645" t="s">
        <v>45</v>
      </c>
      <c r="I645" t="s">
        <v>46</v>
      </c>
      <c r="J645" t="s">
        <v>1633</v>
      </c>
      <c r="K645" t="s">
        <v>66</v>
      </c>
      <c r="L645">
        <v>49000</v>
      </c>
      <c r="M645">
        <v>19.5</v>
      </c>
      <c r="N645">
        <v>3.7</v>
      </c>
      <c r="O645">
        <v>3.7</v>
      </c>
      <c r="P645">
        <v>0.7</v>
      </c>
      <c r="Q645">
        <v>4</v>
      </c>
      <c r="R645">
        <v>3</v>
      </c>
      <c r="S645">
        <v>3</v>
      </c>
      <c r="T645" t="s">
        <v>23</v>
      </c>
      <c r="U645">
        <v>1</v>
      </c>
      <c r="W645" t="s">
        <v>1650</v>
      </c>
      <c r="X645" t="s">
        <v>1656</v>
      </c>
      <c r="Y645" t="s">
        <v>1661</v>
      </c>
      <c r="Z645">
        <v>0</v>
      </c>
    </row>
    <row r="646" spans="1:26" x14ac:dyDescent="0.35">
      <c r="A646" t="s">
        <v>368</v>
      </c>
      <c r="B646" s="6">
        <v>42743</v>
      </c>
      <c r="C646" t="s">
        <v>30</v>
      </c>
      <c r="D646">
        <v>43</v>
      </c>
      <c r="E646" t="s">
        <v>24</v>
      </c>
      <c r="F646" t="s">
        <v>42</v>
      </c>
      <c r="G646" t="s">
        <v>32</v>
      </c>
      <c r="H646" t="s">
        <v>27</v>
      </c>
      <c r="I646" t="s">
        <v>43</v>
      </c>
      <c r="J646" t="s">
        <v>1633</v>
      </c>
      <c r="K646" t="s">
        <v>40</v>
      </c>
      <c r="L646">
        <v>60000</v>
      </c>
      <c r="M646">
        <v>10.1</v>
      </c>
      <c r="N646">
        <v>12.2</v>
      </c>
      <c r="O646">
        <v>8</v>
      </c>
      <c r="P646">
        <v>4.5999999999999996</v>
      </c>
      <c r="Q646">
        <v>2</v>
      </c>
      <c r="R646">
        <v>2</v>
      </c>
      <c r="S646">
        <v>3</v>
      </c>
      <c r="T646" t="s">
        <v>23</v>
      </c>
      <c r="U646">
        <v>5</v>
      </c>
      <c r="V646" s="7">
        <v>45669</v>
      </c>
      <c r="W646" t="s">
        <v>1649</v>
      </c>
      <c r="X646" t="s">
        <v>1659</v>
      </c>
      <c r="Y646" t="s">
        <v>1662</v>
      </c>
      <c r="Z646">
        <v>1</v>
      </c>
    </row>
    <row r="647" spans="1:26" x14ac:dyDescent="0.35">
      <c r="A647" t="s">
        <v>138</v>
      </c>
      <c r="B647" s="6">
        <v>43855</v>
      </c>
      <c r="C647" t="s">
        <v>23</v>
      </c>
      <c r="D647">
        <v>36</v>
      </c>
      <c r="E647" t="s">
        <v>24</v>
      </c>
      <c r="F647" t="s">
        <v>42</v>
      </c>
      <c r="G647" t="s">
        <v>32</v>
      </c>
      <c r="H647" t="s">
        <v>38</v>
      </c>
      <c r="I647" t="s">
        <v>139</v>
      </c>
      <c r="J647" t="s">
        <v>1633</v>
      </c>
      <c r="K647" t="s">
        <v>40</v>
      </c>
      <c r="L647">
        <v>63000</v>
      </c>
      <c r="M647">
        <v>8.8000000000000007</v>
      </c>
      <c r="N647">
        <v>8.3000000000000007</v>
      </c>
      <c r="O647">
        <v>5.9</v>
      </c>
      <c r="P647">
        <v>4.4000000000000004</v>
      </c>
      <c r="Q647">
        <v>3</v>
      </c>
      <c r="R647">
        <v>3</v>
      </c>
      <c r="S647">
        <v>3</v>
      </c>
      <c r="T647" t="s">
        <v>23</v>
      </c>
      <c r="U647">
        <v>3</v>
      </c>
      <c r="W647" t="s">
        <v>1649</v>
      </c>
      <c r="X647" t="s">
        <v>1659</v>
      </c>
      <c r="Y647" t="s">
        <v>1661</v>
      </c>
      <c r="Z647">
        <v>0</v>
      </c>
    </row>
    <row r="648" spans="1:26" x14ac:dyDescent="0.35">
      <c r="A648" t="s">
        <v>809</v>
      </c>
      <c r="B648" s="6">
        <v>45473</v>
      </c>
      <c r="C648" t="s">
        <v>23</v>
      </c>
      <c r="D648">
        <v>41</v>
      </c>
      <c r="E648" t="s">
        <v>36</v>
      </c>
      <c r="F648" t="s">
        <v>42</v>
      </c>
      <c r="G648" t="s">
        <v>26</v>
      </c>
      <c r="H648" t="s">
        <v>45</v>
      </c>
      <c r="I648" t="s">
        <v>77</v>
      </c>
      <c r="J648" t="s">
        <v>1637</v>
      </c>
      <c r="K648" t="s">
        <v>66</v>
      </c>
      <c r="L648">
        <v>138000</v>
      </c>
      <c r="M648">
        <v>3.7</v>
      </c>
      <c r="N648">
        <v>3.1</v>
      </c>
      <c r="O648">
        <v>1.5</v>
      </c>
      <c r="P648">
        <v>1.1000000000000001</v>
      </c>
      <c r="Q648">
        <v>3</v>
      </c>
      <c r="R648">
        <v>3</v>
      </c>
      <c r="S648">
        <v>3</v>
      </c>
      <c r="T648" t="s">
        <v>23</v>
      </c>
      <c r="U648">
        <v>4</v>
      </c>
      <c r="W648" t="s">
        <v>1649</v>
      </c>
      <c r="X648" t="s">
        <v>1658</v>
      </c>
      <c r="Y648" t="s">
        <v>1665</v>
      </c>
      <c r="Z648">
        <v>0</v>
      </c>
    </row>
    <row r="649" spans="1:26" x14ac:dyDescent="0.35">
      <c r="A649" t="s">
        <v>905</v>
      </c>
      <c r="B649" s="6">
        <v>45424</v>
      </c>
      <c r="C649" t="s">
        <v>23</v>
      </c>
      <c r="D649">
        <v>27</v>
      </c>
      <c r="E649" t="s">
        <v>62</v>
      </c>
      <c r="F649" t="s">
        <v>25</v>
      </c>
      <c r="G649" t="s">
        <v>58</v>
      </c>
      <c r="H649" t="s">
        <v>48</v>
      </c>
      <c r="I649" t="s">
        <v>201</v>
      </c>
      <c r="J649" t="s">
        <v>1632</v>
      </c>
      <c r="K649" t="s">
        <v>34</v>
      </c>
      <c r="L649">
        <v>34000</v>
      </c>
      <c r="M649">
        <v>13.9</v>
      </c>
      <c r="N649">
        <v>5.2</v>
      </c>
      <c r="O649">
        <v>1.6</v>
      </c>
      <c r="P649">
        <v>1.4</v>
      </c>
      <c r="Q649">
        <v>4</v>
      </c>
      <c r="R649">
        <v>4</v>
      </c>
      <c r="S649">
        <v>2</v>
      </c>
      <c r="T649" t="s">
        <v>23</v>
      </c>
      <c r="U649">
        <v>3</v>
      </c>
      <c r="W649" t="s">
        <v>1650</v>
      </c>
      <c r="X649" t="s">
        <v>1655</v>
      </c>
      <c r="Y649" t="s">
        <v>1665</v>
      </c>
      <c r="Z649">
        <v>0</v>
      </c>
    </row>
    <row r="650" spans="1:26" x14ac:dyDescent="0.35">
      <c r="A650" t="s">
        <v>441</v>
      </c>
      <c r="B650" s="6">
        <v>44534</v>
      </c>
      <c r="C650" t="s">
        <v>30</v>
      </c>
      <c r="D650">
        <v>33</v>
      </c>
      <c r="E650" t="s">
        <v>62</v>
      </c>
      <c r="F650" t="s">
        <v>42</v>
      </c>
      <c r="G650" t="s">
        <v>32</v>
      </c>
      <c r="H650" t="s">
        <v>38</v>
      </c>
      <c r="I650" t="s">
        <v>118</v>
      </c>
      <c r="J650" t="s">
        <v>1633</v>
      </c>
      <c r="K650" t="s">
        <v>34</v>
      </c>
      <c r="L650">
        <v>60000</v>
      </c>
      <c r="M650">
        <v>12.4</v>
      </c>
      <c r="N650">
        <v>7</v>
      </c>
      <c r="O650">
        <v>4</v>
      </c>
      <c r="P650">
        <v>0.6</v>
      </c>
      <c r="Q650">
        <v>3</v>
      </c>
      <c r="R650">
        <v>3</v>
      </c>
      <c r="S650">
        <v>1</v>
      </c>
      <c r="T650" t="s">
        <v>23</v>
      </c>
      <c r="U650">
        <v>4</v>
      </c>
      <c r="V650" s="7">
        <v>45994</v>
      </c>
      <c r="W650" t="s">
        <v>1650</v>
      </c>
      <c r="X650" t="s">
        <v>1659</v>
      </c>
      <c r="Y650" t="s">
        <v>1661</v>
      </c>
      <c r="Z650">
        <v>1</v>
      </c>
    </row>
    <row r="651" spans="1:26" x14ac:dyDescent="0.35">
      <c r="A651" t="s">
        <v>635</v>
      </c>
      <c r="B651" s="6">
        <v>44128</v>
      </c>
      <c r="C651" t="s">
        <v>23</v>
      </c>
      <c r="D651">
        <v>29</v>
      </c>
      <c r="E651" t="s">
        <v>24</v>
      </c>
      <c r="F651" t="s">
        <v>25</v>
      </c>
      <c r="G651" t="s">
        <v>54</v>
      </c>
      <c r="H651" t="s">
        <v>27</v>
      </c>
      <c r="I651" t="s">
        <v>28</v>
      </c>
      <c r="J651" t="s">
        <v>1636</v>
      </c>
      <c r="K651" t="s">
        <v>29</v>
      </c>
      <c r="L651">
        <v>108000</v>
      </c>
      <c r="M651">
        <v>13.8</v>
      </c>
      <c r="N651">
        <v>6</v>
      </c>
      <c r="O651">
        <v>5.2</v>
      </c>
      <c r="P651">
        <v>1.4</v>
      </c>
      <c r="Q651">
        <v>3</v>
      </c>
      <c r="R651">
        <v>3</v>
      </c>
      <c r="S651">
        <v>4</v>
      </c>
      <c r="T651" t="s">
        <v>23</v>
      </c>
      <c r="U651">
        <v>4</v>
      </c>
      <c r="W651" t="s">
        <v>1650</v>
      </c>
      <c r="X651" t="s">
        <v>1658</v>
      </c>
      <c r="Y651" t="s">
        <v>1661</v>
      </c>
      <c r="Z651">
        <v>0</v>
      </c>
    </row>
    <row r="652" spans="1:26" x14ac:dyDescent="0.35">
      <c r="A652" t="s">
        <v>1471</v>
      </c>
      <c r="B652" s="6">
        <v>45832</v>
      </c>
      <c r="C652" t="s">
        <v>23</v>
      </c>
      <c r="D652">
        <v>21</v>
      </c>
      <c r="E652" t="s">
        <v>36</v>
      </c>
      <c r="F652" t="s">
        <v>25</v>
      </c>
      <c r="G652" t="s">
        <v>54</v>
      </c>
      <c r="H652" t="s">
        <v>1634</v>
      </c>
      <c r="I652" t="s">
        <v>60</v>
      </c>
      <c r="J652" t="s">
        <v>1632</v>
      </c>
      <c r="K652" t="s">
        <v>40</v>
      </c>
      <c r="L652">
        <v>38000</v>
      </c>
      <c r="M652">
        <v>6.5</v>
      </c>
      <c r="N652">
        <v>4.5</v>
      </c>
      <c r="O652">
        <v>0.5</v>
      </c>
      <c r="P652">
        <v>0</v>
      </c>
      <c r="Q652">
        <v>2</v>
      </c>
      <c r="R652">
        <v>3</v>
      </c>
      <c r="S652">
        <v>2</v>
      </c>
      <c r="T652" t="s">
        <v>23</v>
      </c>
      <c r="U652">
        <v>3</v>
      </c>
      <c r="W652" t="s">
        <v>1651</v>
      </c>
      <c r="X652" t="s">
        <v>1655</v>
      </c>
      <c r="Y652" t="s">
        <v>1664</v>
      </c>
      <c r="Z652">
        <v>0</v>
      </c>
    </row>
    <row r="653" spans="1:26" x14ac:dyDescent="0.35">
      <c r="A653" t="s">
        <v>377</v>
      </c>
      <c r="B653" s="6">
        <v>43868</v>
      </c>
      <c r="C653" t="s">
        <v>23</v>
      </c>
      <c r="D653">
        <v>29</v>
      </c>
      <c r="E653" t="s">
        <v>24</v>
      </c>
      <c r="F653" t="s">
        <v>42</v>
      </c>
      <c r="G653" t="s">
        <v>26</v>
      </c>
      <c r="H653" t="s">
        <v>27</v>
      </c>
      <c r="I653" t="s">
        <v>43</v>
      </c>
      <c r="J653" t="s">
        <v>1633</v>
      </c>
      <c r="K653" t="s">
        <v>50</v>
      </c>
      <c r="L653">
        <v>49000</v>
      </c>
      <c r="M653">
        <v>6.6</v>
      </c>
      <c r="N653">
        <v>8.1999999999999993</v>
      </c>
      <c r="O653">
        <v>5.9</v>
      </c>
      <c r="P653">
        <v>5</v>
      </c>
      <c r="Q653">
        <v>4</v>
      </c>
      <c r="R653">
        <v>3</v>
      </c>
      <c r="S653">
        <v>4</v>
      </c>
      <c r="T653" t="s">
        <v>23</v>
      </c>
      <c r="U653">
        <v>5</v>
      </c>
      <c r="W653" t="s">
        <v>1650</v>
      </c>
      <c r="X653" t="s">
        <v>1656</v>
      </c>
      <c r="Y653" t="s">
        <v>1661</v>
      </c>
      <c r="Z653">
        <v>0</v>
      </c>
    </row>
    <row r="654" spans="1:26" x14ac:dyDescent="0.35">
      <c r="A654" t="s">
        <v>1573</v>
      </c>
      <c r="B654" s="6">
        <v>44139</v>
      </c>
      <c r="C654" t="s">
        <v>23</v>
      </c>
      <c r="D654">
        <v>39</v>
      </c>
      <c r="E654" t="s">
        <v>36</v>
      </c>
      <c r="F654" t="s">
        <v>42</v>
      </c>
      <c r="G654" t="s">
        <v>26</v>
      </c>
      <c r="H654" t="s">
        <v>48</v>
      </c>
      <c r="I654" t="s">
        <v>63</v>
      </c>
      <c r="J654" t="s">
        <v>1636</v>
      </c>
      <c r="K654" t="s">
        <v>84</v>
      </c>
      <c r="L654">
        <v>126000</v>
      </c>
      <c r="M654">
        <v>11.6</v>
      </c>
      <c r="N654">
        <v>5.8</v>
      </c>
      <c r="O654">
        <v>5.2</v>
      </c>
      <c r="P654">
        <v>4</v>
      </c>
      <c r="Q654">
        <v>3</v>
      </c>
      <c r="R654">
        <v>3</v>
      </c>
      <c r="S654">
        <v>1</v>
      </c>
      <c r="T654" t="s">
        <v>23</v>
      </c>
      <c r="U654">
        <v>3</v>
      </c>
      <c r="W654" t="s">
        <v>1649</v>
      </c>
      <c r="X654" t="s">
        <v>1658</v>
      </c>
      <c r="Y654" t="s">
        <v>1661</v>
      </c>
      <c r="Z654">
        <v>0</v>
      </c>
    </row>
    <row r="655" spans="1:26" x14ac:dyDescent="0.35">
      <c r="A655" t="s">
        <v>64</v>
      </c>
      <c r="B655" s="6">
        <v>45709</v>
      </c>
      <c r="C655" t="s">
        <v>23</v>
      </c>
      <c r="D655">
        <v>32</v>
      </c>
      <c r="E655" t="s">
        <v>36</v>
      </c>
      <c r="F655" t="s">
        <v>25</v>
      </c>
      <c r="G655" t="s">
        <v>26</v>
      </c>
      <c r="H655" t="s">
        <v>27</v>
      </c>
      <c r="I655" t="s">
        <v>43</v>
      </c>
      <c r="J655" t="s">
        <v>1632</v>
      </c>
      <c r="K655" t="s">
        <v>29</v>
      </c>
      <c r="L655">
        <v>32000</v>
      </c>
      <c r="M655">
        <v>11.4</v>
      </c>
      <c r="N655">
        <v>6.4</v>
      </c>
      <c r="O655">
        <v>0.9</v>
      </c>
      <c r="P655">
        <v>0</v>
      </c>
      <c r="Q655">
        <v>2</v>
      </c>
      <c r="R655">
        <v>2</v>
      </c>
      <c r="S655">
        <v>2</v>
      </c>
      <c r="T655" t="s">
        <v>30</v>
      </c>
      <c r="U655">
        <v>5</v>
      </c>
      <c r="W655" t="s">
        <v>1650</v>
      </c>
      <c r="X655" t="s">
        <v>1655</v>
      </c>
      <c r="Y655" t="s">
        <v>1664</v>
      </c>
      <c r="Z655">
        <v>0</v>
      </c>
    </row>
    <row r="656" spans="1:26" x14ac:dyDescent="0.35">
      <c r="A656" t="s">
        <v>465</v>
      </c>
      <c r="B656" s="6">
        <v>43705</v>
      </c>
      <c r="C656" t="s">
        <v>30</v>
      </c>
      <c r="D656">
        <v>28</v>
      </c>
      <c r="E656" t="s">
        <v>62</v>
      </c>
      <c r="F656" t="s">
        <v>42</v>
      </c>
      <c r="G656" t="s">
        <v>26</v>
      </c>
      <c r="H656" t="s">
        <v>1634</v>
      </c>
      <c r="I656" t="s">
        <v>75</v>
      </c>
      <c r="J656" t="s">
        <v>1633</v>
      </c>
      <c r="K656" t="s">
        <v>40</v>
      </c>
      <c r="L656">
        <v>52000</v>
      </c>
      <c r="M656">
        <v>10.8</v>
      </c>
      <c r="N656">
        <v>11.3</v>
      </c>
      <c r="O656">
        <v>5.8</v>
      </c>
      <c r="P656">
        <v>4.5999999999999996</v>
      </c>
      <c r="Q656">
        <v>4</v>
      </c>
      <c r="R656">
        <v>3</v>
      </c>
      <c r="S656">
        <v>3</v>
      </c>
      <c r="T656" t="s">
        <v>30</v>
      </c>
      <c r="U656">
        <v>5</v>
      </c>
      <c r="V656" s="7">
        <v>45826</v>
      </c>
      <c r="W656" t="s">
        <v>1650</v>
      </c>
      <c r="X656" t="s">
        <v>1656</v>
      </c>
      <c r="Y656" t="s">
        <v>1661</v>
      </c>
      <c r="Z656">
        <v>1</v>
      </c>
    </row>
    <row r="657" spans="1:26" x14ac:dyDescent="0.35">
      <c r="A657" t="s">
        <v>478</v>
      </c>
      <c r="B657" s="6">
        <v>42119</v>
      </c>
      <c r="C657" t="s">
        <v>23</v>
      </c>
      <c r="D657">
        <v>38</v>
      </c>
      <c r="E657" t="s">
        <v>36</v>
      </c>
      <c r="F657" t="s">
        <v>25</v>
      </c>
      <c r="G657" t="s">
        <v>54</v>
      </c>
      <c r="H657" t="s">
        <v>68</v>
      </c>
      <c r="I657" t="s">
        <v>109</v>
      </c>
      <c r="J657" t="s">
        <v>1635</v>
      </c>
      <c r="K657" t="s">
        <v>40</v>
      </c>
      <c r="L657">
        <v>84000</v>
      </c>
      <c r="M657">
        <v>9.3000000000000007</v>
      </c>
      <c r="N657">
        <v>11.7</v>
      </c>
      <c r="O657">
        <v>10.7</v>
      </c>
      <c r="P657">
        <v>3.2</v>
      </c>
      <c r="Q657">
        <v>3</v>
      </c>
      <c r="R657">
        <v>3</v>
      </c>
      <c r="S657">
        <v>3</v>
      </c>
      <c r="T657" t="s">
        <v>23</v>
      </c>
      <c r="U657">
        <v>5</v>
      </c>
      <c r="W657" t="s">
        <v>1649</v>
      </c>
      <c r="X657" t="s">
        <v>1657</v>
      </c>
      <c r="Y657" t="s">
        <v>1663</v>
      </c>
      <c r="Z657">
        <v>0</v>
      </c>
    </row>
    <row r="658" spans="1:26" x14ac:dyDescent="0.35">
      <c r="A658" t="s">
        <v>990</v>
      </c>
      <c r="B658" s="6">
        <v>42873</v>
      </c>
      <c r="C658" t="s">
        <v>23</v>
      </c>
      <c r="D658">
        <v>36</v>
      </c>
      <c r="E658" t="s">
        <v>24</v>
      </c>
      <c r="F658" t="s">
        <v>37</v>
      </c>
      <c r="G658" t="s">
        <v>32</v>
      </c>
      <c r="H658" t="s">
        <v>38</v>
      </c>
      <c r="I658" t="s">
        <v>39</v>
      </c>
      <c r="J658" t="s">
        <v>1635</v>
      </c>
      <c r="K658" t="s">
        <v>34</v>
      </c>
      <c r="L658">
        <v>79000</v>
      </c>
      <c r="M658">
        <v>14.6</v>
      </c>
      <c r="N658">
        <v>13.8</v>
      </c>
      <c r="O658">
        <v>8.6</v>
      </c>
      <c r="P658">
        <v>5.0999999999999996</v>
      </c>
      <c r="Q658">
        <v>4</v>
      </c>
      <c r="R658">
        <v>3</v>
      </c>
      <c r="S658">
        <v>2</v>
      </c>
      <c r="T658" t="s">
        <v>23</v>
      </c>
      <c r="U658">
        <v>3</v>
      </c>
      <c r="W658" t="s">
        <v>1649</v>
      </c>
      <c r="X658" t="s">
        <v>1659</v>
      </c>
      <c r="Y658" t="s">
        <v>1662</v>
      </c>
      <c r="Z658">
        <v>0</v>
      </c>
    </row>
    <row r="659" spans="1:26" x14ac:dyDescent="0.35">
      <c r="A659" t="s">
        <v>98</v>
      </c>
      <c r="B659" s="6">
        <v>45543</v>
      </c>
      <c r="C659" t="s">
        <v>23</v>
      </c>
      <c r="D659">
        <v>30</v>
      </c>
      <c r="E659" t="s">
        <v>62</v>
      </c>
      <c r="F659" t="s">
        <v>37</v>
      </c>
      <c r="G659" t="s">
        <v>32</v>
      </c>
      <c r="H659" t="s">
        <v>1634</v>
      </c>
      <c r="I659" t="s">
        <v>60</v>
      </c>
      <c r="J659" t="s">
        <v>1633</v>
      </c>
      <c r="K659" t="s">
        <v>40</v>
      </c>
      <c r="L659">
        <v>47000</v>
      </c>
      <c r="M659">
        <v>10.199999999999999</v>
      </c>
      <c r="N659">
        <v>8.1999999999999993</v>
      </c>
      <c r="O659">
        <v>1.3</v>
      </c>
      <c r="P659">
        <v>1</v>
      </c>
      <c r="Q659">
        <v>3</v>
      </c>
      <c r="R659">
        <v>3</v>
      </c>
      <c r="S659">
        <v>3</v>
      </c>
      <c r="T659" t="s">
        <v>30</v>
      </c>
      <c r="U659">
        <v>2</v>
      </c>
      <c r="W659" t="s">
        <v>1650</v>
      </c>
      <c r="X659" t="s">
        <v>1656</v>
      </c>
      <c r="Y659" t="s">
        <v>1665</v>
      </c>
      <c r="Z659">
        <v>0</v>
      </c>
    </row>
    <row r="660" spans="1:26" x14ac:dyDescent="0.35">
      <c r="A660" t="s">
        <v>1523</v>
      </c>
      <c r="B660" s="6">
        <v>42204</v>
      </c>
      <c r="C660" t="s">
        <v>23</v>
      </c>
      <c r="D660">
        <v>34</v>
      </c>
      <c r="E660" t="s">
        <v>24</v>
      </c>
      <c r="F660" t="s">
        <v>42</v>
      </c>
      <c r="G660" t="s">
        <v>26</v>
      </c>
      <c r="H660" t="s">
        <v>68</v>
      </c>
      <c r="I660" t="s">
        <v>121</v>
      </c>
      <c r="J660" t="s">
        <v>1637</v>
      </c>
      <c r="K660" t="s">
        <v>29</v>
      </c>
      <c r="L660">
        <v>156000</v>
      </c>
      <c r="M660">
        <v>15.8</v>
      </c>
      <c r="N660">
        <v>12.7</v>
      </c>
      <c r="O660">
        <v>10.5</v>
      </c>
      <c r="P660">
        <v>1</v>
      </c>
      <c r="Q660">
        <v>4</v>
      </c>
      <c r="R660">
        <v>3</v>
      </c>
      <c r="S660">
        <v>4</v>
      </c>
      <c r="T660" t="s">
        <v>23</v>
      </c>
      <c r="U660">
        <v>4</v>
      </c>
      <c r="W660" t="s">
        <v>1650</v>
      </c>
      <c r="X660" t="s">
        <v>1658</v>
      </c>
      <c r="Y660" t="s">
        <v>1663</v>
      </c>
      <c r="Z660">
        <v>0</v>
      </c>
    </row>
    <row r="661" spans="1:26" x14ac:dyDescent="0.35">
      <c r="A661" t="s">
        <v>208</v>
      </c>
      <c r="B661" s="6">
        <v>43944</v>
      </c>
      <c r="C661" t="s">
        <v>23</v>
      </c>
      <c r="D661">
        <v>34</v>
      </c>
      <c r="E661" t="s">
        <v>36</v>
      </c>
      <c r="F661" t="s">
        <v>25</v>
      </c>
      <c r="G661" t="s">
        <v>54</v>
      </c>
      <c r="H661" t="s">
        <v>38</v>
      </c>
      <c r="I661" t="s">
        <v>139</v>
      </c>
      <c r="J661" t="s">
        <v>1632</v>
      </c>
      <c r="K661" t="s">
        <v>66</v>
      </c>
      <c r="L661">
        <v>46000</v>
      </c>
      <c r="M661">
        <v>4.9000000000000004</v>
      </c>
      <c r="N661">
        <v>8.5</v>
      </c>
      <c r="O661">
        <v>5.7</v>
      </c>
      <c r="P661">
        <v>0.7</v>
      </c>
      <c r="Q661">
        <v>3</v>
      </c>
      <c r="R661">
        <v>3</v>
      </c>
      <c r="S661">
        <v>3</v>
      </c>
      <c r="T661" t="s">
        <v>30</v>
      </c>
      <c r="U661">
        <v>3</v>
      </c>
      <c r="W661" t="s">
        <v>1650</v>
      </c>
      <c r="X661" t="s">
        <v>1656</v>
      </c>
      <c r="Y661" t="s">
        <v>1661</v>
      </c>
      <c r="Z661">
        <v>0</v>
      </c>
    </row>
    <row r="662" spans="1:26" x14ac:dyDescent="0.35">
      <c r="A662" t="s">
        <v>1127</v>
      </c>
      <c r="B662" s="6">
        <v>44333</v>
      </c>
      <c r="C662" t="s">
        <v>23</v>
      </c>
      <c r="D662">
        <v>46</v>
      </c>
      <c r="E662" t="s">
        <v>62</v>
      </c>
      <c r="F662" t="s">
        <v>42</v>
      </c>
      <c r="G662" t="s">
        <v>26</v>
      </c>
      <c r="H662" t="s">
        <v>68</v>
      </c>
      <c r="I662" t="s">
        <v>102</v>
      </c>
      <c r="J662" t="s">
        <v>1633</v>
      </c>
      <c r="K662" t="s">
        <v>29</v>
      </c>
      <c r="L662">
        <v>51000</v>
      </c>
      <c r="M662">
        <v>5.6</v>
      </c>
      <c r="N662">
        <v>6.2</v>
      </c>
      <c r="O662">
        <v>4.5999999999999996</v>
      </c>
      <c r="P662">
        <v>0.9</v>
      </c>
      <c r="Q662">
        <v>3</v>
      </c>
      <c r="R662">
        <v>2</v>
      </c>
      <c r="S662">
        <v>3</v>
      </c>
      <c r="T662" t="s">
        <v>30</v>
      </c>
      <c r="U662">
        <v>4</v>
      </c>
      <c r="W662" t="s">
        <v>1652</v>
      </c>
      <c r="X662" t="s">
        <v>1656</v>
      </c>
      <c r="Y662" t="s">
        <v>1661</v>
      </c>
      <c r="Z662">
        <v>0</v>
      </c>
    </row>
    <row r="663" spans="1:26" x14ac:dyDescent="0.35">
      <c r="A663" t="s">
        <v>1317</v>
      </c>
      <c r="B663" s="6">
        <v>44267</v>
      </c>
      <c r="C663" t="s">
        <v>30</v>
      </c>
      <c r="D663">
        <v>25</v>
      </c>
      <c r="E663" t="s">
        <v>36</v>
      </c>
      <c r="F663" t="s">
        <v>42</v>
      </c>
      <c r="G663" t="s">
        <v>54</v>
      </c>
      <c r="H663" t="s">
        <v>38</v>
      </c>
      <c r="I663" t="s">
        <v>139</v>
      </c>
      <c r="J663" t="s">
        <v>1632</v>
      </c>
      <c r="K663" t="s">
        <v>50</v>
      </c>
      <c r="L663">
        <v>31000</v>
      </c>
      <c r="M663">
        <v>7.5</v>
      </c>
      <c r="N663">
        <v>6.1</v>
      </c>
      <c r="O663">
        <v>4.2</v>
      </c>
      <c r="P663">
        <v>2.2000000000000002</v>
      </c>
      <c r="Q663">
        <v>1</v>
      </c>
      <c r="R663">
        <v>3</v>
      </c>
      <c r="S663">
        <v>4</v>
      </c>
      <c r="T663" t="s">
        <v>30</v>
      </c>
      <c r="U663">
        <v>4</v>
      </c>
      <c r="V663" s="7">
        <v>45794</v>
      </c>
      <c r="W663" t="s">
        <v>1651</v>
      </c>
      <c r="X663" t="s">
        <v>1655</v>
      </c>
      <c r="Y663" t="s">
        <v>1661</v>
      </c>
      <c r="Z663">
        <v>1</v>
      </c>
    </row>
    <row r="664" spans="1:26" x14ac:dyDescent="0.35">
      <c r="A664" t="s">
        <v>231</v>
      </c>
      <c r="B664" s="6">
        <v>45182</v>
      </c>
      <c r="C664" t="s">
        <v>23</v>
      </c>
      <c r="D664">
        <v>33</v>
      </c>
      <c r="E664" t="s">
        <v>62</v>
      </c>
      <c r="F664" t="s">
        <v>42</v>
      </c>
      <c r="G664" t="s">
        <v>32</v>
      </c>
      <c r="H664" t="s">
        <v>55</v>
      </c>
      <c r="I664" t="s">
        <v>88</v>
      </c>
      <c r="J664" t="s">
        <v>1635</v>
      </c>
      <c r="K664" t="s">
        <v>40</v>
      </c>
      <c r="L664">
        <v>98000</v>
      </c>
      <c r="M664">
        <v>5.4</v>
      </c>
      <c r="N664">
        <v>4.5999999999999996</v>
      </c>
      <c r="O664">
        <v>2.2999999999999998</v>
      </c>
      <c r="P664">
        <v>0</v>
      </c>
      <c r="Q664">
        <v>3</v>
      </c>
      <c r="R664">
        <v>2</v>
      </c>
      <c r="S664">
        <v>4</v>
      </c>
      <c r="T664" t="s">
        <v>30</v>
      </c>
      <c r="U664">
        <v>4</v>
      </c>
      <c r="W664" t="s">
        <v>1650</v>
      </c>
      <c r="X664" t="s">
        <v>1657</v>
      </c>
      <c r="Y664" t="s">
        <v>1665</v>
      </c>
      <c r="Z664">
        <v>0</v>
      </c>
    </row>
    <row r="665" spans="1:26" x14ac:dyDescent="0.35">
      <c r="A665" t="s">
        <v>1531</v>
      </c>
      <c r="B665" s="6">
        <v>44493</v>
      </c>
      <c r="C665" t="s">
        <v>23</v>
      </c>
      <c r="D665">
        <v>37</v>
      </c>
      <c r="E665" t="s">
        <v>24</v>
      </c>
      <c r="F665" t="s">
        <v>25</v>
      </c>
      <c r="G665" t="s">
        <v>58</v>
      </c>
      <c r="H665" t="s">
        <v>68</v>
      </c>
      <c r="I665" t="s">
        <v>102</v>
      </c>
      <c r="J665" t="s">
        <v>1633</v>
      </c>
      <c r="K665" t="s">
        <v>34</v>
      </c>
      <c r="L665">
        <v>62000</v>
      </c>
      <c r="M665">
        <v>6.4</v>
      </c>
      <c r="N665">
        <v>7.6</v>
      </c>
      <c r="O665">
        <v>4.2</v>
      </c>
      <c r="P665">
        <v>0.1</v>
      </c>
      <c r="Q665">
        <v>4</v>
      </c>
      <c r="R665">
        <v>4</v>
      </c>
      <c r="S665">
        <v>4</v>
      </c>
      <c r="T665" t="s">
        <v>23</v>
      </c>
      <c r="U665">
        <v>3</v>
      </c>
      <c r="W665" t="s">
        <v>1649</v>
      </c>
      <c r="X665" t="s">
        <v>1659</v>
      </c>
      <c r="Y665" t="s">
        <v>1661</v>
      </c>
      <c r="Z665">
        <v>0</v>
      </c>
    </row>
    <row r="666" spans="1:26" x14ac:dyDescent="0.35">
      <c r="A666" t="s">
        <v>209</v>
      </c>
      <c r="B666" s="6">
        <v>45075</v>
      </c>
      <c r="C666" t="s">
        <v>23</v>
      </c>
      <c r="D666">
        <v>25</v>
      </c>
      <c r="E666" t="s">
        <v>24</v>
      </c>
      <c r="F666" t="s">
        <v>37</v>
      </c>
      <c r="G666" t="s">
        <v>26</v>
      </c>
      <c r="H666" t="s">
        <v>27</v>
      </c>
      <c r="I666" t="s">
        <v>43</v>
      </c>
      <c r="J666" t="s">
        <v>1632</v>
      </c>
      <c r="K666" t="s">
        <v>84</v>
      </c>
      <c r="L666">
        <v>40000</v>
      </c>
      <c r="M666">
        <v>9.6999999999999993</v>
      </c>
      <c r="N666">
        <v>7.1</v>
      </c>
      <c r="O666">
        <v>2.6</v>
      </c>
      <c r="P666">
        <v>2.6</v>
      </c>
      <c r="Q666">
        <v>2</v>
      </c>
      <c r="R666">
        <v>4</v>
      </c>
      <c r="S666">
        <v>3</v>
      </c>
      <c r="T666" t="s">
        <v>30</v>
      </c>
      <c r="U666">
        <v>2</v>
      </c>
      <c r="W666" t="s">
        <v>1651</v>
      </c>
      <c r="X666" t="s">
        <v>1656</v>
      </c>
      <c r="Y666" t="s">
        <v>1665</v>
      </c>
      <c r="Z666">
        <v>0</v>
      </c>
    </row>
    <row r="667" spans="1:26" x14ac:dyDescent="0.35">
      <c r="A667" t="s">
        <v>1405</v>
      </c>
      <c r="B667" s="6">
        <v>45136</v>
      </c>
      <c r="C667" t="s">
        <v>23</v>
      </c>
      <c r="D667">
        <v>25</v>
      </c>
      <c r="E667" t="s">
        <v>62</v>
      </c>
      <c r="F667" t="s">
        <v>25</v>
      </c>
      <c r="G667" t="s">
        <v>54</v>
      </c>
      <c r="H667" t="s">
        <v>1634</v>
      </c>
      <c r="I667" t="s">
        <v>150</v>
      </c>
      <c r="J667" t="s">
        <v>1632</v>
      </c>
      <c r="K667" t="s">
        <v>50</v>
      </c>
      <c r="L667">
        <v>25000</v>
      </c>
      <c r="M667">
        <v>11.4</v>
      </c>
      <c r="N667">
        <v>6.3</v>
      </c>
      <c r="O667">
        <v>2.4</v>
      </c>
      <c r="P667">
        <v>0.9</v>
      </c>
      <c r="Q667">
        <v>4</v>
      </c>
      <c r="R667">
        <v>1</v>
      </c>
      <c r="S667">
        <v>3</v>
      </c>
      <c r="T667" t="s">
        <v>23</v>
      </c>
      <c r="U667">
        <v>4</v>
      </c>
      <c r="W667" t="s">
        <v>1651</v>
      </c>
      <c r="X667" t="s">
        <v>1655</v>
      </c>
      <c r="Y667" t="s">
        <v>1665</v>
      </c>
      <c r="Z667">
        <v>0</v>
      </c>
    </row>
    <row r="668" spans="1:26" x14ac:dyDescent="0.35">
      <c r="A668" t="s">
        <v>638</v>
      </c>
      <c r="B668" s="6">
        <v>44159</v>
      </c>
      <c r="C668" t="s">
        <v>23</v>
      </c>
      <c r="D668">
        <v>36</v>
      </c>
      <c r="E668" t="s">
        <v>24</v>
      </c>
      <c r="F668" t="s">
        <v>37</v>
      </c>
      <c r="G668" t="s">
        <v>54</v>
      </c>
      <c r="H668" t="s">
        <v>68</v>
      </c>
      <c r="I668" t="s">
        <v>102</v>
      </c>
      <c r="J668" t="s">
        <v>1633</v>
      </c>
      <c r="K668" t="s">
        <v>29</v>
      </c>
      <c r="L668">
        <v>40000</v>
      </c>
      <c r="M668">
        <v>12.4</v>
      </c>
      <c r="N668">
        <v>5.3</v>
      </c>
      <c r="O668">
        <v>5.0999999999999996</v>
      </c>
      <c r="P668">
        <v>2.9</v>
      </c>
      <c r="Q668">
        <v>4</v>
      </c>
      <c r="R668">
        <v>3</v>
      </c>
      <c r="S668">
        <v>3</v>
      </c>
      <c r="T668" t="s">
        <v>30</v>
      </c>
      <c r="U668">
        <v>3</v>
      </c>
      <c r="W668" t="s">
        <v>1649</v>
      </c>
      <c r="X668" t="s">
        <v>1656</v>
      </c>
      <c r="Y668" t="s">
        <v>1661</v>
      </c>
      <c r="Z668">
        <v>0</v>
      </c>
    </row>
    <row r="669" spans="1:26" x14ac:dyDescent="0.35">
      <c r="A669" t="s">
        <v>621</v>
      </c>
      <c r="B669" s="6">
        <v>43012</v>
      </c>
      <c r="C669" t="s">
        <v>23</v>
      </c>
      <c r="D669">
        <v>37</v>
      </c>
      <c r="E669" t="s">
        <v>36</v>
      </c>
      <c r="F669" t="s">
        <v>42</v>
      </c>
      <c r="G669" t="s">
        <v>58</v>
      </c>
      <c r="H669" t="s">
        <v>38</v>
      </c>
      <c r="I669" t="s">
        <v>39</v>
      </c>
      <c r="J669" t="s">
        <v>1636</v>
      </c>
      <c r="K669" t="s">
        <v>40</v>
      </c>
      <c r="L669">
        <v>130000</v>
      </c>
      <c r="M669">
        <v>6.2</v>
      </c>
      <c r="N669">
        <v>12.5</v>
      </c>
      <c r="O669">
        <v>8.1999999999999993</v>
      </c>
      <c r="P669">
        <v>1.6</v>
      </c>
      <c r="Q669">
        <v>3</v>
      </c>
      <c r="R669">
        <v>3</v>
      </c>
      <c r="S669">
        <v>4</v>
      </c>
      <c r="T669" t="s">
        <v>23</v>
      </c>
      <c r="U669">
        <v>3</v>
      </c>
      <c r="W669" t="s">
        <v>1649</v>
      </c>
      <c r="X669" t="s">
        <v>1658</v>
      </c>
      <c r="Y669" t="s">
        <v>1662</v>
      </c>
      <c r="Z669">
        <v>0</v>
      </c>
    </row>
    <row r="670" spans="1:26" x14ac:dyDescent="0.35">
      <c r="A670" t="s">
        <v>81</v>
      </c>
      <c r="B670" s="6">
        <v>45387</v>
      </c>
      <c r="C670" t="s">
        <v>23</v>
      </c>
      <c r="D670">
        <v>35</v>
      </c>
      <c r="E670" t="s">
        <v>62</v>
      </c>
      <c r="F670" t="s">
        <v>37</v>
      </c>
      <c r="G670" t="s">
        <v>58</v>
      </c>
      <c r="H670" t="s">
        <v>38</v>
      </c>
      <c r="I670" t="s">
        <v>39</v>
      </c>
      <c r="J670" t="s">
        <v>1636</v>
      </c>
      <c r="K670" t="s">
        <v>66</v>
      </c>
      <c r="L670">
        <v>119000</v>
      </c>
      <c r="M670">
        <v>5</v>
      </c>
      <c r="N670">
        <v>4.5</v>
      </c>
      <c r="O670">
        <v>1.7</v>
      </c>
      <c r="P670">
        <v>0.2</v>
      </c>
      <c r="Q670">
        <v>3</v>
      </c>
      <c r="R670">
        <v>1</v>
      </c>
      <c r="S670">
        <v>4</v>
      </c>
      <c r="T670" t="s">
        <v>23</v>
      </c>
      <c r="U670">
        <v>2</v>
      </c>
      <c r="W670" t="s">
        <v>1650</v>
      </c>
      <c r="X670" t="s">
        <v>1658</v>
      </c>
      <c r="Y670" t="s">
        <v>1665</v>
      </c>
      <c r="Z670">
        <v>0</v>
      </c>
    </row>
    <row r="671" spans="1:26" x14ac:dyDescent="0.35">
      <c r="A671" t="s">
        <v>256</v>
      </c>
      <c r="B671" s="6">
        <v>44681</v>
      </c>
      <c r="C671" t="s">
        <v>30</v>
      </c>
      <c r="D671">
        <v>35</v>
      </c>
      <c r="E671" t="s">
        <v>24</v>
      </c>
      <c r="F671" t="s">
        <v>37</v>
      </c>
      <c r="G671" t="s">
        <v>58</v>
      </c>
      <c r="H671" t="s">
        <v>27</v>
      </c>
      <c r="I671" t="s">
        <v>95</v>
      </c>
      <c r="J671" t="s">
        <v>1633</v>
      </c>
      <c r="K671" t="s">
        <v>40</v>
      </c>
      <c r="L671">
        <v>37000</v>
      </c>
      <c r="M671">
        <v>9.4</v>
      </c>
      <c r="N671">
        <v>9.6999999999999993</v>
      </c>
      <c r="O671">
        <v>3.1</v>
      </c>
      <c r="P671">
        <v>0.4</v>
      </c>
      <c r="Q671">
        <v>1</v>
      </c>
      <c r="R671">
        <v>3</v>
      </c>
      <c r="S671">
        <v>1</v>
      </c>
      <c r="T671" t="s">
        <v>23</v>
      </c>
      <c r="U671">
        <v>3</v>
      </c>
      <c r="V671" s="7">
        <v>45802</v>
      </c>
      <c r="W671" t="s">
        <v>1650</v>
      </c>
      <c r="X671" t="s">
        <v>1655</v>
      </c>
      <c r="Y671" t="s">
        <v>1661</v>
      </c>
      <c r="Z671">
        <v>1</v>
      </c>
    </row>
    <row r="672" spans="1:26" x14ac:dyDescent="0.35">
      <c r="A672" t="s">
        <v>567</v>
      </c>
      <c r="B672" s="6">
        <v>43768</v>
      </c>
      <c r="C672" t="s">
        <v>23</v>
      </c>
      <c r="D672">
        <v>38</v>
      </c>
      <c r="E672" t="s">
        <v>36</v>
      </c>
      <c r="F672" t="s">
        <v>37</v>
      </c>
      <c r="G672" t="s">
        <v>26</v>
      </c>
      <c r="H672" t="s">
        <v>68</v>
      </c>
      <c r="I672" t="s">
        <v>69</v>
      </c>
      <c r="J672" t="s">
        <v>1635</v>
      </c>
      <c r="K672" t="s">
        <v>34</v>
      </c>
      <c r="L672">
        <v>74000</v>
      </c>
      <c r="M672">
        <v>7.7</v>
      </c>
      <c r="N672">
        <v>11.9</v>
      </c>
      <c r="O672">
        <v>6.2</v>
      </c>
      <c r="P672">
        <v>0.9</v>
      </c>
      <c r="Q672">
        <v>3</v>
      </c>
      <c r="R672">
        <v>3</v>
      </c>
      <c r="S672">
        <v>3</v>
      </c>
      <c r="T672" t="s">
        <v>23</v>
      </c>
      <c r="U672">
        <v>5</v>
      </c>
      <c r="W672" t="s">
        <v>1649</v>
      </c>
      <c r="X672" t="s">
        <v>1659</v>
      </c>
      <c r="Y672" t="s">
        <v>1662</v>
      </c>
      <c r="Z672">
        <v>0</v>
      </c>
    </row>
    <row r="673" spans="1:26" x14ac:dyDescent="0.35">
      <c r="A673" t="s">
        <v>268</v>
      </c>
      <c r="B673" s="6">
        <v>43191</v>
      </c>
      <c r="C673" t="s">
        <v>30</v>
      </c>
      <c r="D673">
        <v>35</v>
      </c>
      <c r="E673" t="s">
        <v>62</v>
      </c>
      <c r="F673" t="s">
        <v>37</v>
      </c>
      <c r="G673" t="s">
        <v>32</v>
      </c>
      <c r="H673" t="s">
        <v>68</v>
      </c>
      <c r="I673" t="s">
        <v>109</v>
      </c>
      <c r="J673" t="s">
        <v>1636</v>
      </c>
      <c r="K673" t="s">
        <v>84</v>
      </c>
      <c r="L673">
        <v>113000</v>
      </c>
      <c r="M673">
        <v>10.9</v>
      </c>
      <c r="N673">
        <v>14.5</v>
      </c>
      <c r="O673">
        <v>7.1</v>
      </c>
      <c r="P673">
        <v>3.6</v>
      </c>
      <c r="Q673">
        <v>4</v>
      </c>
      <c r="R673">
        <v>2</v>
      </c>
      <c r="S673">
        <v>3</v>
      </c>
      <c r="T673" t="s">
        <v>23</v>
      </c>
      <c r="U673">
        <v>5</v>
      </c>
      <c r="V673" s="7">
        <v>45791</v>
      </c>
      <c r="W673" t="s">
        <v>1650</v>
      </c>
      <c r="X673" t="s">
        <v>1658</v>
      </c>
      <c r="Y673" t="s">
        <v>1662</v>
      </c>
      <c r="Z673">
        <v>1</v>
      </c>
    </row>
    <row r="674" spans="1:26" x14ac:dyDescent="0.35">
      <c r="A674" t="s">
        <v>852</v>
      </c>
      <c r="B674" s="6">
        <v>44626</v>
      </c>
      <c r="C674" t="s">
        <v>23</v>
      </c>
      <c r="D674">
        <v>38</v>
      </c>
      <c r="E674" t="s">
        <v>36</v>
      </c>
      <c r="F674" t="s">
        <v>25</v>
      </c>
      <c r="G674" t="s">
        <v>58</v>
      </c>
      <c r="H674" t="s">
        <v>55</v>
      </c>
      <c r="I674" t="s">
        <v>80</v>
      </c>
      <c r="J674" t="s">
        <v>1635</v>
      </c>
      <c r="K674" t="s">
        <v>66</v>
      </c>
      <c r="L674">
        <v>95000</v>
      </c>
      <c r="M674">
        <v>4.9000000000000004</v>
      </c>
      <c r="N674">
        <v>8.1999999999999993</v>
      </c>
      <c r="O674">
        <v>3.8</v>
      </c>
      <c r="P674">
        <v>1.4</v>
      </c>
      <c r="Q674">
        <v>3</v>
      </c>
      <c r="R674">
        <v>4</v>
      </c>
      <c r="S674">
        <v>3</v>
      </c>
      <c r="T674" t="s">
        <v>30</v>
      </c>
      <c r="U674">
        <v>2</v>
      </c>
      <c r="W674" t="s">
        <v>1649</v>
      </c>
      <c r="X674" t="s">
        <v>1657</v>
      </c>
      <c r="Y674" t="s">
        <v>1661</v>
      </c>
      <c r="Z674">
        <v>0</v>
      </c>
    </row>
    <row r="675" spans="1:26" x14ac:dyDescent="0.35">
      <c r="A675" t="s">
        <v>258</v>
      </c>
      <c r="B675" s="6">
        <v>44085</v>
      </c>
      <c r="C675" t="s">
        <v>30</v>
      </c>
      <c r="D675">
        <v>33</v>
      </c>
      <c r="E675" t="s">
        <v>24</v>
      </c>
      <c r="F675" t="s">
        <v>25</v>
      </c>
      <c r="G675" t="s">
        <v>58</v>
      </c>
      <c r="H675" t="s">
        <v>45</v>
      </c>
      <c r="I675" t="s">
        <v>77</v>
      </c>
      <c r="J675" t="s">
        <v>1635</v>
      </c>
      <c r="K675" t="s">
        <v>40</v>
      </c>
      <c r="L675">
        <v>71000</v>
      </c>
      <c r="M675">
        <v>10.3</v>
      </c>
      <c r="N675">
        <v>5.3</v>
      </c>
      <c r="O675">
        <v>5.0999999999999996</v>
      </c>
      <c r="P675">
        <v>3.9</v>
      </c>
      <c r="Q675">
        <v>3</v>
      </c>
      <c r="R675">
        <v>2</v>
      </c>
      <c r="S675">
        <v>2</v>
      </c>
      <c r="T675" t="s">
        <v>23</v>
      </c>
      <c r="U675">
        <v>5</v>
      </c>
      <c r="V675" s="7">
        <v>45944</v>
      </c>
      <c r="W675" t="s">
        <v>1650</v>
      </c>
      <c r="X675" t="s">
        <v>1659</v>
      </c>
      <c r="Y675" t="s">
        <v>1661</v>
      </c>
      <c r="Z675">
        <v>1</v>
      </c>
    </row>
    <row r="676" spans="1:26" x14ac:dyDescent="0.35">
      <c r="A676" t="s">
        <v>566</v>
      </c>
      <c r="B676" s="6">
        <v>42301</v>
      </c>
      <c r="C676" t="s">
        <v>23</v>
      </c>
      <c r="D676">
        <v>41</v>
      </c>
      <c r="E676" t="s">
        <v>62</v>
      </c>
      <c r="F676" t="s">
        <v>37</v>
      </c>
      <c r="G676" t="s">
        <v>58</v>
      </c>
      <c r="H676" t="s">
        <v>27</v>
      </c>
      <c r="I676" t="s">
        <v>28</v>
      </c>
      <c r="J676" t="s">
        <v>1632</v>
      </c>
      <c r="K676" t="s">
        <v>66</v>
      </c>
      <c r="L676">
        <v>22000</v>
      </c>
      <c r="M676">
        <v>11.5</v>
      </c>
      <c r="N676">
        <v>16.3</v>
      </c>
      <c r="O676">
        <v>10.199999999999999</v>
      </c>
      <c r="P676">
        <v>3.1</v>
      </c>
      <c r="Q676">
        <v>3</v>
      </c>
      <c r="R676">
        <v>4</v>
      </c>
      <c r="S676">
        <v>2</v>
      </c>
      <c r="T676" t="s">
        <v>30</v>
      </c>
      <c r="U676">
        <v>3</v>
      </c>
      <c r="W676" t="s">
        <v>1649</v>
      </c>
      <c r="X676" t="s">
        <v>1655</v>
      </c>
      <c r="Y676" t="s">
        <v>1663</v>
      </c>
      <c r="Z676">
        <v>0</v>
      </c>
    </row>
    <row r="677" spans="1:26" x14ac:dyDescent="0.35">
      <c r="A677" t="s">
        <v>349</v>
      </c>
      <c r="B677" s="6">
        <v>42962</v>
      </c>
      <c r="C677" t="s">
        <v>23</v>
      </c>
      <c r="D677">
        <v>36</v>
      </c>
      <c r="E677" t="s">
        <v>36</v>
      </c>
      <c r="F677" t="s">
        <v>37</v>
      </c>
      <c r="G677" t="s">
        <v>32</v>
      </c>
      <c r="H677" t="s">
        <v>38</v>
      </c>
      <c r="I677" t="s">
        <v>39</v>
      </c>
      <c r="J677" t="s">
        <v>1635</v>
      </c>
      <c r="K677" t="s">
        <v>29</v>
      </c>
      <c r="L677">
        <v>96000</v>
      </c>
      <c r="M677">
        <v>17</v>
      </c>
      <c r="N677">
        <v>12.5</v>
      </c>
      <c r="O677">
        <v>8.4</v>
      </c>
      <c r="P677">
        <v>4.3</v>
      </c>
      <c r="Q677">
        <v>2</v>
      </c>
      <c r="R677">
        <v>3</v>
      </c>
      <c r="S677">
        <v>3</v>
      </c>
      <c r="T677" t="s">
        <v>23</v>
      </c>
      <c r="U677">
        <v>4</v>
      </c>
      <c r="W677" t="s">
        <v>1649</v>
      </c>
      <c r="X677" t="s">
        <v>1657</v>
      </c>
      <c r="Y677" t="s">
        <v>1662</v>
      </c>
      <c r="Z677">
        <v>0</v>
      </c>
    </row>
    <row r="678" spans="1:26" x14ac:dyDescent="0.35">
      <c r="A678" t="s">
        <v>495</v>
      </c>
      <c r="B678" s="6">
        <v>44584</v>
      </c>
      <c r="C678" t="s">
        <v>23</v>
      </c>
      <c r="D678">
        <v>35</v>
      </c>
      <c r="E678" t="s">
        <v>24</v>
      </c>
      <c r="F678" t="s">
        <v>37</v>
      </c>
      <c r="G678" t="s">
        <v>32</v>
      </c>
      <c r="H678" t="s">
        <v>45</v>
      </c>
      <c r="I678" t="s">
        <v>97</v>
      </c>
      <c r="J678" t="s">
        <v>1633</v>
      </c>
      <c r="K678" t="s">
        <v>50</v>
      </c>
      <c r="L678">
        <v>59000</v>
      </c>
      <c r="M678">
        <v>9.6</v>
      </c>
      <c r="N678">
        <v>9.4</v>
      </c>
      <c r="O678">
        <v>3.9</v>
      </c>
      <c r="P678">
        <v>0.4</v>
      </c>
      <c r="Q678">
        <v>1</v>
      </c>
      <c r="R678">
        <v>1</v>
      </c>
      <c r="S678">
        <v>3</v>
      </c>
      <c r="T678" t="s">
        <v>23</v>
      </c>
      <c r="U678">
        <v>2</v>
      </c>
      <c r="W678" t="s">
        <v>1650</v>
      </c>
      <c r="X678" t="s">
        <v>1656</v>
      </c>
      <c r="Y678" t="s">
        <v>1661</v>
      </c>
      <c r="Z678">
        <v>0</v>
      </c>
    </row>
    <row r="679" spans="1:26" x14ac:dyDescent="0.35">
      <c r="A679" t="s">
        <v>1114</v>
      </c>
      <c r="B679" s="6">
        <v>44178</v>
      </c>
      <c r="C679" t="s">
        <v>23</v>
      </c>
      <c r="D679">
        <v>31</v>
      </c>
      <c r="E679" t="s">
        <v>62</v>
      </c>
      <c r="F679" t="s">
        <v>42</v>
      </c>
      <c r="G679" t="s">
        <v>26</v>
      </c>
      <c r="H679" t="s">
        <v>48</v>
      </c>
      <c r="I679" t="s">
        <v>63</v>
      </c>
      <c r="J679" t="s">
        <v>1636</v>
      </c>
      <c r="K679" t="s">
        <v>34</v>
      </c>
      <c r="L679">
        <v>129000</v>
      </c>
      <c r="M679">
        <v>5.7</v>
      </c>
      <c r="N679">
        <v>12.9</v>
      </c>
      <c r="O679">
        <v>5</v>
      </c>
      <c r="P679">
        <v>4.0999999999999996</v>
      </c>
      <c r="Q679">
        <v>2</v>
      </c>
      <c r="R679">
        <v>4</v>
      </c>
      <c r="S679">
        <v>3</v>
      </c>
      <c r="T679" t="s">
        <v>30</v>
      </c>
      <c r="U679">
        <v>4</v>
      </c>
      <c r="W679" t="s">
        <v>1650</v>
      </c>
      <c r="X679" t="s">
        <v>1658</v>
      </c>
      <c r="Y679" t="s">
        <v>1661</v>
      </c>
      <c r="Z679">
        <v>0</v>
      </c>
    </row>
    <row r="680" spans="1:26" x14ac:dyDescent="0.35">
      <c r="A680" t="s">
        <v>747</v>
      </c>
      <c r="B680" s="6">
        <v>42415</v>
      </c>
      <c r="C680" t="s">
        <v>23</v>
      </c>
      <c r="D680">
        <v>36</v>
      </c>
      <c r="E680" t="s">
        <v>36</v>
      </c>
      <c r="F680" t="s">
        <v>42</v>
      </c>
      <c r="G680" t="s">
        <v>58</v>
      </c>
      <c r="H680" t="s">
        <v>55</v>
      </c>
      <c r="I680" t="s">
        <v>56</v>
      </c>
      <c r="J680" t="s">
        <v>1633</v>
      </c>
      <c r="K680" t="s">
        <v>34</v>
      </c>
      <c r="L680">
        <v>49000</v>
      </c>
      <c r="M680">
        <v>10.5</v>
      </c>
      <c r="N680">
        <v>14.2</v>
      </c>
      <c r="O680">
        <v>9.9</v>
      </c>
      <c r="P680">
        <v>2.9</v>
      </c>
      <c r="Q680">
        <v>2</v>
      </c>
      <c r="R680">
        <v>3</v>
      </c>
      <c r="S680">
        <v>3</v>
      </c>
      <c r="T680" t="s">
        <v>23</v>
      </c>
      <c r="U680">
        <v>5</v>
      </c>
      <c r="W680" t="s">
        <v>1649</v>
      </c>
      <c r="X680" t="s">
        <v>1656</v>
      </c>
      <c r="Y680" t="s">
        <v>1662</v>
      </c>
      <c r="Z680">
        <v>0</v>
      </c>
    </row>
    <row r="681" spans="1:26" x14ac:dyDescent="0.35">
      <c r="A681" t="s">
        <v>271</v>
      </c>
      <c r="B681" s="6">
        <v>42437</v>
      </c>
      <c r="C681" t="s">
        <v>30</v>
      </c>
      <c r="D681">
        <v>37</v>
      </c>
      <c r="E681" t="s">
        <v>24</v>
      </c>
      <c r="F681" t="s">
        <v>42</v>
      </c>
      <c r="G681" t="s">
        <v>32</v>
      </c>
      <c r="H681" t="s">
        <v>48</v>
      </c>
      <c r="I681" t="s">
        <v>63</v>
      </c>
      <c r="J681" t="s">
        <v>1635</v>
      </c>
      <c r="K681" t="s">
        <v>34</v>
      </c>
      <c r="L681">
        <v>88000</v>
      </c>
      <c r="M681">
        <v>6.6</v>
      </c>
      <c r="N681">
        <v>9.5</v>
      </c>
      <c r="O681">
        <v>9.4</v>
      </c>
      <c r="P681">
        <v>1.8</v>
      </c>
      <c r="Q681">
        <v>3</v>
      </c>
      <c r="R681">
        <v>3</v>
      </c>
      <c r="S681">
        <v>4</v>
      </c>
      <c r="T681" t="s">
        <v>30</v>
      </c>
      <c r="U681">
        <v>4</v>
      </c>
      <c r="V681" s="7">
        <v>45857</v>
      </c>
      <c r="W681" t="s">
        <v>1649</v>
      </c>
      <c r="X681" t="s">
        <v>1657</v>
      </c>
      <c r="Y681" t="s">
        <v>1662</v>
      </c>
      <c r="Z681">
        <v>1</v>
      </c>
    </row>
    <row r="682" spans="1:26" x14ac:dyDescent="0.35">
      <c r="A682" t="s">
        <v>667</v>
      </c>
      <c r="B682" s="6">
        <v>41717</v>
      </c>
      <c r="C682" t="s">
        <v>23</v>
      </c>
      <c r="D682">
        <v>47</v>
      </c>
      <c r="E682" t="s">
        <v>36</v>
      </c>
      <c r="F682" t="s">
        <v>25</v>
      </c>
      <c r="G682" t="s">
        <v>58</v>
      </c>
      <c r="H682" t="s">
        <v>45</v>
      </c>
      <c r="I682" t="s">
        <v>46</v>
      </c>
      <c r="J682" t="s">
        <v>1633</v>
      </c>
      <c r="K682" t="s">
        <v>34</v>
      </c>
      <c r="L682">
        <v>45000</v>
      </c>
      <c r="M682">
        <v>4.8</v>
      </c>
      <c r="N682">
        <v>14.6</v>
      </c>
      <c r="O682">
        <v>11.8</v>
      </c>
      <c r="P682">
        <v>4.2</v>
      </c>
      <c r="Q682">
        <v>4</v>
      </c>
      <c r="R682">
        <v>3</v>
      </c>
      <c r="S682">
        <v>2</v>
      </c>
      <c r="T682" t="s">
        <v>23</v>
      </c>
      <c r="U682">
        <v>4</v>
      </c>
      <c r="W682" t="s">
        <v>1652</v>
      </c>
      <c r="X682" t="s">
        <v>1656</v>
      </c>
      <c r="Y682" t="s">
        <v>1663</v>
      </c>
      <c r="Z682">
        <v>0</v>
      </c>
    </row>
    <row r="683" spans="1:26" x14ac:dyDescent="0.35">
      <c r="A683" t="s">
        <v>735</v>
      </c>
      <c r="B683" s="6">
        <v>42654</v>
      </c>
      <c r="C683" t="s">
        <v>23</v>
      </c>
      <c r="D683">
        <v>47</v>
      </c>
      <c r="E683" t="s">
        <v>62</v>
      </c>
      <c r="F683" t="s">
        <v>25</v>
      </c>
      <c r="G683" t="s">
        <v>58</v>
      </c>
      <c r="H683" t="s">
        <v>45</v>
      </c>
      <c r="I683" t="s">
        <v>97</v>
      </c>
      <c r="J683" t="s">
        <v>1633</v>
      </c>
      <c r="K683" t="s">
        <v>40</v>
      </c>
      <c r="L683">
        <v>50000</v>
      </c>
      <c r="M683">
        <v>13</v>
      </c>
      <c r="N683">
        <v>14.4</v>
      </c>
      <c r="O683">
        <v>9.1999999999999993</v>
      </c>
      <c r="P683">
        <v>2.2999999999999998</v>
      </c>
      <c r="Q683">
        <v>3</v>
      </c>
      <c r="R683">
        <v>3</v>
      </c>
      <c r="S683">
        <v>3</v>
      </c>
      <c r="T683" t="s">
        <v>23</v>
      </c>
      <c r="U683">
        <v>4</v>
      </c>
      <c r="W683" t="s">
        <v>1652</v>
      </c>
      <c r="X683" t="s">
        <v>1656</v>
      </c>
      <c r="Y683" t="s">
        <v>1662</v>
      </c>
      <c r="Z683">
        <v>0</v>
      </c>
    </row>
    <row r="684" spans="1:26" x14ac:dyDescent="0.35">
      <c r="A684" t="s">
        <v>899</v>
      </c>
      <c r="B684" s="6">
        <v>44280</v>
      </c>
      <c r="C684" t="s">
        <v>30</v>
      </c>
      <c r="D684">
        <v>28</v>
      </c>
      <c r="E684" t="s">
        <v>36</v>
      </c>
      <c r="F684" t="s">
        <v>42</v>
      </c>
      <c r="G684" t="s">
        <v>32</v>
      </c>
      <c r="H684" t="s">
        <v>45</v>
      </c>
      <c r="I684" t="s">
        <v>77</v>
      </c>
      <c r="J684" t="s">
        <v>1635</v>
      </c>
      <c r="K684" t="s">
        <v>29</v>
      </c>
      <c r="L684">
        <v>68000</v>
      </c>
      <c r="M684">
        <v>13.9</v>
      </c>
      <c r="N684">
        <v>10.6</v>
      </c>
      <c r="O684">
        <v>3.8</v>
      </c>
      <c r="P684">
        <v>0.6</v>
      </c>
      <c r="Q684">
        <v>4</v>
      </c>
      <c r="R684">
        <v>2</v>
      </c>
      <c r="S684">
        <v>2</v>
      </c>
      <c r="T684" t="s">
        <v>23</v>
      </c>
      <c r="U684">
        <v>5</v>
      </c>
      <c r="V684" s="7">
        <v>45673</v>
      </c>
      <c r="W684" t="s">
        <v>1650</v>
      </c>
      <c r="X684" t="s">
        <v>1659</v>
      </c>
      <c r="Y684" t="s">
        <v>1661</v>
      </c>
      <c r="Z684">
        <v>1</v>
      </c>
    </row>
    <row r="685" spans="1:26" x14ac:dyDescent="0.35">
      <c r="A685" t="s">
        <v>1144</v>
      </c>
      <c r="B685" s="6">
        <v>42149</v>
      </c>
      <c r="C685" t="s">
        <v>23</v>
      </c>
      <c r="D685">
        <v>37</v>
      </c>
      <c r="E685" t="s">
        <v>36</v>
      </c>
      <c r="F685" t="s">
        <v>42</v>
      </c>
      <c r="G685" t="s">
        <v>26</v>
      </c>
      <c r="H685" t="s">
        <v>1634</v>
      </c>
      <c r="I685" t="s">
        <v>86</v>
      </c>
      <c r="J685" t="s">
        <v>1633</v>
      </c>
      <c r="K685" t="s">
        <v>40</v>
      </c>
      <c r="L685">
        <v>44000</v>
      </c>
      <c r="M685">
        <v>16.899999999999999</v>
      </c>
      <c r="N685">
        <v>18</v>
      </c>
      <c r="O685">
        <v>10.6</v>
      </c>
      <c r="P685">
        <v>0.4</v>
      </c>
      <c r="Q685">
        <v>3</v>
      </c>
      <c r="R685">
        <v>3</v>
      </c>
      <c r="S685">
        <v>1</v>
      </c>
      <c r="T685" t="s">
        <v>23</v>
      </c>
      <c r="U685">
        <v>4</v>
      </c>
      <c r="W685" t="s">
        <v>1649</v>
      </c>
      <c r="X685" t="s">
        <v>1656</v>
      </c>
      <c r="Y685" t="s">
        <v>1663</v>
      </c>
      <c r="Z685">
        <v>0</v>
      </c>
    </row>
    <row r="686" spans="1:26" x14ac:dyDescent="0.35">
      <c r="A686" t="s">
        <v>690</v>
      </c>
      <c r="B686" s="6">
        <v>44437</v>
      </c>
      <c r="C686" t="s">
        <v>23</v>
      </c>
      <c r="D686">
        <v>31</v>
      </c>
      <c r="E686" t="s">
        <v>62</v>
      </c>
      <c r="F686" t="s">
        <v>37</v>
      </c>
      <c r="G686" t="s">
        <v>26</v>
      </c>
      <c r="H686" t="s">
        <v>68</v>
      </c>
      <c r="I686" t="s">
        <v>102</v>
      </c>
      <c r="J686" t="s">
        <v>1635</v>
      </c>
      <c r="K686" t="s">
        <v>66</v>
      </c>
      <c r="L686">
        <v>80000</v>
      </c>
      <c r="M686">
        <v>15.2</v>
      </c>
      <c r="N686">
        <v>6.4</v>
      </c>
      <c r="O686">
        <v>4.3</v>
      </c>
      <c r="P686">
        <v>1.9</v>
      </c>
      <c r="Q686">
        <v>3</v>
      </c>
      <c r="R686">
        <v>3</v>
      </c>
      <c r="S686">
        <v>2</v>
      </c>
      <c r="T686" t="s">
        <v>23</v>
      </c>
      <c r="U686">
        <v>2</v>
      </c>
      <c r="W686" t="s">
        <v>1650</v>
      </c>
      <c r="X686" t="s">
        <v>1657</v>
      </c>
      <c r="Y686" t="s">
        <v>1661</v>
      </c>
      <c r="Z686">
        <v>0</v>
      </c>
    </row>
    <row r="687" spans="1:26" x14ac:dyDescent="0.35">
      <c r="A687" t="s">
        <v>725</v>
      </c>
      <c r="B687" s="6">
        <v>42451</v>
      </c>
      <c r="C687" t="s">
        <v>23</v>
      </c>
      <c r="D687">
        <v>36</v>
      </c>
      <c r="E687" t="s">
        <v>62</v>
      </c>
      <c r="F687" t="s">
        <v>25</v>
      </c>
      <c r="G687" t="s">
        <v>54</v>
      </c>
      <c r="H687" t="s">
        <v>38</v>
      </c>
      <c r="I687" t="s">
        <v>118</v>
      </c>
      <c r="J687" t="s">
        <v>1633</v>
      </c>
      <c r="K687" t="s">
        <v>40</v>
      </c>
      <c r="L687">
        <v>64000</v>
      </c>
      <c r="M687">
        <v>9.1999999999999993</v>
      </c>
      <c r="N687">
        <v>14.1</v>
      </c>
      <c r="O687">
        <v>9.8000000000000007</v>
      </c>
      <c r="P687">
        <v>0.4</v>
      </c>
      <c r="Q687">
        <v>3</v>
      </c>
      <c r="R687">
        <v>2</v>
      </c>
      <c r="S687">
        <v>3</v>
      </c>
      <c r="T687" t="s">
        <v>23</v>
      </c>
      <c r="U687">
        <v>5</v>
      </c>
      <c r="W687" t="s">
        <v>1649</v>
      </c>
      <c r="X687" t="s">
        <v>1659</v>
      </c>
      <c r="Y687" t="s">
        <v>1662</v>
      </c>
      <c r="Z687">
        <v>0</v>
      </c>
    </row>
    <row r="688" spans="1:26" x14ac:dyDescent="0.35">
      <c r="A688" t="s">
        <v>731</v>
      </c>
      <c r="B688" s="6">
        <v>45767</v>
      </c>
      <c r="C688" t="s">
        <v>23</v>
      </c>
      <c r="D688">
        <v>21</v>
      </c>
      <c r="E688" t="s">
        <v>24</v>
      </c>
      <c r="F688" t="s">
        <v>25</v>
      </c>
      <c r="G688" t="s">
        <v>26</v>
      </c>
      <c r="H688" t="s">
        <v>1634</v>
      </c>
      <c r="I688" t="s">
        <v>86</v>
      </c>
      <c r="J688" t="s">
        <v>1632</v>
      </c>
      <c r="K688" t="s">
        <v>40</v>
      </c>
      <c r="L688">
        <v>30000</v>
      </c>
      <c r="M688">
        <v>10</v>
      </c>
      <c r="N688">
        <v>5.2</v>
      </c>
      <c r="O688">
        <v>0.7</v>
      </c>
      <c r="P688">
        <v>0</v>
      </c>
      <c r="Q688">
        <v>3</v>
      </c>
      <c r="R688">
        <v>1</v>
      </c>
      <c r="S688">
        <v>3</v>
      </c>
      <c r="T688" t="s">
        <v>23</v>
      </c>
      <c r="U688">
        <v>3</v>
      </c>
      <c r="W688" t="s">
        <v>1651</v>
      </c>
      <c r="X688" t="s">
        <v>1655</v>
      </c>
      <c r="Y688" t="s">
        <v>1664</v>
      </c>
      <c r="Z688">
        <v>0</v>
      </c>
    </row>
    <row r="689" spans="1:26" x14ac:dyDescent="0.35">
      <c r="A689" t="s">
        <v>1224</v>
      </c>
      <c r="B689" s="6">
        <v>43782</v>
      </c>
      <c r="C689" t="s">
        <v>30</v>
      </c>
      <c r="D689">
        <v>36</v>
      </c>
      <c r="E689" t="s">
        <v>36</v>
      </c>
      <c r="F689" t="s">
        <v>37</v>
      </c>
      <c r="G689" t="s">
        <v>32</v>
      </c>
      <c r="H689" t="s">
        <v>1634</v>
      </c>
      <c r="I689" t="s">
        <v>150</v>
      </c>
      <c r="J689" t="s">
        <v>1633</v>
      </c>
      <c r="K689" t="s">
        <v>66</v>
      </c>
      <c r="L689">
        <v>50000</v>
      </c>
      <c r="M689">
        <v>16</v>
      </c>
      <c r="N689">
        <v>12.9</v>
      </c>
      <c r="O689">
        <v>5.5</v>
      </c>
      <c r="P689">
        <v>1.4</v>
      </c>
      <c r="Q689">
        <v>3</v>
      </c>
      <c r="R689">
        <v>3</v>
      </c>
      <c r="S689">
        <v>2</v>
      </c>
      <c r="T689" t="s">
        <v>30</v>
      </c>
      <c r="U689">
        <v>5</v>
      </c>
      <c r="V689" s="7">
        <v>45806</v>
      </c>
      <c r="W689" t="s">
        <v>1649</v>
      </c>
      <c r="X689" t="s">
        <v>1656</v>
      </c>
      <c r="Y689" t="s">
        <v>1661</v>
      </c>
      <c r="Z689">
        <v>1</v>
      </c>
    </row>
    <row r="690" spans="1:26" x14ac:dyDescent="0.35">
      <c r="A690" t="s">
        <v>1489</v>
      </c>
      <c r="B690" s="6">
        <v>45712</v>
      </c>
      <c r="C690" t="s">
        <v>23</v>
      </c>
      <c r="D690">
        <v>30</v>
      </c>
      <c r="E690" t="s">
        <v>36</v>
      </c>
      <c r="F690" t="s">
        <v>37</v>
      </c>
      <c r="G690" t="s">
        <v>32</v>
      </c>
      <c r="H690" t="s">
        <v>27</v>
      </c>
      <c r="I690" t="s">
        <v>28</v>
      </c>
      <c r="J690" t="s">
        <v>1633</v>
      </c>
      <c r="K690" t="s">
        <v>40</v>
      </c>
      <c r="L690">
        <v>49000</v>
      </c>
      <c r="M690">
        <v>8.6999999999999993</v>
      </c>
      <c r="N690">
        <v>8.1999999999999993</v>
      </c>
      <c r="O690">
        <v>0.8</v>
      </c>
      <c r="P690">
        <v>0</v>
      </c>
      <c r="Q690">
        <v>2</v>
      </c>
      <c r="R690">
        <v>1</v>
      </c>
      <c r="S690">
        <v>3</v>
      </c>
      <c r="T690" t="s">
        <v>23</v>
      </c>
      <c r="U690">
        <v>3</v>
      </c>
      <c r="W690" t="s">
        <v>1650</v>
      </c>
      <c r="X690" t="s">
        <v>1656</v>
      </c>
      <c r="Y690" t="s">
        <v>1664</v>
      </c>
      <c r="Z690">
        <v>0</v>
      </c>
    </row>
    <row r="691" spans="1:26" x14ac:dyDescent="0.35">
      <c r="A691" t="s">
        <v>458</v>
      </c>
      <c r="B691" s="6">
        <v>43078</v>
      </c>
      <c r="C691" t="s">
        <v>30</v>
      </c>
      <c r="D691">
        <v>34</v>
      </c>
      <c r="E691" t="s">
        <v>36</v>
      </c>
      <c r="F691" t="s">
        <v>25</v>
      </c>
      <c r="G691" t="s">
        <v>26</v>
      </c>
      <c r="H691" t="s">
        <v>27</v>
      </c>
      <c r="I691" t="s">
        <v>28</v>
      </c>
      <c r="J691" t="s">
        <v>1636</v>
      </c>
      <c r="K691" t="s">
        <v>66</v>
      </c>
      <c r="L691">
        <v>99000</v>
      </c>
      <c r="M691">
        <v>4.5</v>
      </c>
      <c r="N691">
        <v>15.1</v>
      </c>
      <c r="O691">
        <v>7.9</v>
      </c>
      <c r="P691">
        <v>4.2</v>
      </c>
      <c r="Q691">
        <v>2</v>
      </c>
      <c r="R691">
        <v>4</v>
      </c>
      <c r="S691">
        <v>1</v>
      </c>
      <c r="T691" t="s">
        <v>23</v>
      </c>
      <c r="U691">
        <v>5</v>
      </c>
      <c r="V691" s="7">
        <v>45946</v>
      </c>
      <c r="W691" t="s">
        <v>1650</v>
      </c>
      <c r="X691" t="s">
        <v>1657</v>
      </c>
      <c r="Y691" t="s">
        <v>1662</v>
      </c>
      <c r="Z691">
        <v>1</v>
      </c>
    </row>
    <row r="692" spans="1:26" x14ac:dyDescent="0.35">
      <c r="A692" t="s">
        <v>1550</v>
      </c>
      <c r="B692" s="6">
        <v>45735</v>
      </c>
      <c r="C692" t="s">
        <v>23</v>
      </c>
      <c r="D692">
        <v>37</v>
      </c>
      <c r="E692" t="s">
        <v>24</v>
      </c>
      <c r="F692" t="s">
        <v>37</v>
      </c>
      <c r="G692" t="s">
        <v>32</v>
      </c>
      <c r="H692" t="s">
        <v>48</v>
      </c>
      <c r="I692" t="s">
        <v>49</v>
      </c>
      <c r="J692" t="s">
        <v>1633</v>
      </c>
      <c r="K692" t="s">
        <v>66</v>
      </c>
      <c r="L692">
        <v>48000</v>
      </c>
      <c r="M692">
        <v>12.6</v>
      </c>
      <c r="N692">
        <v>4.2</v>
      </c>
      <c r="O692">
        <v>0.8</v>
      </c>
      <c r="P692">
        <v>0</v>
      </c>
      <c r="Q692">
        <v>3</v>
      </c>
      <c r="R692">
        <v>4</v>
      </c>
      <c r="S692">
        <v>4</v>
      </c>
      <c r="T692" t="s">
        <v>30</v>
      </c>
      <c r="U692">
        <v>1</v>
      </c>
      <c r="W692" t="s">
        <v>1649</v>
      </c>
      <c r="X692" t="s">
        <v>1656</v>
      </c>
      <c r="Y692" t="s">
        <v>1664</v>
      </c>
      <c r="Z692">
        <v>0</v>
      </c>
    </row>
    <row r="693" spans="1:26" x14ac:dyDescent="0.35">
      <c r="A693" t="s">
        <v>1214</v>
      </c>
      <c r="B693" s="6">
        <v>42759</v>
      </c>
      <c r="C693" t="s">
        <v>23</v>
      </c>
      <c r="D693">
        <v>35</v>
      </c>
      <c r="E693" t="s">
        <v>62</v>
      </c>
      <c r="F693" t="s">
        <v>42</v>
      </c>
      <c r="G693" t="s">
        <v>58</v>
      </c>
      <c r="H693" t="s">
        <v>27</v>
      </c>
      <c r="I693" t="s">
        <v>33</v>
      </c>
      <c r="J693" t="s">
        <v>1635</v>
      </c>
      <c r="K693" t="s">
        <v>40</v>
      </c>
      <c r="L693">
        <v>81000</v>
      </c>
      <c r="M693">
        <v>8.9</v>
      </c>
      <c r="N693">
        <v>14.5</v>
      </c>
      <c r="O693">
        <v>8.9</v>
      </c>
      <c r="P693">
        <v>2.6</v>
      </c>
      <c r="Q693">
        <v>1</v>
      </c>
      <c r="R693">
        <v>3</v>
      </c>
      <c r="S693">
        <v>2</v>
      </c>
      <c r="T693" t="s">
        <v>23</v>
      </c>
      <c r="U693">
        <v>3</v>
      </c>
      <c r="W693" t="s">
        <v>1650</v>
      </c>
      <c r="X693" t="s">
        <v>1657</v>
      </c>
      <c r="Y693" t="s">
        <v>1662</v>
      </c>
      <c r="Z693">
        <v>0</v>
      </c>
    </row>
    <row r="694" spans="1:26" x14ac:dyDescent="0.35">
      <c r="A694" t="s">
        <v>1090</v>
      </c>
      <c r="B694" s="6">
        <v>45156</v>
      </c>
      <c r="C694" t="s">
        <v>23</v>
      </c>
      <c r="D694">
        <v>29</v>
      </c>
      <c r="E694" t="s">
        <v>62</v>
      </c>
      <c r="F694" t="s">
        <v>37</v>
      </c>
      <c r="G694" t="s">
        <v>26</v>
      </c>
      <c r="H694" t="s">
        <v>68</v>
      </c>
      <c r="I694" t="s">
        <v>121</v>
      </c>
      <c r="J694" t="s">
        <v>1636</v>
      </c>
      <c r="K694" t="s">
        <v>50</v>
      </c>
      <c r="L694">
        <v>109000</v>
      </c>
      <c r="M694">
        <v>8.1999999999999993</v>
      </c>
      <c r="N694">
        <v>8.4</v>
      </c>
      <c r="O694">
        <v>2.4</v>
      </c>
      <c r="P694">
        <v>1.9</v>
      </c>
      <c r="Q694">
        <v>1</v>
      </c>
      <c r="R694">
        <v>3</v>
      </c>
      <c r="S694">
        <v>1</v>
      </c>
      <c r="T694" t="s">
        <v>30</v>
      </c>
      <c r="U694">
        <v>4</v>
      </c>
      <c r="W694" t="s">
        <v>1650</v>
      </c>
      <c r="X694" t="s">
        <v>1658</v>
      </c>
      <c r="Y694" t="s">
        <v>1665</v>
      </c>
      <c r="Z694">
        <v>0</v>
      </c>
    </row>
    <row r="695" spans="1:26" x14ac:dyDescent="0.35">
      <c r="A695" t="s">
        <v>592</v>
      </c>
      <c r="B695" s="6">
        <v>44705</v>
      </c>
      <c r="C695" t="s">
        <v>23</v>
      </c>
      <c r="D695">
        <v>32</v>
      </c>
      <c r="E695" t="s">
        <v>24</v>
      </c>
      <c r="F695" t="s">
        <v>42</v>
      </c>
      <c r="G695" t="s">
        <v>32</v>
      </c>
      <c r="H695" t="s">
        <v>38</v>
      </c>
      <c r="I695" t="s">
        <v>139</v>
      </c>
      <c r="J695" t="s">
        <v>1633</v>
      </c>
      <c r="K695" t="s">
        <v>34</v>
      </c>
      <c r="L695">
        <v>45000</v>
      </c>
      <c r="M695">
        <v>7</v>
      </c>
      <c r="N695">
        <v>11.6</v>
      </c>
      <c r="O695">
        <v>3.6</v>
      </c>
      <c r="P695">
        <v>0.5</v>
      </c>
      <c r="Q695">
        <v>3</v>
      </c>
      <c r="R695">
        <v>3</v>
      </c>
      <c r="S695">
        <v>3</v>
      </c>
      <c r="T695" t="s">
        <v>23</v>
      </c>
      <c r="U695">
        <v>4</v>
      </c>
      <c r="W695" t="s">
        <v>1650</v>
      </c>
      <c r="X695" t="s">
        <v>1656</v>
      </c>
      <c r="Y695" t="s">
        <v>1661</v>
      </c>
      <c r="Z695">
        <v>0</v>
      </c>
    </row>
    <row r="696" spans="1:26" x14ac:dyDescent="0.35">
      <c r="A696" t="s">
        <v>1123</v>
      </c>
      <c r="B696" s="6">
        <v>42557</v>
      </c>
      <c r="C696" t="s">
        <v>23</v>
      </c>
      <c r="D696">
        <v>31</v>
      </c>
      <c r="E696" t="s">
        <v>62</v>
      </c>
      <c r="F696" t="s">
        <v>25</v>
      </c>
      <c r="G696" t="s">
        <v>26</v>
      </c>
      <c r="H696" t="s">
        <v>45</v>
      </c>
      <c r="I696" t="s">
        <v>77</v>
      </c>
      <c r="J696" t="s">
        <v>1636</v>
      </c>
      <c r="K696" t="s">
        <v>50</v>
      </c>
      <c r="L696">
        <v>101000</v>
      </c>
      <c r="M696">
        <v>8.8000000000000007</v>
      </c>
      <c r="N696">
        <v>13.9</v>
      </c>
      <c r="O696">
        <v>9.5</v>
      </c>
      <c r="P696">
        <v>5.2</v>
      </c>
      <c r="Q696">
        <v>3</v>
      </c>
      <c r="R696">
        <v>2</v>
      </c>
      <c r="S696">
        <v>4</v>
      </c>
      <c r="T696" t="s">
        <v>23</v>
      </c>
      <c r="U696">
        <v>3</v>
      </c>
      <c r="W696" t="s">
        <v>1650</v>
      </c>
      <c r="X696" t="s">
        <v>1658</v>
      </c>
      <c r="Y696" t="s">
        <v>1662</v>
      </c>
      <c r="Z696">
        <v>0</v>
      </c>
    </row>
    <row r="697" spans="1:26" x14ac:dyDescent="0.35">
      <c r="A697" t="s">
        <v>778</v>
      </c>
      <c r="B697" s="6">
        <v>43255</v>
      </c>
      <c r="C697" t="s">
        <v>30</v>
      </c>
      <c r="D697">
        <v>39</v>
      </c>
      <c r="E697" t="s">
        <v>24</v>
      </c>
      <c r="F697" t="s">
        <v>37</v>
      </c>
      <c r="G697" t="s">
        <v>32</v>
      </c>
      <c r="H697" t="s">
        <v>68</v>
      </c>
      <c r="I697" t="s">
        <v>121</v>
      </c>
      <c r="J697" t="s">
        <v>1635</v>
      </c>
      <c r="K697" t="s">
        <v>29</v>
      </c>
      <c r="L697">
        <v>71000</v>
      </c>
      <c r="M697">
        <v>4.2</v>
      </c>
      <c r="N697">
        <v>9.1999999999999993</v>
      </c>
      <c r="O697">
        <v>7.3</v>
      </c>
      <c r="P697">
        <v>4.5</v>
      </c>
      <c r="Q697">
        <v>2</v>
      </c>
      <c r="R697">
        <v>2</v>
      </c>
      <c r="S697">
        <v>3</v>
      </c>
      <c r="T697" t="s">
        <v>30</v>
      </c>
      <c r="U697">
        <v>4</v>
      </c>
      <c r="V697" s="7">
        <v>45924</v>
      </c>
      <c r="W697" t="s">
        <v>1649</v>
      </c>
      <c r="X697" t="s">
        <v>1659</v>
      </c>
      <c r="Y697" t="s">
        <v>1662</v>
      </c>
      <c r="Z697">
        <v>1</v>
      </c>
    </row>
    <row r="698" spans="1:26" x14ac:dyDescent="0.35">
      <c r="A698" t="s">
        <v>200</v>
      </c>
      <c r="B698" s="6">
        <v>45837</v>
      </c>
      <c r="C698" t="s">
        <v>23</v>
      </c>
      <c r="D698">
        <v>30</v>
      </c>
      <c r="E698" t="s">
        <v>24</v>
      </c>
      <c r="F698" t="s">
        <v>42</v>
      </c>
      <c r="G698" t="s">
        <v>54</v>
      </c>
      <c r="H698" t="s">
        <v>48</v>
      </c>
      <c r="I698" t="s">
        <v>201</v>
      </c>
      <c r="J698" t="s">
        <v>1637</v>
      </c>
      <c r="K698" t="s">
        <v>34</v>
      </c>
      <c r="L698">
        <v>157000</v>
      </c>
      <c r="M698">
        <v>5.9</v>
      </c>
      <c r="N698">
        <v>2.9</v>
      </c>
      <c r="O698">
        <v>0.5</v>
      </c>
      <c r="P698">
        <v>0</v>
      </c>
      <c r="Q698">
        <v>3</v>
      </c>
      <c r="R698">
        <v>1</v>
      </c>
      <c r="S698">
        <v>4</v>
      </c>
      <c r="T698" t="s">
        <v>23</v>
      </c>
      <c r="U698">
        <v>3</v>
      </c>
      <c r="W698" t="s">
        <v>1650</v>
      </c>
      <c r="X698" t="s">
        <v>1658</v>
      </c>
      <c r="Y698" t="s">
        <v>1664</v>
      </c>
      <c r="Z698">
        <v>0</v>
      </c>
    </row>
    <row r="699" spans="1:26" x14ac:dyDescent="0.35">
      <c r="A699" t="s">
        <v>509</v>
      </c>
      <c r="B699" s="6">
        <v>45260</v>
      </c>
      <c r="C699" t="s">
        <v>23</v>
      </c>
      <c r="D699">
        <v>30</v>
      </c>
      <c r="E699" t="s">
        <v>36</v>
      </c>
      <c r="F699" t="s">
        <v>25</v>
      </c>
      <c r="G699" t="s">
        <v>32</v>
      </c>
      <c r="H699" t="s">
        <v>38</v>
      </c>
      <c r="I699" t="s">
        <v>139</v>
      </c>
      <c r="J699" t="s">
        <v>1633</v>
      </c>
      <c r="K699" t="s">
        <v>50</v>
      </c>
      <c r="L699">
        <v>61000</v>
      </c>
      <c r="M699">
        <v>11.4</v>
      </c>
      <c r="N699">
        <v>6.4</v>
      </c>
      <c r="O699">
        <v>2.1</v>
      </c>
      <c r="P699">
        <v>0.7</v>
      </c>
      <c r="Q699">
        <v>1</v>
      </c>
      <c r="R699">
        <v>1</v>
      </c>
      <c r="S699">
        <v>3</v>
      </c>
      <c r="T699" t="s">
        <v>23</v>
      </c>
      <c r="U699">
        <v>5</v>
      </c>
      <c r="W699" t="s">
        <v>1650</v>
      </c>
      <c r="X699" t="s">
        <v>1659</v>
      </c>
      <c r="Y699" t="s">
        <v>1665</v>
      </c>
      <c r="Z699">
        <v>0</v>
      </c>
    </row>
    <row r="700" spans="1:26" x14ac:dyDescent="0.35">
      <c r="A700" t="s">
        <v>1082</v>
      </c>
      <c r="B700" s="6">
        <v>43140</v>
      </c>
      <c r="C700" t="s">
        <v>23</v>
      </c>
      <c r="D700">
        <v>30</v>
      </c>
      <c r="E700" t="s">
        <v>62</v>
      </c>
      <c r="F700" t="s">
        <v>42</v>
      </c>
      <c r="G700" t="s">
        <v>54</v>
      </c>
      <c r="H700" t="s">
        <v>68</v>
      </c>
      <c r="I700" t="s">
        <v>121</v>
      </c>
      <c r="J700" t="s">
        <v>1636</v>
      </c>
      <c r="K700" t="s">
        <v>66</v>
      </c>
      <c r="L700">
        <v>102000</v>
      </c>
      <c r="M700">
        <v>8.9</v>
      </c>
      <c r="N700">
        <v>12.3</v>
      </c>
      <c r="O700">
        <v>7.9</v>
      </c>
      <c r="P700">
        <v>5.7</v>
      </c>
      <c r="Q700">
        <v>4</v>
      </c>
      <c r="R700">
        <v>4</v>
      </c>
      <c r="S700">
        <v>3</v>
      </c>
      <c r="T700" t="s">
        <v>23</v>
      </c>
      <c r="U700">
        <v>5</v>
      </c>
      <c r="W700" t="s">
        <v>1650</v>
      </c>
      <c r="X700" t="s">
        <v>1658</v>
      </c>
      <c r="Y700" t="s">
        <v>1662</v>
      </c>
      <c r="Z700">
        <v>0</v>
      </c>
    </row>
    <row r="701" spans="1:26" x14ac:dyDescent="0.35">
      <c r="A701" t="s">
        <v>1013</v>
      </c>
      <c r="B701" s="6">
        <v>44284</v>
      </c>
      <c r="C701" t="s">
        <v>23</v>
      </c>
      <c r="D701">
        <v>37</v>
      </c>
      <c r="E701" t="s">
        <v>62</v>
      </c>
      <c r="F701" t="s">
        <v>42</v>
      </c>
      <c r="G701" t="s">
        <v>58</v>
      </c>
      <c r="H701" t="s">
        <v>45</v>
      </c>
      <c r="I701" t="s">
        <v>77</v>
      </c>
      <c r="J701" t="s">
        <v>1633</v>
      </c>
      <c r="K701" t="s">
        <v>66</v>
      </c>
      <c r="L701">
        <v>33000</v>
      </c>
      <c r="M701">
        <v>7.6</v>
      </c>
      <c r="N701">
        <v>4.9000000000000004</v>
      </c>
      <c r="O701">
        <v>4.8</v>
      </c>
      <c r="P701">
        <v>3.8</v>
      </c>
      <c r="Q701">
        <v>4</v>
      </c>
      <c r="R701">
        <v>4</v>
      </c>
      <c r="S701">
        <v>2</v>
      </c>
      <c r="T701" t="s">
        <v>23</v>
      </c>
      <c r="U701">
        <v>3</v>
      </c>
      <c r="W701" t="s">
        <v>1649</v>
      </c>
      <c r="X701" t="s">
        <v>1655</v>
      </c>
      <c r="Y701" t="s">
        <v>1661</v>
      </c>
      <c r="Z701">
        <v>0</v>
      </c>
    </row>
    <row r="702" spans="1:26" x14ac:dyDescent="0.35">
      <c r="A702" t="s">
        <v>1039</v>
      </c>
      <c r="B702" s="6">
        <v>44367</v>
      </c>
      <c r="C702" t="s">
        <v>23</v>
      </c>
      <c r="D702">
        <v>34</v>
      </c>
      <c r="E702" t="s">
        <v>24</v>
      </c>
      <c r="F702" t="s">
        <v>42</v>
      </c>
      <c r="G702" t="s">
        <v>54</v>
      </c>
      <c r="H702" t="s">
        <v>48</v>
      </c>
      <c r="I702" t="s">
        <v>63</v>
      </c>
      <c r="J702" t="s">
        <v>1635</v>
      </c>
      <c r="K702" t="s">
        <v>50</v>
      </c>
      <c r="L702">
        <v>104000</v>
      </c>
      <c r="M702">
        <v>10.4</v>
      </c>
      <c r="N702">
        <v>9.4</v>
      </c>
      <c r="O702">
        <v>4.5</v>
      </c>
      <c r="P702">
        <v>0.6</v>
      </c>
      <c r="Q702">
        <v>4</v>
      </c>
      <c r="R702">
        <v>3</v>
      </c>
      <c r="S702">
        <v>3</v>
      </c>
      <c r="T702" t="s">
        <v>23</v>
      </c>
      <c r="U702">
        <v>3</v>
      </c>
      <c r="W702" t="s">
        <v>1650</v>
      </c>
      <c r="X702" t="s">
        <v>1658</v>
      </c>
      <c r="Y702" t="s">
        <v>1661</v>
      </c>
      <c r="Z702">
        <v>0</v>
      </c>
    </row>
    <row r="703" spans="1:26" x14ac:dyDescent="0.35">
      <c r="A703" t="s">
        <v>322</v>
      </c>
      <c r="B703" s="6">
        <v>41785</v>
      </c>
      <c r="C703" t="s">
        <v>23</v>
      </c>
      <c r="D703">
        <v>32</v>
      </c>
      <c r="E703" t="s">
        <v>24</v>
      </c>
      <c r="F703" t="s">
        <v>42</v>
      </c>
      <c r="G703" t="s">
        <v>32</v>
      </c>
      <c r="H703" t="s">
        <v>48</v>
      </c>
      <c r="I703" t="s">
        <v>63</v>
      </c>
      <c r="J703" t="s">
        <v>1635</v>
      </c>
      <c r="K703" t="s">
        <v>84</v>
      </c>
      <c r="L703">
        <v>64000</v>
      </c>
      <c r="M703">
        <v>8.6999999999999993</v>
      </c>
      <c r="N703">
        <v>12.1</v>
      </c>
      <c r="O703">
        <v>11.6</v>
      </c>
      <c r="P703">
        <v>5.6</v>
      </c>
      <c r="Q703">
        <v>4</v>
      </c>
      <c r="R703">
        <v>3</v>
      </c>
      <c r="S703">
        <v>3</v>
      </c>
      <c r="T703" t="s">
        <v>23</v>
      </c>
      <c r="U703">
        <v>3</v>
      </c>
      <c r="W703" t="s">
        <v>1650</v>
      </c>
      <c r="X703" t="s">
        <v>1659</v>
      </c>
      <c r="Y703" t="s">
        <v>1663</v>
      </c>
      <c r="Z703">
        <v>0</v>
      </c>
    </row>
    <row r="704" spans="1:26" x14ac:dyDescent="0.35">
      <c r="A704" t="s">
        <v>1086</v>
      </c>
      <c r="B704" s="6">
        <v>43798</v>
      </c>
      <c r="C704" t="s">
        <v>23</v>
      </c>
      <c r="D704">
        <v>39</v>
      </c>
      <c r="E704" t="s">
        <v>36</v>
      </c>
      <c r="F704" t="s">
        <v>25</v>
      </c>
      <c r="G704" t="s">
        <v>58</v>
      </c>
      <c r="H704" t="s">
        <v>1634</v>
      </c>
      <c r="I704" t="s">
        <v>150</v>
      </c>
      <c r="J704" t="s">
        <v>1633</v>
      </c>
      <c r="K704" t="s">
        <v>50</v>
      </c>
      <c r="L704">
        <v>47000</v>
      </c>
      <c r="M704">
        <v>8.5</v>
      </c>
      <c r="N704">
        <v>11.3</v>
      </c>
      <c r="O704">
        <v>6.1</v>
      </c>
      <c r="P704">
        <v>1.4</v>
      </c>
      <c r="Q704">
        <v>2</v>
      </c>
      <c r="R704">
        <v>3</v>
      </c>
      <c r="S704">
        <v>2</v>
      </c>
      <c r="T704" t="s">
        <v>30</v>
      </c>
      <c r="U704">
        <v>3</v>
      </c>
      <c r="W704" t="s">
        <v>1649</v>
      </c>
      <c r="X704" t="s">
        <v>1656</v>
      </c>
      <c r="Y704" t="s">
        <v>1662</v>
      </c>
      <c r="Z704">
        <v>0</v>
      </c>
    </row>
    <row r="705" spans="1:26" x14ac:dyDescent="0.35">
      <c r="A705" t="s">
        <v>766</v>
      </c>
      <c r="B705" s="6">
        <v>42859</v>
      </c>
      <c r="C705" t="s">
        <v>23</v>
      </c>
      <c r="D705">
        <v>45</v>
      </c>
      <c r="E705" t="s">
        <v>24</v>
      </c>
      <c r="F705" t="s">
        <v>25</v>
      </c>
      <c r="G705" t="s">
        <v>54</v>
      </c>
      <c r="H705" t="s">
        <v>27</v>
      </c>
      <c r="I705" t="s">
        <v>95</v>
      </c>
      <c r="J705" t="s">
        <v>1632</v>
      </c>
      <c r="K705" t="s">
        <v>50</v>
      </c>
      <c r="L705">
        <v>29000</v>
      </c>
      <c r="M705">
        <v>16.3</v>
      </c>
      <c r="N705">
        <v>15.5</v>
      </c>
      <c r="O705">
        <v>8.6999999999999993</v>
      </c>
      <c r="P705">
        <v>2.1</v>
      </c>
      <c r="Q705">
        <v>3</v>
      </c>
      <c r="R705">
        <v>3</v>
      </c>
      <c r="S705">
        <v>3</v>
      </c>
      <c r="T705" t="s">
        <v>30</v>
      </c>
      <c r="U705">
        <v>3</v>
      </c>
      <c r="W705" t="s">
        <v>1649</v>
      </c>
      <c r="X705" t="s">
        <v>1655</v>
      </c>
      <c r="Y705" t="s">
        <v>1662</v>
      </c>
      <c r="Z705">
        <v>0</v>
      </c>
    </row>
    <row r="706" spans="1:26" x14ac:dyDescent="0.35">
      <c r="A706" t="s">
        <v>549</v>
      </c>
      <c r="B706" s="6">
        <v>44521</v>
      </c>
      <c r="C706" t="s">
        <v>23</v>
      </c>
      <c r="D706">
        <v>36</v>
      </c>
      <c r="E706" t="s">
        <v>36</v>
      </c>
      <c r="F706" t="s">
        <v>42</v>
      </c>
      <c r="G706" t="s">
        <v>58</v>
      </c>
      <c r="H706" t="s">
        <v>27</v>
      </c>
      <c r="I706" t="s">
        <v>43</v>
      </c>
      <c r="J706" t="s">
        <v>1633</v>
      </c>
      <c r="K706" t="s">
        <v>34</v>
      </c>
      <c r="L706">
        <v>54000</v>
      </c>
      <c r="M706">
        <v>10.6</v>
      </c>
      <c r="N706">
        <v>9.1999999999999993</v>
      </c>
      <c r="O706">
        <v>4.0999999999999996</v>
      </c>
      <c r="P706">
        <v>3.6</v>
      </c>
      <c r="Q706">
        <v>4</v>
      </c>
      <c r="R706">
        <v>2</v>
      </c>
      <c r="S706">
        <v>3</v>
      </c>
      <c r="T706" t="s">
        <v>23</v>
      </c>
      <c r="U706">
        <v>4</v>
      </c>
      <c r="W706" t="s">
        <v>1649</v>
      </c>
      <c r="X706" t="s">
        <v>1656</v>
      </c>
      <c r="Y706" t="s">
        <v>1661</v>
      </c>
      <c r="Z706">
        <v>0</v>
      </c>
    </row>
    <row r="707" spans="1:26" x14ac:dyDescent="0.35">
      <c r="A707" t="s">
        <v>1439</v>
      </c>
      <c r="B707" s="6">
        <v>45739</v>
      </c>
      <c r="C707" t="s">
        <v>30</v>
      </c>
      <c r="D707">
        <v>31</v>
      </c>
      <c r="E707" t="s">
        <v>62</v>
      </c>
      <c r="F707" t="s">
        <v>42</v>
      </c>
      <c r="G707" t="s">
        <v>32</v>
      </c>
      <c r="H707" t="s">
        <v>68</v>
      </c>
      <c r="I707" t="s">
        <v>102</v>
      </c>
      <c r="J707" t="s">
        <v>1633</v>
      </c>
      <c r="K707" t="s">
        <v>34</v>
      </c>
      <c r="L707">
        <v>60000</v>
      </c>
      <c r="M707">
        <v>8.8000000000000007</v>
      </c>
      <c r="N707">
        <v>2.2999999999999998</v>
      </c>
      <c r="O707">
        <v>0.6</v>
      </c>
      <c r="P707">
        <v>0</v>
      </c>
      <c r="Q707">
        <v>4</v>
      </c>
      <c r="R707">
        <v>3</v>
      </c>
      <c r="S707">
        <v>3</v>
      </c>
      <c r="T707" t="s">
        <v>23</v>
      </c>
      <c r="U707">
        <v>4</v>
      </c>
      <c r="V707" s="7">
        <v>45954</v>
      </c>
      <c r="W707" t="s">
        <v>1650</v>
      </c>
      <c r="X707" t="s">
        <v>1659</v>
      </c>
      <c r="Y707" t="s">
        <v>1664</v>
      </c>
      <c r="Z707">
        <v>1</v>
      </c>
    </row>
    <row r="708" spans="1:26" x14ac:dyDescent="0.35">
      <c r="A708" t="s">
        <v>804</v>
      </c>
      <c r="B708" s="6">
        <v>45272</v>
      </c>
      <c r="C708" t="s">
        <v>23</v>
      </c>
      <c r="D708">
        <v>33</v>
      </c>
      <c r="E708" t="s">
        <v>62</v>
      </c>
      <c r="F708" t="s">
        <v>42</v>
      </c>
      <c r="G708" t="s">
        <v>26</v>
      </c>
      <c r="H708" t="s">
        <v>1634</v>
      </c>
      <c r="I708" t="s">
        <v>75</v>
      </c>
      <c r="J708" t="s">
        <v>1635</v>
      </c>
      <c r="K708" t="s">
        <v>66</v>
      </c>
      <c r="L708">
        <v>91000</v>
      </c>
      <c r="M708">
        <v>14</v>
      </c>
      <c r="N708">
        <v>9.6999999999999993</v>
      </c>
      <c r="O708">
        <v>2.1</v>
      </c>
      <c r="P708">
        <v>2.1</v>
      </c>
      <c r="Q708">
        <v>3</v>
      </c>
      <c r="R708">
        <v>3</v>
      </c>
      <c r="S708">
        <v>4</v>
      </c>
      <c r="T708" t="s">
        <v>23</v>
      </c>
      <c r="U708">
        <v>4</v>
      </c>
      <c r="W708" t="s">
        <v>1650</v>
      </c>
      <c r="X708" t="s">
        <v>1657</v>
      </c>
      <c r="Y708" t="s">
        <v>1665</v>
      </c>
      <c r="Z708">
        <v>0</v>
      </c>
    </row>
    <row r="709" spans="1:26" x14ac:dyDescent="0.35">
      <c r="A709" t="s">
        <v>685</v>
      </c>
      <c r="B709" s="6">
        <v>43096</v>
      </c>
      <c r="C709" t="s">
        <v>23</v>
      </c>
      <c r="D709">
        <v>40</v>
      </c>
      <c r="E709" t="s">
        <v>24</v>
      </c>
      <c r="F709" t="s">
        <v>42</v>
      </c>
      <c r="G709" t="s">
        <v>58</v>
      </c>
      <c r="H709" t="s">
        <v>1634</v>
      </c>
      <c r="I709" t="s">
        <v>75</v>
      </c>
      <c r="J709" t="s">
        <v>1635</v>
      </c>
      <c r="K709" t="s">
        <v>29</v>
      </c>
      <c r="L709">
        <v>72000</v>
      </c>
      <c r="M709">
        <v>2.2000000000000002</v>
      </c>
      <c r="N709">
        <v>12.6</v>
      </c>
      <c r="O709">
        <v>8</v>
      </c>
      <c r="P709">
        <v>5.5</v>
      </c>
      <c r="Q709">
        <v>3</v>
      </c>
      <c r="R709">
        <v>3</v>
      </c>
      <c r="S709">
        <v>4</v>
      </c>
      <c r="T709" t="s">
        <v>23</v>
      </c>
      <c r="U709">
        <v>5</v>
      </c>
      <c r="W709" t="s">
        <v>1649</v>
      </c>
      <c r="X709" t="s">
        <v>1659</v>
      </c>
      <c r="Y709" t="s">
        <v>1662</v>
      </c>
      <c r="Z709">
        <v>0</v>
      </c>
    </row>
    <row r="710" spans="1:26" x14ac:dyDescent="0.35">
      <c r="A710" t="s">
        <v>938</v>
      </c>
      <c r="B710" s="6">
        <v>41821</v>
      </c>
      <c r="C710" t="s">
        <v>23</v>
      </c>
      <c r="D710">
        <v>44</v>
      </c>
      <c r="E710" t="s">
        <v>24</v>
      </c>
      <c r="F710" t="s">
        <v>25</v>
      </c>
      <c r="G710" t="s">
        <v>32</v>
      </c>
      <c r="H710" t="s">
        <v>38</v>
      </c>
      <c r="I710" t="s">
        <v>139</v>
      </c>
      <c r="J710" t="s">
        <v>1633</v>
      </c>
      <c r="K710" t="s">
        <v>66</v>
      </c>
      <c r="L710">
        <v>57000</v>
      </c>
      <c r="M710">
        <v>8</v>
      </c>
      <c r="N710">
        <v>12.1</v>
      </c>
      <c r="O710">
        <v>11.5</v>
      </c>
      <c r="P710">
        <v>2.2000000000000002</v>
      </c>
      <c r="Q710">
        <v>1</v>
      </c>
      <c r="R710">
        <v>3</v>
      </c>
      <c r="S710">
        <v>2</v>
      </c>
      <c r="T710" t="s">
        <v>23</v>
      </c>
      <c r="U710">
        <v>4</v>
      </c>
      <c r="W710" t="s">
        <v>1649</v>
      </c>
      <c r="X710" t="s">
        <v>1656</v>
      </c>
      <c r="Y710" t="s">
        <v>1663</v>
      </c>
      <c r="Z710">
        <v>0</v>
      </c>
    </row>
    <row r="711" spans="1:26" x14ac:dyDescent="0.35">
      <c r="A711" t="s">
        <v>964</v>
      </c>
      <c r="B711" s="6">
        <v>43067</v>
      </c>
      <c r="C711" t="s">
        <v>23</v>
      </c>
      <c r="D711">
        <v>46</v>
      </c>
      <c r="E711" t="s">
        <v>24</v>
      </c>
      <c r="F711" t="s">
        <v>37</v>
      </c>
      <c r="G711" t="s">
        <v>54</v>
      </c>
      <c r="H711" t="s">
        <v>55</v>
      </c>
      <c r="I711" t="s">
        <v>80</v>
      </c>
      <c r="J711" t="s">
        <v>1635</v>
      </c>
      <c r="K711" t="s">
        <v>50</v>
      </c>
      <c r="L711">
        <v>104000</v>
      </c>
      <c r="M711">
        <v>17.899999999999999</v>
      </c>
      <c r="N711">
        <v>9</v>
      </c>
      <c r="O711">
        <v>8.1</v>
      </c>
      <c r="P711">
        <v>2.5</v>
      </c>
      <c r="Q711">
        <v>4</v>
      </c>
      <c r="R711">
        <v>3</v>
      </c>
      <c r="S711">
        <v>2</v>
      </c>
      <c r="T711" t="s">
        <v>23</v>
      </c>
      <c r="U711">
        <v>3</v>
      </c>
      <c r="W711" t="s">
        <v>1652</v>
      </c>
      <c r="X711" t="s">
        <v>1658</v>
      </c>
      <c r="Y711" t="s">
        <v>1662</v>
      </c>
      <c r="Z711">
        <v>0</v>
      </c>
    </row>
    <row r="712" spans="1:26" x14ac:dyDescent="0.35">
      <c r="A712" t="s">
        <v>1197</v>
      </c>
      <c r="B712" s="6">
        <v>42642</v>
      </c>
      <c r="C712" t="s">
        <v>30</v>
      </c>
      <c r="D712">
        <v>35</v>
      </c>
      <c r="E712" t="s">
        <v>62</v>
      </c>
      <c r="F712" t="s">
        <v>42</v>
      </c>
      <c r="G712" t="s">
        <v>54</v>
      </c>
      <c r="H712" t="s">
        <v>55</v>
      </c>
      <c r="I712" t="s">
        <v>56</v>
      </c>
      <c r="J712" t="s">
        <v>1633</v>
      </c>
      <c r="K712" t="s">
        <v>84</v>
      </c>
      <c r="L712">
        <v>48000</v>
      </c>
      <c r="M712">
        <v>14.9</v>
      </c>
      <c r="N712">
        <v>15</v>
      </c>
      <c r="O712">
        <v>8.3000000000000007</v>
      </c>
      <c r="P712">
        <v>0.1</v>
      </c>
      <c r="Q712">
        <v>3</v>
      </c>
      <c r="R712">
        <v>2</v>
      </c>
      <c r="S712">
        <v>2</v>
      </c>
      <c r="T712" t="s">
        <v>23</v>
      </c>
      <c r="U712">
        <v>3</v>
      </c>
      <c r="V712" s="7">
        <v>45675</v>
      </c>
      <c r="W712" t="s">
        <v>1650</v>
      </c>
      <c r="X712" t="s">
        <v>1656</v>
      </c>
      <c r="Y712" t="s">
        <v>1662</v>
      </c>
      <c r="Z712">
        <v>1</v>
      </c>
    </row>
    <row r="713" spans="1:26" x14ac:dyDescent="0.35">
      <c r="A713" t="s">
        <v>823</v>
      </c>
      <c r="B713" s="6">
        <v>44881</v>
      </c>
      <c r="C713" t="s">
        <v>23</v>
      </c>
      <c r="D713">
        <v>35</v>
      </c>
      <c r="E713" t="s">
        <v>36</v>
      </c>
      <c r="F713" t="s">
        <v>42</v>
      </c>
      <c r="G713" t="s">
        <v>54</v>
      </c>
      <c r="H713" t="s">
        <v>55</v>
      </c>
      <c r="I713" t="s">
        <v>80</v>
      </c>
      <c r="J713" t="s">
        <v>1635</v>
      </c>
      <c r="K713" t="s">
        <v>29</v>
      </c>
      <c r="L713">
        <v>80000</v>
      </c>
      <c r="M713">
        <v>6.6</v>
      </c>
      <c r="N713">
        <v>5.8</v>
      </c>
      <c r="O713">
        <v>3.1</v>
      </c>
      <c r="P713">
        <v>1.9</v>
      </c>
      <c r="Q713">
        <v>3</v>
      </c>
      <c r="R713">
        <v>2</v>
      </c>
      <c r="S713">
        <v>3</v>
      </c>
      <c r="T713" t="s">
        <v>23</v>
      </c>
      <c r="U713">
        <v>2</v>
      </c>
      <c r="W713" t="s">
        <v>1650</v>
      </c>
      <c r="X713" t="s">
        <v>1657</v>
      </c>
      <c r="Y713" t="s">
        <v>1661</v>
      </c>
      <c r="Z713">
        <v>0</v>
      </c>
    </row>
    <row r="714" spans="1:26" x14ac:dyDescent="0.35">
      <c r="A714" t="s">
        <v>507</v>
      </c>
      <c r="B714" s="6">
        <v>44397</v>
      </c>
      <c r="C714" t="s">
        <v>23</v>
      </c>
      <c r="D714">
        <v>29</v>
      </c>
      <c r="E714" t="s">
        <v>36</v>
      </c>
      <c r="F714" t="s">
        <v>25</v>
      </c>
      <c r="G714" t="s">
        <v>54</v>
      </c>
      <c r="H714" t="s">
        <v>48</v>
      </c>
      <c r="I714" t="s">
        <v>201</v>
      </c>
      <c r="J714" t="s">
        <v>1633</v>
      </c>
      <c r="K714" t="s">
        <v>34</v>
      </c>
      <c r="L714">
        <v>50000</v>
      </c>
      <c r="M714">
        <v>6.8</v>
      </c>
      <c r="N714">
        <v>11.8</v>
      </c>
      <c r="O714">
        <v>4.4000000000000004</v>
      </c>
      <c r="P714">
        <v>4.0999999999999996</v>
      </c>
      <c r="Q714">
        <v>2</v>
      </c>
      <c r="R714">
        <v>2</v>
      </c>
      <c r="S714">
        <v>4</v>
      </c>
      <c r="T714" t="s">
        <v>30</v>
      </c>
      <c r="U714">
        <v>4</v>
      </c>
      <c r="W714" t="s">
        <v>1650</v>
      </c>
      <c r="X714" t="s">
        <v>1656</v>
      </c>
      <c r="Y714" t="s">
        <v>1661</v>
      </c>
      <c r="Z714">
        <v>0</v>
      </c>
    </row>
    <row r="715" spans="1:26" x14ac:dyDescent="0.35">
      <c r="A715" t="s">
        <v>1053</v>
      </c>
      <c r="B715" s="6">
        <v>45610</v>
      </c>
      <c r="C715" t="s">
        <v>23</v>
      </c>
      <c r="D715">
        <v>25</v>
      </c>
      <c r="E715" t="s">
        <v>62</v>
      </c>
      <c r="F715" t="s">
        <v>42</v>
      </c>
      <c r="G715" t="s">
        <v>58</v>
      </c>
      <c r="H715" t="s">
        <v>68</v>
      </c>
      <c r="I715" t="s">
        <v>121</v>
      </c>
      <c r="J715" t="s">
        <v>1632</v>
      </c>
      <c r="K715" t="s">
        <v>84</v>
      </c>
      <c r="L715">
        <v>36000</v>
      </c>
      <c r="M715">
        <v>13.9</v>
      </c>
      <c r="N715">
        <v>3</v>
      </c>
      <c r="O715">
        <v>1.1000000000000001</v>
      </c>
      <c r="P715">
        <v>0.5</v>
      </c>
      <c r="Q715">
        <v>3</v>
      </c>
      <c r="R715">
        <v>1</v>
      </c>
      <c r="S715">
        <v>3</v>
      </c>
      <c r="T715" t="s">
        <v>23</v>
      </c>
      <c r="U715">
        <v>4</v>
      </c>
      <c r="W715" t="s">
        <v>1651</v>
      </c>
      <c r="X715" t="s">
        <v>1655</v>
      </c>
      <c r="Y715" t="s">
        <v>1665</v>
      </c>
      <c r="Z715">
        <v>0</v>
      </c>
    </row>
    <row r="716" spans="1:26" x14ac:dyDescent="0.35">
      <c r="A716" t="s">
        <v>287</v>
      </c>
      <c r="B716" s="6">
        <v>43231</v>
      </c>
      <c r="C716" t="s">
        <v>23</v>
      </c>
      <c r="D716">
        <v>28</v>
      </c>
      <c r="E716" t="s">
        <v>36</v>
      </c>
      <c r="F716" t="s">
        <v>42</v>
      </c>
      <c r="G716" t="s">
        <v>32</v>
      </c>
      <c r="H716" t="s">
        <v>48</v>
      </c>
      <c r="I716" t="s">
        <v>129</v>
      </c>
      <c r="J716" t="s">
        <v>1635</v>
      </c>
      <c r="K716" t="s">
        <v>50</v>
      </c>
      <c r="L716">
        <v>78000</v>
      </c>
      <c r="M716">
        <v>13.7</v>
      </c>
      <c r="N716">
        <v>13.5</v>
      </c>
      <c r="O716">
        <v>7.6</v>
      </c>
      <c r="P716">
        <v>2.6</v>
      </c>
      <c r="Q716">
        <v>4</v>
      </c>
      <c r="R716">
        <v>3</v>
      </c>
      <c r="S716">
        <v>4</v>
      </c>
      <c r="T716" t="s">
        <v>30</v>
      </c>
      <c r="U716">
        <v>3</v>
      </c>
      <c r="W716" t="s">
        <v>1650</v>
      </c>
      <c r="X716" t="s">
        <v>1659</v>
      </c>
      <c r="Y716" t="s">
        <v>1662</v>
      </c>
      <c r="Z716">
        <v>0</v>
      </c>
    </row>
    <row r="717" spans="1:26" x14ac:dyDescent="0.35">
      <c r="A717" t="s">
        <v>1332</v>
      </c>
      <c r="B717" s="6">
        <v>45202</v>
      </c>
      <c r="C717" t="s">
        <v>23</v>
      </c>
      <c r="D717">
        <v>29</v>
      </c>
      <c r="E717" t="s">
        <v>62</v>
      </c>
      <c r="F717" t="s">
        <v>25</v>
      </c>
      <c r="G717" t="s">
        <v>32</v>
      </c>
      <c r="H717" t="s">
        <v>68</v>
      </c>
      <c r="I717" t="s">
        <v>69</v>
      </c>
      <c r="J717" t="s">
        <v>1635</v>
      </c>
      <c r="K717" t="s">
        <v>50</v>
      </c>
      <c r="L717">
        <v>81000</v>
      </c>
      <c r="M717">
        <v>4.5999999999999996</v>
      </c>
      <c r="N717">
        <v>7.1</v>
      </c>
      <c r="O717">
        <v>2.2000000000000002</v>
      </c>
      <c r="P717">
        <v>0.2</v>
      </c>
      <c r="Q717">
        <v>4</v>
      </c>
      <c r="R717">
        <v>2</v>
      </c>
      <c r="S717">
        <v>3</v>
      </c>
      <c r="T717" t="s">
        <v>30</v>
      </c>
      <c r="U717">
        <v>2</v>
      </c>
      <c r="W717" t="s">
        <v>1650</v>
      </c>
      <c r="X717" t="s">
        <v>1657</v>
      </c>
      <c r="Y717" t="s">
        <v>1665</v>
      </c>
      <c r="Z717">
        <v>0</v>
      </c>
    </row>
    <row r="718" spans="1:26" x14ac:dyDescent="0.35">
      <c r="A718" t="s">
        <v>629</v>
      </c>
      <c r="B718" s="6">
        <v>43606</v>
      </c>
      <c r="C718" t="s">
        <v>23</v>
      </c>
      <c r="D718">
        <v>36</v>
      </c>
      <c r="E718" t="s">
        <v>62</v>
      </c>
      <c r="F718" t="s">
        <v>37</v>
      </c>
      <c r="G718" t="s">
        <v>54</v>
      </c>
      <c r="H718" t="s">
        <v>27</v>
      </c>
      <c r="I718" t="s">
        <v>43</v>
      </c>
      <c r="J718" t="s">
        <v>1637</v>
      </c>
      <c r="K718" t="s">
        <v>84</v>
      </c>
      <c r="L718">
        <v>144000</v>
      </c>
      <c r="M718">
        <v>5.6</v>
      </c>
      <c r="N718">
        <v>6.8</v>
      </c>
      <c r="O718">
        <v>6.6</v>
      </c>
      <c r="P718">
        <v>1.2</v>
      </c>
      <c r="Q718">
        <v>1</v>
      </c>
      <c r="R718">
        <v>4</v>
      </c>
      <c r="S718">
        <v>3</v>
      </c>
      <c r="T718" t="s">
        <v>23</v>
      </c>
      <c r="U718">
        <v>4</v>
      </c>
      <c r="W718" t="s">
        <v>1649</v>
      </c>
      <c r="X718" t="s">
        <v>1658</v>
      </c>
      <c r="Y718" t="s">
        <v>1662</v>
      </c>
      <c r="Z718">
        <v>0</v>
      </c>
    </row>
    <row r="719" spans="1:26" x14ac:dyDescent="0.35">
      <c r="A719" t="s">
        <v>471</v>
      </c>
      <c r="B719" s="6">
        <v>44066</v>
      </c>
      <c r="C719" t="s">
        <v>23</v>
      </c>
      <c r="D719">
        <v>37</v>
      </c>
      <c r="E719" t="s">
        <v>62</v>
      </c>
      <c r="F719" t="s">
        <v>37</v>
      </c>
      <c r="G719" t="s">
        <v>58</v>
      </c>
      <c r="H719" t="s">
        <v>38</v>
      </c>
      <c r="I719" t="s">
        <v>118</v>
      </c>
      <c r="J719" t="s">
        <v>1633</v>
      </c>
      <c r="K719" t="s">
        <v>40</v>
      </c>
      <c r="L719">
        <v>70000</v>
      </c>
      <c r="M719">
        <v>6.5</v>
      </c>
      <c r="N719">
        <v>11.2</v>
      </c>
      <c r="O719">
        <v>5.4</v>
      </c>
      <c r="P719">
        <v>0.6</v>
      </c>
      <c r="Q719">
        <v>4</v>
      </c>
      <c r="R719">
        <v>3</v>
      </c>
      <c r="S719">
        <v>2</v>
      </c>
      <c r="T719" t="s">
        <v>30</v>
      </c>
      <c r="U719">
        <v>4</v>
      </c>
      <c r="W719" t="s">
        <v>1649</v>
      </c>
      <c r="X719" t="s">
        <v>1659</v>
      </c>
      <c r="Y719" t="s">
        <v>1661</v>
      </c>
      <c r="Z719">
        <v>0</v>
      </c>
    </row>
    <row r="720" spans="1:26" x14ac:dyDescent="0.35">
      <c r="A720" t="s">
        <v>65</v>
      </c>
      <c r="B720" s="6">
        <v>45842</v>
      </c>
      <c r="C720" t="s">
        <v>23</v>
      </c>
      <c r="D720">
        <v>21</v>
      </c>
      <c r="E720" t="s">
        <v>62</v>
      </c>
      <c r="F720" t="s">
        <v>42</v>
      </c>
      <c r="G720" t="s">
        <v>32</v>
      </c>
      <c r="H720" t="s">
        <v>27</v>
      </c>
      <c r="I720" t="s">
        <v>28</v>
      </c>
      <c r="J720" t="s">
        <v>1632</v>
      </c>
      <c r="K720" t="s">
        <v>66</v>
      </c>
      <c r="L720">
        <v>27000</v>
      </c>
      <c r="M720">
        <v>8.9</v>
      </c>
      <c r="N720">
        <v>6.1</v>
      </c>
      <c r="O720">
        <v>0.5</v>
      </c>
      <c r="P720">
        <v>0</v>
      </c>
      <c r="Q720">
        <v>3</v>
      </c>
      <c r="R720">
        <v>4</v>
      </c>
      <c r="S720">
        <v>3</v>
      </c>
      <c r="T720" t="s">
        <v>23</v>
      </c>
      <c r="U720">
        <v>5</v>
      </c>
      <c r="W720" t="s">
        <v>1651</v>
      </c>
      <c r="X720" t="s">
        <v>1655</v>
      </c>
      <c r="Y720" t="s">
        <v>1664</v>
      </c>
      <c r="Z720">
        <v>0</v>
      </c>
    </row>
    <row r="721" spans="1:26" x14ac:dyDescent="0.35">
      <c r="A721" t="s">
        <v>703</v>
      </c>
      <c r="B721" s="6">
        <v>43937</v>
      </c>
      <c r="C721" t="s">
        <v>23</v>
      </c>
      <c r="D721">
        <v>26</v>
      </c>
      <c r="E721" t="s">
        <v>24</v>
      </c>
      <c r="F721" t="s">
        <v>25</v>
      </c>
      <c r="G721" t="s">
        <v>54</v>
      </c>
      <c r="H721" t="s">
        <v>45</v>
      </c>
      <c r="I721" t="s">
        <v>164</v>
      </c>
      <c r="J721" t="s">
        <v>1632</v>
      </c>
      <c r="K721" t="s">
        <v>84</v>
      </c>
      <c r="L721">
        <v>25000</v>
      </c>
      <c r="M721">
        <v>10.199999999999999</v>
      </c>
      <c r="N721">
        <v>12.7</v>
      </c>
      <c r="O721">
        <v>5.7</v>
      </c>
      <c r="P721">
        <v>1.3</v>
      </c>
      <c r="Q721">
        <v>2</v>
      </c>
      <c r="R721">
        <v>2</v>
      </c>
      <c r="S721">
        <v>3</v>
      </c>
      <c r="T721" t="s">
        <v>23</v>
      </c>
      <c r="U721">
        <v>3</v>
      </c>
      <c r="W721" t="s">
        <v>1650</v>
      </c>
      <c r="X721" t="s">
        <v>1655</v>
      </c>
      <c r="Y721" t="s">
        <v>1661</v>
      </c>
      <c r="Z721">
        <v>0</v>
      </c>
    </row>
    <row r="722" spans="1:26" x14ac:dyDescent="0.35">
      <c r="A722" t="s">
        <v>588</v>
      </c>
      <c r="B722" s="6">
        <v>45751</v>
      </c>
      <c r="C722" t="s">
        <v>23</v>
      </c>
      <c r="D722">
        <v>21</v>
      </c>
      <c r="E722" t="s">
        <v>24</v>
      </c>
      <c r="F722" t="s">
        <v>42</v>
      </c>
      <c r="G722" t="s">
        <v>58</v>
      </c>
      <c r="H722" t="s">
        <v>55</v>
      </c>
      <c r="I722" t="s">
        <v>179</v>
      </c>
      <c r="J722" t="s">
        <v>1632</v>
      </c>
      <c r="K722" t="s">
        <v>66</v>
      </c>
      <c r="L722">
        <v>22000</v>
      </c>
      <c r="M722">
        <v>6.6</v>
      </c>
      <c r="N722">
        <v>2.5</v>
      </c>
      <c r="O722">
        <v>0.7</v>
      </c>
      <c r="P722">
        <v>0</v>
      </c>
      <c r="Q722">
        <v>3</v>
      </c>
      <c r="R722">
        <v>3</v>
      </c>
      <c r="S722">
        <v>3</v>
      </c>
      <c r="T722" t="s">
        <v>30</v>
      </c>
      <c r="U722">
        <v>4</v>
      </c>
      <c r="W722" t="s">
        <v>1651</v>
      </c>
      <c r="X722" t="s">
        <v>1655</v>
      </c>
      <c r="Y722" t="s">
        <v>1664</v>
      </c>
      <c r="Z722">
        <v>0</v>
      </c>
    </row>
    <row r="723" spans="1:26" x14ac:dyDescent="0.35">
      <c r="A723" t="s">
        <v>975</v>
      </c>
      <c r="B723" s="6">
        <v>45750</v>
      </c>
      <c r="C723" t="s">
        <v>30</v>
      </c>
      <c r="D723">
        <v>21</v>
      </c>
      <c r="E723" t="s">
        <v>62</v>
      </c>
      <c r="F723" t="s">
        <v>42</v>
      </c>
      <c r="G723" t="s">
        <v>54</v>
      </c>
      <c r="H723" t="s">
        <v>48</v>
      </c>
      <c r="I723" t="s">
        <v>49</v>
      </c>
      <c r="J723" t="s">
        <v>1632</v>
      </c>
      <c r="K723" t="s">
        <v>84</v>
      </c>
      <c r="L723">
        <v>31000</v>
      </c>
      <c r="M723">
        <v>6.9</v>
      </c>
      <c r="N723">
        <v>7.1</v>
      </c>
      <c r="O723">
        <v>0.4</v>
      </c>
      <c r="P723">
        <v>0</v>
      </c>
      <c r="Q723">
        <v>3</v>
      </c>
      <c r="R723">
        <v>3</v>
      </c>
      <c r="S723">
        <v>3</v>
      </c>
      <c r="T723" t="s">
        <v>23</v>
      </c>
      <c r="U723">
        <v>4</v>
      </c>
      <c r="V723" s="7">
        <v>45886</v>
      </c>
      <c r="W723" t="s">
        <v>1651</v>
      </c>
      <c r="X723" t="s">
        <v>1655</v>
      </c>
      <c r="Y723" t="s">
        <v>1664</v>
      </c>
      <c r="Z723">
        <v>1</v>
      </c>
    </row>
    <row r="724" spans="1:26" x14ac:dyDescent="0.35">
      <c r="A724" t="s">
        <v>400</v>
      </c>
      <c r="B724" s="6">
        <v>42792</v>
      </c>
      <c r="C724" t="s">
        <v>23</v>
      </c>
      <c r="D724">
        <v>30</v>
      </c>
      <c r="E724" t="s">
        <v>24</v>
      </c>
      <c r="F724" t="s">
        <v>42</v>
      </c>
      <c r="G724" t="s">
        <v>54</v>
      </c>
      <c r="H724" t="s">
        <v>38</v>
      </c>
      <c r="I724" t="s">
        <v>139</v>
      </c>
      <c r="J724" t="s">
        <v>1633</v>
      </c>
      <c r="K724" t="s">
        <v>29</v>
      </c>
      <c r="L724">
        <v>63000</v>
      </c>
      <c r="M724">
        <v>9.6</v>
      </c>
      <c r="N724">
        <v>11.4</v>
      </c>
      <c r="O724">
        <v>8.8000000000000007</v>
      </c>
      <c r="P724">
        <v>4</v>
      </c>
      <c r="Q724">
        <v>3</v>
      </c>
      <c r="R724">
        <v>2</v>
      </c>
      <c r="S724">
        <v>3</v>
      </c>
      <c r="T724" t="s">
        <v>23</v>
      </c>
      <c r="U724">
        <v>3</v>
      </c>
      <c r="W724" t="s">
        <v>1650</v>
      </c>
      <c r="X724" t="s">
        <v>1659</v>
      </c>
      <c r="Y724" t="s">
        <v>1662</v>
      </c>
      <c r="Z724">
        <v>0</v>
      </c>
    </row>
    <row r="725" spans="1:26" x14ac:dyDescent="0.35">
      <c r="A725" t="s">
        <v>833</v>
      </c>
      <c r="B725" s="6">
        <v>42221</v>
      </c>
      <c r="C725" t="s">
        <v>30</v>
      </c>
      <c r="D725">
        <v>38</v>
      </c>
      <c r="E725" t="s">
        <v>36</v>
      </c>
      <c r="F725" t="s">
        <v>25</v>
      </c>
      <c r="G725" t="s">
        <v>58</v>
      </c>
      <c r="H725" t="s">
        <v>55</v>
      </c>
      <c r="I725" t="s">
        <v>80</v>
      </c>
      <c r="J725" t="s">
        <v>1636</v>
      </c>
      <c r="K725" t="s">
        <v>34</v>
      </c>
      <c r="L725">
        <v>131000</v>
      </c>
      <c r="M725">
        <v>11</v>
      </c>
      <c r="N725">
        <v>13.8</v>
      </c>
      <c r="O725">
        <v>9.8000000000000007</v>
      </c>
      <c r="P725">
        <v>5.3</v>
      </c>
      <c r="Q725">
        <v>3</v>
      </c>
      <c r="R725">
        <v>4</v>
      </c>
      <c r="S725">
        <v>2</v>
      </c>
      <c r="T725" t="s">
        <v>23</v>
      </c>
      <c r="U725">
        <v>4</v>
      </c>
      <c r="V725" s="7">
        <v>45795</v>
      </c>
      <c r="W725" t="s">
        <v>1649</v>
      </c>
      <c r="X725" t="s">
        <v>1658</v>
      </c>
      <c r="Y725" t="s">
        <v>1662</v>
      </c>
      <c r="Z725">
        <v>1</v>
      </c>
    </row>
    <row r="726" spans="1:26" x14ac:dyDescent="0.35">
      <c r="A726" t="s">
        <v>503</v>
      </c>
      <c r="B726" s="6">
        <v>45804</v>
      </c>
      <c r="C726" t="s">
        <v>23</v>
      </c>
      <c r="D726">
        <v>21</v>
      </c>
      <c r="E726" t="s">
        <v>24</v>
      </c>
      <c r="F726" t="s">
        <v>25</v>
      </c>
      <c r="G726" t="s">
        <v>32</v>
      </c>
      <c r="H726" t="s">
        <v>48</v>
      </c>
      <c r="I726" t="s">
        <v>201</v>
      </c>
      <c r="J726" t="s">
        <v>1632</v>
      </c>
      <c r="K726" t="s">
        <v>29</v>
      </c>
      <c r="L726">
        <v>51000</v>
      </c>
      <c r="M726">
        <v>7.9</v>
      </c>
      <c r="N726">
        <v>2.2999999999999998</v>
      </c>
      <c r="O726">
        <v>0.6</v>
      </c>
      <c r="P726">
        <v>0</v>
      </c>
      <c r="Q726">
        <v>1</v>
      </c>
      <c r="R726">
        <v>1</v>
      </c>
      <c r="S726">
        <v>3</v>
      </c>
      <c r="T726" t="s">
        <v>30</v>
      </c>
      <c r="U726">
        <v>3</v>
      </c>
      <c r="W726" t="s">
        <v>1651</v>
      </c>
      <c r="X726" t="s">
        <v>1656</v>
      </c>
      <c r="Y726" t="s">
        <v>1664</v>
      </c>
      <c r="Z726">
        <v>0</v>
      </c>
    </row>
    <row r="727" spans="1:26" x14ac:dyDescent="0.35">
      <c r="A727" t="s">
        <v>518</v>
      </c>
      <c r="B727" s="6">
        <v>43606</v>
      </c>
      <c r="C727" t="s">
        <v>23</v>
      </c>
      <c r="D727">
        <v>33</v>
      </c>
      <c r="E727" t="s">
        <v>24</v>
      </c>
      <c r="F727" t="s">
        <v>25</v>
      </c>
      <c r="G727" t="s">
        <v>32</v>
      </c>
      <c r="H727" t="s">
        <v>38</v>
      </c>
      <c r="I727" t="s">
        <v>39</v>
      </c>
      <c r="J727" t="s">
        <v>1633</v>
      </c>
      <c r="K727" t="s">
        <v>84</v>
      </c>
      <c r="L727">
        <v>56000</v>
      </c>
      <c r="M727">
        <v>6.7</v>
      </c>
      <c r="N727">
        <v>12.9</v>
      </c>
      <c r="O727">
        <v>6.6</v>
      </c>
      <c r="P727">
        <v>2</v>
      </c>
      <c r="Q727">
        <v>1</v>
      </c>
      <c r="R727">
        <v>3</v>
      </c>
      <c r="S727">
        <v>4</v>
      </c>
      <c r="T727" t="s">
        <v>23</v>
      </c>
      <c r="U727">
        <v>2</v>
      </c>
      <c r="W727" t="s">
        <v>1650</v>
      </c>
      <c r="X727" t="s">
        <v>1656</v>
      </c>
      <c r="Y727" t="s">
        <v>1662</v>
      </c>
      <c r="Z727">
        <v>0</v>
      </c>
    </row>
    <row r="728" spans="1:26" x14ac:dyDescent="0.35">
      <c r="A728" t="s">
        <v>233</v>
      </c>
      <c r="B728" s="6">
        <v>45301</v>
      </c>
      <c r="C728" t="s">
        <v>23</v>
      </c>
      <c r="D728">
        <v>22</v>
      </c>
      <c r="E728" t="s">
        <v>24</v>
      </c>
      <c r="F728" t="s">
        <v>37</v>
      </c>
      <c r="G728" t="s">
        <v>26</v>
      </c>
      <c r="H728" t="s">
        <v>27</v>
      </c>
      <c r="I728" t="s">
        <v>95</v>
      </c>
      <c r="J728" t="s">
        <v>1632</v>
      </c>
      <c r="K728" t="s">
        <v>50</v>
      </c>
      <c r="L728">
        <v>39000</v>
      </c>
      <c r="M728">
        <v>7.3</v>
      </c>
      <c r="N728">
        <v>4.3</v>
      </c>
      <c r="O728">
        <v>2</v>
      </c>
      <c r="P728">
        <v>0.3</v>
      </c>
      <c r="Q728">
        <v>3</v>
      </c>
      <c r="R728">
        <v>3</v>
      </c>
      <c r="S728">
        <v>3</v>
      </c>
      <c r="T728" t="s">
        <v>23</v>
      </c>
      <c r="U728">
        <v>4</v>
      </c>
      <c r="W728" t="s">
        <v>1651</v>
      </c>
      <c r="X728" t="s">
        <v>1655</v>
      </c>
      <c r="Y728" t="s">
        <v>1665</v>
      </c>
      <c r="Z728">
        <v>0</v>
      </c>
    </row>
    <row r="729" spans="1:26" x14ac:dyDescent="0.35">
      <c r="A729" t="s">
        <v>1179</v>
      </c>
      <c r="B729" s="6">
        <v>43109</v>
      </c>
      <c r="C729" t="s">
        <v>30</v>
      </c>
      <c r="D729">
        <v>30</v>
      </c>
      <c r="E729" t="s">
        <v>62</v>
      </c>
      <c r="F729" t="s">
        <v>42</v>
      </c>
      <c r="G729" t="s">
        <v>32</v>
      </c>
      <c r="H729" t="s">
        <v>1634</v>
      </c>
      <c r="I729" t="s">
        <v>75</v>
      </c>
      <c r="J729" t="s">
        <v>1635</v>
      </c>
      <c r="K729" t="s">
        <v>29</v>
      </c>
      <c r="L729">
        <v>87000</v>
      </c>
      <c r="M729">
        <v>6.9</v>
      </c>
      <c r="N729">
        <v>14</v>
      </c>
      <c r="O729">
        <v>7.9</v>
      </c>
      <c r="P729">
        <v>1.5</v>
      </c>
      <c r="Q729">
        <v>3</v>
      </c>
      <c r="R729">
        <v>3</v>
      </c>
      <c r="S729">
        <v>2</v>
      </c>
      <c r="T729" t="s">
        <v>30</v>
      </c>
      <c r="U729">
        <v>4</v>
      </c>
      <c r="V729" s="7">
        <v>45981</v>
      </c>
      <c r="W729" t="s">
        <v>1650</v>
      </c>
      <c r="X729" t="s">
        <v>1657</v>
      </c>
      <c r="Y729" t="s">
        <v>1662</v>
      </c>
      <c r="Z729">
        <v>1</v>
      </c>
    </row>
    <row r="730" spans="1:26" x14ac:dyDescent="0.35">
      <c r="A730" t="s">
        <v>982</v>
      </c>
      <c r="B730" s="6">
        <v>44494</v>
      </c>
      <c r="C730" t="s">
        <v>30</v>
      </c>
      <c r="D730">
        <v>28</v>
      </c>
      <c r="E730" t="s">
        <v>62</v>
      </c>
      <c r="F730" t="s">
        <v>42</v>
      </c>
      <c r="G730" t="s">
        <v>58</v>
      </c>
      <c r="H730" t="s">
        <v>68</v>
      </c>
      <c r="I730" t="s">
        <v>102</v>
      </c>
      <c r="J730" t="s">
        <v>1632</v>
      </c>
      <c r="K730" t="s">
        <v>34</v>
      </c>
      <c r="L730">
        <v>40000</v>
      </c>
      <c r="M730">
        <v>11.7</v>
      </c>
      <c r="N730">
        <v>8.8000000000000007</v>
      </c>
      <c r="O730">
        <v>3.9</v>
      </c>
      <c r="P730">
        <v>0.6</v>
      </c>
      <c r="Q730">
        <v>4</v>
      </c>
      <c r="R730">
        <v>3</v>
      </c>
      <c r="S730">
        <v>4</v>
      </c>
      <c r="T730" t="s">
        <v>23</v>
      </c>
      <c r="U730">
        <v>3</v>
      </c>
      <c r="V730" s="7">
        <v>45935</v>
      </c>
      <c r="W730" t="s">
        <v>1650</v>
      </c>
      <c r="X730" t="s">
        <v>1656</v>
      </c>
      <c r="Y730" t="s">
        <v>1661</v>
      </c>
      <c r="Z730">
        <v>1</v>
      </c>
    </row>
    <row r="731" spans="1:26" x14ac:dyDescent="0.35">
      <c r="A731" t="s">
        <v>1033</v>
      </c>
      <c r="B731" s="6">
        <v>43952</v>
      </c>
      <c r="C731" t="s">
        <v>23</v>
      </c>
      <c r="D731">
        <v>32</v>
      </c>
      <c r="E731" t="s">
        <v>36</v>
      </c>
      <c r="F731" t="s">
        <v>25</v>
      </c>
      <c r="G731" t="s">
        <v>32</v>
      </c>
      <c r="H731" t="s">
        <v>27</v>
      </c>
      <c r="I731" t="s">
        <v>43</v>
      </c>
      <c r="J731" t="s">
        <v>1633</v>
      </c>
      <c r="K731" t="s">
        <v>34</v>
      </c>
      <c r="L731">
        <v>57000</v>
      </c>
      <c r="M731">
        <v>9.4</v>
      </c>
      <c r="N731">
        <v>8.6999999999999993</v>
      </c>
      <c r="O731">
        <v>5.7</v>
      </c>
      <c r="P731">
        <v>2.4</v>
      </c>
      <c r="Q731">
        <v>4</v>
      </c>
      <c r="R731">
        <v>2</v>
      </c>
      <c r="S731">
        <v>3</v>
      </c>
      <c r="T731" t="s">
        <v>30</v>
      </c>
      <c r="U731">
        <v>3</v>
      </c>
      <c r="W731" t="s">
        <v>1650</v>
      </c>
      <c r="X731" t="s">
        <v>1656</v>
      </c>
      <c r="Y731" t="s">
        <v>1661</v>
      </c>
      <c r="Z731">
        <v>0</v>
      </c>
    </row>
    <row r="732" spans="1:26" x14ac:dyDescent="0.35">
      <c r="A732" t="s">
        <v>784</v>
      </c>
      <c r="B732" s="6">
        <v>43237</v>
      </c>
      <c r="C732" t="s">
        <v>23</v>
      </c>
      <c r="D732">
        <v>28</v>
      </c>
      <c r="E732" t="s">
        <v>24</v>
      </c>
      <c r="F732" t="s">
        <v>25</v>
      </c>
      <c r="G732" t="s">
        <v>58</v>
      </c>
      <c r="H732" t="s">
        <v>38</v>
      </c>
      <c r="I732" t="s">
        <v>52</v>
      </c>
      <c r="J732" t="s">
        <v>1635</v>
      </c>
      <c r="K732" t="s">
        <v>84</v>
      </c>
      <c r="L732">
        <v>93000</v>
      </c>
      <c r="M732">
        <v>8.1999999999999993</v>
      </c>
      <c r="N732">
        <v>12.2</v>
      </c>
      <c r="O732">
        <v>7.6</v>
      </c>
      <c r="P732">
        <v>0.1</v>
      </c>
      <c r="Q732">
        <v>3</v>
      </c>
      <c r="R732">
        <v>4</v>
      </c>
      <c r="S732">
        <v>3</v>
      </c>
      <c r="T732" t="s">
        <v>23</v>
      </c>
      <c r="U732">
        <v>3</v>
      </c>
      <c r="W732" t="s">
        <v>1650</v>
      </c>
      <c r="X732" t="s">
        <v>1657</v>
      </c>
      <c r="Y732" t="s">
        <v>1662</v>
      </c>
      <c r="Z732">
        <v>0</v>
      </c>
    </row>
    <row r="733" spans="1:26" x14ac:dyDescent="0.35">
      <c r="A733" t="s">
        <v>1430</v>
      </c>
      <c r="B733" s="6">
        <v>45190</v>
      </c>
      <c r="C733" t="s">
        <v>23</v>
      </c>
      <c r="D733">
        <v>34</v>
      </c>
      <c r="E733" t="s">
        <v>24</v>
      </c>
      <c r="F733" t="s">
        <v>37</v>
      </c>
      <c r="G733" t="s">
        <v>54</v>
      </c>
      <c r="H733" t="s">
        <v>55</v>
      </c>
      <c r="I733" t="s">
        <v>56</v>
      </c>
      <c r="J733" t="s">
        <v>1632</v>
      </c>
      <c r="K733" t="s">
        <v>84</v>
      </c>
      <c r="L733">
        <v>41000</v>
      </c>
      <c r="M733">
        <v>8.5</v>
      </c>
      <c r="N733">
        <v>3.4</v>
      </c>
      <c r="O733">
        <v>2.2999999999999998</v>
      </c>
      <c r="P733">
        <v>1.4</v>
      </c>
      <c r="Q733">
        <v>3</v>
      </c>
      <c r="R733">
        <v>3</v>
      </c>
      <c r="S733">
        <v>3</v>
      </c>
      <c r="T733" t="s">
        <v>23</v>
      </c>
      <c r="U733">
        <v>4</v>
      </c>
      <c r="W733" t="s">
        <v>1650</v>
      </c>
      <c r="X733" t="s">
        <v>1656</v>
      </c>
      <c r="Y733" t="s">
        <v>1665</v>
      </c>
      <c r="Z733">
        <v>0</v>
      </c>
    </row>
    <row r="734" spans="1:26" x14ac:dyDescent="0.35">
      <c r="A734" t="s">
        <v>1212</v>
      </c>
      <c r="B734" s="6">
        <v>42348</v>
      </c>
      <c r="C734" t="s">
        <v>23</v>
      </c>
      <c r="D734">
        <v>44</v>
      </c>
      <c r="E734" t="s">
        <v>36</v>
      </c>
      <c r="F734" t="s">
        <v>42</v>
      </c>
      <c r="G734" t="s">
        <v>32</v>
      </c>
      <c r="H734" t="s">
        <v>48</v>
      </c>
      <c r="I734" t="s">
        <v>129</v>
      </c>
      <c r="J734" t="s">
        <v>1635</v>
      </c>
      <c r="K734" t="s">
        <v>84</v>
      </c>
      <c r="L734">
        <v>89000</v>
      </c>
      <c r="M734">
        <v>12.5</v>
      </c>
      <c r="N734">
        <v>17</v>
      </c>
      <c r="O734">
        <v>10.1</v>
      </c>
      <c r="P734">
        <v>1.6</v>
      </c>
      <c r="Q734">
        <v>3</v>
      </c>
      <c r="R734">
        <v>2</v>
      </c>
      <c r="S734">
        <v>3</v>
      </c>
      <c r="T734" t="s">
        <v>30</v>
      </c>
      <c r="U734">
        <v>3</v>
      </c>
      <c r="W734" t="s">
        <v>1649</v>
      </c>
      <c r="X734" t="s">
        <v>1657</v>
      </c>
      <c r="Y734" t="s">
        <v>1663</v>
      </c>
      <c r="Z734">
        <v>0</v>
      </c>
    </row>
    <row r="735" spans="1:26" x14ac:dyDescent="0.35">
      <c r="A735" t="s">
        <v>355</v>
      </c>
      <c r="B735" s="6">
        <v>44654</v>
      </c>
      <c r="C735" t="s">
        <v>30</v>
      </c>
      <c r="D735">
        <v>27</v>
      </c>
      <c r="E735" t="s">
        <v>24</v>
      </c>
      <c r="F735" t="s">
        <v>37</v>
      </c>
      <c r="G735" t="s">
        <v>32</v>
      </c>
      <c r="H735" t="s">
        <v>48</v>
      </c>
      <c r="I735" t="s">
        <v>201</v>
      </c>
      <c r="J735" t="s">
        <v>1632</v>
      </c>
      <c r="K735" t="s">
        <v>34</v>
      </c>
      <c r="L735">
        <v>44000</v>
      </c>
      <c r="M735">
        <v>12.5</v>
      </c>
      <c r="N735">
        <v>6.3</v>
      </c>
      <c r="O735">
        <v>2.9</v>
      </c>
      <c r="P735">
        <v>0.2</v>
      </c>
      <c r="R735">
        <v>2</v>
      </c>
      <c r="S735">
        <v>1</v>
      </c>
      <c r="T735" t="s">
        <v>23</v>
      </c>
      <c r="U735">
        <v>3</v>
      </c>
      <c r="V735" s="7">
        <v>45711</v>
      </c>
      <c r="W735" t="s">
        <v>1650</v>
      </c>
      <c r="X735" t="s">
        <v>1656</v>
      </c>
      <c r="Y735" t="s">
        <v>1665</v>
      </c>
      <c r="Z735">
        <v>1</v>
      </c>
    </row>
    <row r="736" spans="1:26" x14ac:dyDescent="0.35">
      <c r="A736" t="s">
        <v>1122</v>
      </c>
      <c r="B736" s="6">
        <v>44565</v>
      </c>
      <c r="C736" t="s">
        <v>23</v>
      </c>
      <c r="D736">
        <v>29</v>
      </c>
      <c r="E736" t="s">
        <v>36</v>
      </c>
      <c r="F736" t="s">
        <v>25</v>
      </c>
      <c r="G736" t="s">
        <v>58</v>
      </c>
      <c r="H736" t="s">
        <v>1634</v>
      </c>
      <c r="I736" t="s">
        <v>75</v>
      </c>
      <c r="J736" t="s">
        <v>1632</v>
      </c>
      <c r="K736" t="s">
        <v>66</v>
      </c>
      <c r="L736">
        <v>31000</v>
      </c>
      <c r="M736">
        <v>2.4</v>
      </c>
      <c r="N736">
        <v>10</v>
      </c>
      <c r="O736">
        <v>4</v>
      </c>
      <c r="P736">
        <v>2.2000000000000002</v>
      </c>
      <c r="Q736">
        <v>4</v>
      </c>
      <c r="R736">
        <v>3</v>
      </c>
      <c r="S736">
        <v>3</v>
      </c>
      <c r="T736" t="s">
        <v>30</v>
      </c>
      <c r="U736">
        <v>3</v>
      </c>
      <c r="W736" t="s">
        <v>1650</v>
      </c>
      <c r="X736" t="s">
        <v>1655</v>
      </c>
      <c r="Y736" t="s">
        <v>1661</v>
      </c>
      <c r="Z736">
        <v>0</v>
      </c>
    </row>
    <row r="737" spans="1:26" x14ac:dyDescent="0.35">
      <c r="A737" t="s">
        <v>1242</v>
      </c>
      <c r="B737" s="6">
        <v>45204</v>
      </c>
      <c r="C737" t="s">
        <v>23</v>
      </c>
      <c r="D737">
        <v>40</v>
      </c>
      <c r="E737" t="s">
        <v>36</v>
      </c>
      <c r="F737" t="s">
        <v>25</v>
      </c>
      <c r="G737" t="s">
        <v>32</v>
      </c>
      <c r="H737" t="s">
        <v>68</v>
      </c>
      <c r="I737" t="s">
        <v>69</v>
      </c>
      <c r="J737" t="s">
        <v>1635</v>
      </c>
      <c r="K737" t="s">
        <v>40</v>
      </c>
      <c r="L737">
        <v>73000</v>
      </c>
      <c r="M737">
        <v>11.6</v>
      </c>
      <c r="N737">
        <v>9.9</v>
      </c>
      <c r="O737">
        <v>2.2000000000000002</v>
      </c>
      <c r="P737">
        <v>0.8</v>
      </c>
      <c r="Q737">
        <v>3</v>
      </c>
      <c r="R737">
        <v>3</v>
      </c>
      <c r="S737">
        <v>3</v>
      </c>
      <c r="T737" t="s">
        <v>23</v>
      </c>
      <c r="U737">
        <v>3</v>
      </c>
      <c r="W737" t="s">
        <v>1649</v>
      </c>
      <c r="X737" t="s">
        <v>1659</v>
      </c>
      <c r="Y737" t="s">
        <v>1665</v>
      </c>
      <c r="Z737">
        <v>0</v>
      </c>
    </row>
    <row r="738" spans="1:26" x14ac:dyDescent="0.35">
      <c r="A738" t="s">
        <v>112</v>
      </c>
      <c r="B738" s="6">
        <v>44134</v>
      </c>
      <c r="C738" t="s">
        <v>23</v>
      </c>
      <c r="D738">
        <v>35</v>
      </c>
      <c r="E738" t="s">
        <v>24</v>
      </c>
      <c r="F738" t="s">
        <v>25</v>
      </c>
      <c r="G738" t="s">
        <v>54</v>
      </c>
      <c r="H738" t="s">
        <v>27</v>
      </c>
      <c r="I738" t="s">
        <v>33</v>
      </c>
      <c r="J738" t="s">
        <v>1632</v>
      </c>
      <c r="K738" t="s">
        <v>66</v>
      </c>
      <c r="L738">
        <v>22000</v>
      </c>
      <c r="M738">
        <v>9.3000000000000007</v>
      </c>
      <c r="N738">
        <v>7.7</v>
      </c>
      <c r="O738">
        <v>5.2</v>
      </c>
      <c r="P738">
        <v>1</v>
      </c>
      <c r="Q738">
        <v>1</v>
      </c>
      <c r="R738">
        <v>3</v>
      </c>
      <c r="S738">
        <v>3</v>
      </c>
      <c r="T738" t="s">
        <v>30</v>
      </c>
      <c r="U738">
        <v>3</v>
      </c>
      <c r="W738" t="s">
        <v>1650</v>
      </c>
      <c r="X738" t="s">
        <v>1655</v>
      </c>
      <c r="Y738" t="s">
        <v>1661</v>
      </c>
      <c r="Z738">
        <v>0</v>
      </c>
    </row>
    <row r="739" spans="1:26" x14ac:dyDescent="0.35">
      <c r="A739" t="s">
        <v>1367</v>
      </c>
      <c r="B739" s="6">
        <v>43523</v>
      </c>
      <c r="C739" t="s">
        <v>23</v>
      </c>
      <c r="D739">
        <v>32</v>
      </c>
      <c r="E739" t="s">
        <v>62</v>
      </c>
      <c r="F739" t="s">
        <v>42</v>
      </c>
      <c r="G739" t="s">
        <v>58</v>
      </c>
      <c r="H739" t="s">
        <v>55</v>
      </c>
      <c r="I739" t="s">
        <v>56</v>
      </c>
      <c r="J739" t="s">
        <v>1633</v>
      </c>
      <c r="K739" t="s">
        <v>66</v>
      </c>
      <c r="L739">
        <v>47000</v>
      </c>
      <c r="M739">
        <v>13.8</v>
      </c>
      <c r="N739">
        <v>9</v>
      </c>
      <c r="O739">
        <v>6.8</v>
      </c>
      <c r="P739">
        <v>4.9000000000000004</v>
      </c>
      <c r="Q739">
        <v>3</v>
      </c>
      <c r="R739">
        <v>4</v>
      </c>
      <c r="S739">
        <v>3</v>
      </c>
      <c r="T739" t="s">
        <v>30</v>
      </c>
      <c r="U739">
        <v>3</v>
      </c>
      <c r="W739" t="s">
        <v>1650</v>
      </c>
      <c r="X739" t="s">
        <v>1656</v>
      </c>
      <c r="Y739" t="s">
        <v>1662</v>
      </c>
      <c r="Z739">
        <v>0</v>
      </c>
    </row>
    <row r="740" spans="1:26" x14ac:dyDescent="0.35">
      <c r="A740" t="s">
        <v>541</v>
      </c>
      <c r="B740" s="6">
        <v>45262</v>
      </c>
      <c r="C740" t="s">
        <v>23</v>
      </c>
      <c r="D740">
        <v>36</v>
      </c>
      <c r="E740" t="s">
        <v>62</v>
      </c>
      <c r="F740" t="s">
        <v>25</v>
      </c>
      <c r="G740" t="s">
        <v>58</v>
      </c>
      <c r="H740" t="s">
        <v>27</v>
      </c>
      <c r="I740" t="s">
        <v>95</v>
      </c>
      <c r="J740" t="s">
        <v>1632</v>
      </c>
      <c r="K740" t="s">
        <v>29</v>
      </c>
      <c r="L740">
        <v>46000</v>
      </c>
      <c r="M740">
        <v>5.2</v>
      </c>
      <c r="N740">
        <v>2.9</v>
      </c>
      <c r="O740">
        <v>2.1</v>
      </c>
      <c r="P740">
        <v>1.7</v>
      </c>
      <c r="Q740">
        <v>3</v>
      </c>
      <c r="R740">
        <v>3</v>
      </c>
      <c r="S740">
        <v>4</v>
      </c>
      <c r="T740" t="s">
        <v>23</v>
      </c>
      <c r="U740">
        <v>3</v>
      </c>
      <c r="W740" t="s">
        <v>1649</v>
      </c>
      <c r="X740" t="s">
        <v>1656</v>
      </c>
      <c r="Y740" t="s">
        <v>1665</v>
      </c>
      <c r="Z740">
        <v>0</v>
      </c>
    </row>
    <row r="741" spans="1:26" x14ac:dyDescent="0.35">
      <c r="A741" t="s">
        <v>1386</v>
      </c>
      <c r="B741" s="6">
        <v>45902</v>
      </c>
      <c r="C741" t="s">
        <v>23</v>
      </c>
      <c r="D741">
        <v>40</v>
      </c>
      <c r="E741" t="s">
        <v>24</v>
      </c>
      <c r="F741" t="s">
        <v>37</v>
      </c>
      <c r="G741" t="s">
        <v>54</v>
      </c>
      <c r="H741" t="s">
        <v>1634</v>
      </c>
      <c r="I741" t="s">
        <v>60</v>
      </c>
      <c r="J741" t="s">
        <v>1633</v>
      </c>
      <c r="K741" t="s">
        <v>34</v>
      </c>
      <c r="L741">
        <v>50000</v>
      </c>
      <c r="M741">
        <v>13.5</v>
      </c>
      <c r="N741">
        <v>5.2</v>
      </c>
      <c r="O741">
        <v>0.3</v>
      </c>
      <c r="P741">
        <v>0</v>
      </c>
      <c r="Q741">
        <v>2</v>
      </c>
      <c r="R741">
        <v>3</v>
      </c>
      <c r="S741">
        <v>1</v>
      </c>
      <c r="T741" t="s">
        <v>30</v>
      </c>
      <c r="U741">
        <v>2</v>
      </c>
      <c r="W741" t="s">
        <v>1649</v>
      </c>
      <c r="X741" t="s">
        <v>1656</v>
      </c>
      <c r="Y741" t="s">
        <v>1664</v>
      </c>
      <c r="Z741">
        <v>0</v>
      </c>
    </row>
    <row r="742" spans="1:26" x14ac:dyDescent="0.35">
      <c r="A742" t="s">
        <v>1561</v>
      </c>
      <c r="B742" s="6">
        <v>45112</v>
      </c>
      <c r="C742" t="s">
        <v>23</v>
      </c>
      <c r="D742">
        <v>27</v>
      </c>
      <c r="E742" t="s">
        <v>62</v>
      </c>
      <c r="F742" t="s">
        <v>37</v>
      </c>
      <c r="G742" t="s">
        <v>32</v>
      </c>
      <c r="H742" t="s">
        <v>45</v>
      </c>
      <c r="I742" t="s">
        <v>46</v>
      </c>
      <c r="J742" t="s">
        <v>1632</v>
      </c>
      <c r="K742" t="s">
        <v>40</v>
      </c>
      <c r="L742">
        <v>26000</v>
      </c>
      <c r="M742">
        <v>6.9</v>
      </c>
      <c r="N742">
        <v>5.5</v>
      </c>
      <c r="O742">
        <v>2.5</v>
      </c>
      <c r="P742">
        <v>1</v>
      </c>
      <c r="Q742">
        <v>2</v>
      </c>
      <c r="R742">
        <v>3</v>
      </c>
      <c r="S742">
        <v>3</v>
      </c>
      <c r="T742" t="s">
        <v>23</v>
      </c>
      <c r="U742">
        <v>4</v>
      </c>
      <c r="W742" t="s">
        <v>1650</v>
      </c>
      <c r="X742" t="s">
        <v>1655</v>
      </c>
      <c r="Y742" t="s">
        <v>1665</v>
      </c>
      <c r="Z742">
        <v>0</v>
      </c>
    </row>
    <row r="743" spans="1:26" x14ac:dyDescent="0.35">
      <c r="A743" t="s">
        <v>1563</v>
      </c>
      <c r="B743" s="6">
        <v>42324</v>
      </c>
      <c r="C743" t="s">
        <v>23</v>
      </c>
      <c r="D743">
        <v>42</v>
      </c>
      <c r="E743" t="s">
        <v>36</v>
      </c>
      <c r="F743" t="s">
        <v>42</v>
      </c>
      <c r="G743" t="s">
        <v>58</v>
      </c>
      <c r="H743" t="s">
        <v>45</v>
      </c>
      <c r="I743" t="s">
        <v>77</v>
      </c>
      <c r="J743" t="s">
        <v>1635</v>
      </c>
      <c r="K743" t="s">
        <v>29</v>
      </c>
      <c r="L743">
        <v>70000</v>
      </c>
      <c r="M743">
        <v>10.4</v>
      </c>
      <c r="N743">
        <v>15.6</v>
      </c>
      <c r="O743">
        <v>10.1</v>
      </c>
      <c r="P743">
        <v>3.3</v>
      </c>
      <c r="Q743">
        <v>3</v>
      </c>
      <c r="R743">
        <v>3</v>
      </c>
      <c r="S743">
        <v>3</v>
      </c>
      <c r="T743" t="s">
        <v>23</v>
      </c>
      <c r="U743">
        <v>1</v>
      </c>
      <c r="W743" t="s">
        <v>1649</v>
      </c>
      <c r="X743" t="s">
        <v>1659</v>
      </c>
      <c r="Y743" t="s">
        <v>1663</v>
      </c>
      <c r="Z743">
        <v>0</v>
      </c>
    </row>
    <row r="744" spans="1:26" x14ac:dyDescent="0.35">
      <c r="A744" t="s">
        <v>408</v>
      </c>
      <c r="B744" s="6">
        <v>45755</v>
      </c>
      <c r="C744" t="s">
        <v>30</v>
      </c>
      <c r="D744">
        <v>21</v>
      </c>
      <c r="E744" t="s">
        <v>24</v>
      </c>
      <c r="F744" t="s">
        <v>25</v>
      </c>
      <c r="G744" t="s">
        <v>58</v>
      </c>
      <c r="H744" t="s">
        <v>48</v>
      </c>
      <c r="I744" t="s">
        <v>49</v>
      </c>
      <c r="J744" t="s">
        <v>1632</v>
      </c>
      <c r="K744" t="s">
        <v>84</v>
      </c>
      <c r="L744">
        <v>37000</v>
      </c>
      <c r="M744">
        <v>1.4</v>
      </c>
      <c r="N744">
        <v>1.9</v>
      </c>
      <c r="O744">
        <v>0.4</v>
      </c>
      <c r="P744">
        <v>0</v>
      </c>
      <c r="Q744">
        <v>4</v>
      </c>
      <c r="R744">
        <v>1</v>
      </c>
      <c r="S744">
        <v>3</v>
      </c>
      <c r="T744" t="s">
        <v>23</v>
      </c>
      <c r="U744">
        <v>4</v>
      </c>
      <c r="V744" s="7">
        <v>45910</v>
      </c>
      <c r="W744" t="s">
        <v>1651</v>
      </c>
      <c r="X744" t="s">
        <v>1655</v>
      </c>
      <c r="Y744" t="s">
        <v>1664</v>
      </c>
      <c r="Z744">
        <v>1</v>
      </c>
    </row>
    <row r="745" spans="1:26" x14ac:dyDescent="0.35">
      <c r="A745" t="s">
        <v>1312</v>
      </c>
      <c r="B745" s="6">
        <v>45010</v>
      </c>
      <c r="C745" t="s">
        <v>23</v>
      </c>
      <c r="D745">
        <v>23</v>
      </c>
      <c r="E745" t="s">
        <v>36</v>
      </c>
      <c r="F745" t="s">
        <v>1638</v>
      </c>
      <c r="G745" t="s">
        <v>26</v>
      </c>
      <c r="H745" t="s">
        <v>38</v>
      </c>
      <c r="I745" t="s">
        <v>39</v>
      </c>
      <c r="J745" t="s">
        <v>1632</v>
      </c>
      <c r="K745" t="s">
        <v>66</v>
      </c>
      <c r="L745">
        <v>56000</v>
      </c>
      <c r="M745">
        <v>12.6</v>
      </c>
      <c r="N745">
        <v>7.9</v>
      </c>
      <c r="O745">
        <v>2.8</v>
      </c>
      <c r="P745">
        <v>1.8</v>
      </c>
      <c r="Q745">
        <v>1</v>
      </c>
      <c r="R745">
        <v>3</v>
      </c>
      <c r="S745">
        <v>4</v>
      </c>
      <c r="T745" t="s">
        <v>23</v>
      </c>
      <c r="U745">
        <v>4</v>
      </c>
      <c r="W745" t="s">
        <v>1651</v>
      </c>
      <c r="X745" t="s">
        <v>1656</v>
      </c>
      <c r="Y745" t="s">
        <v>1665</v>
      </c>
      <c r="Z745">
        <v>0</v>
      </c>
    </row>
    <row r="746" spans="1:26" x14ac:dyDescent="0.35">
      <c r="A746" t="s">
        <v>1160</v>
      </c>
      <c r="B746" s="6">
        <v>41949</v>
      </c>
      <c r="C746" t="s">
        <v>23</v>
      </c>
      <c r="D746">
        <v>42</v>
      </c>
      <c r="E746" t="s">
        <v>24</v>
      </c>
      <c r="F746" t="s">
        <v>25</v>
      </c>
      <c r="G746" t="s">
        <v>32</v>
      </c>
      <c r="H746" t="s">
        <v>1634</v>
      </c>
      <c r="I746" t="s">
        <v>75</v>
      </c>
      <c r="J746" t="s">
        <v>1636</v>
      </c>
      <c r="K746" t="s">
        <v>29</v>
      </c>
      <c r="L746">
        <v>100000</v>
      </c>
      <c r="M746">
        <v>11.2</v>
      </c>
      <c r="N746">
        <v>14.9</v>
      </c>
      <c r="O746">
        <v>11.2</v>
      </c>
      <c r="P746">
        <v>5.2</v>
      </c>
      <c r="Q746">
        <v>3</v>
      </c>
      <c r="R746">
        <v>4</v>
      </c>
      <c r="S746">
        <v>4</v>
      </c>
      <c r="T746" t="s">
        <v>23</v>
      </c>
      <c r="U746">
        <v>1</v>
      </c>
      <c r="W746" t="s">
        <v>1649</v>
      </c>
      <c r="X746" t="s">
        <v>1658</v>
      </c>
      <c r="Y746" t="s">
        <v>1663</v>
      </c>
      <c r="Z746">
        <v>0</v>
      </c>
    </row>
    <row r="747" spans="1:26" x14ac:dyDescent="0.35">
      <c r="A747" t="s">
        <v>1049</v>
      </c>
      <c r="B747" s="6">
        <v>45350</v>
      </c>
      <c r="C747" t="s">
        <v>30</v>
      </c>
      <c r="D747">
        <v>35</v>
      </c>
      <c r="E747" t="s">
        <v>62</v>
      </c>
      <c r="F747" t="s">
        <v>25</v>
      </c>
      <c r="G747" t="s">
        <v>26</v>
      </c>
      <c r="H747" t="s">
        <v>45</v>
      </c>
      <c r="I747" t="s">
        <v>97</v>
      </c>
      <c r="J747" t="s">
        <v>1636</v>
      </c>
      <c r="K747" t="s">
        <v>84</v>
      </c>
      <c r="L747">
        <v>115000</v>
      </c>
      <c r="M747">
        <v>11.9</v>
      </c>
      <c r="N747">
        <v>7.4</v>
      </c>
      <c r="O747">
        <v>1.7</v>
      </c>
      <c r="P747">
        <v>0.5</v>
      </c>
      <c r="Q747">
        <v>4</v>
      </c>
      <c r="R747">
        <v>4</v>
      </c>
      <c r="S747">
        <v>3</v>
      </c>
      <c r="T747" t="s">
        <v>23</v>
      </c>
      <c r="U747">
        <v>4</v>
      </c>
      <c r="V747" s="7">
        <v>45984</v>
      </c>
      <c r="W747" t="s">
        <v>1650</v>
      </c>
      <c r="X747" t="s">
        <v>1658</v>
      </c>
      <c r="Y747" t="s">
        <v>1665</v>
      </c>
      <c r="Z747">
        <v>1</v>
      </c>
    </row>
    <row r="748" spans="1:26" x14ac:dyDescent="0.35">
      <c r="A748" t="s">
        <v>978</v>
      </c>
      <c r="B748" s="6">
        <v>45683</v>
      </c>
      <c r="C748" t="s">
        <v>23</v>
      </c>
      <c r="D748">
        <v>21</v>
      </c>
      <c r="E748" t="s">
        <v>24</v>
      </c>
      <c r="F748" t="s">
        <v>37</v>
      </c>
      <c r="G748" t="s">
        <v>32</v>
      </c>
      <c r="H748" t="s">
        <v>1634</v>
      </c>
      <c r="I748" t="s">
        <v>150</v>
      </c>
      <c r="J748" t="s">
        <v>1632</v>
      </c>
      <c r="K748" t="s">
        <v>66</v>
      </c>
      <c r="L748">
        <v>24000</v>
      </c>
      <c r="M748">
        <v>8.5</v>
      </c>
      <c r="N748">
        <v>3.9</v>
      </c>
      <c r="O748">
        <v>0.9</v>
      </c>
      <c r="P748">
        <v>0</v>
      </c>
      <c r="Q748">
        <v>4</v>
      </c>
      <c r="R748">
        <v>3</v>
      </c>
      <c r="S748">
        <v>3</v>
      </c>
      <c r="T748" t="s">
        <v>30</v>
      </c>
      <c r="U748">
        <v>4</v>
      </c>
      <c r="W748" t="s">
        <v>1651</v>
      </c>
      <c r="X748" t="s">
        <v>1655</v>
      </c>
      <c r="Y748" t="s">
        <v>1664</v>
      </c>
      <c r="Z748">
        <v>0</v>
      </c>
    </row>
    <row r="749" spans="1:26" x14ac:dyDescent="0.35">
      <c r="A749" t="s">
        <v>1194</v>
      </c>
      <c r="B749" s="6">
        <v>45769</v>
      </c>
      <c r="C749" t="s">
        <v>23</v>
      </c>
      <c r="D749">
        <v>25</v>
      </c>
      <c r="E749" t="s">
        <v>36</v>
      </c>
      <c r="F749" t="s">
        <v>25</v>
      </c>
      <c r="G749" t="s">
        <v>58</v>
      </c>
      <c r="H749" t="s">
        <v>55</v>
      </c>
      <c r="I749" t="s">
        <v>88</v>
      </c>
      <c r="J749" t="s">
        <v>1632</v>
      </c>
      <c r="K749" t="s">
        <v>50</v>
      </c>
      <c r="L749">
        <v>61000</v>
      </c>
      <c r="M749">
        <v>15.1</v>
      </c>
      <c r="N749">
        <v>4.7</v>
      </c>
      <c r="O749">
        <v>0.7</v>
      </c>
      <c r="P749">
        <v>0</v>
      </c>
      <c r="Q749">
        <v>3</v>
      </c>
      <c r="R749">
        <v>4</v>
      </c>
      <c r="S749">
        <v>4</v>
      </c>
      <c r="T749" t="s">
        <v>23</v>
      </c>
      <c r="U749">
        <v>1</v>
      </c>
      <c r="W749" t="s">
        <v>1651</v>
      </c>
      <c r="X749" t="s">
        <v>1659</v>
      </c>
      <c r="Y749" t="s">
        <v>1664</v>
      </c>
      <c r="Z749">
        <v>0</v>
      </c>
    </row>
    <row r="750" spans="1:26" x14ac:dyDescent="0.35">
      <c r="A750" t="s">
        <v>1509</v>
      </c>
      <c r="B750" s="6">
        <v>42937</v>
      </c>
      <c r="C750" t="s">
        <v>30</v>
      </c>
      <c r="D750">
        <v>34</v>
      </c>
      <c r="E750" t="s">
        <v>24</v>
      </c>
      <c r="F750" t="s">
        <v>37</v>
      </c>
      <c r="G750" t="s">
        <v>32</v>
      </c>
      <c r="H750" t="s">
        <v>68</v>
      </c>
      <c r="I750" t="s">
        <v>121</v>
      </c>
      <c r="J750" t="s">
        <v>1635</v>
      </c>
      <c r="K750" t="s">
        <v>29</v>
      </c>
      <c r="L750">
        <v>75000</v>
      </c>
      <c r="M750">
        <v>5.2</v>
      </c>
      <c r="N750">
        <v>9</v>
      </c>
      <c r="O750">
        <v>7.6</v>
      </c>
      <c r="P750">
        <v>0.5</v>
      </c>
      <c r="Q750">
        <v>3</v>
      </c>
      <c r="R750">
        <v>3</v>
      </c>
      <c r="S750">
        <v>3</v>
      </c>
      <c r="T750" t="s">
        <v>23</v>
      </c>
      <c r="U750">
        <v>1</v>
      </c>
      <c r="V750" s="7">
        <v>45704</v>
      </c>
      <c r="W750" t="s">
        <v>1650</v>
      </c>
      <c r="X750" t="s">
        <v>1659</v>
      </c>
      <c r="Y750" t="s">
        <v>1662</v>
      </c>
      <c r="Z750">
        <v>1</v>
      </c>
    </row>
    <row r="751" spans="1:26" x14ac:dyDescent="0.35">
      <c r="A751" t="s">
        <v>1313</v>
      </c>
      <c r="B751" s="6">
        <v>42818</v>
      </c>
      <c r="C751" t="s">
        <v>23</v>
      </c>
      <c r="D751">
        <v>35</v>
      </c>
      <c r="E751" t="s">
        <v>62</v>
      </c>
      <c r="F751" t="s">
        <v>42</v>
      </c>
      <c r="G751" t="s">
        <v>32</v>
      </c>
      <c r="H751" t="s">
        <v>68</v>
      </c>
      <c r="I751" t="s">
        <v>121</v>
      </c>
      <c r="J751" t="s">
        <v>1632</v>
      </c>
      <c r="K751" t="s">
        <v>84</v>
      </c>
      <c r="L751">
        <v>22000</v>
      </c>
      <c r="M751">
        <v>10.3</v>
      </c>
      <c r="N751">
        <v>16</v>
      </c>
      <c r="O751">
        <v>8.8000000000000007</v>
      </c>
      <c r="P751">
        <v>1.1000000000000001</v>
      </c>
      <c r="Q751">
        <v>4</v>
      </c>
      <c r="R751">
        <v>4</v>
      </c>
      <c r="S751">
        <v>2</v>
      </c>
      <c r="T751" t="s">
        <v>30</v>
      </c>
      <c r="U751">
        <v>2</v>
      </c>
      <c r="W751" t="s">
        <v>1650</v>
      </c>
      <c r="X751" t="s">
        <v>1655</v>
      </c>
      <c r="Y751" t="s">
        <v>1662</v>
      </c>
      <c r="Z751">
        <v>0</v>
      </c>
    </row>
    <row r="752" spans="1:26" x14ac:dyDescent="0.35">
      <c r="A752" t="s">
        <v>1562</v>
      </c>
      <c r="B752" s="6">
        <v>45807</v>
      </c>
      <c r="C752" t="s">
        <v>30</v>
      </c>
      <c r="D752">
        <v>21</v>
      </c>
      <c r="E752" t="s">
        <v>62</v>
      </c>
      <c r="F752" t="s">
        <v>25</v>
      </c>
      <c r="G752" t="s">
        <v>54</v>
      </c>
      <c r="H752" t="s">
        <v>55</v>
      </c>
      <c r="I752" t="s">
        <v>88</v>
      </c>
      <c r="J752" t="s">
        <v>1632</v>
      </c>
      <c r="K752" t="s">
        <v>29</v>
      </c>
      <c r="L752">
        <v>31000</v>
      </c>
      <c r="M752">
        <v>7.3</v>
      </c>
      <c r="N752">
        <v>2.4</v>
      </c>
      <c r="O752">
        <v>0.4</v>
      </c>
      <c r="P752">
        <v>0</v>
      </c>
      <c r="Q752">
        <v>3</v>
      </c>
      <c r="R752">
        <v>2</v>
      </c>
      <c r="S752">
        <v>3</v>
      </c>
      <c r="T752" t="s">
        <v>23</v>
      </c>
      <c r="U752">
        <v>3</v>
      </c>
      <c r="V752" s="7">
        <v>45942</v>
      </c>
      <c r="W752" t="s">
        <v>1651</v>
      </c>
      <c r="X752" t="s">
        <v>1655</v>
      </c>
      <c r="Y752" t="s">
        <v>1664</v>
      </c>
      <c r="Z752">
        <v>1</v>
      </c>
    </row>
    <row r="753" spans="1:26" x14ac:dyDescent="0.35">
      <c r="A753" t="s">
        <v>1201</v>
      </c>
      <c r="B753" s="6">
        <v>42346</v>
      </c>
      <c r="C753" t="s">
        <v>23</v>
      </c>
      <c r="D753">
        <v>37</v>
      </c>
      <c r="E753" t="s">
        <v>62</v>
      </c>
      <c r="F753" t="s">
        <v>25</v>
      </c>
      <c r="G753" t="s">
        <v>58</v>
      </c>
      <c r="H753" t="s">
        <v>45</v>
      </c>
      <c r="I753" t="s">
        <v>97</v>
      </c>
      <c r="J753" t="s">
        <v>1632</v>
      </c>
      <c r="K753" t="s">
        <v>50</v>
      </c>
      <c r="L753">
        <v>22000</v>
      </c>
      <c r="M753">
        <v>10.9</v>
      </c>
      <c r="N753">
        <v>15.7</v>
      </c>
      <c r="O753">
        <v>10.1</v>
      </c>
      <c r="P753">
        <v>2.1</v>
      </c>
      <c r="Q753">
        <v>3</v>
      </c>
      <c r="R753">
        <v>4</v>
      </c>
      <c r="S753">
        <v>4</v>
      </c>
      <c r="T753" t="s">
        <v>23</v>
      </c>
      <c r="U753">
        <v>3</v>
      </c>
      <c r="W753" t="s">
        <v>1649</v>
      </c>
      <c r="X753" t="s">
        <v>1655</v>
      </c>
      <c r="Y753" t="s">
        <v>1663</v>
      </c>
      <c r="Z753">
        <v>0</v>
      </c>
    </row>
    <row r="754" spans="1:26" x14ac:dyDescent="0.35">
      <c r="A754" t="s">
        <v>174</v>
      </c>
      <c r="B754" s="6">
        <v>43914</v>
      </c>
      <c r="C754" t="s">
        <v>23</v>
      </c>
      <c r="D754">
        <v>41</v>
      </c>
      <c r="E754" t="s">
        <v>62</v>
      </c>
      <c r="F754" t="s">
        <v>37</v>
      </c>
      <c r="G754" t="s">
        <v>58</v>
      </c>
      <c r="H754" t="s">
        <v>27</v>
      </c>
      <c r="I754" t="s">
        <v>95</v>
      </c>
      <c r="J754" t="s">
        <v>1633</v>
      </c>
      <c r="K754" t="s">
        <v>29</v>
      </c>
      <c r="L754">
        <v>46000</v>
      </c>
      <c r="M754">
        <v>8.6</v>
      </c>
      <c r="N754">
        <v>7.3</v>
      </c>
      <c r="O754">
        <v>5.8</v>
      </c>
      <c r="P754">
        <v>0.8</v>
      </c>
      <c r="Q754">
        <v>2</v>
      </c>
      <c r="R754">
        <v>3</v>
      </c>
      <c r="S754">
        <v>3</v>
      </c>
      <c r="T754" t="s">
        <v>30</v>
      </c>
      <c r="U754">
        <v>3</v>
      </c>
      <c r="W754" t="s">
        <v>1649</v>
      </c>
      <c r="X754" t="s">
        <v>1656</v>
      </c>
      <c r="Y754" t="s">
        <v>1661</v>
      </c>
      <c r="Z754">
        <v>0</v>
      </c>
    </row>
    <row r="755" spans="1:26" x14ac:dyDescent="0.35">
      <c r="A755" t="s">
        <v>1204</v>
      </c>
      <c r="B755" s="6">
        <v>44738</v>
      </c>
      <c r="C755" t="s">
        <v>23</v>
      </c>
      <c r="D755">
        <v>24</v>
      </c>
      <c r="E755" t="s">
        <v>24</v>
      </c>
      <c r="F755" t="s">
        <v>37</v>
      </c>
      <c r="G755" t="s">
        <v>54</v>
      </c>
      <c r="H755" t="s">
        <v>38</v>
      </c>
      <c r="I755" t="s">
        <v>39</v>
      </c>
      <c r="J755" t="s">
        <v>1632</v>
      </c>
      <c r="K755" t="s">
        <v>66</v>
      </c>
      <c r="L755">
        <v>25000</v>
      </c>
      <c r="M755">
        <v>6.7</v>
      </c>
      <c r="N755">
        <v>8.6999999999999993</v>
      </c>
      <c r="O755">
        <v>3.5</v>
      </c>
      <c r="P755">
        <v>0.4</v>
      </c>
      <c r="Q755">
        <v>3</v>
      </c>
      <c r="R755">
        <v>4</v>
      </c>
      <c r="S755">
        <v>3</v>
      </c>
      <c r="T755" t="s">
        <v>30</v>
      </c>
      <c r="U755">
        <v>3</v>
      </c>
      <c r="W755" t="s">
        <v>1651</v>
      </c>
      <c r="X755" t="s">
        <v>1655</v>
      </c>
      <c r="Y755" t="s">
        <v>1661</v>
      </c>
      <c r="Z755">
        <v>0</v>
      </c>
    </row>
    <row r="756" spans="1:26" x14ac:dyDescent="0.35">
      <c r="A756" t="s">
        <v>627</v>
      </c>
      <c r="B756" s="6">
        <v>45459</v>
      </c>
      <c r="C756" t="s">
        <v>23</v>
      </c>
      <c r="D756">
        <v>22</v>
      </c>
      <c r="E756" t="s">
        <v>24</v>
      </c>
      <c r="F756" t="s">
        <v>25</v>
      </c>
      <c r="G756" t="s">
        <v>26</v>
      </c>
      <c r="H756" t="s">
        <v>48</v>
      </c>
      <c r="I756" t="s">
        <v>201</v>
      </c>
      <c r="J756" t="s">
        <v>1632</v>
      </c>
      <c r="K756" t="s">
        <v>34</v>
      </c>
      <c r="L756">
        <v>22000</v>
      </c>
      <c r="M756">
        <v>7.2</v>
      </c>
      <c r="N756">
        <v>6.3</v>
      </c>
      <c r="O756">
        <v>1.5</v>
      </c>
      <c r="P756">
        <v>0.7</v>
      </c>
      <c r="Q756">
        <v>2</v>
      </c>
      <c r="R756">
        <v>3</v>
      </c>
      <c r="S756">
        <v>1</v>
      </c>
      <c r="T756" t="s">
        <v>23</v>
      </c>
      <c r="U756">
        <v>5</v>
      </c>
      <c r="W756" t="s">
        <v>1651</v>
      </c>
      <c r="X756" t="s">
        <v>1655</v>
      </c>
      <c r="Y756" t="s">
        <v>1665</v>
      </c>
      <c r="Z756">
        <v>0</v>
      </c>
    </row>
    <row r="757" spans="1:26" x14ac:dyDescent="0.35">
      <c r="A757" t="s">
        <v>1314</v>
      </c>
      <c r="B757" s="6">
        <v>44200</v>
      </c>
      <c r="C757" t="s">
        <v>23</v>
      </c>
      <c r="D757">
        <v>41</v>
      </c>
      <c r="E757" t="s">
        <v>24</v>
      </c>
      <c r="F757" t="s">
        <v>37</v>
      </c>
      <c r="G757" t="s">
        <v>58</v>
      </c>
      <c r="H757" t="s">
        <v>48</v>
      </c>
      <c r="I757" t="s">
        <v>129</v>
      </c>
      <c r="J757" t="s">
        <v>1637</v>
      </c>
      <c r="K757" t="s">
        <v>50</v>
      </c>
      <c r="L757">
        <v>156000</v>
      </c>
      <c r="M757">
        <v>7.4</v>
      </c>
      <c r="N757">
        <v>12.1</v>
      </c>
      <c r="O757">
        <v>5</v>
      </c>
      <c r="P757">
        <v>4.8</v>
      </c>
      <c r="Q757">
        <v>3</v>
      </c>
      <c r="R757">
        <v>4</v>
      </c>
      <c r="S757">
        <v>2</v>
      </c>
      <c r="T757" t="s">
        <v>30</v>
      </c>
      <c r="U757">
        <v>5</v>
      </c>
      <c r="W757" t="s">
        <v>1649</v>
      </c>
      <c r="X757" t="s">
        <v>1658</v>
      </c>
      <c r="Y757" t="s">
        <v>1661</v>
      </c>
      <c r="Z757">
        <v>0</v>
      </c>
    </row>
    <row r="758" spans="1:26" x14ac:dyDescent="0.35">
      <c r="A758" t="s">
        <v>197</v>
      </c>
      <c r="B758" s="6">
        <v>45710</v>
      </c>
      <c r="C758" t="s">
        <v>23</v>
      </c>
      <c r="D758">
        <v>21</v>
      </c>
      <c r="E758" t="s">
        <v>24</v>
      </c>
      <c r="F758" t="s">
        <v>37</v>
      </c>
      <c r="G758" t="s">
        <v>32</v>
      </c>
      <c r="H758" t="s">
        <v>38</v>
      </c>
      <c r="I758" t="s">
        <v>39</v>
      </c>
      <c r="J758" t="s">
        <v>1632</v>
      </c>
      <c r="K758" t="s">
        <v>34</v>
      </c>
      <c r="L758">
        <v>34000</v>
      </c>
      <c r="M758">
        <v>9.8000000000000007</v>
      </c>
      <c r="N758">
        <v>4.5</v>
      </c>
      <c r="O758">
        <v>0.9</v>
      </c>
      <c r="P758">
        <v>0</v>
      </c>
      <c r="Q758">
        <v>3</v>
      </c>
      <c r="R758">
        <v>2</v>
      </c>
      <c r="S758">
        <v>2</v>
      </c>
      <c r="T758" t="s">
        <v>30</v>
      </c>
      <c r="U758">
        <v>3</v>
      </c>
      <c r="W758" t="s">
        <v>1651</v>
      </c>
      <c r="X758" t="s">
        <v>1655</v>
      </c>
      <c r="Y758" t="s">
        <v>1664</v>
      </c>
      <c r="Z758">
        <v>0</v>
      </c>
    </row>
    <row r="759" spans="1:26" x14ac:dyDescent="0.35">
      <c r="A759" t="s">
        <v>204</v>
      </c>
      <c r="B759" s="6">
        <v>44148</v>
      </c>
      <c r="C759" t="s">
        <v>30</v>
      </c>
      <c r="D759">
        <v>29</v>
      </c>
      <c r="E759" t="s">
        <v>36</v>
      </c>
      <c r="F759" t="s">
        <v>25</v>
      </c>
      <c r="G759" t="s">
        <v>32</v>
      </c>
      <c r="H759" t="s">
        <v>38</v>
      </c>
      <c r="I759" t="s">
        <v>139</v>
      </c>
      <c r="J759" t="s">
        <v>1633</v>
      </c>
      <c r="K759" t="s">
        <v>50</v>
      </c>
      <c r="L759">
        <v>60000</v>
      </c>
      <c r="M759">
        <v>0</v>
      </c>
      <c r="N759">
        <v>8</v>
      </c>
      <c r="O759">
        <v>4.3</v>
      </c>
      <c r="P759">
        <v>3</v>
      </c>
      <c r="Q759">
        <v>1</v>
      </c>
      <c r="R759">
        <v>3</v>
      </c>
      <c r="S759">
        <v>4</v>
      </c>
      <c r="T759" t="s">
        <v>23</v>
      </c>
      <c r="U759">
        <v>4</v>
      </c>
      <c r="V759" s="7">
        <v>45709</v>
      </c>
      <c r="W759" t="s">
        <v>1650</v>
      </c>
      <c r="X759" t="s">
        <v>1659</v>
      </c>
      <c r="Y759" t="s">
        <v>1661</v>
      </c>
      <c r="Z759">
        <v>1</v>
      </c>
    </row>
    <row r="760" spans="1:26" x14ac:dyDescent="0.35">
      <c r="A760" t="s">
        <v>760</v>
      </c>
      <c r="B760" s="6">
        <v>41916</v>
      </c>
      <c r="C760" t="s">
        <v>23</v>
      </c>
      <c r="D760">
        <v>36</v>
      </c>
      <c r="E760" t="s">
        <v>62</v>
      </c>
      <c r="F760" t="s">
        <v>25</v>
      </c>
      <c r="G760" t="s">
        <v>26</v>
      </c>
      <c r="H760" t="s">
        <v>48</v>
      </c>
      <c r="I760" t="s">
        <v>49</v>
      </c>
      <c r="J760" t="s">
        <v>1633</v>
      </c>
      <c r="K760" t="s">
        <v>40</v>
      </c>
      <c r="L760">
        <v>46000</v>
      </c>
      <c r="M760">
        <v>9.1999999999999993</v>
      </c>
      <c r="N760">
        <v>16.600000000000001</v>
      </c>
      <c r="O760">
        <v>11.2</v>
      </c>
      <c r="P760">
        <v>5.2</v>
      </c>
      <c r="Q760">
        <v>3</v>
      </c>
      <c r="R760">
        <v>3</v>
      </c>
      <c r="S760">
        <v>3</v>
      </c>
      <c r="T760" t="s">
        <v>23</v>
      </c>
      <c r="U760">
        <v>3</v>
      </c>
      <c r="W760" t="s">
        <v>1649</v>
      </c>
      <c r="X760" t="s">
        <v>1656</v>
      </c>
      <c r="Y760" t="s">
        <v>1663</v>
      </c>
      <c r="Z760">
        <v>0</v>
      </c>
    </row>
    <row r="761" spans="1:26" x14ac:dyDescent="0.35">
      <c r="A761" t="s">
        <v>505</v>
      </c>
      <c r="B761" s="6">
        <v>44470</v>
      </c>
      <c r="C761" t="s">
        <v>23</v>
      </c>
      <c r="D761">
        <v>31</v>
      </c>
      <c r="E761" t="s">
        <v>24</v>
      </c>
      <c r="F761" t="s">
        <v>42</v>
      </c>
      <c r="G761" t="s">
        <v>54</v>
      </c>
      <c r="H761" t="s">
        <v>27</v>
      </c>
      <c r="I761" t="s">
        <v>95</v>
      </c>
      <c r="J761" t="s">
        <v>1635</v>
      </c>
      <c r="K761" t="s">
        <v>50</v>
      </c>
      <c r="L761">
        <v>75000</v>
      </c>
      <c r="M761">
        <v>5.0999999999999996</v>
      </c>
      <c r="N761">
        <v>10.3</v>
      </c>
      <c r="O761">
        <v>4.2</v>
      </c>
      <c r="P761">
        <v>3.8</v>
      </c>
      <c r="Q761">
        <v>4</v>
      </c>
      <c r="R761">
        <v>3</v>
      </c>
      <c r="S761">
        <v>2</v>
      </c>
      <c r="T761" t="s">
        <v>23</v>
      </c>
      <c r="U761">
        <v>3</v>
      </c>
      <c r="W761" t="s">
        <v>1650</v>
      </c>
      <c r="X761" t="s">
        <v>1659</v>
      </c>
      <c r="Y761" t="s">
        <v>1661</v>
      </c>
      <c r="Z761">
        <v>0</v>
      </c>
    </row>
    <row r="762" spans="1:26" x14ac:dyDescent="0.35">
      <c r="A762" t="s">
        <v>1465</v>
      </c>
      <c r="B762" s="6">
        <v>44094</v>
      </c>
      <c r="C762" t="s">
        <v>23</v>
      </c>
      <c r="D762">
        <v>37</v>
      </c>
      <c r="E762" t="s">
        <v>24</v>
      </c>
      <c r="F762" t="s">
        <v>42</v>
      </c>
      <c r="G762" t="s">
        <v>26</v>
      </c>
      <c r="H762" t="s">
        <v>68</v>
      </c>
      <c r="I762" t="s">
        <v>121</v>
      </c>
      <c r="J762" t="s">
        <v>1635</v>
      </c>
      <c r="K762" t="s">
        <v>84</v>
      </c>
      <c r="L762">
        <v>78000</v>
      </c>
      <c r="M762">
        <v>6.7</v>
      </c>
      <c r="N762">
        <v>5.6</v>
      </c>
      <c r="O762">
        <v>5.3</v>
      </c>
      <c r="P762">
        <v>5.0999999999999996</v>
      </c>
      <c r="Q762">
        <v>3</v>
      </c>
      <c r="R762">
        <v>3</v>
      </c>
      <c r="S762">
        <v>2</v>
      </c>
      <c r="T762" t="s">
        <v>23</v>
      </c>
      <c r="U762">
        <v>4</v>
      </c>
      <c r="W762" t="s">
        <v>1649</v>
      </c>
      <c r="X762" t="s">
        <v>1659</v>
      </c>
      <c r="Y762" t="s">
        <v>1661</v>
      </c>
      <c r="Z762">
        <v>0</v>
      </c>
    </row>
    <row r="763" spans="1:26" x14ac:dyDescent="0.35">
      <c r="A763" t="s">
        <v>1560</v>
      </c>
      <c r="B763" s="6">
        <v>44184</v>
      </c>
      <c r="C763" t="s">
        <v>30</v>
      </c>
      <c r="D763">
        <v>38</v>
      </c>
      <c r="E763" t="s">
        <v>24</v>
      </c>
      <c r="F763" t="s">
        <v>42</v>
      </c>
      <c r="G763" t="s">
        <v>54</v>
      </c>
      <c r="H763" t="s">
        <v>45</v>
      </c>
      <c r="I763" t="s">
        <v>164</v>
      </c>
      <c r="J763" t="s">
        <v>1635</v>
      </c>
      <c r="K763" t="s">
        <v>84</v>
      </c>
      <c r="L763">
        <v>54000</v>
      </c>
      <c r="M763">
        <v>13.6</v>
      </c>
      <c r="N763">
        <v>7.8</v>
      </c>
      <c r="O763">
        <v>4.7</v>
      </c>
      <c r="P763">
        <v>2.1</v>
      </c>
      <c r="Q763">
        <v>2</v>
      </c>
      <c r="R763">
        <v>3</v>
      </c>
      <c r="S763">
        <v>4</v>
      </c>
      <c r="T763" t="s">
        <v>23</v>
      </c>
      <c r="U763">
        <v>3</v>
      </c>
      <c r="V763" s="7">
        <v>45917</v>
      </c>
      <c r="W763" t="s">
        <v>1649</v>
      </c>
      <c r="X763" t="s">
        <v>1656</v>
      </c>
      <c r="Y763" t="s">
        <v>1661</v>
      </c>
      <c r="Z763">
        <v>1</v>
      </c>
    </row>
    <row r="764" spans="1:26" x14ac:dyDescent="0.35">
      <c r="A764" t="s">
        <v>1566</v>
      </c>
      <c r="B764" s="6">
        <v>42484</v>
      </c>
      <c r="C764" t="s">
        <v>23</v>
      </c>
      <c r="D764">
        <v>36</v>
      </c>
      <c r="E764" t="s">
        <v>62</v>
      </c>
      <c r="F764" t="s">
        <v>42</v>
      </c>
      <c r="G764" t="s">
        <v>26</v>
      </c>
      <c r="H764" t="s">
        <v>45</v>
      </c>
      <c r="I764" t="s">
        <v>164</v>
      </c>
      <c r="J764" t="s">
        <v>1635</v>
      </c>
      <c r="K764" t="s">
        <v>40</v>
      </c>
      <c r="L764">
        <v>83000</v>
      </c>
      <c r="M764">
        <v>3.5</v>
      </c>
      <c r="N764">
        <v>12.4</v>
      </c>
      <c r="O764">
        <v>9.6999999999999993</v>
      </c>
      <c r="P764">
        <v>3.2</v>
      </c>
      <c r="Q764">
        <v>3</v>
      </c>
      <c r="S764">
        <v>4</v>
      </c>
      <c r="T764" t="s">
        <v>23</v>
      </c>
      <c r="U764">
        <v>5</v>
      </c>
      <c r="W764" t="s">
        <v>1649</v>
      </c>
      <c r="X764" t="s">
        <v>1657</v>
      </c>
      <c r="Y764" t="s">
        <v>1662</v>
      </c>
      <c r="Z764">
        <v>0</v>
      </c>
    </row>
    <row r="765" spans="1:26" x14ac:dyDescent="0.35">
      <c r="A765" t="s">
        <v>99</v>
      </c>
      <c r="B765" s="6">
        <v>43148</v>
      </c>
      <c r="C765" t="s">
        <v>23</v>
      </c>
      <c r="D765">
        <v>31</v>
      </c>
      <c r="E765" t="s">
        <v>36</v>
      </c>
      <c r="F765" t="s">
        <v>42</v>
      </c>
      <c r="G765" t="s">
        <v>26</v>
      </c>
      <c r="H765" t="s">
        <v>38</v>
      </c>
      <c r="I765" t="s">
        <v>39</v>
      </c>
      <c r="J765" t="s">
        <v>1636</v>
      </c>
      <c r="K765" t="s">
        <v>66</v>
      </c>
      <c r="L765">
        <v>117000</v>
      </c>
      <c r="M765">
        <v>15.9</v>
      </c>
      <c r="N765">
        <v>14.8</v>
      </c>
      <c r="O765">
        <v>7.9</v>
      </c>
      <c r="P765">
        <v>2.6</v>
      </c>
      <c r="Q765">
        <v>3</v>
      </c>
      <c r="R765">
        <v>3</v>
      </c>
      <c r="S765">
        <v>1</v>
      </c>
      <c r="T765" t="s">
        <v>30</v>
      </c>
      <c r="U765">
        <v>4</v>
      </c>
      <c r="W765" t="s">
        <v>1650</v>
      </c>
      <c r="X765" t="s">
        <v>1658</v>
      </c>
      <c r="Y765" t="s">
        <v>1662</v>
      </c>
      <c r="Z765">
        <v>0</v>
      </c>
    </row>
    <row r="766" spans="1:26" x14ac:dyDescent="0.35">
      <c r="A766" t="s">
        <v>715</v>
      </c>
      <c r="B766" s="6">
        <v>44841</v>
      </c>
      <c r="C766" t="s">
        <v>23</v>
      </c>
      <c r="D766">
        <v>29</v>
      </c>
      <c r="E766" t="s">
        <v>62</v>
      </c>
      <c r="F766" t="s">
        <v>37</v>
      </c>
      <c r="G766" t="s">
        <v>58</v>
      </c>
      <c r="H766" t="s">
        <v>45</v>
      </c>
      <c r="I766" t="s">
        <v>77</v>
      </c>
      <c r="J766" t="s">
        <v>1633</v>
      </c>
      <c r="K766" t="s">
        <v>29</v>
      </c>
      <c r="L766">
        <v>51000</v>
      </c>
      <c r="M766">
        <v>4.2</v>
      </c>
      <c r="N766">
        <v>4.7</v>
      </c>
      <c r="O766">
        <v>3.2</v>
      </c>
      <c r="P766">
        <v>1.1000000000000001</v>
      </c>
      <c r="Q766">
        <v>4</v>
      </c>
      <c r="R766">
        <v>1</v>
      </c>
      <c r="S766">
        <v>3</v>
      </c>
      <c r="T766" t="s">
        <v>23</v>
      </c>
      <c r="U766">
        <v>4</v>
      </c>
      <c r="W766" t="s">
        <v>1650</v>
      </c>
      <c r="X766" t="s">
        <v>1656</v>
      </c>
      <c r="Y766" t="s">
        <v>1661</v>
      </c>
      <c r="Z766">
        <v>0</v>
      </c>
    </row>
    <row r="767" spans="1:26" x14ac:dyDescent="0.35">
      <c r="A767" t="s">
        <v>1415</v>
      </c>
      <c r="B767" s="6">
        <v>45554</v>
      </c>
      <c r="C767" t="s">
        <v>23</v>
      </c>
      <c r="D767">
        <v>35</v>
      </c>
      <c r="E767" t="s">
        <v>62</v>
      </c>
      <c r="F767" t="s">
        <v>25</v>
      </c>
      <c r="G767" t="s">
        <v>54</v>
      </c>
      <c r="H767" t="s">
        <v>38</v>
      </c>
      <c r="I767" t="s">
        <v>52</v>
      </c>
      <c r="J767" t="s">
        <v>1633</v>
      </c>
      <c r="K767" t="s">
        <v>50</v>
      </c>
      <c r="L767">
        <v>56000</v>
      </c>
      <c r="M767">
        <v>8.6</v>
      </c>
      <c r="N767">
        <v>4.7</v>
      </c>
      <c r="O767">
        <v>1.3</v>
      </c>
      <c r="P767">
        <v>0.4</v>
      </c>
      <c r="Q767">
        <v>3</v>
      </c>
      <c r="R767">
        <v>4</v>
      </c>
      <c r="S767">
        <v>3</v>
      </c>
      <c r="T767" t="s">
        <v>30</v>
      </c>
      <c r="U767">
        <v>3</v>
      </c>
      <c r="W767" t="s">
        <v>1650</v>
      </c>
      <c r="X767" t="s">
        <v>1656</v>
      </c>
      <c r="Y767" t="s">
        <v>1665</v>
      </c>
      <c r="Z767">
        <v>0</v>
      </c>
    </row>
    <row r="768" spans="1:26" x14ac:dyDescent="0.35">
      <c r="A768" t="s">
        <v>670</v>
      </c>
      <c r="B768" s="6">
        <v>45681</v>
      </c>
      <c r="C768" t="s">
        <v>23</v>
      </c>
      <c r="D768">
        <v>22</v>
      </c>
      <c r="E768" t="s">
        <v>62</v>
      </c>
      <c r="F768" t="s">
        <v>42</v>
      </c>
      <c r="G768" t="s">
        <v>54</v>
      </c>
      <c r="H768" t="s">
        <v>38</v>
      </c>
      <c r="I768" t="s">
        <v>39</v>
      </c>
      <c r="J768" t="s">
        <v>1632</v>
      </c>
      <c r="K768" t="s">
        <v>34</v>
      </c>
      <c r="L768">
        <v>41000</v>
      </c>
      <c r="M768">
        <v>16</v>
      </c>
      <c r="N768">
        <v>8</v>
      </c>
      <c r="O768">
        <v>0.9</v>
      </c>
      <c r="P768">
        <v>0</v>
      </c>
      <c r="Q768">
        <v>4</v>
      </c>
      <c r="R768">
        <v>4</v>
      </c>
      <c r="S768">
        <v>2</v>
      </c>
      <c r="T768" t="s">
        <v>30</v>
      </c>
      <c r="U768">
        <v>5</v>
      </c>
      <c r="W768" t="s">
        <v>1651</v>
      </c>
      <c r="X768" t="s">
        <v>1656</v>
      </c>
      <c r="Y768" t="s">
        <v>1664</v>
      </c>
      <c r="Z768">
        <v>0</v>
      </c>
    </row>
    <row r="769" spans="1:26" x14ac:dyDescent="0.35">
      <c r="A769" t="s">
        <v>992</v>
      </c>
      <c r="B769" s="6">
        <v>44815</v>
      </c>
      <c r="C769" t="s">
        <v>23</v>
      </c>
      <c r="D769">
        <v>35</v>
      </c>
      <c r="E769" t="s">
        <v>62</v>
      </c>
      <c r="F769" t="s">
        <v>25</v>
      </c>
      <c r="G769" t="s">
        <v>32</v>
      </c>
      <c r="H769" t="s">
        <v>38</v>
      </c>
      <c r="I769" t="s">
        <v>139</v>
      </c>
      <c r="J769" t="s">
        <v>1637</v>
      </c>
      <c r="K769" t="s">
        <v>29</v>
      </c>
      <c r="L769">
        <v>179000</v>
      </c>
      <c r="M769">
        <v>3.9</v>
      </c>
      <c r="N769">
        <v>6.8</v>
      </c>
      <c r="O769">
        <v>3.3</v>
      </c>
      <c r="P769">
        <v>0.4</v>
      </c>
      <c r="Q769">
        <v>4</v>
      </c>
      <c r="R769">
        <v>2</v>
      </c>
      <c r="S769">
        <v>3</v>
      </c>
      <c r="T769" t="s">
        <v>23</v>
      </c>
      <c r="U769">
        <v>3</v>
      </c>
      <c r="W769" t="s">
        <v>1650</v>
      </c>
      <c r="X769" t="s">
        <v>1658</v>
      </c>
      <c r="Y769" t="s">
        <v>1661</v>
      </c>
      <c r="Z769">
        <v>0</v>
      </c>
    </row>
    <row r="770" spans="1:26" x14ac:dyDescent="0.35">
      <c r="A770" t="s">
        <v>552</v>
      </c>
      <c r="B770" s="6">
        <v>43892</v>
      </c>
      <c r="C770" t="s">
        <v>23</v>
      </c>
      <c r="D770">
        <v>34</v>
      </c>
      <c r="E770" t="s">
        <v>62</v>
      </c>
      <c r="F770" t="s">
        <v>42</v>
      </c>
      <c r="G770" t="s">
        <v>58</v>
      </c>
      <c r="H770" t="s">
        <v>1634</v>
      </c>
      <c r="I770" t="s">
        <v>75</v>
      </c>
      <c r="J770" t="s">
        <v>1633</v>
      </c>
      <c r="K770" t="s">
        <v>50</v>
      </c>
      <c r="L770">
        <v>66000</v>
      </c>
      <c r="M770">
        <v>6.1</v>
      </c>
      <c r="N770">
        <v>12.1</v>
      </c>
      <c r="O770">
        <v>5.8</v>
      </c>
      <c r="P770">
        <v>1.6</v>
      </c>
      <c r="Q770">
        <v>3</v>
      </c>
      <c r="R770">
        <v>3</v>
      </c>
      <c r="S770">
        <v>3</v>
      </c>
      <c r="T770" t="s">
        <v>23</v>
      </c>
      <c r="U770">
        <v>5</v>
      </c>
      <c r="W770" t="s">
        <v>1650</v>
      </c>
      <c r="X770" t="s">
        <v>1659</v>
      </c>
      <c r="Y770" t="s">
        <v>1661</v>
      </c>
      <c r="Z770">
        <v>0</v>
      </c>
    </row>
    <row r="771" spans="1:26" x14ac:dyDescent="0.35">
      <c r="A771" t="s">
        <v>446</v>
      </c>
      <c r="B771" s="6">
        <v>44142</v>
      </c>
      <c r="C771" t="s">
        <v>23</v>
      </c>
      <c r="D771">
        <v>38</v>
      </c>
      <c r="E771" t="s">
        <v>24</v>
      </c>
      <c r="F771" t="s">
        <v>25</v>
      </c>
      <c r="G771" t="s">
        <v>58</v>
      </c>
      <c r="H771" t="s">
        <v>48</v>
      </c>
      <c r="I771" t="s">
        <v>49</v>
      </c>
      <c r="J771" t="s">
        <v>1632</v>
      </c>
      <c r="K771" t="s">
        <v>29</v>
      </c>
      <c r="L771">
        <v>40000</v>
      </c>
      <c r="M771">
        <v>9.9</v>
      </c>
      <c r="N771">
        <v>13</v>
      </c>
      <c r="O771">
        <v>5.0999999999999996</v>
      </c>
      <c r="P771">
        <v>1.6</v>
      </c>
      <c r="Q771">
        <v>3</v>
      </c>
      <c r="R771">
        <v>2</v>
      </c>
      <c r="S771">
        <v>1</v>
      </c>
      <c r="T771" t="s">
        <v>30</v>
      </c>
      <c r="U771">
        <v>3</v>
      </c>
      <c r="W771" t="s">
        <v>1649</v>
      </c>
      <c r="X771" t="s">
        <v>1656</v>
      </c>
      <c r="Y771" t="s">
        <v>1661</v>
      </c>
      <c r="Z771">
        <v>0</v>
      </c>
    </row>
    <row r="772" spans="1:26" x14ac:dyDescent="0.35">
      <c r="A772" t="s">
        <v>341</v>
      </c>
      <c r="B772" s="6">
        <v>43200</v>
      </c>
      <c r="C772" t="s">
        <v>23</v>
      </c>
      <c r="D772">
        <v>41</v>
      </c>
      <c r="E772" t="s">
        <v>62</v>
      </c>
      <c r="F772" t="s">
        <v>42</v>
      </c>
      <c r="G772" t="s">
        <v>32</v>
      </c>
      <c r="H772" t="s">
        <v>45</v>
      </c>
      <c r="I772" t="s">
        <v>46</v>
      </c>
      <c r="J772" t="s">
        <v>1635</v>
      </c>
      <c r="K772" t="s">
        <v>66</v>
      </c>
      <c r="L772">
        <v>73000</v>
      </c>
      <c r="M772">
        <v>1.1000000000000001</v>
      </c>
      <c r="N772">
        <v>7.8</v>
      </c>
      <c r="O772">
        <v>7.7</v>
      </c>
      <c r="P772">
        <v>2</v>
      </c>
      <c r="Q772">
        <v>3</v>
      </c>
      <c r="R772">
        <v>3</v>
      </c>
      <c r="S772">
        <v>3</v>
      </c>
      <c r="T772" t="s">
        <v>23</v>
      </c>
      <c r="U772">
        <v>3</v>
      </c>
      <c r="W772" t="s">
        <v>1649</v>
      </c>
      <c r="X772" t="s">
        <v>1659</v>
      </c>
      <c r="Y772" t="s">
        <v>1662</v>
      </c>
      <c r="Z772">
        <v>0</v>
      </c>
    </row>
    <row r="773" spans="1:26" x14ac:dyDescent="0.35">
      <c r="A773" t="s">
        <v>435</v>
      </c>
      <c r="B773" s="6">
        <v>44820</v>
      </c>
      <c r="C773" t="s">
        <v>23</v>
      </c>
      <c r="D773">
        <v>32</v>
      </c>
      <c r="E773" t="s">
        <v>36</v>
      </c>
      <c r="F773" t="s">
        <v>42</v>
      </c>
      <c r="G773" t="s">
        <v>58</v>
      </c>
      <c r="H773" t="s">
        <v>45</v>
      </c>
      <c r="I773" t="s">
        <v>97</v>
      </c>
      <c r="J773" t="s">
        <v>1635</v>
      </c>
      <c r="K773" t="s">
        <v>84</v>
      </c>
      <c r="L773">
        <v>75000</v>
      </c>
      <c r="M773">
        <v>8.8000000000000007</v>
      </c>
      <c r="N773">
        <v>8.3000000000000007</v>
      </c>
      <c r="O773">
        <v>3.3</v>
      </c>
      <c r="P773">
        <v>1.9</v>
      </c>
      <c r="Q773">
        <v>4</v>
      </c>
      <c r="R773">
        <v>3</v>
      </c>
      <c r="S773">
        <v>2</v>
      </c>
      <c r="T773" t="s">
        <v>30</v>
      </c>
      <c r="U773">
        <v>5</v>
      </c>
      <c r="W773" t="s">
        <v>1650</v>
      </c>
      <c r="X773" t="s">
        <v>1659</v>
      </c>
      <c r="Y773" t="s">
        <v>1661</v>
      </c>
      <c r="Z773">
        <v>0</v>
      </c>
    </row>
    <row r="774" spans="1:26" x14ac:dyDescent="0.35">
      <c r="A774" t="s">
        <v>1262</v>
      </c>
      <c r="B774" s="6">
        <v>45905</v>
      </c>
      <c r="C774" t="s">
        <v>23</v>
      </c>
      <c r="D774">
        <v>21</v>
      </c>
      <c r="E774" t="s">
        <v>36</v>
      </c>
      <c r="F774" t="s">
        <v>37</v>
      </c>
      <c r="G774" t="s">
        <v>54</v>
      </c>
      <c r="H774" t="s">
        <v>48</v>
      </c>
      <c r="I774" t="s">
        <v>201</v>
      </c>
      <c r="J774" t="s">
        <v>1632</v>
      </c>
      <c r="K774" t="s">
        <v>66</v>
      </c>
      <c r="L774">
        <v>36000</v>
      </c>
      <c r="M774">
        <v>1.7</v>
      </c>
      <c r="N774">
        <v>3.8</v>
      </c>
      <c r="O774">
        <v>0.3</v>
      </c>
      <c r="P774">
        <v>0</v>
      </c>
      <c r="Q774">
        <v>2</v>
      </c>
      <c r="R774">
        <v>1</v>
      </c>
      <c r="S774">
        <v>4</v>
      </c>
      <c r="T774" t="s">
        <v>23</v>
      </c>
      <c r="U774">
        <v>4</v>
      </c>
      <c r="W774" t="s">
        <v>1651</v>
      </c>
      <c r="X774" t="s">
        <v>1655</v>
      </c>
      <c r="Y774" t="s">
        <v>1664</v>
      </c>
      <c r="Z774">
        <v>0</v>
      </c>
    </row>
    <row r="775" spans="1:26" x14ac:dyDescent="0.35">
      <c r="A775" t="s">
        <v>1549</v>
      </c>
      <c r="B775" s="6">
        <v>42282</v>
      </c>
      <c r="C775" t="s">
        <v>23</v>
      </c>
      <c r="D775">
        <v>32</v>
      </c>
      <c r="E775" t="s">
        <v>36</v>
      </c>
      <c r="F775" t="s">
        <v>25</v>
      </c>
      <c r="G775" t="s">
        <v>54</v>
      </c>
      <c r="H775" t="s">
        <v>55</v>
      </c>
      <c r="I775" t="s">
        <v>80</v>
      </c>
      <c r="J775" t="s">
        <v>1635</v>
      </c>
      <c r="K775" t="s">
        <v>84</v>
      </c>
      <c r="L775">
        <v>93000</v>
      </c>
      <c r="M775">
        <v>5.5</v>
      </c>
      <c r="N775">
        <v>14.8</v>
      </c>
      <c r="O775">
        <v>10.199999999999999</v>
      </c>
      <c r="P775">
        <v>1.1000000000000001</v>
      </c>
      <c r="Q775">
        <v>2</v>
      </c>
      <c r="R775">
        <v>2</v>
      </c>
      <c r="S775">
        <v>4</v>
      </c>
      <c r="T775" t="s">
        <v>30</v>
      </c>
      <c r="U775">
        <v>4</v>
      </c>
      <c r="W775" t="s">
        <v>1650</v>
      </c>
      <c r="X775" t="s">
        <v>1657</v>
      </c>
      <c r="Y775" t="s">
        <v>1663</v>
      </c>
      <c r="Z775">
        <v>0</v>
      </c>
    </row>
    <row r="776" spans="1:26" x14ac:dyDescent="0.35">
      <c r="A776" t="s">
        <v>384</v>
      </c>
      <c r="B776" s="6">
        <v>43352</v>
      </c>
      <c r="C776" t="s">
        <v>30</v>
      </c>
      <c r="D776">
        <v>40</v>
      </c>
      <c r="E776" t="s">
        <v>36</v>
      </c>
      <c r="F776" t="s">
        <v>42</v>
      </c>
      <c r="G776" t="s">
        <v>54</v>
      </c>
      <c r="H776" t="s">
        <v>1634</v>
      </c>
      <c r="I776" t="s">
        <v>86</v>
      </c>
      <c r="J776" t="s">
        <v>1633</v>
      </c>
      <c r="K776" t="s">
        <v>84</v>
      </c>
      <c r="L776">
        <v>57000</v>
      </c>
      <c r="M776">
        <v>8.5</v>
      </c>
      <c r="N776">
        <v>15</v>
      </c>
      <c r="O776">
        <v>7.3</v>
      </c>
      <c r="P776">
        <v>4.5999999999999996</v>
      </c>
      <c r="Q776">
        <v>3</v>
      </c>
      <c r="R776">
        <v>3</v>
      </c>
      <c r="S776">
        <v>3</v>
      </c>
      <c r="T776" t="s">
        <v>23</v>
      </c>
      <c r="U776">
        <v>3</v>
      </c>
      <c r="V776" s="7">
        <v>46009</v>
      </c>
      <c r="W776" t="s">
        <v>1649</v>
      </c>
      <c r="X776" t="s">
        <v>1656</v>
      </c>
      <c r="Y776" t="s">
        <v>1662</v>
      </c>
      <c r="Z776">
        <v>1</v>
      </c>
    </row>
    <row r="777" spans="1:26" x14ac:dyDescent="0.35">
      <c r="A777" t="s">
        <v>1051</v>
      </c>
      <c r="B777" s="6">
        <v>43457</v>
      </c>
      <c r="C777" t="s">
        <v>23</v>
      </c>
      <c r="D777">
        <v>28</v>
      </c>
      <c r="E777" t="s">
        <v>36</v>
      </c>
      <c r="F777" t="s">
        <v>42</v>
      </c>
      <c r="G777" t="s">
        <v>54</v>
      </c>
      <c r="H777" t="s">
        <v>1634</v>
      </c>
      <c r="I777" t="s">
        <v>60</v>
      </c>
      <c r="J777" t="s">
        <v>1633</v>
      </c>
      <c r="K777" t="s">
        <v>40</v>
      </c>
      <c r="L777">
        <v>59000</v>
      </c>
      <c r="M777">
        <v>15.6</v>
      </c>
      <c r="N777">
        <v>13.1</v>
      </c>
      <c r="O777">
        <v>7</v>
      </c>
      <c r="P777">
        <v>3.9</v>
      </c>
      <c r="Q777">
        <v>1</v>
      </c>
      <c r="R777">
        <v>3</v>
      </c>
      <c r="S777">
        <v>2</v>
      </c>
      <c r="T777" t="s">
        <v>23</v>
      </c>
      <c r="U777">
        <v>4</v>
      </c>
      <c r="W777" t="s">
        <v>1650</v>
      </c>
      <c r="X777" t="s">
        <v>1656</v>
      </c>
      <c r="Y777" t="s">
        <v>1662</v>
      </c>
      <c r="Z777">
        <v>0</v>
      </c>
    </row>
    <row r="778" spans="1:26" x14ac:dyDescent="0.35">
      <c r="A778" t="s">
        <v>365</v>
      </c>
      <c r="B778" s="6">
        <v>45523</v>
      </c>
      <c r="C778" t="s">
        <v>23</v>
      </c>
      <c r="D778">
        <v>28</v>
      </c>
      <c r="E778" t="s">
        <v>36</v>
      </c>
      <c r="F778" t="s">
        <v>25</v>
      </c>
      <c r="G778" t="s">
        <v>26</v>
      </c>
      <c r="H778" t="s">
        <v>45</v>
      </c>
      <c r="I778" t="s">
        <v>164</v>
      </c>
      <c r="J778" t="s">
        <v>1635</v>
      </c>
      <c r="K778" t="s">
        <v>84</v>
      </c>
      <c r="L778">
        <v>75000</v>
      </c>
      <c r="M778">
        <v>3.8</v>
      </c>
      <c r="N778">
        <v>7.2</v>
      </c>
      <c r="O778">
        <v>1.4</v>
      </c>
      <c r="P778">
        <v>1.3</v>
      </c>
      <c r="Q778">
        <v>4</v>
      </c>
      <c r="R778">
        <v>3</v>
      </c>
      <c r="S778">
        <v>2</v>
      </c>
      <c r="T778" t="s">
        <v>23</v>
      </c>
      <c r="U778">
        <v>4</v>
      </c>
      <c r="W778" t="s">
        <v>1650</v>
      </c>
      <c r="X778" t="s">
        <v>1659</v>
      </c>
      <c r="Y778" t="s">
        <v>1665</v>
      </c>
      <c r="Z778">
        <v>0</v>
      </c>
    </row>
    <row r="779" spans="1:26" x14ac:dyDescent="0.35">
      <c r="A779" t="s">
        <v>968</v>
      </c>
      <c r="B779" s="6">
        <v>42223</v>
      </c>
      <c r="C779" t="s">
        <v>23</v>
      </c>
      <c r="D779">
        <v>36</v>
      </c>
      <c r="E779" t="s">
        <v>36</v>
      </c>
      <c r="F779" t="s">
        <v>37</v>
      </c>
      <c r="G779" t="s">
        <v>26</v>
      </c>
      <c r="H779" t="s">
        <v>38</v>
      </c>
      <c r="I779" t="s">
        <v>52</v>
      </c>
      <c r="J779" t="s">
        <v>1635</v>
      </c>
      <c r="K779" t="s">
        <v>40</v>
      </c>
      <c r="L779">
        <v>70000</v>
      </c>
      <c r="M779">
        <v>4.4000000000000004</v>
      </c>
      <c r="N779">
        <v>17.399999999999999</v>
      </c>
      <c r="O779">
        <v>10.4</v>
      </c>
      <c r="P779">
        <v>1.1000000000000001</v>
      </c>
      <c r="Q779">
        <v>2</v>
      </c>
      <c r="R779">
        <v>4</v>
      </c>
      <c r="S779">
        <v>4</v>
      </c>
      <c r="T779" t="s">
        <v>23</v>
      </c>
      <c r="U779">
        <v>3</v>
      </c>
      <c r="W779" t="s">
        <v>1649</v>
      </c>
      <c r="X779" t="s">
        <v>1659</v>
      </c>
      <c r="Y779" t="s">
        <v>1663</v>
      </c>
      <c r="Z779">
        <v>0</v>
      </c>
    </row>
    <row r="780" spans="1:26" x14ac:dyDescent="0.35">
      <c r="A780" t="s">
        <v>406</v>
      </c>
      <c r="B780" s="6">
        <v>43241</v>
      </c>
      <c r="C780" t="s">
        <v>23</v>
      </c>
      <c r="D780">
        <v>31</v>
      </c>
      <c r="E780" t="s">
        <v>24</v>
      </c>
      <c r="F780" t="s">
        <v>37</v>
      </c>
      <c r="G780" t="s">
        <v>54</v>
      </c>
      <c r="H780" t="s">
        <v>27</v>
      </c>
      <c r="I780" t="s">
        <v>33</v>
      </c>
      <c r="J780" t="s">
        <v>1635</v>
      </c>
      <c r="K780" t="s">
        <v>29</v>
      </c>
      <c r="L780">
        <v>63000</v>
      </c>
      <c r="M780">
        <v>10.6</v>
      </c>
      <c r="N780">
        <v>11.3</v>
      </c>
      <c r="O780">
        <v>7.6</v>
      </c>
      <c r="P780">
        <v>3.8</v>
      </c>
      <c r="Q780">
        <v>2</v>
      </c>
      <c r="R780">
        <v>4</v>
      </c>
      <c r="S780">
        <v>4</v>
      </c>
      <c r="T780" t="s">
        <v>23</v>
      </c>
      <c r="U780">
        <v>5</v>
      </c>
      <c r="W780" t="s">
        <v>1650</v>
      </c>
      <c r="X780" t="s">
        <v>1659</v>
      </c>
      <c r="Y780" t="s">
        <v>1662</v>
      </c>
      <c r="Z780">
        <v>0</v>
      </c>
    </row>
    <row r="781" spans="1:26" x14ac:dyDescent="0.35">
      <c r="A781" t="s">
        <v>1533</v>
      </c>
      <c r="B781" s="6">
        <v>42998</v>
      </c>
      <c r="C781" t="s">
        <v>23</v>
      </c>
      <c r="D781">
        <v>32</v>
      </c>
      <c r="E781" t="s">
        <v>62</v>
      </c>
      <c r="F781" t="s">
        <v>25</v>
      </c>
      <c r="G781" t="s">
        <v>26</v>
      </c>
      <c r="H781" t="s">
        <v>38</v>
      </c>
      <c r="I781" t="s">
        <v>118</v>
      </c>
      <c r="J781" t="s">
        <v>1635</v>
      </c>
      <c r="K781" t="s">
        <v>34</v>
      </c>
      <c r="L781">
        <v>80000</v>
      </c>
      <c r="M781">
        <v>13.2</v>
      </c>
      <c r="N781">
        <v>11.4</v>
      </c>
      <c r="O781">
        <v>8.3000000000000007</v>
      </c>
      <c r="P781">
        <v>4.7</v>
      </c>
      <c r="Q781">
        <v>3</v>
      </c>
      <c r="R781">
        <v>4</v>
      </c>
      <c r="S781">
        <v>4</v>
      </c>
      <c r="T781" t="s">
        <v>23</v>
      </c>
      <c r="U781">
        <v>4</v>
      </c>
      <c r="W781" t="s">
        <v>1650</v>
      </c>
      <c r="X781" t="s">
        <v>1657</v>
      </c>
      <c r="Y781" t="s">
        <v>1662</v>
      </c>
      <c r="Z781">
        <v>0</v>
      </c>
    </row>
    <row r="782" spans="1:26" x14ac:dyDescent="0.35">
      <c r="A782" t="s">
        <v>78</v>
      </c>
      <c r="B782" s="6">
        <v>44501</v>
      </c>
      <c r="C782" t="s">
        <v>23</v>
      </c>
      <c r="D782">
        <v>30</v>
      </c>
      <c r="E782" t="s">
        <v>24</v>
      </c>
      <c r="F782" t="s">
        <v>42</v>
      </c>
      <c r="G782" t="s">
        <v>26</v>
      </c>
      <c r="H782" t="s">
        <v>48</v>
      </c>
      <c r="I782" t="s">
        <v>63</v>
      </c>
      <c r="J782" t="s">
        <v>1633</v>
      </c>
      <c r="K782" t="s">
        <v>29</v>
      </c>
      <c r="L782">
        <v>49000</v>
      </c>
      <c r="M782">
        <v>11</v>
      </c>
      <c r="N782">
        <v>9.9</v>
      </c>
      <c r="O782">
        <v>4.2</v>
      </c>
      <c r="P782">
        <v>2.1</v>
      </c>
      <c r="Q782">
        <v>4</v>
      </c>
      <c r="R782">
        <v>3</v>
      </c>
      <c r="S782">
        <v>3</v>
      </c>
      <c r="T782" t="s">
        <v>23</v>
      </c>
      <c r="U782">
        <v>2</v>
      </c>
      <c r="W782" t="s">
        <v>1650</v>
      </c>
      <c r="X782" t="s">
        <v>1656</v>
      </c>
      <c r="Y782" t="s">
        <v>1661</v>
      </c>
      <c r="Z782">
        <v>0</v>
      </c>
    </row>
    <row r="783" spans="1:26" x14ac:dyDescent="0.35">
      <c r="A783" t="s">
        <v>713</v>
      </c>
      <c r="B783" s="6">
        <v>44461</v>
      </c>
      <c r="C783" t="s">
        <v>23</v>
      </c>
      <c r="D783">
        <v>32</v>
      </c>
      <c r="E783" t="s">
        <v>24</v>
      </c>
      <c r="F783" t="s">
        <v>42</v>
      </c>
      <c r="G783" t="s">
        <v>58</v>
      </c>
      <c r="H783" t="s">
        <v>55</v>
      </c>
      <c r="I783" t="s">
        <v>88</v>
      </c>
      <c r="J783" t="s">
        <v>1633</v>
      </c>
      <c r="K783" t="s">
        <v>84</v>
      </c>
      <c r="L783">
        <v>68000</v>
      </c>
      <c r="M783">
        <v>1.4</v>
      </c>
      <c r="N783">
        <v>5.0999999999999996</v>
      </c>
      <c r="O783">
        <v>4.3</v>
      </c>
      <c r="P783">
        <v>2.8</v>
      </c>
      <c r="Q783">
        <v>4</v>
      </c>
      <c r="R783">
        <v>2</v>
      </c>
      <c r="S783">
        <v>4</v>
      </c>
      <c r="T783" t="s">
        <v>23</v>
      </c>
      <c r="U783">
        <v>3</v>
      </c>
      <c r="W783" t="s">
        <v>1650</v>
      </c>
      <c r="X783" t="s">
        <v>1659</v>
      </c>
      <c r="Y783" t="s">
        <v>1661</v>
      </c>
      <c r="Z783">
        <v>0</v>
      </c>
    </row>
    <row r="784" spans="1:26" x14ac:dyDescent="0.35">
      <c r="A784" t="s">
        <v>1228</v>
      </c>
      <c r="B784" s="6">
        <v>43988</v>
      </c>
      <c r="C784" t="s">
        <v>30</v>
      </c>
      <c r="D784">
        <v>34</v>
      </c>
      <c r="E784" t="s">
        <v>36</v>
      </c>
      <c r="F784" t="s">
        <v>42</v>
      </c>
      <c r="G784" t="s">
        <v>32</v>
      </c>
      <c r="H784" t="s">
        <v>45</v>
      </c>
      <c r="I784" t="s">
        <v>46</v>
      </c>
      <c r="J784" t="s">
        <v>1633</v>
      </c>
      <c r="K784" t="s">
        <v>66</v>
      </c>
      <c r="L784">
        <v>46000</v>
      </c>
      <c r="M784">
        <v>8.6</v>
      </c>
      <c r="N784">
        <v>6</v>
      </c>
      <c r="O784">
        <v>4.8</v>
      </c>
      <c r="P784">
        <v>1.4</v>
      </c>
      <c r="Q784">
        <v>3</v>
      </c>
      <c r="R784">
        <v>2</v>
      </c>
      <c r="S784">
        <v>3</v>
      </c>
      <c r="T784" t="s">
        <v>30</v>
      </c>
      <c r="U784">
        <v>3</v>
      </c>
      <c r="V784" s="7">
        <v>45729</v>
      </c>
      <c r="W784" t="s">
        <v>1650</v>
      </c>
      <c r="X784" t="s">
        <v>1656</v>
      </c>
      <c r="Y784" t="s">
        <v>1661</v>
      </c>
      <c r="Z784">
        <v>1</v>
      </c>
    </row>
    <row r="785" spans="1:26" x14ac:dyDescent="0.35">
      <c r="A785" t="s">
        <v>649</v>
      </c>
      <c r="B785" s="6">
        <v>45791</v>
      </c>
      <c r="C785" t="s">
        <v>23</v>
      </c>
      <c r="D785">
        <v>21</v>
      </c>
      <c r="E785" t="s">
        <v>24</v>
      </c>
      <c r="F785" t="s">
        <v>37</v>
      </c>
      <c r="G785" t="s">
        <v>58</v>
      </c>
      <c r="H785" t="s">
        <v>45</v>
      </c>
      <c r="I785" t="s">
        <v>77</v>
      </c>
      <c r="J785" t="s">
        <v>1632</v>
      </c>
      <c r="K785" t="s">
        <v>40</v>
      </c>
      <c r="L785">
        <v>45000</v>
      </c>
      <c r="M785">
        <v>9.1999999999999993</v>
      </c>
      <c r="N785">
        <v>6.2</v>
      </c>
      <c r="O785">
        <v>0.6</v>
      </c>
      <c r="P785">
        <v>0</v>
      </c>
      <c r="Q785">
        <v>3</v>
      </c>
      <c r="R785">
        <v>3</v>
      </c>
      <c r="S785">
        <v>3</v>
      </c>
      <c r="T785" t="s">
        <v>23</v>
      </c>
      <c r="U785">
        <v>4</v>
      </c>
      <c r="W785" t="s">
        <v>1651</v>
      </c>
      <c r="X785" t="s">
        <v>1656</v>
      </c>
      <c r="Y785" t="s">
        <v>1664</v>
      </c>
      <c r="Z785">
        <v>0</v>
      </c>
    </row>
    <row r="786" spans="1:26" x14ac:dyDescent="0.35">
      <c r="A786" t="s">
        <v>298</v>
      </c>
      <c r="B786" s="6">
        <v>42831</v>
      </c>
      <c r="C786" t="s">
        <v>23</v>
      </c>
      <c r="D786">
        <v>40</v>
      </c>
      <c r="E786" t="s">
        <v>36</v>
      </c>
      <c r="F786" t="s">
        <v>25</v>
      </c>
      <c r="G786" t="s">
        <v>58</v>
      </c>
      <c r="H786" t="s">
        <v>27</v>
      </c>
      <c r="I786" t="s">
        <v>43</v>
      </c>
      <c r="J786" t="s">
        <v>1633</v>
      </c>
      <c r="K786" t="s">
        <v>34</v>
      </c>
      <c r="L786">
        <v>41000</v>
      </c>
      <c r="M786">
        <v>10.9</v>
      </c>
      <c r="N786">
        <v>13.7</v>
      </c>
      <c r="O786">
        <v>8.6999999999999993</v>
      </c>
      <c r="P786">
        <v>1</v>
      </c>
      <c r="Q786">
        <v>4</v>
      </c>
      <c r="R786">
        <v>3</v>
      </c>
      <c r="S786">
        <v>2</v>
      </c>
      <c r="T786" t="s">
        <v>23</v>
      </c>
      <c r="U786">
        <v>4</v>
      </c>
      <c r="W786" t="s">
        <v>1649</v>
      </c>
      <c r="X786" t="s">
        <v>1656</v>
      </c>
      <c r="Y786" t="s">
        <v>1662</v>
      </c>
      <c r="Z786">
        <v>0</v>
      </c>
    </row>
    <row r="787" spans="1:26" x14ac:dyDescent="0.35">
      <c r="A787" t="s">
        <v>1094</v>
      </c>
      <c r="B787" s="6">
        <v>42192</v>
      </c>
      <c r="C787" t="s">
        <v>23</v>
      </c>
      <c r="D787">
        <v>39</v>
      </c>
      <c r="E787" t="s">
        <v>62</v>
      </c>
      <c r="F787" t="s">
        <v>25</v>
      </c>
      <c r="G787" t="s">
        <v>26</v>
      </c>
      <c r="H787" t="s">
        <v>1634</v>
      </c>
      <c r="I787" t="s">
        <v>60</v>
      </c>
      <c r="J787" t="s">
        <v>1635</v>
      </c>
      <c r="K787" t="s">
        <v>29</v>
      </c>
      <c r="L787">
        <v>56000</v>
      </c>
      <c r="M787">
        <v>8.6</v>
      </c>
      <c r="N787">
        <v>15.8</v>
      </c>
      <c r="O787">
        <v>10.5</v>
      </c>
      <c r="P787">
        <v>0.4</v>
      </c>
      <c r="Q787">
        <v>3</v>
      </c>
      <c r="R787">
        <v>2</v>
      </c>
      <c r="S787">
        <v>2</v>
      </c>
      <c r="T787" t="s">
        <v>23</v>
      </c>
      <c r="U787">
        <v>2</v>
      </c>
      <c r="W787" t="s">
        <v>1649</v>
      </c>
      <c r="X787" t="s">
        <v>1656</v>
      </c>
      <c r="Y787" t="s">
        <v>1663</v>
      </c>
      <c r="Z787">
        <v>0</v>
      </c>
    </row>
    <row r="788" spans="1:26" x14ac:dyDescent="0.35">
      <c r="A788" t="s">
        <v>487</v>
      </c>
      <c r="B788" s="6">
        <v>43480</v>
      </c>
      <c r="C788" t="s">
        <v>23</v>
      </c>
      <c r="D788">
        <v>36</v>
      </c>
      <c r="E788" t="s">
        <v>24</v>
      </c>
      <c r="F788" t="s">
        <v>42</v>
      </c>
      <c r="G788" t="s">
        <v>26</v>
      </c>
      <c r="H788" t="s">
        <v>55</v>
      </c>
      <c r="I788" t="s">
        <v>88</v>
      </c>
      <c r="J788" t="s">
        <v>1635</v>
      </c>
      <c r="K788" t="s">
        <v>84</v>
      </c>
      <c r="L788">
        <v>94000</v>
      </c>
      <c r="M788">
        <v>6.2</v>
      </c>
      <c r="N788">
        <v>13.5</v>
      </c>
      <c r="O788">
        <v>7</v>
      </c>
      <c r="P788">
        <v>4.7</v>
      </c>
      <c r="Q788">
        <v>1</v>
      </c>
      <c r="R788">
        <v>4</v>
      </c>
      <c r="S788">
        <v>3</v>
      </c>
      <c r="T788" t="s">
        <v>23</v>
      </c>
      <c r="U788">
        <v>3</v>
      </c>
      <c r="W788" t="s">
        <v>1649</v>
      </c>
      <c r="X788" t="s">
        <v>1657</v>
      </c>
      <c r="Y788" t="s">
        <v>1662</v>
      </c>
      <c r="Z788">
        <v>0</v>
      </c>
    </row>
    <row r="789" spans="1:26" x14ac:dyDescent="0.35">
      <c r="A789" t="s">
        <v>270</v>
      </c>
      <c r="B789" s="6">
        <v>41803</v>
      </c>
      <c r="C789" t="s">
        <v>30</v>
      </c>
      <c r="D789">
        <v>32</v>
      </c>
      <c r="E789" t="s">
        <v>62</v>
      </c>
      <c r="F789" t="s">
        <v>37</v>
      </c>
      <c r="G789" t="s">
        <v>32</v>
      </c>
      <c r="H789" t="s">
        <v>27</v>
      </c>
      <c r="I789" t="s">
        <v>43</v>
      </c>
      <c r="J789" t="s">
        <v>1633</v>
      </c>
      <c r="K789" t="s">
        <v>29</v>
      </c>
      <c r="L789">
        <v>43000</v>
      </c>
      <c r="M789">
        <v>12.4</v>
      </c>
      <c r="N789">
        <v>14.2</v>
      </c>
      <c r="O789">
        <v>10.6</v>
      </c>
      <c r="P789">
        <v>3.1</v>
      </c>
      <c r="Q789">
        <v>3</v>
      </c>
      <c r="R789">
        <v>2</v>
      </c>
      <c r="S789">
        <v>4</v>
      </c>
      <c r="T789" t="s">
        <v>23</v>
      </c>
      <c r="U789">
        <v>3</v>
      </c>
      <c r="V789" s="7">
        <v>45686</v>
      </c>
      <c r="W789" t="s">
        <v>1650</v>
      </c>
      <c r="X789" t="s">
        <v>1656</v>
      </c>
      <c r="Y789" t="s">
        <v>1663</v>
      </c>
      <c r="Z789">
        <v>1</v>
      </c>
    </row>
    <row r="790" spans="1:26" x14ac:dyDescent="0.35">
      <c r="A790" t="s">
        <v>498</v>
      </c>
      <c r="B790" s="6">
        <v>45868</v>
      </c>
      <c r="C790" t="s">
        <v>23</v>
      </c>
      <c r="D790">
        <v>21</v>
      </c>
      <c r="E790" t="s">
        <v>36</v>
      </c>
      <c r="F790" t="s">
        <v>37</v>
      </c>
      <c r="G790" t="s">
        <v>32</v>
      </c>
      <c r="H790" t="s">
        <v>45</v>
      </c>
      <c r="I790" t="s">
        <v>46</v>
      </c>
      <c r="J790" t="s">
        <v>1632</v>
      </c>
      <c r="K790" t="s">
        <v>40</v>
      </c>
      <c r="L790">
        <v>28000</v>
      </c>
      <c r="M790">
        <v>4.8</v>
      </c>
      <c r="N790">
        <v>6.4</v>
      </c>
      <c r="O790">
        <v>0.4</v>
      </c>
      <c r="P790">
        <v>0</v>
      </c>
      <c r="Q790">
        <v>3</v>
      </c>
      <c r="R790">
        <v>4</v>
      </c>
      <c r="S790">
        <v>4</v>
      </c>
      <c r="T790" t="s">
        <v>23</v>
      </c>
      <c r="U790">
        <v>2</v>
      </c>
      <c r="W790" t="s">
        <v>1651</v>
      </c>
      <c r="X790" t="s">
        <v>1655</v>
      </c>
      <c r="Y790" t="s">
        <v>1664</v>
      </c>
      <c r="Z790">
        <v>0</v>
      </c>
    </row>
    <row r="791" spans="1:26" x14ac:dyDescent="0.35">
      <c r="A791" t="s">
        <v>797</v>
      </c>
      <c r="B791" s="6">
        <v>45285</v>
      </c>
      <c r="C791" t="s">
        <v>23</v>
      </c>
      <c r="D791">
        <v>24</v>
      </c>
      <c r="E791" t="s">
        <v>62</v>
      </c>
      <c r="F791" t="s">
        <v>25</v>
      </c>
      <c r="G791" t="s">
        <v>32</v>
      </c>
      <c r="H791" t="s">
        <v>55</v>
      </c>
      <c r="I791" t="s">
        <v>80</v>
      </c>
      <c r="J791" t="s">
        <v>1632</v>
      </c>
      <c r="K791" t="s">
        <v>66</v>
      </c>
      <c r="L791">
        <v>40000</v>
      </c>
      <c r="M791">
        <v>14.3</v>
      </c>
      <c r="N791">
        <v>7.1</v>
      </c>
      <c r="O791">
        <v>2</v>
      </c>
      <c r="P791">
        <v>0.4</v>
      </c>
      <c r="Q791">
        <v>4</v>
      </c>
      <c r="R791">
        <v>2</v>
      </c>
      <c r="S791">
        <v>2</v>
      </c>
      <c r="T791" t="s">
        <v>23</v>
      </c>
      <c r="U791">
        <v>3</v>
      </c>
      <c r="W791" t="s">
        <v>1651</v>
      </c>
      <c r="X791" t="s">
        <v>1656</v>
      </c>
      <c r="Y791" t="s">
        <v>1665</v>
      </c>
      <c r="Z791">
        <v>0</v>
      </c>
    </row>
    <row r="792" spans="1:26" x14ac:dyDescent="0.35">
      <c r="A792" t="s">
        <v>1551</v>
      </c>
      <c r="B792" s="6">
        <v>44064</v>
      </c>
      <c r="C792" t="s">
        <v>23</v>
      </c>
      <c r="D792">
        <v>29</v>
      </c>
      <c r="E792" t="s">
        <v>24</v>
      </c>
      <c r="F792" t="s">
        <v>42</v>
      </c>
      <c r="G792" t="s">
        <v>54</v>
      </c>
      <c r="H792" t="s">
        <v>48</v>
      </c>
      <c r="I792" t="s">
        <v>129</v>
      </c>
      <c r="J792" t="s">
        <v>1635</v>
      </c>
      <c r="K792" t="s">
        <v>66</v>
      </c>
      <c r="L792">
        <v>84000</v>
      </c>
      <c r="M792">
        <v>7.2</v>
      </c>
      <c r="N792">
        <v>11.6</v>
      </c>
      <c r="O792">
        <v>5.4</v>
      </c>
      <c r="P792">
        <v>1.1000000000000001</v>
      </c>
      <c r="Q792">
        <v>2</v>
      </c>
      <c r="R792">
        <v>4</v>
      </c>
      <c r="S792">
        <v>3</v>
      </c>
      <c r="T792" t="s">
        <v>23</v>
      </c>
      <c r="U792">
        <v>3</v>
      </c>
      <c r="W792" t="s">
        <v>1650</v>
      </c>
      <c r="X792" t="s">
        <v>1657</v>
      </c>
      <c r="Y792" t="s">
        <v>1661</v>
      </c>
      <c r="Z792">
        <v>0</v>
      </c>
    </row>
    <row r="793" spans="1:26" x14ac:dyDescent="0.35">
      <c r="A793" t="s">
        <v>307</v>
      </c>
      <c r="B793" s="6">
        <v>44829</v>
      </c>
      <c r="C793" t="s">
        <v>23</v>
      </c>
      <c r="D793">
        <v>25</v>
      </c>
      <c r="E793" t="s">
        <v>62</v>
      </c>
      <c r="F793" t="s">
        <v>42</v>
      </c>
      <c r="G793" t="s">
        <v>54</v>
      </c>
      <c r="H793" t="s">
        <v>68</v>
      </c>
      <c r="I793" t="s">
        <v>121</v>
      </c>
      <c r="J793" t="s">
        <v>1632</v>
      </c>
      <c r="K793" t="s">
        <v>50</v>
      </c>
      <c r="L793">
        <v>22000</v>
      </c>
      <c r="M793">
        <v>7.4</v>
      </c>
      <c r="N793">
        <v>8.4</v>
      </c>
      <c r="O793">
        <v>3.3</v>
      </c>
      <c r="P793">
        <v>0.9</v>
      </c>
      <c r="Q793">
        <v>3</v>
      </c>
      <c r="R793">
        <v>3</v>
      </c>
      <c r="S793">
        <v>3</v>
      </c>
      <c r="T793" t="s">
        <v>23</v>
      </c>
      <c r="U793">
        <v>4</v>
      </c>
      <c r="W793" t="s">
        <v>1651</v>
      </c>
      <c r="X793" t="s">
        <v>1655</v>
      </c>
      <c r="Y793" t="s">
        <v>1661</v>
      </c>
      <c r="Z793">
        <v>0</v>
      </c>
    </row>
    <row r="794" spans="1:26" x14ac:dyDescent="0.35">
      <c r="A794" t="s">
        <v>656</v>
      </c>
      <c r="B794" s="6">
        <v>44549</v>
      </c>
      <c r="C794" t="s">
        <v>23</v>
      </c>
      <c r="D794">
        <v>32</v>
      </c>
      <c r="E794" t="s">
        <v>62</v>
      </c>
      <c r="F794" t="s">
        <v>25</v>
      </c>
      <c r="G794" t="s">
        <v>32</v>
      </c>
      <c r="H794" t="s">
        <v>1634</v>
      </c>
      <c r="I794" t="s">
        <v>86</v>
      </c>
      <c r="J794" t="s">
        <v>1635</v>
      </c>
      <c r="K794" t="s">
        <v>40</v>
      </c>
      <c r="L794">
        <v>71000</v>
      </c>
      <c r="M794">
        <v>5.2</v>
      </c>
      <c r="N794">
        <v>4.5999999999999996</v>
      </c>
      <c r="O794">
        <v>4</v>
      </c>
      <c r="P794">
        <v>1.7</v>
      </c>
      <c r="Q794">
        <v>3</v>
      </c>
      <c r="R794">
        <v>3</v>
      </c>
      <c r="S794">
        <v>4</v>
      </c>
      <c r="T794" t="s">
        <v>23</v>
      </c>
      <c r="U794">
        <v>3</v>
      </c>
      <c r="W794" t="s">
        <v>1650</v>
      </c>
      <c r="X794" t="s">
        <v>1659</v>
      </c>
      <c r="Y794" t="s">
        <v>1661</v>
      </c>
      <c r="Z794">
        <v>0</v>
      </c>
    </row>
    <row r="795" spans="1:26" x14ac:dyDescent="0.35">
      <c r="A795" t="s">
        <v>985</v>
      </c>
      <c r="B795" s="6">
        <v>44882</v>
      </c>
      <c r="C795" t="s">
        <v>23</v>
      </c>
      <c r="D795">
        <v>24</v>
      </c>
      <c r="E795" t="s">
        <v>24</v>
      </c>
      <c r="F795" t="s">
        <v>42</v>
      </c>
      <c r="G795" t="s">
        <v>32</v>
      </c>
      <c r="H795" t="s">
        <v>1634</v>
      </c>
      <c r="I795" t="s">
        <v>75</v>
      </c>
      <c r="J795" t="s">
        <v>1632</v>
      </c>
      <c r="K795" t="s">
        <v>40</v>
      </c>
      <c r="L795">
        <v>40000</v>
      </c>
      <c r="M795">
        <v>5</v>
      </c>
      <c r="N795">
        <v>7.4</v>
      </c>
      <c r="O795">
        <v>3.1</v>
      </c>
      <c r="P795">
        <v>0.3</v>
      </c>
      <c r="Q795">
        <v>3</v>
      </c>
      <c r="R795">
        <v>3</v>
      </c>
      <c r="S795">
        <v>3</v>
      </c>
      <c r="T795" t="s">
        <v>30</v>
      </c>
      <c r="U795">
        <v>4</v>
      </c>
      <c r="W795" t="s">
        <v>1651</v>
      </c>
      <c r="X795" t="s">
        <v>1656</v>
      </c>
      <c r="Y795" t="s">
        <v>1661</v>
      </c>
      <c r="Z795">
        <v>0</v>
      </c>
    </row>
    <row r="796" spans="1:26" x14ac:dyDescent="0.35">
      <c r="A796" t="s">
        <v>1331</v>
      </c>
      <c r="B796" s="6">
        <v>45138</v>
      </c>
      <c r="C796" t="s">
        <v>30</v>
      </c>
      <c r="D796">
        <v>23</v>
      </c>
      <c r="E796" t="s">
        <v>36</v>
      </c>
      <c r="F796" t="s">
        <v>42</v>
      </c>
      <c r="G796" t="s">
        <v>58</v>
      </c>
      <c r="H796" t="s">
        <v>1634</v>
      </c>
      <c r="I796" t="s">
        <v>60</v>
      </c>
      <c r="J796" t="s">
        <v>1632</v>
      </c>
      <c r="K796" t="s">
        <v>84</v>
      </c>
      <c r="L796">
        <v>28000</v>
      </c>
      <c r="M796">
        <v>12.9</v>
      </c>
      <c r="N796">
        <v>10</v>
      </c>
      <c r="O796">
        <v>2.1</v>
      </c>
      <c r="P796">
        <v>1.4</v>
      </c>
      <c r="Q796">
        <v>3</v>
      </c>
      <c r="R796">
        <v>4</v>
      </c>
      <c r="S796">
        <v>4</v>
      </c>
      <c r="T796" t="s">
        <v>23</v>
      </c>
      <c r="U796">
        <v>3</v>
      </c>
      <c r="V796" s="7">
        <v>45922</v>
      </c>
      <c r="W796" t="s">
        <v>1651</v>
      </c>
      <c r="X796" t="s">
        <v>1655</v>
      </c>
      <c r="Y796" t="s">
        <v>1665</v>
      </c>
      <c r="Z796">
        <v>1</v>
      </c>
    </row>
    <row r="797" spans="1:26" x14ac:dyDescent="0.35">
      <c r="A797" t="s">
        <v>1485</v>
      </c>
      <c r="B797" s="6">
        <v>44400</v>
      </c>
      <c r="C797" t="s">
        <v>23</v>
      </c>
      <c r="D797">
        <v>40</v>
      </c>
      <c r="E797" t="s">
        <v>36</v>
      </c>
      <c r="F797" t="s">
        <v>25</v>
      </c>
      <c r="G797" t="s">
        <v>32</v>
      </c>
      <c r="H797" t="s">
        <v>55</v>
      </c>
      <c r="I797" t="s">
        <v>88</v>
      </c>
      <c r="J797" t="s">
        <v>1633</v>
      </c>
      <c r="K797" t="s">
        <v>34</v>
      </c>
      <c r="L797">
        <v>66000</v>
      </c>
      <c r="M797">
        <v>4.5999999999999996</v>
      </c>
      <c r="N797">
        <v>7.6</v>
      </c>
      <c r="O797">
        <v>4.4000000000000004</v>
      </c>
      <c r="P797">
        <v>1.8</v>
      </c>
      <c r="Q797">
        <v>3</v>
      </c>
      <c r="R797">
        <v>4</v>
      </c>
      <c r="S797">
        <v>3</v>
      </c>
      <c r="T797" t="s">
        <v>23</v>
      </c>
      <c r="U797">
        <v>5</v>
      </c>
      <c r="W797" t="s">
        <v>1649</v>
      </c>
      <c r="X797" t="s">
        <v>1659</v>
      </c>
      <c r="Y797" t="s">
        <v>1661</v>
      </c>
      <c r="Z797">
        <v>0</v>
      </c>
    </row>
    <row r="798" spans="1:26" x14ac:dyDescent="0.35">
      <c r="A798" t="s">
        <v>942</v>
      </c>
      <c r="B798" s="6">
        <v>43932</v>
      </c>
      <c r="C798" t="s">
        <v>23</v>
      </c>
      <c r="D798">
        <v>28</v>
      </c>
      <c r="E798" t="s">
        <v>24</v>
      </c>
      <c r="F798" t="s">
        <v>37</v>
      </c>
      <c r="G798" t="s">
        <v>54</v>
      </c>
      <c r="H798" t="s">
        <v>1634</v>
      </c>
      <c r="I798" t="s">
        <v>150</v>
      </c>
      <c r="J798" t="s">
        <v>1632</v>
      </c>
      <c r="K798" t="s">
        <v>84</v>
      </c>
      <c r="L798">
        <v>45000</v>
      </c>
      <c r="M798">
        <v>4.2</v>
      </c>
      <c r="N798">
        <v>8.6999999999999993</v>
      </c>
      <c r="O798">
        <v>5.7</v>
      </c>
      <c r="P798">
        <v>1.8</v>
      </c>
      <c r="Q798">
        <v>3</v>
      </c>
      <c r="R798">
        <v>4</v>
      </c>
      <c r="S798">
        <v>3</v>
      </c>
      <c r="T798" t="s">
        <v>30</v>
      </c>
      <c r="U798">
        <v>4</v>
      </c>
      <c r="W798" t="s">
        <v>1650</v>
      </c>
      <c r="X798" t="s">
        <v>1656</v>
      </c>
      <c r="Y798" t="s">
        <v>1661</v>
      </c>
      <c r="Z798">
        <v>0</v>
      </c>
    </row>
    <row r="799" spans="1:26" x14ac:dyDescent="0.35">
      <c r="A799" t="s">
        <v>894</v>
      </c>
      <c r="B799" s="6">
        <v>44522</v>
      </c>
      <c r="C799" t="s">
        <v>23</v>
      </c>
      <c r="D799">
        <v>39</v>
      </c>
      <c r="E799" t="s">
        <v>36</v>
      </c>
      <c r="F799" t="s">
        <v>37</v>
      </c>
      <c r="G799" t="s">
        <v>58</v>
      </c>
      <c r="H799" t="s">
        <v>38</v>
      </c>
      <c r="I799" t="s">
        <v>118</v>
      </c>
      <c r="J799" t="s">
        <v>1633</v>
      </c>
      <c r="K799" t="s">
        <v>66</v>
      </c>
      <c r="L799">
        <v>76000</v>
      </c>
      <c r="M799">
        <v>7.4</v>
      </c>
      <c r="N799">
        <v>11.9</v>
      </c>
      <c r="O799">
        <v>4.0999999999999996</v>
      </c>
      <c r="P799">
        <v>0.2</v>
      </c>
      <c r="Q799">
        <v>3</v>
      </c>
      <c r="R799">
        <v>3</v>
      </c>
      <c r="S799">
        <v>3</v>
      </c>
      <c r="T799" t="s">
        <v>23</v>
      </c>
      <c r="U799">
        <v>5</v>
      </c>
      <c r="W799" t="s">
        <v>1649</v>
      </c>
      <c r="X799" t="s">
        <v>1659</v>
      </c>
      <c r="Y799" t="s">
        <v>1661</v>
      </c>
      <c r="Z799">
        <v>0</v>
      </c>
    </row>
    <row r="800" spans="1:26" x14ac:dyDescent="0.35">
      <c r="A800" t="s">
        <v>301</v>
      </c>
      <c r="B800" s="6">
        <v>45673</v>
      </c>
      <c r="C800" t="s">
        <v>23</v>
      </c>
      <c r="D800">
        <v>49</v>
      </c>
      <c r="E800" t="s">
        <v>62</v>
      </c>
      <c r="F800" t="s">
        <v>42</v>
      </c>
      <c r="G800" t="s">
        <v>32</v>
      </c>
      <c r="H800" t="s">
        <v>27</v>
      </c>
      <c r="I800" t="s">
        <v>33</v>
      </c>
      <c r="J800" t="s">
        <v>1632</v>
      </c>
      <c r="K800" t="s">
        <v>40</v>
      </c>
      <c r="L800">
        <v>27000</v>
      </c>
      <c r="M800">
        <v>2.9</v>
      </c>
      <c r="N800">
        <v>3.2</v>
      </c>
      <c r="O800">
        <v>1</v>
      </c>
      <c r="P800">
        <v>0.5</v>
      </c>
      <c r="Q800">
        <v>3</v>
      </c>
      <c r="R800">
        <v>4</v>
      </c>
      <c r="S800">
        <v>2</v>
      </c>
      <c r="T800" t="s">
        <v>23</v>
      </c>
      <c r="U800">
        <v>5</v>
      </c>
      <c r="W800" t="s">
        <v>1652</v>
      </c>
      <c r="X800" t="s">
        <v>1655</v>
      </c>
      <c r="Y800" t="s">
        <v>1665</v>
      </c>
      <c r="Z800">
        <v>0</v>
      </c>
    </row>
    <row r="801" spans="1:26" x14ac:dyDescent="0.35">
      <c r="A801" t="s">
        <v>845</v>
      </c>
      <c r="B801" s="6">
        <v>43512</v>
      </c>
      <c r="C801" t="s">
        <v>23</v>
      </c>
      <c r="D801">
        <v>38</v>
      </c>
      <c r="E801" t="s">
        <v>24</v>
      </c>
      <c r="F801" t="s">
        <v>25</v>
      </c>
      <c r="G801" t="s">
        <v>58</v>
      </c>
      <c r="H801" t="s">
        <v>27</v>
      </c>
      <c r="I801" t="s">
        <v>28</v>
      </c>
      <c r="J801" t="s">
        <v>1635</v>
      </c>
      <c r="K801" t="s">
        <v>84</v>
      </c>
      <c r="L801">
        <v>57000</v>
      </c>
      <c r="M801">
        <v>7.5</v>
      </c>
      <c r="N801">
        <v>12.2</v>
      </c>
      <c r="O801">
        <v>6.9</v>
      </c>
      <c r="P801">
        <v>3.3</v>
      </c>
      <c r="Q801">
        <v>3</v>
      </c>
      <c r="R801">
        <v>4</v>
      </c>
      <c r="S801">
        <v>3</v>
      </c>
      <c r="T801" t="s">
        <v>23</v>
      </c>
      <c r="U801">
        <v>2</v>
      </c>
      <c r="W801" t="s">
        <v>1649</v>
      </c>
      <c r="X801" t="s">
        <v>1656</v>
      </c>
      <c r="Y801" t="s">
        <v>1662</v>
      </c>
      <c r="Z801">
        <v>0</v>
      </c>
    </row>
    <row r="802" spans="1:26" x14ac:dyDescent="0.35">
      <c r="A802" t="s">
        <v>554</v>
      </c>
      <c r="B802" s="6">
        <v>44995</v>
      </c>
      <c r="C802" t="s">
        <v>23</v>
      </c>
      <c r="D802">
        <v>34</v>
      </c>
      <c r="E802" t="s">
        <v>24</v>
      </c>
      <c r="F802" t="s">
        <v>37</v>
      </c>
      <c r="G802" t="s">
        <v>54</v>
      </c>
      <c r="H802" t="s">
        <v>1634</v>
      </c>
      <c r="I802" t="s">
        <v>60</v>
      </c>
      <c r="J802" t="s">
        <v>1635</v>
      </c>
      <c r="K802" t="s">
        <v>34</v>
      </c>
      <c r="L802">
        <v>79000</v>
      </c>
      <c r="M802">
        <v>9.9</v>
      </c>
      <c r="N802">
        <v>4.4000000000000004</v>
      </c>
      <c r="O802">
        <v>2.8</v>
      </c>
      <c r="P802">
        <v>2.7</v>
      </c>
      <c r="Q802">
        <v>2</v>
      </c>
      <c r="R802">
        <v>3</v>
      </c>
      <c r="S802">
        <v>3</v>
      </c>
      <c r="T802" t="s">
        <v>23</v>
      </c>
      <c r="U802">
        <v>5</v>
      </c>
      <c r="W802" t="s">
        <v>1650</v>
      </c>
      <c r="X802" t="s">
        <v>1659</v>
      </c>
      <c r="Y802" t="s">
        <v>1665</v>
      </c>
      <c r="Z802">
        <v>0</v>
      </c>
    </row>
    <row r="803" spans="1:26" x14ac:dyDescent="0.35">
      <c r="A803" t="s">
        <v>764</v>
      </c>
      <c r="B803" s="6">
        <v>44251</v>
      </c>
      <c r="C803" t="s">
        <v>23</v>
      </c>
      <c r="D803">
        <v>26</v>
      </c>
      <c r="E803" t="s">
        <v>36</v>
      </c>
      <c r="F803" t="s">
        <v>25</v>
      </c>
      <c r="G803" t="s">
        <v>54</v>
      </c>
      <c r="H803" t="s">
        <v>48</v>
      </c>
      <c r="I803" t="s">
        <v>201</v>
      </c>
      <c r="J803" t="s">
        <v>1632</v>
      </c>
      <c r="K803" t="s">
        <v>84</v>
      </c>
      <c r="L803">
        <v>29000</v>
      </c>
      <c r="M803">
        <v>5.9</v>
      </c>
      <c r="N803">
        <v>7.8</v>
      </c>
      <c r="O803">
        <v>4.8</v>
      </c>
      <c r="P803">
        <v>2.7</v>
      </c>
      <c r="Q803">
        <v>1</v>
      </c>
      <c r="R803">
        <v>4</v>
      </c>
      <c r="S803">
        <v>4</v>
      </c>
      <c r="T803" t="s">
        <v>23</v>
      </c>
      <c r="U803">
        <v>5</v>
      </c>
      <c r="W803" t="s">
        <v>1650</v>
      </c>
      <c r="X803" t="s">
        <v>1655</v>
      </c>
      <c r="Y803" t="s">
        <v>1661</v>
      </c>
      <c r="Z803">
        <v>0</v>
      </c>
    </row>
    <row r="804" spans="1:26" x14ac:dyDescent="0.35">
      <c r="A804" t="s">
        <v>718</v>
      </c>
      <c r="B804" s="6">
        <v>42774</v>
      </c>
      <c r="C804" t="s">
        <v>23</v>
      </c>
      <c r="D804">
        <v>39</v>
      </c>
      <c r="E804" t="s">
        <v>62</v>
      </c>
      <c r="F804" t="s">
        <v>25</v>
      </c>
      <c r="G804" t="s">
        <v>32</v>
      </c>
      <c r="H804" t="s">
        <v>27</v>
      </c>
      <c r="I804" t="s">
        <v>28</v>
      </c>
      <c r="J804" t="s">
        <v>1635</v>
      </c>
      <c r="K804" t="s">
        <v>50</v>
      </c>
      <c r="L804">
        <v>78000</v>
      </c>
      <c r="M804">
        <v>13.7</v>
      </c>
      <c r="N804">
        <v>13.1</v>
      </c>
      <c r="O804">
        <v>8.9</v>
      </c>
      <c r="P804">
        <v>4.8</v>
      </c>
      <c r="Q804">
        <v>4</v>
      </c>
      <c r="R804">
        <v>4</v>
      </c>
      <c r="S804">
        <v>2</v>
      </c>
      <c r="T804" t="s">
        <v>23</v>
      </c>
      <c r="U804">
        <v>5</v>
      </c>
      <c r="W804" t="s">
        <v>1649</v>
      </c>
      <c r="X804" t="s">
        <v>1659</v>
      </c>
      <c r="Y804" t="s">
        <v>1662</v>
      </c>
      <c r="Z804">
        <v>0</v>
      </c>
    </row>
    <row r="805" spans="1:26" x14ac:dyDescent="0.35">
      <c r="A805" t="s">
        <v>126</v>
      </c>
      <c r="B805" s="6">
        <v>43923</v>
      </c>
      <c r="C805" t="s">
        <v>23</v>
      </c>
      <c r="D805">
        <v>45</v>
      </c>
      <c r="E805" t="s">
        <v>62</v>
      </c>
      <c r="F805" t="s">
        <v>42</v>
      </c>
      <c r="G805" t="s">
        <v>26</v>
      </c>
      <c r="H805" t="s">
        <v>1634</v>
      </c>
      <c r="I805" t="s">
        <v>60</v>
      </c>
      <c r="J805" t="s">
        <v>1636</v>
      </c>
      <c r="K805" t="s">
        <v>34</v>
      </c>
      <c r="L805">
        <v>122000</v>
      </c>
      <c r="M805">
        <v>11.9</v>
      </c>
      <c r="N805">
        <v>8.4</v>
      </c>
      <c r="O805">
        <v>5.7</v>
      </c>
      <c r="P805">
        <v>1</v>
      </c>
      <c r="Q805">
        <v>4</v>
      </c>
      <c r="R805">
        <v>3</v>
      </c>
      <c r="S805">
        <v>3</v>
      </c>
      <c r="T805" t="s">
        <v>23</v>
      </c>
      <c r="U805">
        <v>4</v>
      </c>
      <c r="W805" t="s">
        <v>1649</v>
      </c>
      <c r="X805" t="s">
        <v>1658</v>
      </c>
      <c r="Y805" t="s">
        <v>1661</v>
      </c>
      <c r="Z805">
        <v>0</v>
      </c>
    </row>
    <row r="806" spans="1:26" x14ac:dyDescent="0.35">
      <c r="A806" t="s">
        <v>750</v>
      </c>
      <c r="B806" s="6">
        <v>45911</v>
      </c>
      <c r="C806" t="s">
        <v>30</v>
      </c>
      <c r="D806">
        <v>21</v>
      </c>
      <c r="E806" t="s">
        <v>62</v>
      </c>
      <c r="F806" t="s">
        <v>25</v>
      </c>
      <c r="G806" t="s">
        <v>32</v>
      </c>
      <c r="H806" t="s">
        <v>27</v>
      </c>
      <c r="I806" t="s">
        <v>28</v>
      </c>
      <c r="J806" t="s">
        <v>1632</v>
      </c>
      <c r="K806" t="s">
        <v>66</v>
      </c>
      <c r="L806">
        <v>27000</v>
      </c>
      <c r="M806">
        <v>6.1</v>
      </c>
      <c r="N806">
        <v>1.4</v>
      </c>
      <c r="O806">
        <v>0.2</v>
      </c>
      <c r="P806">
        <v>0</v>
      </c>
      <c r="Q806">
        <v>1</v>
      </c>
      <c r="R806">
        <v>3</v>
      </c>
      <c r="S806">
        <v>4</v>
      </c>
      <c r="T806" t="s">
        <v>23</v>
      </c>
      <c r="U806">
        <v>4</v>
      </c>
      <c r="V806" s="7">
        <v>45998</v>
      </c>
      <c r="W806" t="s">
        <v>1651</v>
      </c>
      <c r="X806" t="s">
        <v>1655</v>
      </c>
      <c r="Y806" t="s">
        <v>1664</v>
      </c>
      <c r="Z806">
        <v>1</v>
      </c>
    </row>
    <row r="807" spans="1:26" x14ac:dyDescent="0.35">
      <c r="A807" t="s">
        <v>828</v>
      </c>
      <c r="B807" s="6">
        <v>45520</v>
      </c>
      <c r="C807" t="s">
        <v>30</v>
      </c>
      <c r="D807">
        <v>26</v>
      </c>
      <c r="E807" t="s">
        <v>36</v>
      </c>
      <c r="F807" t="s">
        <v>42</v>
      </c>
      <c r="G807" t="s">
        <v>32</v>
      </c>
      <c r="H807" t="s">
        <v>68</v>
      </c>
      <c r="I807" t="s">
        <v>109</v>
      </c>
      <c r="J807" t="s">
        <v>1632</v>
      </c>
      <c r="K807" t="s">
        <v>29</v>
      </c>
      <c r="L807">
        <v>40000</v>
      </c>
      <c r="M807">
        <v>14.5</v>
      </c>
      <c r="N807">
        <v>5.9</v>
      </c>
      <c r="O807">
        <v>1.1000000000000001</v>
      </c>
      <c r="P807">
        <v>0.9</v>
      </c>
      <c r="Q807">
        <v>3</v>
      </c>
      <c r="R807">
        <v>4</v>
      </c>
      <c r="S807">
        <v>3</v>
      </c>
      <c r="T807" t="s">
        <v>30</v>
      </c>
      <c r="U807">
        <v>5</v>
      </c>
      <c r="V807" s="7">
        <v>45931</v>
      </c>
      <c r="W807" t="s">
        <v>1650</v>
      </c>
      <c r="X807" t="s">
        <v>1656</v>
      </c>
      <c r="Y807" t="s">
        <v>1665</v>
      </c>
      <c r="Z807">
        <v>1</v>
      </c>
    </row>
    <row r="808" spans="1:26" x14ac:dyDescent="0.35">
      <c r="A808" t="s">
        <v>203</v>
      </c>
      <c r="B808" s="6">
        <v>44100</v>
      </c>
      <c r="C808" t="s">
        <v>23</v>
      </c>
      <c r="D808">
        <v>35</v>
      </c>
      <c r="E808" t="s">
        <v>36</v>
      </c>
      <c r="F808" t="s">
        <v>37</v>
      </c>
      <c r="G808" t="s">
        <v>54</v>
      </c>
      <c r="H808" t="s">
        <v>55</v>
      </c>
      <c r="I808" t="s">
        <v>179</v>
      </c>
      <c r="J808" t="s">
        <v>1633</v>
      </c>
      <c r="K808" t="s">
        <v>29</v>
      </c>
      <c r="L808">
        <v>53000</v>
      </c>
      <c r="M808">
        <v>5.6</v>
      </c>
      <c r="N808">
        <v>8.1</v>
      </c>
      <c r="O808">
        <v>5.3</v>
      </c>
      <c r="P808">
        <v>0.7</v>
      </c>
      <c r="Q808">
        <v>4</v>
      </c>
      <c r="R808">
        <v>4</v>
      </c>
      <c r="S808">
        <v>3</v>
      </c>
      <c r="T808" t="s">
        <v>30</v>
      </c>
      <c r="U808">
        <v>4</v>
      </c>
      <c r="W808" t="s">
        <v>1650</v>
      </c>
      <c r="X808" t="s">
        <v>1656</v>
      </c>
      <c r="Y808" t="s">
        <v>1661</v>
      </c>
      <c r="Z808">
        <v>0</v>
      </c>
    </row>
    <row r="809" spans="1:26" x14ac:dyDescent="0.35">
      <c r="A809" t="s">
        <v>1568</v>
      </c>
      <c r="B809" s="6">
        <v>44004</v>
      </c>
      <c r="C809" t="s">
        <v>23</v>
      </c>
      <c r="D809">
        <v>38</v>
      </c>
      <c r="E809" t="s">
        <v>24</v>
      </c>
      <c r="F809" t="s">
        <v>37</v>
      </c>
      <c r="G809" t="s">
        <v>32</v>
      </c>
      <c r="H809" t="s">
        <v>1634</v>
      </c>
      <c r="I809" t="s">
        <v>86</v>
      </c>
      <c r="J809" t="s">
        <v>1633</v>
      </c>
      <c r="K809" t="s">
        <v>50</v>
      </c>
      <c r="L809">
        <v>51000</v>
      </c>
      <c r="M809">
        <v>7.3</v>
      </c>
      <c r="N809">
        <v>12</v>
      </c>
      <c r="O809">
        <v>5.5</v>
      </c>
      <c r="P809">
        <v>0.5</v>
      </c>
      <c r="Q809">
        <v>2</v>
      </c>
      <c r="R809">
        <v>2</v>
      </c>
      <c r="S809">
        <v>4</v>
      </c>
      <c r="T809" t="s">
        <v>23</v>
      </c>
      <c r="U809">
        <v>4</v>
      </c>
      <c r="W809" t="s">
        <v>1649</v>
      </c>
      <c r="X809" t="s">
        <v>1656</v>
      </c>
      <c r="Y809" t="s">
        <v>1661</v>
      </c>
      <c r="Z809">
        <v>0</v>
      </c>
    </row>
    <row r="810" spans="1:26" x14ac:dyDescent="0.35">
      <c r="A810" t="s">
        <v>130</v>
      </c>
      <c r="B810" s="6">
        <v>44352</v>
      </c>
      <c r="C810" t="s">
        <v>23</v>
      </c>
      <c r="D810">
        <v>26</v>
      </c>
      <c r="E810" t="s">
        <v>24</v>
      </c>
      <c r="F810" t="s">
        <v>42</v>
      </c>
      <c r="G810" t="s">
        <v>54</v>
      </c>
      <c r="H810" t="s">
        <v>48</v>
      </c>
      <c r="I810" t="s">
        <v>129</v>
      </c>
      <c r="J810" t="s">
        <v>1632</v>
      </c>
      <c r="K810" t="s">
        <v>34</v>
      </c>
      <c r="L810">
        <v>52000</v>
      </c>
      <c r="M810">
        <v>3.9</v>
      </c>
      <c r="N810">
        <v>11</v>
      </c>
      <c r="O810">
        <v>4.5999999999999996</v>
      </c>
      <c r="P810">
        <v>1.7</v>
      </c>
      <c r="Q810">
        <v>2</v>
      </c>
      <c r="R810">
        <v>3</v>
      </c>
      <c r="S810">
        <v>2</v>
      </c>
      <c r="T810" t="s">
        <v>23</v>
      </c>
      <c r="U810">
        <v>3</v>
      </c>
      <c r="W810" t="s">
        <v>1650</v>
      </c>
      <c r="X810" t="s">
        <v>1656</v>
      </c>
      <c r="Y810" t="s">
        <v>1661</v>
      </c>
      <c r="Z810">
        <v>0</v>
      </c>
    </row>
    <row r="811" spans="1:26" x14ac:dyDescent="0.35">
      <c r="A811" t="s">
        <v>909</v>
      </c>
      <c r="B811" s="6">
        <v>41871</v>
      </c>
      <c r="C811" t="s">
        <v>23</v>
      </c>
      <c r="D811">
        <v>40</v>
      </c>
      <c r="E811" t="s">
        <v>36</v>
      </c>
      <c r="F811" t="s">
        <v>37</v>
      </c>
      <c r="G811" t="s">
        <v>58</v>
      </c>
      <c r="H811" t="s">
        <v>1634</v>
      </c>
      <c r="I811" t="s">
        <v>75</v>
      </c>
      <c r="J811" t="s">
        <v>1633</v>
      </c>
      <c r="K811" t="s">
        <v>29</v>
      </c>
      <c r="L811">
        <v>40000</v>
      </c>
      <c r="M811">
        <v>9.6999999999999993</v>
      </c>
      <c r="N811">
        <v>13.8</v>
      </c>
      <c r="O811">
        <v>11.4</v>
      </c>
      <c r="P811">
        <v>6</v>
      </c>
      <c r="Q811">
        <v>3</v>
      </c>
      <c r="R811">
        <v>2</v>
      </c>
      <c r="S811">
        <v>3</v>
      </c>
      <c r="T811" t="s">
        <v>23</v>
      </c>
      <c r="U811">
        <v>3</v>
      </c>
      <c r="W811" t="s">
        <v>1649</v>
      </c>
      <c r="X811" t="s">
        <v>1656</v>
      </c>
      <c r="Y811" t="s">
        <v>1663</v>
      </c>
      <c r="Z811">
        <v>0</v>
      </c>
    </row>
    <row r="812" spans="1:26" x14ac:dyDescent="0.35">
      <c r="A812" t="s">
        <v>476</v>
      </c>
      <c r="B812" s="6">
        <v>42292</v>
      </c>
      <c r="C812" t="s">
        <v>23</v>
      </c>
      <c r="D812">
        <v>33</v>
      </c>
      <c r="E812" t="s">
        <v>62</v>
      </c>
      <c r="F812" t="s">
        <v>25</v>
      </c>
      <c r="G812" t="s">
        <v>58</v>
      </c>
      <c r="H812" t="s">
        <v>45</v>
      </c>
      <c r="I812" t="s">
        <v>77</v>
      </c>
      <c r="J812" t="s">
        <v>1632</v>
      </c>
      <c r="K812" t="s">
        <v>84</v>
      </c>
      <c r="L812">
        <v>57000</v>
      </c>
      <c r="M812">
        <v>2.2999999999999998</v>
      </c>
      <c r="N812">
        <v>11.3</v>
      </c>
      <c r="O812">
        <v>10.199999999999999</v>
      </c>
      <c r="P812">
        <v>2.8</v>
      </c>
      <c r="Q812">
        <v>1</v>
      </c>
      <c r="R812">
        <v>1</v>
      </c>
      <c r="S812">
        <v>3</v>
      </c>
      <c r="T812" t="s">
        <v>30</v>
      </c>
      <c r="U812">
        <v>3</v>
      </c>
      <c r="W812" t="s">
        <v>1650</v>
      </c>
      <c r="X812" t="s">
        <v>1656</v>
      </c>
      <c r="Y812" t="s">
        <v>1663</v>
      </c>
      <c r="Z812">
        <v>0</v>
      </c>
    </row>
    <row r="813" spans="1:26" x14ac:dyDescent="0.35">
      <c r="A813" t="s">
        <v>1316</v>
      </c>
      <c r="B813" s="6">
        <v>44121</v>
      </c>
      <c r="C813" t="s">
        <v>23</v>
      </c>
      <c r="D813">
        <v>32</v>
      </c>
      <c r="E813" t="s">
        <v>24</v>
      </c>
      <c r="F813" t="s">
        <v>42</v>
      </c>
      <c r="G813" t="s">
        <v>32</v>
      </c>
      <c r="H813" t="s">
        <v>27</v>
      </c>
      <c r="I813" t="s">
        <v>33</v>
      </c>
      <c r="J813" t="s">
        <v>1636</v>
      </c>
      <c r="K813" t="s">
        <v>84</v>
      </c>
      <c r="L813">
        <v>113000</v>
      </c>
      <c r="M813">
        <v>10.8</v>
      </c>
      <c r="N813">
        <v>11.7</v>
      </c>
      <c r="O813">
        <v>5.2</v>
      </c>
      <c r="P813">
        <v>3.5</v>
      </c>
      <c r="Q813">
        <v>3</v>
      </c>
      <c r="R813">
        <v>3</v>
      </c>
      <c r="S813">
        <v>4</v>
      </c>
      <c r="T813" t="s">
        <v>30</v>
      </c>
      <c r="U813">
        <v>4</v>
      </c>
      <c r="W813" t="s">
        <v>1650</v>
      </c>
      <c r="X813" t="s">
        <v>1658</v>
      </c>
      <c r="Y813" t="s">
        <v>1661</v>
      </c>
      <c r="Z813">
        <v>0</v>
      </c>
    </row>
    <row r="814" spans="1:26" x14ac:dyDescent="0.35">
      <c r="A814" t="s">
        <v>787</v>
      </c>
      <c r="B814" s="6">
        <v>44780</v>
      </c>
      <c r="C814" t="s">
        <v>23</v>
      </c>
      <c r="D814">
        <v>35</v>
      </c>
      <c r="E814" t="s">
        <v>36</v>
      </c>
      <c r="F814" t="s">
        <v>25</v>
      </c>
      <c r="G814" t="s">
        <v>32</v>
      </c>
      <c r="H814" t="s">
        <v>48</v>
      </c>
      <c r="I814" t="s">
        <v>129</v>
      </c>
      <c r="J814" t="s">
        <v>1636</v>
      </c>
      <c r="K814" t="s">
        <v>40</v>
      </c>
      <c r="L814">
        <v>98000</v>
      </c>
      <c r="M814">
        <v>11.4</v>
      </c>
      <c r="N814">
        <v>10.5</v>
      </c>
      <c r="O814">
        <v>3.4</v>
      </c>
      <c r="P814">
        <v>0.1</v>
      </c>
      <c r="Q814">
        <v>4</v>
      </c>
      <c r="R814">
        <v>4</v>
      </c>
      <c r="S814">
        <v>4</v>
      </c>
      <c r="T814" t="s">
        <v>23</v>
      </c>
      <c r="U814">
        <v>1</v>
      </c>
      <c r="W814" t="s">
        <v>1650</v>
      </c>
      <c r="X814" t="s">
        <v>1657</v>
      </c>
      <c r="Y814" t="s">
        <v>1661</v>
      </c>
      <c r="Z814">
        <v>0</v>
      </c>
    </row>
    <row r="815" spans="1:26" x14ac:dyDescent="0.35">
      <c r="A815" t="s">
        <v>162</v>
      </c>
      <c r="B815" s="6">
        <v>44961</v>
      </c>
      <c r="C815" t="s">
        <v>23</v>
      </c>
      <c r="D815">
        <v>37</v>
      </c>
      <c r="E815" t="s">
        <v>62</v>
      </c>
      <c r="F815" t="s">
        <v>37</v>
      </c>
      <c r="G815" t="s">
        <v>58</v>
      </c>
      <c r="H815" t="s">
        <v>38</v>
      </c>
      <c r="I815" t="s">
        <v>118</v>
      </c>
      <c r="J815" t="s">
        <v>1633</v>
      </c>
      <c r="K815" t="s">
        <v>34</v>
      </c>
      <c r="L815">
        <v>69000</v>
      </c>
      <c r="M815">
        <v>10.5</v>
      </c>
      <c r="N815">
        <v>6.6</v>
      </c>
      <c r="O815">
        <v>2.9</v>
      </c>
      <c r="P815">
        <v>1.2</v>
      </c>
      <c r="Q815">
        <v>1</v>
      </c>
      <c r="R815">
        <v>4</v>
      </c>
      <c r="S815">
        <v>3</v>
      </c>
      <c r="T815" t="s">
        <v>23</v>
      </c>
      <c r="U815">
        <v>4</v>
      </c>
      <c r="W815" t="s">
        <v>1649</v>
      </c>
      <c r="X815" t="s">
        <v>1659</v>
      </c>
      <c r="Y815" t="s">
        <v>1665</v>
      </c>
      <c r="Z815">
        <v>0</v>
      </c>
    </row>
    <row r="816" spans="1:26" x14ac:dyDescent="0.35">
      <c r="A816" t="s">
        <v>1136</v>
      </c>
      <c r="B816" s="6">
        <v>45599</v>
      </c>
      <c r="C816" t="s">
        <v>23</v>
      </c>
      <c r="D816">
        <v>27</v>
      </c>
      <c r="E816" t="s">
        <v>24</v>
      </c>
      <c r="F816" t="s">
        <v>25</v>
      </c>
      <c r="G816" t="s">
        <v>32</v>
      </c>
      <c r="H816" t="s">
        <v>48</v>
      </c>
      <c r="I816" t="s">
        <v>129</v>
      </c>
      <c r="J816" t="s">
        <v>1632</v>
      </c>
      <c r="K816" t="s">
        <v>40</v>
      </c>
      <c r="L816">
        <v>29000</v>
      </c>
      <c r="M816">
        <v>13.7</v>
      </c>
      <c r="N816">
        <v>6.9</v>
      </c>
      <c r="O816">
        <v>1.2</v>
      </c>
      <c r="P816">
        <v>0.6</v>
      </c>
      <c r="Q816">
        <v>3</v>
      </c>
      <c r="R816">
        <v>4</v>
      </c>
      <c r="S816">
        <v>4</v>
      </c>
      <c r="T816" t="s">
        <v>23</v>
      </c>
      <c r="U816">
        <v>3</v>
      </c>
      <c r="W816" t="s">
        <v>1650</v>
      </c>
      <c r="X816" t="s">
        <v>1655</v>
      </c>
      <c r="Y816" t="s">
        <v>1665</v>
      </c>
      <c r="Z816">
        <v>0</v>
      </c>
    </row>
    <row r="817" spans="1:26" x14ac:dyDescent="0.35">
      <c r="A817" t="s">
        <v>1271</v>
      </c>
      <c r="B817" s="6">
        <v>43110</v>
      </c>
      <c r="C817" t="s">
        <v>23</v>
      </c>
      <c r="D817">
        <v>31</v>
      </c>
      <c r="E817" t="s">
        <v>62</v>
      </c>
      <c r="F817" t="s">
        <v>25</v>
      </c>
      <c r="G817" t="s">
        <v>58</v>
      </c>
      <c r="H817" t="s">
        <v>55</v>
      </c>
      <c r="I817" t="s">
        <v>56</v>
      </c>
      <c r="J817" t="s">
        <v>1635</v>
      </c>
      <c r="K817" t="s">
        <v>40</v>
      </c>
      <c r="L817">
        <v>90000</v>
      </c>
      <c r="M817">
        <v>5.4</v>
      </c>
      <c r="N817">
        <v>10</v>
      </c>
      <c r="O817">
        <v>8</v>
      </c>
      <c r="P817">
        <v>4.4000000000000004</v>
      </c>
      <c r="Q817">
        <v>3</v>
      </c>
      <c r="R817">
        <v>3</v>
      </c>
      <c r="S817">
        <v>3</v>
      </c>
      <c r="T817" t="s">
        <v>23</v>
      </c>
      <c r="U817">
        <v>3</v>
      </c>
      <c r="W817" t="s">
        <v>1650</v>
      </c>
      <c r="X817" t="s">
        <v>1657</v>
      </c>
      <c r="Y817" t="s">
        <v>1662</v>
      </c>
      <c r="Z817">
        <v>0</v>
      </c>
    </row>
    <row r="818" spans="1:26" x14ac:dyDescent="0.35">
      <c r="A818" t="s">
        <v>497</v>
      </c>
      <c r="B818" s="6">
        <v>45292</v>
      </c>
      <c r="C818" t="s">
        <v>23</v>
      </c>
      <c r="D818">
        <v>38</v>
      </c>
      <c r="E818" t="s">
        <v>62</v>
      </c>
      <c r="F818" t="s">
        <v>37</v>
      </c>
      <c r="G818" t="s">
        <v>32</v>
      </c>
      <c r="H818" t="s">
        <v>68</v>
      </c>
      <c r="I818" t="s">
        <v>121</v>
      </c>
      <c r="J818" t="s">
        <v>1633</v>
      </c>
      <c r="K818" t="s">
        <v>40</v>
      </c>
      <c r="L818">
        <v>70000</v>
      </c>
      <c r="M818">
        <v>5.5</v>
      </c>
      <c r="N818">
        <v>8.4</v>
      </c>
      <c r="O818">
        <v>2</v>
      </c>
      <c r="P818">
        <v>1.3</v>
      </c>
      <c r="Q818">
        <v>4</v>
      </c>
      <c r="R818">
        <v>4</v>
      </c>
      <c r="S818">
        <v>4</v>
      </c>
      <c r="T818" t="s">
        <v>23</v>
      </c>
      <c r="U818">
        <v>1</v>
      </c>
      <c r="W818" t="s">
        <v>1649</v>
      </c>
      <c r="X818" t="s">
        <v>1659</v>
      </c>
      <c r="Y818" t="s">
        <v>1665</v>
      </c>
      <c r="Z818">
        <v>0</v>
      </c>
    </row>
    <row r="819" spans="1:26" x14ac:dyDescent="0.35">
      <c r="A819" t="s">
        <v>144</v>
      </c>
      <c r="B819" s="6">
        <v>43858</v>
      </c>
      <c r="C819" t="s">
        <v>23</v>
      </c>
      <c r="D819">
        <v>35</v>
      </c>
      <c r="E819" t="s">
        <v>36</v>
      </c>
      <c r="F819" t="s">
        <v>37</v>
      </c>
      <c r="G819" t="s">
        <v>58</v>
      </c>
      <c r="H819" t="s">
        <v>48</v>
      </c>
      <c r="I819" t="s">
        <v>129</v>
      </c>
      <c r="J819" t="s">
        <v>1632</v>
      </c>
      <c r="K819" t="s">
        <v>29</v>
      </c>
      <c r="L819">
        <v>41000</v>
      </c>
      <c r="M819">
        <v>8.1</v>
      </c>
      <c r="N819">
        <v>13.7</v>
      </c>
      <c r="O819">
        <v>5.9</v>
      </c>
      <c r="P819">
        <v>2.4</v>
      </c>
      <c r="Q819">
        <v>2</v>
      </c>
      <c r="R819">
        <v>4</v>
      </c>
      <c r="S819">
        <v>3</v>
      </c>
      <c r="T819" t="s">
        <v>23</v>
      </c>
      <c r="U819">
        <v>3</v>
      </c>
      <c r="W819" t="s">
        <v>1650</v>
      </c>
      <c r="X819" t="s">
        <v>1656</v>
      </c>
      <c r="Y819" t="s">
        <v>1661</v>
      </c>
      <c r="Z819">
        <v>0</v>
      </c>
    </row>
    <row r="820" spans="1:26" x14ac:dyDescent="0.35">
      <c r="A820" t="s">
        <v>680</v>
      </c>
      <c r="B820" s="6">
        <v>42099</v>
      </c>
      <c r="C820" t="s">
        <v>23</v>
      </c>
      <c r="D820">
        <v>39</v>
      </c>
      <c r="E820" t="s">
        <v>24</v>
      </c>
      <c r="F820" t="s">
        <v>42</v>
      </c>
      <c r="G820" t="s">
        <v>54</v>
      </c>
      <c r="H820" t="s">
        <v>1634</v>
      </c>
      <c r="I820" t="s">
        <v>150</v>
      </c>
      <c r="J820" t="s">
        <v>1633</v>
      </c>
      <c r="K820" t="s">
        <v>29</v>
      </c>
      <c r="L820">
        <v>58000</v>
      </c>
      <c r="M820">
        <v>5.3</v>
      </c>
      <c r="N820">
        <v>15.1</v>
      </c>
      <c r="O820">
        <v>10.7</v>
      </c>
      <c r="P820">
        <v>4</v>
      </c>
      <c r="Q820">
        <v>4</v>
      </c>
      <c r="R820">
        <v>3</v>
      </c>
      <c r="S820">
        <v>3</v>
      </c>
      <c r="T820" t="s">
        <v>30</v>
      </c>
      <c r="U820">
        <v>3</v>
      </c>
      <c r="W820" t="s">
        <v>1649</v>
      </c>
      <c r="X820" t="s">
        <v>1656</v>
      </c>
      <c r="Y820" t="s">
        <v>1663</v>
      </c>
      <c r="Z820">
        <v>0</v>
      </c>
    </row>
    <row r="821" spans="1:26" x14ac:dyDescent="0.35">
      <c r="A821" t="s">
        <v>842</v>
      </c>
      <c r="B821" s="6">
        <v>41746</v>
      </c>
      <c r="C821" t="s">
        <v>23</v>
      </c>
      <c r="D821">
        <v>41</v>
      </c>
      <c r="E821" t="s">
        <v>62</v>
      </c>
      <c r="F821" t="s">
        <v>37</v>
      </c>
      <c r="G821" t="s">
        <v>54</v>
      </c>
      <c r="H821" t="s">
        <v>38</v>
      </c>
      <c r="I821" t="s">
        <v>139</v>
      </c>
      <c r="J821" t="s">
        <v>1632</v>
      </c>
      <c r="K821" t="s">
        <v>66</v>
      </c>
      <c r="L821">
        <v>39000</v>
      </c>
      <c r="M821">
        <v>9.3000000000000007</v>
      </c>
      <c r="N821">
        <v>12.7</v>
      </c>
      <c r="O821">
        <v>11.7</v>
      </c>
      <c r="P821">
        <v>2.1</v>
      </c>
      <c r="Q821">
        <v>2</v>
      </c>
      <c r="R821">
        <v>3</v>
      </c>
      <c r="S821">
        <v>3</v>
      </c>
      <c r="T821" t="s">
        <v>23</v>
      </c>
      <c r="U821">
        <v>5</v>
      </c>
      <c r="W821" t="s">
        <v>1649</v>
      </c>
      <c r="X821" t="s">
        <v>1655</v>
      </c>
      <c r="Y821" t="s">
        <v>1663</v>
      </c>
      <c r="Z821">
        <v>0</v>
      </c>
    </row>
    <row r="822" spans="1:26" x14ac:dyDescent="0.35">
      <c r="A822" t="s">
        <v>328</v>
      </c>
      <c r="B822" s="6">
        <v>43857</v>
      </c>
      <c r="C822" t="s">
        <v>23</v>
      </c>
      <c r="D822">
        <v>27</v>
      </c>
      <c r="E822" t="s">
        <v>62</v>
      </c>
      <c r="F822" t="s">
        <v>42</v>
      </c>
      <c r="G822" t="s">
        <v>32</v>
      </c>
      <c r="H822" t="s">
        <v>55</v>
      </c>
      <c r="I822" t="s">
        <v>179</v>
      </c>
      <c r="J822" t="s">
        <v>1632</v>
      </c>
      <c r="K822" t="s">
        <v>29</v>
      </c>
      <c r="L822">
        <v>39000</v>
      </c>
      <c r="M822">
        <v>0.4</v>
      </c>
      <c r="N822">
        <v>8.8000000000000007</v>
      </c>
      <c r="O822">
        <v>5.9</v>
      </c>
      <c r="P822">
        <v>3.5</v>
      </c>
      <c r="Q822">
        <v>1</v>
      </c>
      <c r="R822">
        <v>2</v>
      </c>
      <c r="S822">
        <v>4</v>
      </c>
      <c r="T822" t="s">
        <v>30</v>
      </c>
      <c r="U822">
        <v>4</v>
      </c>
      <c r="W822" t="s">
        <v>1650</v>
      </c>
      <c r="X822" t="s">
        <v>1655</v>
      </c>
      <c r="Y822" t="s">
        <v>1661</v>
      </c>
      <c r="Z822">
        <v>0</v>
      </c>
    </row>
    <row r="823" spans="1:26" x14ac:dyDescent="0.35">
      <c r="A823" t="s">
        <v>414</v>
      </c>
      <c r="B823" s="6">
        <v>45680</v>
      </c>
      <c r="C823" t="s">
        <v>23</v>
      </c>
      <c r="D823">
        <v>22</v>
      </c>
      <c r="E823" t="s">
        <v>62</v>
      </c>
      <c r="F823" t="s">
        <v>42</v>
      </c>
      <c r="G823" t="s">
        <v>32</v>
      </c>
      <c r="H823" t="s">
        <v>27</v>
      </c>
      <c r="I823" t="s">
        <v>95</v>
      </c>
      <c r="J823" t="s">
        <v>1632</v>
      </c>
      <c r="K823" t="s">
        <v>84</v>
      </c>
      <c r="L823">
        <v>46000</v>
      </c>
      <c r="M823">
        <v>7.7</v>
      </c>
      <c r="N823">
        <v>5.9</v>
      </c>
      <c r="O823">
        <v>0.9</v>
      </c>
      <c r="P823">
        <v>0</v>
      </c>
      <c r="Q823">
        <v>2</v>
      </c>
      <c r="R823">
        <v>4</v>
      </c>
      <c r="S823">
        <v>2</v>
      </c>
      <c r="T823" t="s">
        <v>30</v>
      </c>
      <c r="U823">
        <v>5</v>
      </c>
      <c r="W823" t="s">
        <v>1651</v>
      </c>
      <c r="X823" t="s">
        <v>1656</v>
      </c>
      <c r="Y823" t="s">
        <v>1664</v>
      </c>
      <c r="Z823">
        <v>0</v>
      </c>
    </row>
    <row r="824" spans="1:26" x14ac:dyDescent="0.35">
      <c r="A824" t="s">
        <v>51</v>
      </c>
      <c r="B824" s="6">
        <v>43050</v>
      </c>
      <c r="C824" t="s">
        <v>23</v>
      </c>
      <c r="D824">
        <v>29</v>
      </c>
      <c r="E824" t="s">
        <v>36</v>
      </c>
      <c r="F824" t="s">
        <v>37</v>
      </c>
      <c r="G824" t="s">
        <v>26</v>
      </c>
      <c r="H824" t="s">
        <v>38</v>
      </c>
      <c r="I824" t="s">
        <v>52</v>
      </c>
      <c r="J824" t="s">
        <v>1633</v>
      </c>
      <c r="K824" t="s">
        <v>50</v>
      </c>
      <c r="L824">
        <v>57000</v>
      </c>
      <c r="M824">
        <v>14.7</v>
      </c>
      <c r="N824">
        <v>9.1999999999999993</v>
      </c>
      <c r="O824">
        <v>8.1</v>
      </c>
      <c r="P824">
        <v>5.6</v>
      </c>
      <c r="Q824">
        <v>4</v>
      </c>
      <c r="R824">
        <v>1</v>
      </c>
      <c r="S824">
        <v>2</v>
      </c>
      <c r="T824" t="s">
        <v>23</v>
      </c>
      <c r="U824">
        <v>4</v>
      </c>
      <c r="W824" t="s">
        <v>1650</v>
      </c>
      <c r="X824" t="s">
        <v>1656</v>
      </c>
      <c r="Y824" t="s">
        <v>1662</v>
      </c>
      <c r="Z824">
        <v>0</v>
      </c>
    </row>
    <row r="825" spans="1:26" x14ac:dyDescent="0.35">
      <c r="A825" t="s">
        <v>1492</v>
      </c>
      <c r="B825" s="6">
        <v>43858</v>
      </c>
      <c r="C825" t="s">
        <v>23</v>
      </c>
      <c r="D825">
        <v>42</v>
      </c>
      <c r="E825" t="s">
        <v>24</v>
      </c>
      <c r="F825" t="s">
        <v>42</v>
      </c>
      <c r="G825" t="s">
        <v>26</v>
      </c>
      <c r="H825" t="s">
        <v>1634</v>
      </c>
      <c r="I825" t="s">
        <v>60</v>
      </c>
      <c r="J825" t="s">
        <v>1633</v>
      </c>
      <c r="K825" t="s">
        <v>40</v>
      </c>
      <c r="L825">
        <v>55000</v>
      </c>
      <c r="M825">
        <v>4.2</v>
      </c>
      <c r="N825">
        <v>13.8</v>
      </c>
      <c r="O825">
        <v>5.9</v>
      </c>
      <c r="P825">
        <v>2.2999999999999998</v>
      </c>
      <c r="Q825">
        <v>4</v>
      </c>
      <c r="R825">
        <v>2</v>
      </c>
      <c r="S825">
        <v>3</v>
      </c>
      <c r="T825" t="s">
        <v>30</v>
      </c>
      <c r="U825">
        <v>4</v>
      </c>
      <c r="W825" t="s">
        <v>1649</v>
      </c>
      <c r="X825" t="s">
        <v>1656</v>
      </c>
      <c r="Y825" t="s">
        <v>1661</v>
      </c>
      <c r="Z825">
        <v>0</v>
      </c>
    </row>
    <row r="826" spans="1:26" x14ac:dyDescent="0.35">
      <c r="A826" t="s">
        <v>288</v>
      </c>
      <c r="B826" s="6">
        <v>45385</v>
      </c>
      <c r="C826" t="s">
        <v>30</v>
      </c>
      <c r="D826">
        <v>45</v>
      </c>
      <c r="E826" t="s">
        <v>62</v>
      </c>
      <c r="F826" t="s">
        <v>37</v>
      </c>
      <c r="G826" t="s">
        <v>54</v>
      </c>
      <c r="H826" t="s">
        <v>68</v>
      </c>
      <c r="I826" t="s">
        <v>109</v>
      </c>
      <c r="J826" t="s">
        <v>1636</v>
      </c>
      <c r="K826" t="s">
        <v>40</v>
      </c>
      <c r="L826">
        <v>102000</v>
      </c>
      <c r="M826">
        <v>4.4000000000000004</v>
      </c>
      <c r="N826">
        <v>2.5</v>
      </c>
      <c r="O826">
        <v>1.4</v>
      </c>
      <c r="P826">
        <v>0.4</v>
      </c>
      <c r="Q826">
        <v>4</v>
      </c>
      <c r="R826">
        <v>3</v>
      </c>
      <c r="S826">
        <v>3</v>
      </c>
      <c r="T826" t="s">
        <v>23</v>
      </c>
      <c r="U826">
        <v>4</v>
      </c>
      <c r="V826" s="7">
        <v>45885</v>
      </c>
      <c r="W826" t="s">
        <v>1649</v>
      </c>
      <c r="X826" t="s">
        <v>1658</v>
      </c>
      <c r="Y826" t="s">
        <v>1665</v>
      </c>
      <c r="Z826">
        <v>1</v>
      </c>
    </row>
    <row r="827" spans="1:26" x14ac:dyDescent="0.35">
      <c r="A827" t="s">
        <v>558</v>
      </c>
      <c r="B827" s="6">
        <v>45379</v>
      </c>
      <c r="C827" t="s">
        <v>30</v>
      </c>
      <c r="D827">
        <v>35</v>
      </c>
      <c r="E827" t="s">
        <v>62</v>
      </c>
      <c r="F827" t="s">
        <v>42</v>
      </c>
      <c r="G827" t="s">
        <v>54</v>
      </c>
      <c r="H827" t="s">
        <v>45</v>
      </c>
      <c r="I827" t="s">
        <v>46</v>
      </c>
      <c r="J827" t="s">
        <v>1633</v>
      </c>
      <c r="K827" t="s">
        <v>66</v>
      </c>
      <c r="L827">
        <v>41000</v>
      </c>
      <c r="M827">
        <v>9.9</v>
      </c>
      <c r="N827">
        <v>8.1999999999999993</v>
      </c>
      <c r="O827">
        <v>1.2</v>
      </c>
      <c r="P827">
        <v>1.1000000000000001</v>
      </c>
      <c r="Q827">
        <v>3</v>
      </c>
      <c r="R827">
        <v>1</v>
      </c>
      <c r="S827">
        <v>4</v>
      </c>
      <c r="T827" t="s">
        <v>23</v>
      </c>
      <c r="U827">
        <v>3</v>
      </c>
      <c r="V827" s="7">
        <v>45832</v>
      </c>
      <c r="W827" t="s">
        <v>1650</v>
      </c>
      <c r="X827" t="s">
        <v>1656</v>
      </c>
      <c r="Y827" t="s">
        <v>1665</v>
      </c>
      <c r="Z827">
        <v>1</v>
      </c>
    </row>
    <row r="828" spans="1:26" x14ac:dyDescent="0.35">
      <c r="A828" t="s">
        <v>1357</v>
      </c>
      <c r="B828" s="6">
        <v>44953</v>
      </c>
      <c r="C828" t="s">
        <v>23</v>
      </c>
      <c r="D828">
        <v>41</v>
      </c>
      <c r="E828" t="s">
        <v>36</v>
      </c>
      <c r="F828" t="s">
        <v>42</v>
      </c>
      <c r="G828" t="s">
        <v>26</v>
      </c>
      <c r="H828" t="s">
        <v>55</v>
      </c>
      <c r="I828" t="s">
        <v>80</v>
      </c>
      <c r="J828" t="s">
        <v>1635</v>
      </c>
      <c r="K828" t="s">
        <v>29</v>
      </c>
      <c r="L828">
        <v>99000</v>
      </c>
      <c r="M828">
        <v>11.1</v>
      </c>
      <c r="N828">
        <v>7.7</v>
      </c>
      <c r="O828">
        <v>2.9</v>
      </c>
      <c r="P828">
        <v>1.1000000000000001</v>
      </c>
      <c r="Q828">
        <v>4</v>
      </c>
      <c r="R828">
        <v>4</v>
      </c>
      <c r="S828">
        <v>3</v>
      </c>
      <c r="T828" t="s">
        <v>30</v>
      </c>
      <c r="U828">
        <v>4</v>
      </c>
      <c r="W828" t="s">
        <v>1649</v>
      </c>
      <c r="X828" t="s">
        <v>1657</v>
      </c>
      <c r="Y828" t="s">
        <v>1665</v>
      </c>
      <c r="Z828">
        <v>0</v>
      </c>
    </row>
    <row r="829" spans="1:26" x14ac:dyDescent="0.35">
      <c r="A829" t="s">
        <v>651</v>
      </c>
      <c r="B829" s="6">
        <v>42783</v>
      </c>
      <c r="C829" t="s">
        <v>23</v>
      </c>
      <c r="D829">
        <v>45</v>
      </c>
      <c r="E829" t="s">
        <v>36</v>
      </c>
      <c r="F829" t="s">
        <v>37</v>
      </c>
      <c r="G829" t="s">
        <v>54</v>
      </c>
      <c r="H829" t="s">
        <v>38</v>
      </c>
      <c r="I829" t="s">
        <v>39</v>
      </c>
      <c r="J829" t="s">
        <v>1636</v>
      </c>
      <c r="K829" t="s">
        <v>40</v>
      </c>
      <c r="L829">
        <v>124000</v>
      </c>
      <c r="M829">
        <v>4.3</v>
      </c>
      <c r="N829">
        <v>14.2</v>
      </c>
      <c r="O829">
        <v>8.9</v>
      </c>
      <c r="P829">
        <v>1.5</v>
      </c>
      <c r="Q829">
        <v>3</v>
      </c>
      <c r="R829">
        <v>3</v>
      </c>
      <c r="S829">
        <v>1</v>
      </c>
      <c r="T829" t="s">
        <v>23</v>
      </c>
      <c r="U829">
        <v>4</v>
      </c>
      <c r="W829" t="s">
        <v>1649</v>
      </c>
      <c r="X829" t="s">
        <v>1658</v>
      </c>
      <c r="Y829" t="s">
        <v>1662</v>
      </c>
      <c r="Z829">
        <v>0</v>
      </c>
    </row>
    <row r="830" spans="1:26" x14ac:dyDescent="0.35">
      <c r="A830" t="s">
        <v>562</v>
      </c>
      <c r="B830" s="6">
        <v>45469</v>
      </c>
      <c r="C830" t="s">
        <v>23</v>
      </c>
      <c r="D830">
        <v>48</v>
      </c>
      <c r="E830" t="s">
        <v>62</v>
      </c>
      <c r="F830" t="s">
        <v>37</v>
      </c>
      <c r="G830" t="s">
        <v>26</v>
      </c>
      <c r="H830" t="s">
        <v>27</v>
      </c>
      <c r="I830" t="s">
        <v>33</v>
      </c>
      <c r="J830" t="s">
        <v>1635</v>
      </c>
      <c r="K830" t="s">
        <v>66</v>
      </c>
      <c r="L830">
        <v>64000</v>
      </c>
      <c r="M830">
        <v>7.6</v>
      </c>
      <c r="N830">
        <v>8.1999999999999993</v>
      </c>
      <c r="O830">
        <v>1.5</v>
      </c>
      <c r="P830">
        <v>0.6</v>
      </c>
      <c r="Q830">
        <v>3</v>
      </c>
      <c r="R830">
        <v>3</v>
      </c>
      <c r="S830">
        <v>4</v>
      </c>
      <c r="T830" t="s">
        <v>23</v>
      </c>
      <c r="U830">
        <v>3</v>
      </c>
      <c r="W830" t="s">
        <v>1652</v>
      </c>
      <c r="X830" t="s">
        <v>1659</v>
      </c>
      <c r="Y830" t="s">
        <v>1665</v>
      </c>
      <c r="Z830">
        <v>0</v>
      </c>
    </row>
    <row r="831" spans="1:26" x14ac:dyDescent="0.35">
      <c r="A831" t="s">
        <v>723</v>
      </c>
      <c r="B831" s="6">
        <v>44893</v>
      </c>
      <c r="C831" t="s">
        <v>23</v>
      </c>
      <c r="D831">
        <v>33</v>
      </c>
      <c r="E831" t="s">
        <v>36</v>
      </c>
      <c r="F831" t="s">
        <v>25</v>
      </c>
      <c r="G831" t="s">
        <v>26</v>
      </c>
      <c r="H831" t="s">
        <v>38</v>
      </c>
      <c r="I831" t="s">
        <v>118</v>
      </c>
      <c r="J831" t="s">
        <v>1637</v>
      </c>
      <c r="K831" t="s">
        <v>34</v>
      </c>
      <c r="L831">
        <v>164000</v>
      </c>
      <c r="M831">
        <v>13.5</v>
      </c>
      <c r="N831">
        <v>9.6</v>
      </c>
      <c r="O831">
        <v>3.1</v>
      </c>
      <c r="P831">
        <v>2.2000000000000002</v>
      </c>
      <c r="Q831">
        <v>3</v>
      </c>
      <c r="R831">
        <v>1</v>
      </c>
      <c r="S831">
        <v>3</v>
      </c>
      <c r="T831" t="s">
        <v>23</v>
      </c>
      <c r="U831">
        <v>3</v>
      </c>
      <c r="W831" t="s">
        <v>1650</v>
      </c>
      <c r="X831" t="s">
        <v>1658</v>
      </c>
      <c r="Y831" t="s">
        <v>1661</v>
      </c>
      <c r="Z831">
        <v>0</v>
      </c>
    </row>
    <row r="832" spans="1:26" x14ac:dyDescent="0.35">
      <c r="A832" t="s">
        <v>1564</v>
      </c>
      <c r="B832" s="6">
        <v>45803</v>
      </c>
      <c r="C832" t="s">
        <v>23</v>
      </c>
      <c r="D832">
        <v>34</v>
      </c>
      <c r="E832" t="s">
        <v>36</v>
      </c>
      <c r="F832" t="s">
        <v>42</v>
      </c>
      <c r="G832" t="s">
        <v>58</v>
      </c>
      <c r="H832" t="s">
        <v>1634</v>
      </c>
      <c r="I832" t="s">
        <v>60</v>
      </c>
      <c r="J832" t="s">
        <v>1635</v>
      </c>
      <c r="K832" t="s">
        <v>84</v>
      </c>
      <c r="L832">
        <v>67000</v>
      </c>
      <c r="M832">
        <v>2.8</v>
      </c>
      <c r="N832">
        <v>1.4</v>
      </c>
      <c r="O832">
        <v>0.6</v>
      </c>
      <c r="P832">
        <v>0</v>
      </c>
      <c r="Q832">
        <v>1</v>
      </c>
      <c r="R832">
        <v>4</v>
      </c>
      <c r="S832">
        <v>3</v>
      </c>
      <c r="T832" t="s">
        <v>23</v>
      </c>
      <c r="U832">
        <v>4</v>
      </c>
      <c r="W832" t="s">
        <v>1650</v>
      </c>
      <c r="X832" t="s">
        <v>1659</v>
      </c>
      <c r="Y832" t="s">
        <v>1664</v>
      </c>
      <c r="Z832">
        <v>0</v>
      </c>
    </row>
    <row r="833" spans="1:26" x14ac:dyDescent="0.35">
      <c r="A833" t="s">
        <v>544</v>
      </c>
      <c r="B833" s="6">
        <v>45709</v>
      </c>
      <c r="C833" t="s">
        <v>23</v>
      </c>
      <c r="D833">
        <v>41</v>
      </c>
      <c r="E833" t="s">
        <v>36</v>
      </c>
      <c r="F833" t="s">
        <v>42</v>
      </c>
      <c r="G833" t="s">
        <v>32</v>
      </c>
      <c r="H833" t="s">
        <v>55</v>
      </c>
      <c r="I833" t="s">
        <v>88</v>
      </c>
      <c r="J833" t="s">
        <v>1633</v>
      </c>
      <c r="K833" t="s">
        <v>34</v>
      </c>
      <c r="L833">
        <v>66000</v>
      </c>
      <c r="M833">
        <v>9</v>
      </c>
      <c r="N833">
        <v>7.2</v>
      </c>
      <c r="O833">
        <v>0.9</v>
      </c>
      <c r="P833">
        <v>0</v>
      </c>
      <c r="Q833">
        <v>4</v>
      </c>
      <c r="R833">
        <v>4</v>
      </c>
      <c r="S833">
        <v>3</v>
      </c>
      <c r="T833" t="s">
        <v>23</v>
      </c>
      <c r="U833">
        <v>3</v>
      </c>
      <c r="W833" t="s">
        <v>1649</v>
      </c>
      <c r="X833" t="s">
        <v>1659</v>
      </c>
      <c r="Y833" t="s">
        <v>1664</v>
      </c>
      <c r="Z833">
        <v>0</v>
      </c>
    </row>
    <row r="834" spans="1:26" x14ac:dyDescent="0.35">
      <c r="A834" t="s">
        <v>224</v>
      </c>
      <c r="B834" s="6">
        <v>45340</v>
      </c>
      <c r="C834" t="s">
        <v>23</v>
      </c>
      <c r="D834">
        <v>25</v>
      </c>
      <c r="E834" t="s">
        <v>36</v>
      </c>
      <c r="F834" t="s">
        <v>25</v>
      </c>
      <c r="G834" t="s">
        <v>54</v>
      </c>
      <c r="H834" t="s">
        <v>1634</v>
      </c>
      <c r="I834" t="s">
        <v>75</v>
      </c>
      <c r="J834" t="s">
        <v>1632</v>
      </c>
      <c r="K834" t="s">
        <v>29</v>
      </c>
      <c r="L834">
        <v>40000</v>
      </c>
      <c r="M834">
        <v>12.7</v>
      </c>
      <c r="N834">
        <v>3.7</v>
      </c>
      <c r="O834">
        <v>1.9</v>
      </c>
      <c r="P834">
        <v>1.6</v>
      </c>
      <c r="Q834">
        <v>4</v>
      </c>
      <c r="R834">
        <v>2</v>
      </c>
      <c r="S834">
        <v>3</v>
      </c>
      <c r="T834" t="s">
        <v>23</v>
      </c>
      <c r="U834">
        <v>4</v>
      </c>
      <c r="W834" t="s">
        <v>1651</v>
      </c>
      <c r="X834" t="s">
        <v>1656</v>
      </c>
      <c r="Y834" t="s">
        <v>1665</v>
      </c>
      <c r="Z834">
        <v>0</v>
      </c>
    </row>
    <row r="835" spans="1:26" x14ac:dyDescent="0.35">
      <c r="A835" t="s">
        <v>996</v>
      </c>
      <c r="B835" s="6">
        <v>42255</v>
      </c>
      <c r="C835" t="s">
        <v>23</v>
      </c>
      <c r="D835">
        <v>44</v>
      </c>
      <c r="E835" t="s">
        <v>36</v>
      </c>
      <c r="F835" t="s">
        <v>25</v>
      </c>
      <c r="G835" t="s">
        <v>58</v>
      </c>
      <c r="H835" t="s">
        <v>55</v>
      </c>
      <c r="I835" t="s">
        <v>80</v>
      </c>
      <c r="J835" t="s">
        <v>1633</v>
      </c>
      <c r="K835" t="s">
        <v>66</v>
      </c>
      <c r="L835">
        <v>67000</v>
      </c>
      <c r="M835">
        <v>14.6</v>
      </c>
      <c r="N835">
        <v>13.2</v>
      </c>
      <c r="O835">
        <v>10.3</v>
      </c>
      <c r="P835">
        <v>1</v>
      </c>
      <c r="Q835">
        <v>3</v>
      </c>
      <c r="R835">
        <v>2</v>
      </c>
      <c r="S835">
        <v>1</v>
      </c>
      <c r="T835" t="s">
        <v>23</v>
      </c>
      <c r="U835">
        <v>3</v>
      </c>
      <c r="W835" t="s">
        <v>1649</v>
      </c>
      <c r="X835" t="s">
        <v>1659</v>
      </c>
      <c r="Y835" t="s">
        <v>1663</v>
      </c>
      <c r="Z835">
        <v>0</v>
      </c>
    </row>
    <row r="836" spans="1:26" x14ac:dyDescent="0.35">
      <c r="A836" t="s">
        <v>1233</v>
      </c>
      <c r="B836" s="6">
        <v>45520</v>
      </c>
      <c r="C836" t="s">
        <v>30</v>
      </c>
      <c r="D836">
        <v>23</v>
      </c>
      <c r="E836" t="s">
        <v>36</v>
      </c>
      <c r="F836" t="s">
        <v>42</v>
      </c>
      <c r="G836" t="s">
        <v>32</v>
      </c>
      <c r="H836" t="s">
        <v>27</v>
      </c>
      <c r="I836" t="s">
        <v>95</v>
      </c>
      <c r="J836" t="s">
        <v>1632</v>
      </c>
      <c r="K836" t="s">
        <v>34</v>
      </c>
      <c r="L836">
        <v>31000</v>
      </c>
      <c r="M836">
        <v>11</v>
      </c>
      <c r="N836">
        <v>8.5</v>
      </c>
      <c r="O836">
        <v>1.2</v>
      </c>
      <c r="P836">
        <v>0.8</v>
      </c>
      <c r="Q836">
        <v>2</v>
      </c>
      <c r="R836">
        <v>4</v>
      </c>
      <c r="S836">
        <v>2</v>
      </c>
      <c r="T836" t="s">
        <v>23</v>
      </c>
      <c r="U836">
        <v>3</v>
      </c>
      <c r="V836" s="7">
        <v>45964</v>
      </c>
      <c r="W836" t="s">
        <v>1651</v>
      </c>
      <c r="X836" t="s">
        <v>1655</v>
      </c>
      <c r="Y836" t="s">
        <v>1665</v>
      </c>
      <c r="Z836">
        <v>1</v>
      </c>
    </row>
    <row r="837" spans="1:26" x14ac:dyDescent="0.35">
      <c r="A837" t="s">
        <v>103</v>
      </c>
      <c r="B837" s="6">
        <v>41765</v>
      </c>
      <c r="C837" t="s">
        <v>23</v>
      </c>
      <c r="D837">
        <v>38</v>
      </c>
      <c r="E837" t="s">
        <v>62</v>
      </c>
      <c r="F837" t="s">
        <v>37</v>
      </c>
      <c r="G837" t="s">
        <v>32</v>
      </c>
      <c r="H837" t="s">
        <v>38</v>
      </c>
      <c r="I837" t="s">
        <v>39</v>
      </c>
      <c r="J837" t="s">
        <v>1635</v>
      </c>
      <c r="K837" t="s">
        <v>40</v>
      </c>
      <c r="L837">
        <v>84000</v>
      </c>
      <c r="M837">
        <v>4.9000000000000004</v>
      </c>
      <c r="N837">
        <v>13.6</v>
      </c>
      <c r="O837">
        <v>11.7</v>
      </c>
      <c r="P837">
        <v>0.9</v>
      </c>
      <c r="Q837">
        <v>2</v>
      </c>
      <c r="R837">
        <v>4</v>
      </c>
      <c r="S837">
        <v>1</v>
      </c>
      <c r="T837" t="s">
        <v>23</v>
      </c>
      <c r="U837">
        <v>3</v>
      </c>
      <c r="W837" t="s">
        <v>1649</v>
      </c>
      <c r="X837" t="s">
        <v>1657</v>
      </c>
      <c r="Y837" t="s">
        <v>1663</v>
      </c>
      <c r="Z837">
        <v>0</v>
      </c>
    </row>
    <row r="838" spans="1:26" x14ac:dyDescent="0.35">
      <c r="A838" t="s">
        <v>481</v>
      </c>
      <c r="B838" s="6">
        <v>45610</v>
      </c>
      <c r="C838" t="s">
        <v>23</v>
      </c>
      <c r="D838">
        <v>26</v>
      </c>
      <c r="E838" t="s">
        <v>24</v>
      </c>
      <c r="F838" t="s">
        <v>25</v>
      </c>
      <c r="G838" t="s">
        <v>54</v>
      </c>
      <c r="H838" t="s">
        <v>48</v>
      </c>
      <c r="I838" t="s">
        <v>49</v>
      </c>
      <c r="J838" t="s">
        <v>1632</v>
      </c>
      <c r="K838" t="s">
        <v>29</v>
      </c>
      <c r="L838">
        <v>50000</v>
      </c>
      <c r="M838">
        <v>7.9</v>
      </c>
      <c r="N838">
        <v>5</v>
      </c>
      <c r="O838">
        <v>1.1000000000000001</v>
      </c>
      <c r="P838">
        <v>0.5</v>
      </c>
      <c r="Q838">
        <v>4</v>
      </c>
      <c r="R838">
        <v>3</v>
      </c>
      <c r="S838">
        <v>4</v>
      </c>
      <c r="T838" t="s">
        <v>23</v>
      </c>
      <c r="U838">
        <v>3</v>
      </c>
      <c r="W838" t="s">
        <v>1650</v>
      </c>
      <c r="X838" t="s">
        <v>1656</v>
      </c>
      <c r="Y838" t="s">
        <v>1665</v>
      </c>
      <c r="Z838">
        <v>0</v>
      </c>
    </row>
    <row r="839" spans="1:26" x14ac:dyDescent="0.35">
      <c r="A839" t="s">
        <v>863</v>
      </c>
      <c r="B839" s="6">
        <v>42893</v>
      </c>
      <c r="C839" t="s">
        <v>23</v>
      </c>
      <c r="D839">
        <v>38</v>
      </c>
      <c r="E839" t="s">
        <v>62</v>
      </c>
      <c r="F839" t="s">
        <v>37</v>
      </c>
      <c r="G839" t="s">
        <v>58</v>
      </c>
      <c r="H839" t="s">
        <v>27</v>
      </c>
      <c r="I839" t="s">
        <v>33</v>
      </c>
      <c r="J839" t="s">
        <v>1635</v>
      </c>
      <c r="K839" t="s">
        <v>29</v>
      </c>
      <c r="L839">
        <v>72000</v>
      </c>
      <c r="M839">
        <v>6.9</v>
      </c>
      <c r="N839">
        <v>11.5</v>
      </c>
      <c r="O839">
        <v>8.6</v>
      </c>
      <c r="P839">
        <v>5.4</v>
      </c>
      <c r="Q839">
        <v>4</v>
      </c>
      <c r="R839">
        <v>4</v>
      </c>
      <c r="S839">
        <v>3</v>
      </c>
      <c r="T839" t="s">
        <v>23</v>
      </c>
      <c r="U839">
        <v>3</v>
      </c>
      <c r="W839" t="s">
        <v>1649</v>
      </c>
      <c r="X839" t="s">
        <v>1659</v>
      </c>
      <c r="Y839" t="s">
        <v>1662</v>
      </c>
      <c r="Z839">
        <v>0</v>
      </c>
    </row>
    <row r="840" spans="1:26" x14ac:dyDescent="0.35">
      <c r="A840" t="s">
        <v>729</v>
      </c>
      <c r="B840" s="6">
        <v>41992</v>
      </c>
      <c r="C840" t="s">
        <v>23</v>
      </c>
      <c r="D840">
        <v>36</v>
      </c>
      <c r="E840" t="s">
        <v>62</v>
      </c>
      <c r="F840" t="s">
        <v>37</v>
      </c>
      <c r="G840" t="s">
        <v>54</v>
      </c>
      <c r="H840" t="s">
        <v>55</v>
      </c>
      <c r="I840" t="s">
        <v>179</v>
      </c>
      <c r="J840" t="s">
        <v>1632</v>
      </c>
      <c r="K840" t="s">
        <v>84</v>
      </c>
      <c r="L840">
        <v>40000</v>
      </c>
      <c r="M840">
        <v>6.6</v>
      </c>
      <c r="N840">
        <v>11.9</v>
      </c>
      <c r="O840">
        <v>11</v>
      </c>
      <c r="P840">
        <v>5</v>
      </c>
      <c r="Q840">
        <v>3</v>
      </c>
      <c r="R840">
        <v>2</v>
      </c>
      <c r="S840">
        <v>3</v>
      </c>
      <c r="T840" t="s">
        <v>23</v>
      </c>
      <c r="U840">
        <v>4</v>
      </c>
      <c r="W840" t="s">
        <v>1649</v>
      </c>
      <c r="X840" t="s">
        <v>1656</v>
      </c>
      <c r="Y840" t="s">
        <v>1663</v>
      </c>
      <c r="Z840">
        <v>0</v>
      </c>
    </row>
    <row r="841" spans="1:26" x14ac:dyDescent="0.35">
      <c r="A841" t="s">
        <v>1445</v>
      </c>
      <c r="B841" s="6">
        <v>44042</v>
      </c>
      <c r="C841" t="s">
        <v>23</v>
      </c>
      <c r="D841">
        <v>34</v>
      </c>
      <c r="E841" t="s">
        <v>62</v>
      </c>
      <c r="F841" t="s">
        <v>37</v>
      </c>
      <c r="G841" t="s">
        <v>26</v>
      </c>
      <c r="H841" t="s">
        <v>27</v>
      </c>
      <c r="I841" t="s">
        <v>43</v>
      </c>
      <c r="J841" t="s">
        <v>1635</v>
      </c>
      <c r="K841" t="s">
        <v>29</v>
      </c>
      <c r="L841">
        <v>54000</v>
      </c>
      <c r="M841">
        <v>10.8</v>
      </c>
      <c r="N841">
        <v>5.6</v>
      </c>
      <c r="O841">
        <v>5.4</v>
      </c>
      <c r="P841">
        <v>2.4</v>
      </c>
      <c r="Q841">
        <v>1</v>
      </c>
      <c r="R841">
        <v>3</v>
      </c>
      <c r="S841">
        <v>4</v>
      </c>
      <c r="T841" t="s">
        <v>23</v>
      </c>
      <c r="U841">
        <v>3</v>
      </c>
      <c r="W841" t="s">
        <v>1650</v>
      </c>
      <c r="X841" t="s">
        <v>1656</v>
      </c>
      <c r="Y841" t="s">
        <v>1661</v>
      </c>
      <c r="Z841">
        <v>0</v>
      </c>
    </row>
    <row r="842" spans="1:26" x14ac:dyDescent="0.35">
      <c r="A842" t="s">
        <v>834</v>
      </c>
      <c r="B842" s="6">
        <v>44274</v>
      </c>
      <c r="C842" t="s">
        <v>23</v>
      </c>
      <c r="D842">
        <v>25</v>
      </c>
      <c r="E842" t="s">
        <v>36</v>
      </c>
      <c r="F842" t="s">
        <v>37</v>
      </c>
      <c r="G842" t="s">
        <v>54</v>
      </c>
      <c r="H842" t="s">
        <v>68</v>
      </c>
      <c r="I842" t="s">
        <v>102</v>
      </c>
      <c r="J842" t="s">
        <v>1632</v>
      </c>
      <c r="K842" t="s">
        <v>84</v>
      </c>
      <c r="L842">
        <v>22000</v>
      </c>
      <c r="M842">
        <v>1.8</v>
      </c>
      <c r="N842">
        <v>5</v>
      </c>
      <c r="O842">
        <v>4.8</v>
      </c>
      <c r="P842">
        <v>2.9</v>
      </c>
      <c r="Q842">
        <v>3</v>
      </c>
      <c r="R842">
        <v>3</v>
      </c>
      <c r="S842">
        <v>4</v>
      </c>
      <c r="T842" t="s">
        <v>30</v>
      </c>
      <c r="U842">
        <v>2</v>
      </c>
      <c r="W842" t="s">
        <v>1651</v>
      </c>
      <c r="X842" t="s">
        <v>1655</v>
      </c>
      <c r="Y842" t="s">
        <v>1661</v>
      </c>
      <c r="Z842">
        <v>0</v>
      </c>
    </row>
    <row r="843" spans="1:26" x14ac:dyDescent="0.35">
      <c r="A843" t="s">
        <v>1098</v>
      </c>
      <c r="B843" s="6">
        <v>44310</v>
      </c>
      <c r="C843" t="s">
        <v>23</v>
      </c>
      <c r="D843">
        <v>28</v>
      </c>
      <c r="E843" t="s">
        <v>62</v>
      </c>
      <c r="F843" t="s">
        <v>42</v>
      </c>
      <c r="G843" t="s">
        <v>26</v>
      </c>
      <c r="H843" t="s">
        <v>27</v>
      </c>
      <c r="I843" t="s">
        <v>28</v>
      </c>
      <c r="J843" t="s">
        <v>1633</v>
      </c>
      <c r="K843" t="s">
        <v>50</v>
      </c>
      <c r="L843">
        <v>68000</v>
      </c>
      <c r="M843">
        <v>6.9</v>
      </c>
      <c r="N843">
        <v>9</v>
      </c>
      <c r="O843">
        <v>4.7</v>
      </c>
      <c r="P843">
        <v>3.2</v>
      </c>
      <c r="Q843">
        <v>4</v>
      </c>
      <c r="R843">
        <v>3</v>
      </c>
      <c r="S843">
        <v>1</v>
      </c>
      <c r="T843" t="s">
        <v>23</v>
      </c>
      <c r="U843">
        <v>4</v>
      </c>
      <c r="W843" t="s">
        <v>1650</v>
      </c>
      <c r="X843" t="s">
        <v>1659</v>
      </c>
      <c r="Y843" t="s">
        <v>1661</v>
      </c>
      <c r="Z843">
        <v>0</v>
      </c>
    </row>
    <row r="844" spans="1:26" x14ac:dyDescent="0.35">
      <c r="A844" t="s">
        <v>1411</v>
      </c>
      <c r="B844" s="6">
        <v>42792</v>
      </c>
      <c r="C844" t="s">
        <v>23</v>
      </c>
      <c r="D844">
        <v>36</v>
      </c>
      <c r="E844" t="s">
        <v>24</v>
      </c>
      <c r="F844" t="s">
        <v>42</v>
      </c>
      <c r="G844" t="s">
        <v>26</v>
      </c>
      <c r="H844" t="s">
        <v>27</v>
      </c>
      <c r="I844" t="s">
        <v>43</v>
      </c>
      <c r="J844" t="s">
        <v>1635</v>
      </c>
      <c r="K844" t="s">
        <v>50</v>
      </c>
      <c r="L844">
        <v>75000</v>
      </c>
      <c r="M844">
        <v>8.6999999999999993</v>
      </c>
      <c r="N844">
        <v>14.9</v>
      </c>
      <c r="O844">
        <v>8.8000000000000007</v>
      </c>
      <c r="P844">
        <v>1.1000000000000001</v>
      </c>
      <c r="Q844">
        <v>2</v>
      </c>
      <c r="R844">
        <v>2</v>
      </c>
      <c r="S844">
        <v>3</v>
      </c>
      <c r="T844" t="s">
        <v>23</v>
      </c>
      <c r="U844">
        <v>3</v>
      </c>
      <c r="W844" t="s">
        <v>1649</v>
      </c>
      <c r="X844" t="s">
        <v>1659</v>
      </c>
      <c r="Y844" t="s">
        <v>1662</v>
      </c>
      <c r="Z844">
        <v>0</v>
      </c>
    </row>
    <row r="845" spans="1:26" x14ac:dyDescent="0.35">
      <c r="A845" t="s">
        <v>1544</v>
      </c>
      <c r="B845" s="6">
        <v>44284</v>
      </c>
      <c r="C845" t="s">
        <v>23</v>
      </c>
      <c r="D845">
        <v>43</v>
      </c>
      <c r="E845" t="s">
        <v>36</v>
      </c>
      <c r="F845" t="s">
        <v>42</v>
      </c>
      <c r="G845" t="s">
        <v>32</v>
      </c>
      <c r="H845" t="s">
        <v>48</v>
      </c>
      <c r="I845" t="s">
        <v>201</v>
      </c>
      <c r="J845" t="s">
        <v>1636</v>
      </c>
      <c r="K845" t="s">
        <v>40</v>
      </c>
      <c r="L845">
        <v>131000</v>
      </c>
      <c r="M845">
        <v>2.2999999999999998</v>
      </c>
      <c r="N845">
        <v>7.2</v>
      </c>
      <c r="O845">
        <v>4.8</v>
      </c>
      <c r="P845">
        <v>0.9</v>
      </c>
      <c r="Q845">
        <v>4</v>
      </c>
      <c r="R845">
        <v>3</v>
      </c>
      <c r="S845">
        <v>2</v>
      </c>
      <c r="T845" t="s">
        <v>23</v>
      </c>
      <c r="U845">
        <v>2</v>
      </c>
      <c r="W845" t="s">
        <v>1649</v>
      </c>
      <c r="X845" t="s">
        <v>1658</v>
      </c>
      <c r="Y845" t="s">
        <v>1661</v>
      </c>
      <c r="Z845">
        <v>0</v>
      </c>
    </row>
    <row r="846" spans="1:26" x14ac:dyDescent="0.35">
      <c r="A846" t="s">
        <v>1380</v>
      </c>
      <c r="B846" s="6">
        <v>42975</v>
      </c>
      <c r="C846" t="s">
        <v>23</v>
      </c>
      <c r="D846">
        <v>31</v>
      </c>
      <c r="E846" t="s">
        <v>62</v>
      </c>
      <c r="F846" t="s">
        <v>37</v>
      </c>
      <c r="G846" t="s">
        <v>26</v>
      </c>
      <c r="H846" t="s">
        <v>68</v>
      </c>
      <c r="I846" t="s">
        <v>102</v>
      </c>
      <c r="J846" t="s">
        <v>1633</v>
      </c>
      <c r="K846" t="s">
        <v>84</v>
      </c>
      <c r="L846">
        <v>44000</v>
      </c>
      <c r="M846">
        <v>11</v>
      </c>
      <c r="N846">
        <v>16.2</v>
      </c>
      <c r="O846">
        <v>8.3000000000000007</v>
      </c>
      <c r="P846">
        <v>0.4</v>
      </c>
      <c r="Q846">
        <v>1</v>
      </c>
      <c r="R846">
        <v>3</v>
      </c>
      <c r="S846">
        <v>2</v>
      </c>
      <c r="T846" t="s">
        <v>23</v>
      </c>
      <c r="U846">
        <v>5</v>
      </c>
      <c r="W846" t="s">
        <v>1650</v>
      </c>
      <c r="X846" t="s">
        <v>1656</v>
      </c>
      <c r="Y846" t="s">
        <v>1662</v>
      </c>
      <c r="Z846">
        <v>0</v>
      </c>
    </row>
    <row r="847" spans="1:26" x14ac:dyDescent="0.35">
      <c r="A847" t="s">
        <v>1381</v>
      </c>
      <c r="B847" s="6">
        <v>42045</v>
      </c>
      <c r="C847" t="s">
        <v>23</v>
      </c>
      <c r="D847">
        <v>48</v>
      </c>
      <c r="E847" t="s">
        <v>62</v>
      </c>
      <c r="F847" t="s">
        <v>37</v>
      </c>
      <c r="G847" t="s">
        <v>58</v>
      </c>
      <c r="H847" t="s">
        <v>48</v>
      </c>
      <c r="I847" t="s">
        <v>129</v>
      </c>
      <c r="J847" t="s">
        <v>1632</v>
      </c>
      <c r="K847" t="s">
        <v>66</v>
      </c>
      <c r="L847">
        <v>46000</v>
      </c>
      <c r="M847">
        <v>9.9</v>
      </c>
      <c r="N847">
        <v>12.4</v>
      </c>
      <c r="O847">
        <v>10.9</v>
      </c>
      <c r="P847">
        <v>3.7</v>
      </c>
      <c r="Q847">
        <v>4</v>
      </c>
      <c r="R847">
        <v>2</v>
      </c>
      <c r="S847">
        <v>2</v>
      </c>
      <c r="T847" t="s">
        <v>23</v>
      </c>
      <c r="U847">
        <v>3</v>
      </c>
      <c r="W847" t="s">
        <v>1652</v>
      </c>
      <c r="X847" t="s">
        <v>1656</v>
      </c>
      <c r="Y847" t="s">
        <v>1663</v>
      </c>
      <c r="Z847">
        <v>0</v>
      </c>
    </row>
    <row r="848" spans="1:26" x14ac:dyDescent="0.35">
      <c r="A848" t="s">
        <v>100</v>
      </c>
      <c r="B848" s="6">
        <v>42154</v>
      </c>
      <c r="C848" t="s">
        <v>23</v>
      </c>
      <c r="D848">
        <v>41</v>
      </c>
      <c r="E848" t="s">
        <v>36</v>
      </c>
      <c r="F848" t="s">
        <v>42</v>
      </c>
      <c r="G848" t="s">
        <v>26</v>
      </c>
      <c r="H848" t="s">
        <v>55</v>
      </c>
      <c r="I848" t="s">
        <v>80</v>
      </c>
      <c r="J848" t="s">
        <v>1635</v>
      </c>
      <c r="K848" t="s">
        <v>84</v>
      </c>
      <c r="L848">
        <v>85000</v>
      </c>
      <c r="M848">
        <v>5.7</v>
      </c>
      <c r="N848">
        <v>10.8</v>
      </c>
      <c r="O848">
        <v>10.6</v>
      </c>
      <c r="P848">
        <v>0.2</v>
      </c>
      <c r="Q848">
        <v>2</v>
      </c>
      <c r="R848">
        <v>3</v>
      </c>
      <c r="S848">
        <v>4</v>
      </c>
      <c r="T848" t="s">
        <v>30</v>
      </c>
      <c r="U848">
        <v>5</v>
      </c>
      <c r="W848" t="s">
        <v>1649</v>
      </c>
      <c r="X848" t="s">
        <v>1657</v>
      </c>
      <c r="Y848" t="s">
        <v>1663</v>
      </c>
      <c r="Z848">
        <v>0</v>
      </c>
    </row>
    <row r="849" spans="1:26" x14ac:dyDescent="0.35">
      <c r="A849" t="s">
        <v>732</v>
      </c>
      <c r="B849" s="6">
        <v>45198</v>
      </c>
      <c r="C849" t="s">
        <v>30</v>
      </c>
      <c r="D849">
        <v>39</v>
      </c>
      <c r="E849" t="s">
        <v>36</v>
      </c>
      <c r="F849" t="s">
        <v>37</v>
      </c>
      <c r="G849" t="s">
        <v>26</v>
      </c>
      <c r="H849" t="s">
        <v>45</v>
      </c>
      <c r="I849" t="s">
        <v>97</v>
      </c>
      <c r="J849" t="s">
        <v>1635</v>
      </c>
      <c r="K849" t="s">
        <v>84</v>
      </c>
      <c r="L849">
        <v>73000</v>
      </c>
      <c r="M849">
        <v>2.7</v>
      </c>
      <c r="N849">
        <v>9.5</v>
      </c>
      <c r="O849">
        <v>2.1</v>
      </c>
      <c r="P849">
        <v>2</v>
      </c>
      <c r="Q849">
        <v>2</v>
      </c>
      <c r="R849">
        <v>4</v>
      </c>
      <c r="S849">
        <v>3</v>
      </c>
      <c r="T849" t="s">
        <v>30</v>
      </c>
      <c r="U849">
        <v>3</v>
      </c>
      <c r="V849" s="7">
        <v>45971</v>
      </c>
      <c r="W849" t="s">
        <v>1649</v>
      </c>
      <c r="X849" t="s">
        <v>1659</v>
      </c>
      <c r="Y849" t="s">
        <v>1665</v>
      </c>
      <c r="Z849">
        <v>1</v>
      </c>
    </row>
    <row r="850" spans="1:26" x14ac:dyDescent="0.35">
      <c r="A850" t="s">
        <v>1425</v>
      </c>
      <c r="B850" s="6">
        <v>41809</v>
      </c>
      <c r="C850" t="s">
        <v>30</v>
      </c>
      <c r="D850">
        <v>32</v>
      </c>
      <c r="E850" t="s">
        <v>62</v>
      </c>
      <c r="F850" t="s">
        <v>37</v>
      </c>
      <c r="G850" t="s">
        <v>26</v>
      </c>
      <c r="H850" t="s">
        <v>55</v>
      </c>
      <c r="I850" t="s">
        <v>88</v>
      </c>
      <c r="J850" t="s">
        <v>1633</v>
      </c>
      <c r="K850" t="s">
        <v>29</v>
      </c>
      <c r="L850">
        <v>61000</v>
      </c>
      <c r="M850">
        <v>16.899999999999999</v>
      </c>
      <c r="N850">
        <v>18</v>
      </c>
      <c r="O850">
        <v>10.6</v>
      </c>
      <c r="P850">
        <v>5.5</v>
      </c>
      <c r="Q850">
        <v>4</v>
      </c>
      <c r="R850">
        <v>4</v>
      </c>
      <c r="S850">
        <v>4</v>
      </c>
      <c r="T850" t="s">
        <v>23</v>
      </c>
      <c r="U850">
        <v>4</v>
      </c>
      <c r="V850" s="7">
        <v>45688</v>
      </c>
      <c r="W850" t="s">
        <v>1650</v>
      </c>
      <c r="X850" t="s">
        <v>1659</v>
      </c>
      <c r="Y850" t="s">
        <v>1663</v>
      </c>
      <c r="Z850">
        <v>1</v>
      </c>
    </row>
    <row r="851" spans="1:26" x14ac:dyDescent="0.35">
      <c r="A851" t="s">
        <v>887</v>
      </c>
      <c r="B851" s="6">
        <v>43507</v>
      </c>
      <c r="C851" t="s">
        <v>23</v>
      </c>
      <c r="D851">
        <v>37</v>
      </c>
      <c r="E851" t="s">
        <v>62</v>
      </c>
      <c r="F851" t="s">
        <v>42</v>
      </c>
      <c r="G851" t="s">
        <v>54</v>
      </c>
      <c r="H851" t="s">
        <v>45</v>
      </c>
      <c r="I851" t="s">
        <v>77</v>
      </c>
      <c r="J851" t="s">
        <v>1636</v>
      </c>
      <c r="K851" t="s">
        <v>34</v>
      </c>
      <c r="L851">
        <v>117000</v>
      </c>
      <c r="M851">
        <v>18.100000000000001</v>
      </c>
      <c r="N851">
        <v>12</v>
      </c>
      <c r="O851">
        <v>6.9</v>
      </c>
      <c r="P851">
        <v>1.7</v>
      </c>
      <c r="Q851">
        <v>3</v>
      </c>
      <c r="R851">
        <v>2</v>
      </c>
      <c r="S851">
        <v>4</v>
      </c>
      <c r="T851" t="s">
        <v>23</v>
      </c>
      <c r="U851">
        <v>3</v>
      </c>
      <c r="W851" t="s">
        <v>1649</v>
      </c>
      <c r="X851" t="s">
        <v>1658</v>
      </c>
      <c r="Y851" t="s">
        <v>1662</v>
      </c>
      <c r="Z851">
        <v>0</v>
      </c>
    </row>
    <row r="852" spans="1:26" x14ac:dyDescent="0.35">
      <c r="A852" t="s">
        <v>1006</v>
      </c>
      <c r="B852" s="6">
        <v>43814</v>
      </c>
      <c r="C852" t="s">
        <v>23</v>
      </c>
      <c r="D852">
        <v>36</v>
      </c>
      <c r="E852" t="s">
        <v>24</v>
      </c>
      <c r="F852" t="s">
        <v>37</v>
      </c>
      <c r="G852" t="s">
        <v>26</v>
      </c>
      <c r="H852" t="s">
        <v>48</v>
      </c>
      <c r="I852" t="s">
        <v>63</v>
      </c>
      <c r="J852" t="s">
        <v>1635</v>
      </c>
      <c r="K852" t="s">
        <v>84</v>
      </c>
      <c r="L852">
        <v>85000</v>
      </c>
      <c r="M852">
        <v>9.8000000000000007</v>
      </c>
      <c r="N852">
        <v>10</v>
      </c>
      <c r="O852">
        <v>6</v>
      </c>
      <c r="P852">
        <v>4.7</v>
      </c>
      <c r="Q852">
        <v>3</v>
      </c>
      <c r="R852">
        <v>3</v>
      </c>
      <c r="S852">
        <v>3</v>
      </c>
      <c r="T852" t="s">
        <v>23</v>
      </c>
      <c r="U852">
        <v>2</v>
      </c>
      <c r="W852" t="s">
        <v>1649</v>
      </c>
      <c r="X852" t="s">
        <v>1657</v>
      </c>
      <c r="Y852" t="s">
        <v>1661</v>
      </c>
      <c r="Z852">
        <v>0</v>
      </c>
    </row>
    <row r="853" spans="1:26" x14ac:dyDescent="0.35">
      <c r="A853" t="s">
        <v>260</v>
      </c>
      <c r="B853" s="6">
        <v>42754</v>
      </c>
      <c r="C853" t="s">
        <v>23</v>
      </c>
      <c r="D853">
        <v>36</v>
      </c>
      <c r="E853" t="s">
        <v>62</v>
      </c>
      <c r="F853" t="s">
        <v>25</v>
      </c>
      <c r="G853" t="s">
        <v>32</v>
      </c>
      <c r="H853" t="s">
        <v>27</v>
      </c>
      <c r="I853" t="s">
        <v>95</v>
      </c>
      <c r="J853" t="s">
        <v>1635</v>
      </c>
      <c r="K853" t="s">
        <v>66</v>
      </c>
      <c r="L853">
        <v>51000</v>
      </c>
      <c r="M853">
        <v>11.7</v>
      </c>
      <c r="N853">
        <v>10.5</v>
      </c>
      <c r="O853">
        <v>8.9</v>
      </c>
      <c r="P853">
        <v>5.8</v>
      </c>
      <c r="Q853">
        <v>1</v>
      </c>
      <c r="R853">
        <v>1</v>
      </c>
      <c r="S853">
        <v>4</v>
      </c>
      <c r="T853" t="s">
        <v>23</v>
      </c>
      <c r="U853">
        <v>5</v>
      </c>
      <c r="W853" t="s">
        <v>1649</v>
      </c>
      <c r="X853" t="s">
        <v>1656</v>
      </c>
      <c r="Y853" t="s">
        <v>1662</v>
      </c>
      <c r="Z853">
        <v>0</v>
      </c>
    </row>
    <row r="854" spans="1:26" x14ac:dyDescent="0.35">
      <c r="A854" t="s">
        <v>775</v>
      </c>
      <c r="B854" s="6">
        <v>45527</v>
      </c>
      <c r="C854" t="s">
        <v>23</v>
      </c>
      <c r="D854">
        <v>31</v>
      </c>
      <c r="E854" t="s">
        <v>36</v>
      </c>
      <c r="F854" t="s">
        <v>37</v>
      </c>
      <c r="G854" t="s">
        <v>26</v>
      </c>
      <c r="H854" t="s">
        <v>68</v>
      </c>
      <c r="I854" t="s">
        <v>102</v>
      </c>
      <c r="J854" t="s">
        <v>1636</v>
      </c>
      <c r="K854" t="s">
        <v>84</v>
      </c>
      <c r="L854">
        <v>129000</v>
      </c>
      <c r="M854">
        <v>6.3</v>
      </c>
      <c r="N854">
        <v>1.9</v>
      </c>
      <c r="O854">
        <v>1.4</v>
      </c>
      <c r="P854">
        <v>0.3</v>
      </c>
      <c r="Q854">
        <v>4</v>
      </c>
      <c r="R854">
        <v>2</v>
      </c>
      <c r="S854">
        <v>3</v>
      </c>
      <c r="T854" t="s">
        <v>23</v>
      </c>
      <c r="U854">
        <v>1</v>
      </c>
      <c r="W854" t="s">
        <v>1650</v>
      </c>
      <c r="X854" t="s">
        <v>1658</v>
      </c>
      <c r="Y854" t="s">
        <v>1665</v>
      </c>
      <c r="Z854">
        <v>0</v>
      </c>
    </row>
    <row r="855" spans="1:26" x14ac:dyDescent="0.35">
      <c r="A855" t="s">
        <v>814</v>
      </c>
      <c r="B855" s="6">
        <v>42002</v>
      </c>
      <c r="C855" t="s">
        <v>23</v>
      </c>
      <c r="D855">
        <v>47</v>
      </c>
      <c r="E855" t="s">
        <v>62</v>
      </c>
      <c r="F855" t="s">
        <v>25</v>
      </c>
      <c r="G855" t="s">
        <v>58</v>
      </c>
      <c r="H855" t="s">
        <v>38</v>
      </c>
      <c r="I855" t="s">
        <v>139</v>
      </c>
      <c r="J855" t="s">
        <v>1635</v>
      </c>
      <c r="K855" t="s">
        <v>34</v>
      </c>
      <c r="L855">
        <v>79000</v>
      </c>
      <c r="M855">
        <v>6.8</v>
      </c>
      <c r="N855">
        <v>12.8</v>
      </c>
      <c r="O855">
        <v>11</v>
      </c>
      <c r="P855">
        <v>5.5</v>
      </c>
      <c r="Q855">
        <v>2</v>
      </c>
      <c r="R855">
        <v>3</v>
      </c>
      <c r="S855">
        <v>2</v>
      </c>
      <c r="T855" t="s">
        <v>23</v>
      </c>
      <c r="U855">
        <v>4</v>
      </c>
      <c r="W855" t="s">
        <v>1652</v>
      </c>
      <c r="X855" t="s">
        <v>1659</v>
      </c>
      <c r="Y855" t="s">
        <v>1663</v>
      </c>
      <c r="Z855">
        <v>0</v>
      </c>
    </row>
    <row r="856" spans="1:26" x14ac:dyDescent="0.35">
      <c r="A856" t="s">
        <v>1031</v>
      </c>
      <c r="B856" s="6">
        <v>42158</v>
      </c>
      <c r="C856" t="s">
        <v>23</v>
      </c>
      <c r="D856">
        <v>39</v>
      </c>
      <c r="E856" t="s">
        <v>36</v>
      </c>
      <c r="F856" t="s">
        <v>42</v>
      </c>
      <c r="G856" t="s">
        <v>26</v>
      </c>
      <c r="H856" t="s">
        <v>45</v>
      </c>
      <c r="I856" t="s">
        <v>77</v>
      </c>
      <c r="J856" t="s">
        <v>1633</v>
      </c>
      <c r="K856" t="s">
        <v>29</v>
      </c>
      <c r="L856">
        <v>51000</v>
      </c>
      <c r="M856">
        <v>3.8</v>
      </c>
      <c r="N856">
        <v>13.9</v>
      </c>
      <c r="O856">
        <v>10.6</v>
      </c>
      <c r="P856">
        <v>2.5</v>
      </c>
      <c r="Q856">
        <v>3</v>
      </c>
      <c r="R856">
        <v>3</v>
      </c>
      <c r="S856">
        <v>4</v>
      </c>
      <c r="T856" t="s">
        <v>23</v>
      </c>
      <c r="U856">
        <v>4</v>
      </c>
      <c r="W856" t="s">
        <v>1649</v>
      </c>
      <c r="X856" t="s">
        <v>1656</v>
      </c>
      <c r="Y856" t="s">
        <v>1663</v>
      </c>
      <c r="Z856">
        <v>0</v>
      </c>
    </row>
    <row r="857" spans="1:26" x14ac:dyDescent="0.35">
      <c r="A857" t="s">
        <v>362</v>
      </c>
      <c r="B857" s="6">
        <v>43475</v>
      </c>
      <c r="C857" t="s">
        <v>30</v>
      </c>
      <c r="D857">
        <v>29</v>
      </c>
      <c r="E857" t="s">
        <v>62</v>
      </c>
      <c r="F857" t="s">
        <v>42</v>
      </c>
      <c r="G857" t="s">
        <v>54</v>
      </c>
      <c r="H857" t="s">
        <v>45</v>
      </c>
      <c r="I857" t="s">
        <v>46</v>
      </c>
      <c r="J857" t="s">
        <v>1632</v>
      </c>
      <c r="K857" t="s">
        <v>84</v>
      </c>
      <c r="L857">
        <v>31000</v>
      </c>
      <c r="M857">
        <v>10.7</v>
      </c>
      <c r="N857">
        <v>7.1</v>
      </c>
      <c r="O857">
        <v>6.1</v>
      </c>
      <c r="P857">
        <v>5.4</v>
      </c>
      <c r="Q857">
        <v>3</v>
      </c>
      <c r="R857">
        <v>3</v>
      </c>
      <c r="S857">
        <v>2</v>
      </c>
      <c r="T857" t="s">
        <v>30</v>
      </c>
      <c r="U857">
        <v>3</v>
      </c>
      <c r="V857" s="7">
        <v>45716</v>
      </c>
      <c r="W857" t="s">
        <v>1650</v>
      </c>
      <c r="X857" t="s">
        <v>1655</v>
      </c>
      <c r="Y857" t="s">
        <v>1662</v>
      </c>
      <c r="Z857">
        <v>1</v>
      </c>
    </row>
    <row r="858" spans="1:26" x14ac:dyDescent="0.35">
      <c r="A858" t="s">
        <v>958</v>
      </c>
      <c r="B858" s="6">
        <v>45840</v>
      </c>
      <c r="C858" t="s">
        <v>30</v>
      </c>
      <c r="D858">
        <v>21</v>
      </c>
      <c r="E858" t="s">
        <v>62</v>
      </c>
      <c r="F858" t="s">
        <v>37</v>
      </c>
      <c r="G858" t="s">
        <v>54</v>
      </c>
      <c r="H858" t="s">
        <v>27</v>
      </c>
      <c r="I858" t="s">
        <v>28</v>
      </c>
      <c r="J858" t="s">
        <v>1632</v>
      </c>
      <c r="K858" t="s">
        <v>34</v>
      </c>
      <c r="L858">
        <v>42000</v>
      </c>
      <c r="M858">
        <v>10</v>
      </c>
      <c r="N858">
        <v>7.5</v>
      </c>
      <c r="O858">
        <v>0.5</v>
      </c>
      <c r="P858">
        <v>0</v>
      </c>
      <c r="Q858">
        <v>2</v>
      </c>
      <c r="R858">
        <v>2</v>
      </c>
      <c r="S858">
        <v>4</v>
      </c>
      <c r="T858" t="s">
        <v>23</v>
      </c>
      <c r="U858">
        <v>3</v>
      </c>
      <c r="V858" s="7">
        <v>46005</v>
      </c>
      <c r="W858" t="s">
        <v>1651</v>
      </c>
      <c r="X858" t="s">
        <v>1656</v>
      </c>
      <c r="Y858" t="s">
        <v>1664</v>
      </c>
      <c r="Z858">
        <v>1</v>
      </c>
    </row>
    <row r="859" spans="1:26" x14ac:dyDescent="0.35">
      <c r="A859" t="s">
        <v>489</v>
      </c>
      <c r="B859" s="6">
        <v>42353</v>
      </c>
      <c r="C859" t="s">
        <v>23</v>
      </c>
      <c r="D859">
        <v>36</v>
      </c>
      <c r="E859" t="s">
        <v>24</v>
      </c>
      <c r="F859" t="s">
        <v>25</v>
      </c>
      <c r="G859" t="s">
        <v>32</v>
      </c>
      <c r="H859" t="s">
        <v>38</v>
      </c>
      <c r="I859" t="s">
        <v>118</v>
      </c>
      <c r="J859" t="s">
        <v>1633</v>
      </c>
      <c r="K859" t="s">
        <v>40</v>
      </c>
      <c r="L859">
        <v>69000</v>
      </c>
      <c r="M859">
        <v>10.9</v>
      </c>
      <c r="N859">
        <v>12</v>
      </c>
      <c r="O859">
        <v>10</v>
      </c>
      <c r="P859">
        <v>3.7</v>
      </c>
      <c r="Q859">
        <v>4</v>
      </c>
      <c r="R859">
        <v>3</v>
      </c>
      <c r="S859">
        <v>2</v>
      </c>
      <c r="T859" t="s">
        <v>30</v>
      </c>
      <c r="U859">
        <v>4</v>
      </c>
      <c r="W859" t="s">
        <v>1649</v>
      </c>
      <c r="X859" t="s">
        <v>1659</v>
      </c>
      <c r="Y859" t="s">
        <v>1662</v>
      </c>
      <c r="Z859">
        <v>0</v>
      </c>
    </row>
    <row r="860" spans="1:26" x14ac:dyDescent="0.35">
      <c r="A860" t="s">
        <v>373</v>
      </c>
      <c r="B860" s="6">
        <v>45852</v>
      </c>
      <c r="C860" t="s">
        <v>23</v>
      </c>
      <c r="D860">
        <v>37</v>
      </c>
      <c r="E860" t="s">
        <v>36</v>
      </c>
      <c r="F860" t="s">
        <v>25</v>
      </c>
      <c r="G860" t="s">
        <v>26</v>
      </c>
      <c r="H860" t="s">
        <v>45</v>
      </c>
      <c r="I860" t="s">
        <v>77</v>
      </c>
      <c r="J860" t="s">
        <v>1632</v>
      </c>
      <c r="K860" t="s">
        <v>40</v>
      </c>
      <c r="L860">
        <v>31000</v>
      </c>
      <c r="M860">
        <v>18.100000000000001</v>
      </c>
      <c r="N860">
        <v>1.9</v>
      </c>
      <c r="O860">
        <v>0.5</v>
      </c>
      <c r="P860">
        <v>0</v>
      </c>
      <c r="Q860">
        <v>4</v>
      </c>
      <c r="R860">
        <v>4</v>
      </c>
      <c r="S860">
        <v>1</v>
      </c>
      <c r="T860" t="s">
        <v>30</v>
      </c>
      <c r="U860">
        <v>3</v>
      </c>
      <c r="W860" t="s">
        <v>1649</v>
      </c>
      <c r="X860" t="s">
        <v>1655</v>
      </c>
      <c r="Y860" t="s">
        <v>1664</v>
      </c>
      <c r="Z860">
        <v>0</v>
      </c>
    </row>
    <row r="861" spans="1:26" x14ac:dyDescent="0.35">
      <c r="A861" t="s">
        <v>585</v>
      </c>
      <c r="B861" s="6">
        <v>42831</v>
      </c>
      <c r="C861" t="s">
        <v>23</v>
      </c>
      <c r="D861">
        <v>37</v>
      </c>
      <c r="E861" t="s">
        <v>24</v>
      </c>
      <c r="F861" t="s">
        <v>25</v>
      </c>
      <c r="G861" t="s">
        <v>26</v>
      </c>
      <c r="H861" t="s">
        <v>55</v>
      </c>
      <c r="I861" t="s">
        <v>179</v>
      </c>
      <c r="J861" t="s">
        <v>1633</v>
      </c>
      <c r="K861" t="s">
        <v>34</v>
      </c>
      <c r="L861">
        <v>50000</v>
      </c>
      <c r="M861">
        <v>3.8</v>
      </c>
      <c r="N861">
        <v>13.5</v>
      </c>
      <c r="O861">
        <v>8.6999999999999993</v>
      </c>
      <c r="P861">
        <v>1.7</v>
      </c>
      <c r="Q861">
        <v>3</v>
      </c>
      <c r="R861">
        <v>2</v>
      </c>
      <c r="S861">
        <v>3</v>
      </c>
      <c r="T861" t="s">
        <v>30</v>
      </c>
      <c r="U861">
        <v>3</v>
      </c>
      <c r="W861" t="s">
        <v>1649</v>
      </c>
      <c r="X861" t="s">
        <v>1656</v>
      </c>
      <c r="Y861" t="s">
        <v>1662</v>
      </c>
      <c r="Z861">
        <v>0</v>
      </c>
    </row>
    <row r="862" spans="1:26" x14ac:dyDescent="0.35">
      <c r="A862" t="s">
        <v>911</v>
      </c>
      <c r="B862" s="6">
        <v>45187</v>
      </c>
      <c r="C862" t="s">
        <v>23</v>
      </c>
      <c r="D862">
        <v>34</v>
      </c>
      <c r="E862" t="s">
        <v>62</v>
      </c>
      <c r="F862" t="s">
        <v>37</v>
      </c>
      <c r="G862" t="s">
        <v>32</v>
      </c>
      <c r="H862" t="s">
        <v>27</v>
      </c>
      <c r="I862" t="s">
        <v>43</v>
      </c>
      <c r="J862" t="s">
        <v>1635</v>
      </c>
      <c r="K862" t="s">
        <v>29</v>
      </c>
      <c r="L862">
        <v>68000</v>
      </c>
      <c r="M862">
        <v>9.6</v>
      </c>
      <c r="N862">
        <v>3.1</v>
      </c>
      <c r="O862">
        <v>2.2999999999999998</v>
      </c>
      <c r="P862">
        <v>0.5</v>
      </c>
      <c r="Q862">
        <v>3</v>
      </c>
      <c r="R862">
        <v>3</v>
      </c>
      <c r="S862">
        <v>3</v>
      </c>
      <c r="T862" t="s">
        <v>23</v>
      </c>
      <c r="U862">
        <v>4</v>
      </c>
      <c r="W862" t="s">
        <v>1650</v>
      </c>
      <c r="X862" t="s">
        <v>1659</v>
      </c>
      <c r="Y862" t="s">
        <v>1665</v>
      </c>
      <c r="Z862">
        <v>0</v>
      </c>
    </row>
    <row r="863" spans="1:26" x14ac:dyDescent="0.35">
      <c r="A863" t="s">
        <v>950</v>
      </c>
      <c r="B863" s="6">
        <v>42392</v>
      </c>
      <c r="C863" t="s">
        <v>23</v>
      </c>
      <c r="D863">
        <v>38</v>
      </c>
      <c r="E863" t="s">
        <v>36</v>
      </c>
      <c r="F863" t="s">
        <v>42</v>
      </c>
      <c r="G863" t="s">
        <v>54</v>
      </c>
      <c r="H863" t="s">
        <v>38</v>
      </c>
      <c r="I863" t="s">
        <v>118</v>
      </c>
      <c r="J863" t="s">
        <v>1632</v>
      </c>
      <c r="K863" t="s">
        <v>34</v>
      </c>
      <c r="L863">
        <v>28000</v>
      </c>
      <c r="M863">
        <v>8.6</v>
      </c>
      <c r="N863">
        <v>15.4</v>
      </c>
      <c r="O863">
        <v>9.9</v>
      </c>
      <c r="P863">
        <v>2.2999999999999998</v>
      </c>
      <c r="Q863">
        <v>3</v>
      </c>
      <c r="R863">
        <v>4</v>
      </c>
      <c r="S863">
        <v>2</v>
      </c>
      <c r="T863" t="s">
        <v>23</v>
      </c>
      <c r="U863">
        <v>3</v>
      </c>
      <c r="W863" t="s">
        <v>1649</v>
      </c>
      <c r="X863" t="s">
        <v>1655</v>
      </c>
      <c r="Y863" t="s">
        <v>1662</v>
      </c>
      <c r="Z863">
        <v>0</v>
      </c>
    </row>
    <row r="864" spans="1:26" x14ac:dyDescent="0.35">
      <c r="A864" t="s">
        <v>141</v>
      </c>
      <c r="B864" s="6">
        <v>44637</v>
      </c>
      <c r="C864" t="s">
        <v>23</v>
      </c>
      <c r="D864">
        <v>30</v>
      </c>
      <c r="E864" t="s">
        <v>36</v>
      </c>
      <c r="F864" t="s">
        <v>37</v>
      </c>
      <c r="G864" t="s">
        <v>26</v>
      </c>
      <c r="H864" t="s">
        <v>55</v>
      </c>
      <c r="I864" t="s">
        <v>80</v>
      </c>
      <c r="J864" t="s">
        <v>1635</v>
      </c>
      <c r="K864" t="s">
        <v>34</v>
      </c>
      <c r="L864">
        <v>86000</v>
      </c>
      <c r="M864">
        <v>7.1</v>
      </c>
      <c r="N864">
        <v>11.5</v>
      </c>
      <c r="O864">
        <v>3.8</v>
      </c>
      <c r="P864">
        <v>3.8</v>
      </c>
      <c r="Q864">
        <v>3</v>
      </c>
      <c r="R864">
        <v>4</v>
      </c>
      <c r="S864">
        <v>3</v>
      </c>
      <c r="T864" t="s">
        <v>30</v>
      </c>
      <c r="U864">
        <v>1</v>
      </c>
      <c r="W864" t="s">
        <v>1650</v>
      </c>
      <c r="X864" t="s">
        <v>1657</v>
      </c>
      <c r="Y864" t="s">
        <v>1661</v>
      </c>
      <c r="Z864">
        <v>0</v>
      </c>
    </row>
    <row r="865" spans="1:26" x14ac:dyDescent="0.35">
      <c r="A865" t="s">
        <v>1273</v>
      </c>
      <c r="B865" s="6">
        <v>45379</v>
      </c>
      <c r="C865" t="s">
        <v>23</v>
      </c>
      <c r="D865">
        <v>32</v>
      </c>
      <c r="E865" t="s">
        <v>36</v>
      </c>
      <c r="F865" t="s">
        <v>42</v>
      </c>
      <c r="G865" t="s">
        <v>54</v>
      </c>
      <c r="H865" t="s">
        <v>48</v>
      </c>
      <c r="I865" t="s">
        <v>49</v>
      </c>
      <c r="J865" t="s">
        <v>1637</v>
      </c>
      <c r="K865" t="s">
        <v>40</v>
      </c>
      <c r="L865">
        <v>155000</v>
      </c>
      <c r="M865">
        <v>0</v>
      </c>
      <c r="N865">
        <v>8.8000000000000007</v>
      </c>
      <c r="O865">
        <v>1.8</v>
      </c>
      <c r="P865">
        <v>0.8</v>
      </c>
      <c r="Q865">
        <v>2</v>
      </c>
      <c r="R865">
        <v>3</v>
      </c>
      <c r="S865">
        <v>4</v>
      </c>
      <c r="T865" t="s">
        <v>23</v>
      </c>
      <c r="U865">
        <v>3</v>
      </c>
      <c r="W865" t="s">
        <v>1650</v>
      </c>
      <c r="X865" t="s">
        <v>1658</v>
      </c>
      <c r="Y865" t="s">
        <v>1665</v>
      </c>
      <c r="Z865">
        <v>0</v>
      </c>
    </row>
    <row r="866" spans="1:26" x14ac:dyDescent="0.35">
      <c r="A866" t="s">
        <v>1134</v>
      </c>
      <c r="B866" s="6">
        <v>42868</v>
      </c>
      <c r="C866" t="s">
        <v>23</v>
      </c>
      <c r="D866">
        <v>41</v>
      </c>
      <c r="E866" t="s">
        <v>36</v>
      </c>
      <c r="F866" t="s">
        <v>25</v>
      </c>
      <c r="G866" t="s">
        <v>58</v>
      </c>
      <c r="H866" t="s">
        <v>45</v>
      </c>
      <c r="I866" t="s">
        <v>97</v>
      </c>
      <c r="J866" t="s">
        <v>1633</v>
      </c>
      <c r="K866" t="s">
        <v>40</v>
      </c>
      <c r="L866">
        <v>46000</v>
      </c>
      <c r="M866">
        <v>9.1</v>
      </c>
      <c r="N866">
        <v>14.9</v>
      </c>
      <c r="O866">
        <v>8.6</v>
      </c>
      <c r="P866">
        <v>2.2000000000000002</v>
      </c>
      <c r="Q866">
        <v>4</v>
      </c>
      <c r="R866">
        <v>3</v>
      </c>
      <c r="S866">
        <v>4</v>
      </c>
      <c r="T866" t="s">
        <v>23</v>
      </c>
      <c r="U866">
        <v>4</v>
      </c>
      <c r="W866" t="s">
        <v>1649</v>
      </c>
      <c r="X866" t="s">
        <v>1656</v>
      </c>
      <c r="Y866" t="s">
        <v>1662</v>
      </c>
      <c r="Z866">
        <v>0</v>
      </c>
    </row>
    <row r="867" spans="1:26" x14ac:dyDescent="0.35">
      <c r="A867" t="s">
        <v>708</v>
      </c>
      <c r="B867" s="6">
        <v>43593</v>
      </c>
      <c r="C867" t="s">
        <v>23</v>
      </c>
      <c r="D867">
        <v>45</v>
      </c>
      <c r="E867" t="s">
        <v>62</v>
      </c>
      <c r="F867" t="s">
        <v>42</v>
      </c>
      <c r="G867" t="s">
        <v>54</v>
      </c>
      <c r="H867" t="s">
        <v>48</v>
      </c>
      <c r="I867" t="s">
        <v>49</v>
      </c>
      <c r="J867" t="s">
        <v>1635</v>
      </c>
      <c r="K867" t="s">
        <v>40</v>
      </c>
      <c r="L867">
        <v>97000</v>
      </c>
      <c r="M867">
        <v>9.6</v>
      </c>
      <c r="N867">
        <v>13.6</v>
      </c>
      <c r="O867">
        <v>6.7</v>
      </c>
      <c r="P867">
        <v>2.5</v>
      </c>
      <c r="Q867">
        <v>4</v>
      </c>
      <c r="R867">
        <v>2</v>
      </c>
      <c r="S867">
        <v>3</v>
      </c>
      <c r="T867" t="s">
        <v>23</v>
      </c>
      <c r="U867">
        <v>5</v>
      </c>
      <c r="W867" t="s">
        <v>1649</v>
      </c>
      <c r="X867" t="s">
        <v>1657</v>
      </c>
      <c r="Y867" t="s">
        <v>1662</v>
      </c>
      <c r="Z867">
        <v>0</v>
      </c>
    </row>
    <row r="868" spans="1:26" x14ac:dyDescent="0.35">
      <c r="A868" t="s">
        <v>623</v>
      </c>
      <c r="B868" s="6">
        <v>44264</v>
      </c>
      <c r="C868" t="s">
        <v>23</v>
      </c>
      <c r="D868">
        <v>34</v>
      </c>
      <c r="E868" t="s">
        <v>36</v>
      </c>
      <c r="F868" t="s">
        <v>42</v>
      </c>
      <c r="G868" t="s">
        <v>54</v>
      </c>
      <c r="H868" t="s">
        <v>48</v>
      </c>
      <c r="I868" t="s">
        <v>63</v>
      </c>
      <c r="J868" t="s">
        <v>1635</v>
      </c>
      <c r="K868" t="s">
        <v>40</v>
      </c>
      <c r="L868">
        <v>68000</v>
      </c>
      <c r="M868">
        <v>7.4</v>
      </c>
      <c r="N868">
        <v>9.3000000000000007</v>
      </c>
      <c r="O868">
        <v>4.8</v>
      </c>
      <c r="P868">
        <v>0.7</v>
      </c>
      <c r="Q868">
        <v>3</v>
      </c>
      <c r="R868">
        <v>3</v>
      </c>
      <c r="S868">
        <v>4</v>
      </c>
      <c r="T868" t="s">
        <v>23</v>
      </c>
      <c r="U868">
        <v>3</v>
      </c>
      <c r="W868" t="s">
        <v>1650</v>
      </c>
      <c r="X868" t="s">
        <v>1659</v>
      </c>
      <c r="Y868" t="s">
        <v>1661</v>
      </c>
      <c r="Z868">
        <v>0</v>
      </c>
    </row>
    <row r="869" spans="1:26" x14ac:dyDescent="0.35">
      <c r="A869" t="s">
        <v>1553</v>
      </c>
      <c r="B869" s="6">
        <v>44189</v>
      </c>
      <c r="C869" t="s">
        <v>23</v>
      </c>
      <c r="D869">
        <v>30</v>
      </c>
      <c r="E869" t="s">
        <v>24</v>
      </c>
      <c r="F869" t="s">
        <v>42</v>
      </c>
      <c r="G869" t="s">
        <v>26</v>
      </c>
      <c r="H869" t="s">
        <v>1634</v>
      </c>
      <c r="I869" t="s">
        <v>86</v>
      </c>
      <c r="J869" t="s">
        <v>1635</v>
      </c>
      <c r="K869" t="s">
        <v>84</v>
      </c>
      <c r="L869">
        <v>73000</v>
      </c>
      <c r="M869">
        <v>8.6</v>
      </c>
      <c r="N869">
        <v>10</v>
      </c>
      <c r="O869">
        <v>5</v>
      </c>
      <c r="P869">
        <v>0.2</v>
      </c>
      <c r="Q869">
        <v>4</v>
      </c>
      <c r="R869">
        <v>2</v>
      </c>
      <c r="S869">
        <v>2</v>
      </c>
      <c r="T869" t="s">
        <v>23</v>
      </c>
      <c r="U869">
        <v>1</v>
      </c>
      <c r="W869" t="s">
        <v>1650</v>
      </c>
      <c r="X869" t="s">
        <v>1659</v>
      </c>
      <c r="Y869" t="s">
        <v>1661</v>
      </c>
      <c r="Z869">
        <v>0</v>
      </c>
    </row>
    <row r="870" spans="1:26" x14ac:dyDescent="0.35">
      <c r="A870" t="s">
        <v>1508</v>
      </c>
      <c r="B870" s="6">
        <v>41819</v>
      </c>
      <c r="C870" t="s">
        <v>23</v>
      </c>
      <c r="D870">
        <v>33</v>
      </c>
      <c r="E870" t="s">
        <v>36</v>
      </c>
      <c r="F870" t="s">
        <v>37</v>
      </c>
      <c r="G870" t="s">
        <v>32</v>
      </c>
      <c r="H870" t="s">
        <v>68</v>
      </c>
      <c r="I870" t="s">
        <v>109</v>
      </c>
      <c r="J870" t="s">
        <v>1635</v>
      </c>
      <c r="K870" t="s">
        <v>40</v>
      </c>
      <c r="L870">
        <v>67000</v>
      </c>
      <c r="M870">
        <v>6.1</v>
      </c>
      <c r="N870">
        <v>14</v>
      </c>
      <c r="O870">
        <v>11.5</v>
      </c>
      <c r="P870">
        <v>5.4</v>
      </c>
      <c r="Q870">
        <v>1</v>
      </c>
      <c r="R870">
        <v>3</v>
      </c>
      <c r="S870">
        <v>3</v>
      </c>
      <c r="T870" t="s">
        <v>23</v>
      </c>
      <c r="U870">
        <v>3</v>
      </c>
      <c r="W870" t="s">
        <v>1650</v>
      </c>
      <c r="X870" t="s">
        <v>1659</v>
      </c>
      <c r="Y870" t="s">
        <v>1663</v>
      </c>
      <c r="Z870">
        <v>0</v>
      </c>
    </row>
    <row r="871" spans="1:26" x14ac:dyDescent="0.35">
      <c r="A871" t="s">
        <v>1322</v>
      </c>
      <c r="B871" s="6">
        <v>42023</v>
      </c>
      <c r="C871" t="s">
        <v>23</v>
      </c>
      <c r="D871">
        <v>40</v>
      </c>
      <c r="E871" t="s">
        <v>24</v>
      </c>
      <c r="F871" t="s">
        <v>42</v>
      </c>
      <c r="G871" t="s">
        <v>26</v>
      </c>
      <c r="H871" t="s">
        <v>55</v>
      </c>
      <c r="I871" t="s">
        <v>80</v>
      </c>
      <c r="J871" t="s">
        <v>1633</v>
      </c>
      <c r="K871" t="s">
        <v>50</v>
      </c>
      <c r="L871">
        <v>43000</v>
      </c>
      <c r="M871">
        <v>13.6</v>
      </c>
      <c r="N871">
        <v>16.5</v>
      </c>
      <c r="O871">
        <v>10.9</v>
      </c>
      <c r="P871">
        <v>1.7</v>
      </c>
      <c r="Q871">
        <v>3</v>
      </c>
      <c r="R871">
        <v>4</v>
      </c>
      <c r="S871">
        <v>2</v>
      </c>
      <c r="T871" t="s">
        <v>23</v>
      </c>
      <c r="U871">
        <v>2</v>
      </c>
      <c r="W871" t="s">
        <v>1649</v>
      </c>
      <c r="X871" t="s">
        <v>1656</v>
      </c>
      <c r="Y871" t="s">
        <v>1663</v>
      </c>
      <c r="Z871">
        <v>0</v>
      </c>
    </row>
    <row r="872" spans="1:26" x14ac:dyDescent="0.35">
      <c r="A872" t="s">
        <v>798</v>
      </c>
      <c r="B872" s="6">
        <v>44049</v>
      </c>
      <c r="C872" t="s">
        <v>23</v>
      </c>
      <c r="D872">
        <v>31</v>
      </c>
      <c r="E872" t="s">
        <v>36</v>
      </c>
      <c r="F872" t="s">
        <v>25</v>
      </c>
      <c r="G872" t="s">
        <v>58</v>
      </c>
      <c r="H872" t="s">
        <v>55</v>
      </c>
      <c r="I872" t="s">
        <v>80</v>
      </c>
      <c r="J872" t="s">
        <v>1635</v>
      </c>
      <c r="K872" t="s">
        <v>84</v>
      </c>
      <c r="L872">
        <v>66000</v>
      </c>
      <c r="M872">
        <v>7.6</v>
      </c>
      <c r="N872">
        <v>8.3000000000000007</v>
      </c>
      <c r="O872">
        <v>5.4</v>
      </c>
      <c r="P872">
        <v>2.4</v>
      </c>
      <c r="Q872">
        <v>3</v>
      </c>
      <c r="R872">
        <v>3</v>
      </c>
      <c r="S872">
        <v>3</v>
      </c>
      <c r="T872" t="s">
        <v>23</v>
      </c>
      <c r="U872">
        <v>1</v>
      </c>
      <c r="W872" t="s">
        <v>1650</v>
      </c>
      <c r="X872" t="s">
        <v>1659</v>
      </c>
      <c r="Y872" t="s">
        <v>1661</v>
      </c>
      <c r="Z872">
        <v>0</v>
      </c>
    </row>
    <row r="873" spans="1:26" x14ac:dyDescent="0.35">
      <c r="A873" t="s">
        <v>885</v>
      </c>
      <c r="B873" s="6">
        <v>45770</v>
      </c>
      <c r="C873" t="s">
        <v>23</v>
      </c>
      <c r="D873">
        <v>26</v>
      </c>
      <c r="E873" t="s">
        <v>36</v>
      </c>
      <c r="F873" t="s">
        <v>42</v>
      </c>
      <c r="G873" t="s">
        <v>26</v>
      </c>
      <c r="H873" t="s">
        <v>38</v>
      </c>
      <c r="I873" t="s">
        <v>39</v>
      </c>
      <c r="J873" t="s">
        <v>1632</v>
      </c>
      <c r="K873" t="s">
        <v>84</v>
      </c>
      <c r="L873">
        <v>33000</v>
      </c>
      <c r="M873">
        <v>15.1</v>
      </c>
      <c r="N873">
        <v>1.9</v>
      </c>
      <c r="O873">
        <v>0.7</v>
      </c>
      <c r="P873">
        <v>0</v>
      </c>
      <c r="Q873">
        <v>3</v>
      </c>
      <c r="R873">
        <v>4</v>
      </c>
      <c r="S873">
        <v>3</v>
      </c>
      <c r="T873" t="s">
        <v>30</v>
      </c>
      <c r="U873">
        <v>5</v>
      </c>
      <c r="W873" t="s">
        <v>1650</v>
      </c>
      <c r="X873" t="s">
        <v>1655</v>
      </c>
      <c r="Y873" t="s">
        <v>1664</v>
      </c>
      <c r="Z873">
        <v>0</v>
      </c>
    </row>
    <row r="874" spans="1:26" x14ac:dyDescent="0.35">
      <c r="A874" t="s">
        <v>999</v>
      </c>
      <c r="B874" s="6">
        <v>45874</v>
      </c>
      <c r="C874" t="s">
        <v>30</v>
      </c>
      <c r="D874">
        <v>27</v>
      </c>
      <c r="E874" t="s">
        <v>24</v>
      </c>
      <c r="F874" t="s">
        <v>37</v>
      </c>
      <c r="G874" t="s">
        <v>32</v>
      </c>
      <c r="H874" t="s">
        <v>27</v>
      </c>
      <c r="I874" t="s">
        <v>33</v>
      </c>
      <c r="J874" t="s">
        <v>1632</v>
      </c>
      <c r="K874" t="s">
        <v>29</v>
      </c>
      <c r="L874">
        <v>22000</v>
      </c>
      <c r="M874">
        <v>7.7</v>
      </c>
      <c r="N874">
        <v>1.8</v>
      </c>
      <c r="O874">
        <v>0.3</v>
      </c>
      <c r="P874">
        <v>0</v>
      </c>
      <c r="Q874">
        <v>3</v>
      </c>
      <c r="R874">
        <v>3</v>
      </c>
      <c r="S874">
        <v>4</v>
      </c>
      <c r="T874" t="s">
        <v>23</v>
      </c>
      <c r="U874">
        <v>3</v>
      </c>
      <c r="V874" s="7">
        <v>45966</v>
      </c>
      <c r="W874" t="s">
        <v>1650</v>
      </c>
      <c r="X874" t="s">
        <v>1655</v>
      </c>
      <c r="Y874" t="s">
        <v>1664</v>
      </c>
      <c r="Z874">
        <v>1</v>
      </c>
    </row>
    <row r="875" spans="1:26" x14ac:dyDescent="0.35">
      <c r="A875" t="s">
        <v>1325</v>
      </c>
      <c r="B875" s="6">
        <v>44063</v>
      </c>
      <c r="C875" t="s">
        <v>23</v>
      </c>
      <c r="D875">
        <v>36</v>
      </c>
      <c r="E875" t="s">
        <v>62</v>
      </c>
      <c r="F875" t="s">
        <v>37</v>
      </c>
      <c r="G875" t="s">
        <v>26</v>
      </c>
      <c r="H875" t="s">
        <v>68</v>
      </c>
      <c r="I875" t="s">
        <v>69</v>
      </c>
      <c r="J875" t="s">
        <v>1633</v>
      </c>
      <c r="K875" t="s">
        <v>84</v>
      </c>
      <c r="L875">
        <v>48000</v>
      </c>
      <c r="M875">
        <v>11</v>
      </c>
      <c r="N875">
        <v>9</v>
      </c>
      <c r="O875">
        <v>5.4</v>
      </c>
      <c r="P875">
        <v>0.4</v>
      </c>
      <c r="Q875">
        <v>4</v>
      </c>
      <c r="R875">
        <v>3</v>
      </c>
      <c r="S875">
        <v>2</v>
      </c>
      <c r="T875" t="s">
        <v>30</v>
      </c>
      <c r="U875">
        <v>5</v>
      </c>
      <c r="W875" t="s">
        <v>1649</v>
      </c>
      <c r="X875" t="s">
        <v>1656</v>
      </c>
      <c r="Y875" t="s">
        <v>1661</v>
      </c>
      <c r="Z875">
        <v>0</v>
      </c>
    </row>
    <row r="876" spans="1:26" x14ac:dyDescent="0.35">
      <c r="A876" t="s">
        <v>278</v>
      </c>
      <c r="B876" s="6">
        <v>44289</v>
      </c>
      <c r="C876" t="s">
        <v>23</v>
      </c>
      <c r="D876">
        <v>39</v>
      </c>
      <c r="E876" t="s">
        <v>36</v>
      </c>
      <c r="F876" t="s">
        <v>37</v>
      </c>
      <c r="G876" t="s">
        <v>58</v>
      </c>
      <c r="H876" t="s">
        <v>48</v>
      </c>
      <c r="I876" t="s">
        <v>49</v>
      </c>
      <c r="J876" t="s">
        <v>1636</v>
      </c>
      <c r="K876" t="s">
        <v>29</v>
      </c>
      <c r="L876">
        <v>115000</v>
      </c>
      <c r="M876">
        <v>8.3000000000000007</v>
      </c>
      <c r="N876">
        <v>7.4</v>
      </c>
      <c r="O876">
        <v>4.7</v>
      </c>
      <c r="P876">
        <v>3.8</v>
      </c>
      <c r="Q876">
        <v>3</v>
      </c>
      <c r="R876">
        <v>4</v>
      </c>
      <c r="S876">
        <v>4</v>
      </c>
      <c r="T876" t="s">
        <v>30</v>
      </c>
      <c r="U876">
        <v>3</v>
      </c>
      <c r="W876" t="s">
        <v>1649</v>
      </c>
      <c r="X876" t="s">
        <v>1658</v>
      </c>
      <c r="Y876" t="s">
        <v>1661</v>
      </c>
      <c r="Z876">
        <v>0</v>
      </c>
    </row>
    <row r="877" spans="1:26" x14ac:dyDescent="0.35">
      <c r="A877" t="s">
        <v>642</v>
      </c>
      <c r="B877" s="6">
        <v>44773</v>
      </c>
      <c r="C877" t="s">
        <v>30</v>
      </c>
      <c r="D877">
        <v>41</v>
      </c>
      <c r="E877" t="s">
        <v>24</v>
      </c>
      <c r="F877" t="s">
        <v>37</v>
      </c>
      <c r="G877" t="s">
        <v>26</v>
      </c>
      <c r="H877" t="s">
        <v>68</v>
      </c>
      <c r="I877" t="s">
        <v>109</v>
      </c>
      <c r="J877" t="s">
        <v>1635</v>
      </c>
      <c r="K877" t="s">
        <v>40</v>
      </c>
      <c r="L877">
        <v>71000</v>
      </c>
      <c r="M877">
        <v>9.1999999999999993</v>
      </c>
      <c r="N877">
        <v>10.7</v>
      </c>
      <c r="O877">
        <v>3.4</v>
      </c>
      <c r="P877">
        <v>2.9</v>
      </c>
      <c r="Q877">
        <v>4</v>
      </c>
      <c r="R877">
        <v>4</v>
      </c>
      <c r="S877">
        <v>1</v>
      </c>
      <c r="T877" t="s">
        <v>23</v>
      </c>
      <c r="U877">
        <v>2</v>
      </c>
      <c r="V877" s="7">
        <v>45999</v>
      </c>
      <c r="W877" t="s">
        <v>1649</v>
      </c>
      <c r="X877" t="s">
        <v>1659</v>
      </c>
      <c r="Y877" t="s">
        <v>1661</v>
      </c>
      <c r="Z877">
        <v>1</v>
      </c>
    </row>
    <row r="878" spans="1:26" x14ac:dyDescent="0.35">
      <c r="A878" t="s">
        <v>219</v>
      </c>
      <c r="B878" s="6">
        <v>43366</v>
      </c>
      <c r="C878" t="s">
        <v>30</v>
      </c>
      <c r="D878">
        <v>29</v>
      </c>
      <c r="E878" t="s">
        <v>36</v>
      </c>
      <c r="F878" t="s">
        <v>25</v>
      </c>
      <c r="G878" t="s">
        <v>58</v>
      </c>
      <c r="H878" t="s">
        <v>68</v>
      </c>
      <c r="I878" t="s">
        <v>102</v>
      </c>
      <c r="J878" t="s">
        <v>1633</v>
      </c>
      <c r="K878" t="s">
        <v>29</v>
      </c>
      <c r="L878">
        <v>40000</v>
      </c>
      <c r="M878">
        <v>10.3</v>
      </c>
      <c r="N878">
        <v>12.2</v>
      </c>
      <c r="O878">
        <v>6.3</v>
      </c>
      <c r="P878">
        <v>2</v>
      </c>
      <c r="Q878">
        <v>4</v>
      </c>
      <c r="R878">
        <v>4</v>
      </c>
      <c r="S878">
        <v>2</v>
      </c>
      <c r="T878" t="s">
        <v>23</v>
      </c>
      <c r="U878">
        <v>4</v>
      </c>
      <c r="V878" s="7">
        <v>45664</v>
      </c>
      <c r="W878" t="s">
        <v>1650</v>
      </c>
      <c r="X878" t="s">
        <v>1656</v>
      </c>
      <c r="Y878" t="s">
        <v>1662</v>
      </c>
      <c r="Z878">
        <v>1</v>
      </c>
    </row>
    <row r="879" spans="1:26" x14ac:dyDescent="0.35">
      <c r="A879" t="s">
        <v>1105</v>
      </c>
      <c r="B879" s="6">
        <v>45320</v>
      </c>
      <c r="C879" t="s">
        <v>30</v>
      </c>
      <c r="D879">
        <v>37</v>
      </c>
      <c r="E879" t="s">
        <v>36</v>
      </c>
      <c r="F879" t="s">
        <v>25</v>
      </c>
      <c r="G879" t="s">
        <v>32</v>
      </c>
      <c r="H879" t="s">
        <v>38</v>
      </c>
      <c r="I879" t="s">
        <v>118</v>
      </c>
      <c r="J879" t="s">
        <v>1632</v>
      </c>
      <c r="K879" t="s">
        <v>34</v>
      </c>
      <c r="L879">
        <v>33000</v>
      </c>
      <c r="M879">
        <v>13.9</v>
      </c>
      <c r="N879">
        <v>1.1000000000000001</v>
      </c>
      <c r="O879">
        <v>1.1000000000000001</v>
      </c>
      <c r="P879">
        <v>0.9</v>
      </c>
      <c r="Q879">
        <v>4</v>
      </c>
      <c r="R879">
        <v>2</v>
      </c>
      <c r="S879">
        <v>1</v>
      </c>
      <c r="T879" t="s">
        <v>23</v>
      </c>
      <c r="U879">
        <v>2</v>
      </c>
      <c r="V879" s="7">
        <v>45704</v>
      </c>
      <c r="W879" t="s">
        <v>1649</v>
      </c>
      <c r="X879" t="s">
        <v>1655</v>
      </c>
      <c r="Y879" t="s">
        <v>1665</v>
      </c>
      <c r="Z879">
        <v>1</v>
      </c>
    </row>
    <row r="880" spans="1:26" x14ac:dyDescent="0.35">
      <c r="A880" t="s">
        <v>641</v>
      </c>
      <c r="B880" s="6">
        <v>43796</v>
      </c>
      <c r="C880" t="s">
        <v>23</v>
      </c>
      <c r="D880">
        <v>45</v>
      </c>
      <c r="E880" t="s">
        <v>24</v>
      </c>
      <c r="F880" t="s">
        <v>42</v>
      </c>
      <c r="G880" t="s">
        <v>32</v>
      </c>
      <c r="H880" t="s">
        <v>1634</v>
      </c>
      <c r="I880" t="s">
        <v>86</v>
      </c>
      <c r="J880" t="s">
        <v>1635</v>
      </c>
      <c r="K880" t="s">
        <v>66</v>
      </c>
      <c r="L880">
        <v>59000</v>
      </c>
      <c r="M880">
        <v>10.7</v>
      </c>
      <c r="N880">
        <v>10.8</v>
      </c>
      <c r="O880">
        <v>6.1</v>
      </c>
      <c r="P880">
        <v>5.2</v>
      </c>
      <c r="Q880">
        <v>3</v>
      </c>
      <c r="R880">
        <v>3</v>
      </c>
      <c r="S880">
        <v>3</v>
      </c>
      <c r="T880" t="s">
        <v>23</v>
      </c>
      <c r="U880">
        <v>2</v>
      </c>
      <c r="W880" t="s">
        <v>1649</v>
      </c>
      <c r="X880" t="s">
        <v>1656</v>
      </c>
      <c r="Y880" t="s">
        <v>1662</v>
      </c>
      <c r="Z880">
        <v>0</v>
      </c>
    </row>
    <row r="881" spans="1:26" x14ac:dyDescent="0.35">
      <c r="A881" t="s">
        <v>1028</v>
      </c>
      <c r="B881" s="6">
        <v>44200</v>
      </c>
      <c r="C881" t="s">
        <v>23</v>
      </c>
      <c r="D881">
        <v>27</v>
      </c>
      <c r="E881" t="s">
        <v>62</v>
      </c>
      <c r="F881" t="s">
        <v>42</v>
      </c>
      <c r="G881" t="s">
        <v>58</v>
      </c>
      <c r="H881" t="s">
        <v>27</v>
      </c>
      <c r="I881" t="s">
        <v>95</v>
      </c>
      <c r="J881" t="s">
        <v>1632</v>
      </c>
      <c r="K881" t="s">
        <v>40</v>
      </c>
      <c r="L881">
        <v>36000</v>
      </c>
      <c r="M881">
        <v>14.1</v>
      </c>
      <c r="N881">
        <v>7.6</v>
      </c>
      <c r="O881">
        <v>5</v>
      </c>
      <c r="P881">
        <v>5</v>
      </c>
      <c r="Q881">
        <v>1</v>
      </c>
      <c r="R881">
        <v>2</v>
      </c>
      <c r="S881">
        <v>3</v>
      </c>
      <c r="T881" t="s">
        <v>23</v>
      </c>
      <c r="U881">
        <v>4</v>
      </c>
      <c r="W881" t="s">
        <v>1650</v>
      </c>
      <c r="X881" t="s">
        <v>1655</v>
      </c>
      <c r="Y881" t="s">
        <v>1661</v>
      </c>
      <c r="Z881">
        <v>0</v>
      </c>
    </row>
    <row r="882" spans="1:26" x14ac:dyDescent="0.35">
      <c r="A882" t="s">
        <v>901</v>
      </c>
      <c r="B882" s="6">
        <v>42770</v>
      </c>
      <c r="C882" t="s">
        <v>23</v>
      </c>
      <c r="D882">
        <v>37</v>
      </c>
      <c r="E882" t="s">
        <v>62</v>
      </c>
      <c r="F882" t="s">
        <v>37</v>
      </c>
      <c r="G882" t="s">
        <v>54</v>
      </c>
      <c r="H882" t="s">
        <v>48</v>
      </c>
      <c r="I882" t="s">
        <v>129</v>
      </c>
      <c r="J882" t="s">
        <v>1636</v>
      </c>
      <c r="K882" t="s">
        <v>50</v>
      </c>
      <c r="L882">
        <v>93000</v>
      </c>
      <c r="M882">
        <v>5.0999999999999996</v>
      </c>
      <c r="N882">
        <v>10.9</v>
      </c>
      <c r="O882">
        <v>8.9</v>
      </c>
      <c r="P882">
        <v>4.5</v>
      </c>
      <c r="Q882">
        <v>3</v>
      </c>
      <c r="R882">
        <v>1</v>
      </c>
      <c r="S882">
        <v>2</v>
      </c>
      <c r="T882" t="s">
        <v>23</v>
      </c>
      <c r="U882">
        <v>3</v>
      </c>
      <c r="W882" t="s">
        <v>1649</v>
      </c>
      <c r="X882" t="s">
        <v>1657</v>
      </c>
      <c r="Y882" t="s">
        <v>1662</v>
      </c>
      <c r="Z882">
        <v>0</v>
      </c>
    </row>
    <row r="883" spans="1:26" x14ac:dyDescent="0.35">
      <c r="A883" t="s">
        <v>590</v>
      </c>
      <c r="B883" s="6">
        <v>43548</v>
      </c>
      <c r="C883" t="s">
        <v>23</v>
      </c>
      <c r="D883">
        <v>29</v>
      </c>
      <c r="E883" t="s">
        <v>36</v>
      </c>
      <c r="F883" t="s">
        <v>42</v>
      </c>
      <c r="G883" t="s">
        <v>58</v>
      </c>
      <c r="H883" t="s">
        <v>45</v>
      </c>
      <c r="I883" t="s">
        <v>46</v>
      </c>
      <c r="J883" t="s">
        <v>1632</v>
      </c>
      <c r="K883" t="s">
        <v>29</v>
      </c>
      <c r="L883">
        <v>22000</v>
      </c>
      <c r="M883">
        <v>8.1999999999999993</v>
      </c>
      <c r="N883">
        <v>9.6999999999999993</v>
      </c>
      <c r="O883">
        <v>6.8</v>
      </c>
      <c r="P883">
        <v>4.0999999999999996</v>
      </c>
      <c r="Q883">
        <v>3</v>
      </c>
      <c r="R883">
        <v>3</v>
      </c>
      <c r="S883">
        <v>2</v>
      </c>
      <c r="T883" t="s">
        <v>30</v>
      </c>
      <c r="U883">
        <v>3</v>
      </c>
      <c r="W883" t="s">
        <v>1650</v>
      </c>
      <c r="X883" t="s">
        <v>1655</v>
      </c>
      <c r="Y883" t="s">
        <v>1662</v>
      </c>
      <c r="Z883">
        <v>0</v>
      </c>
    </row>
    <row r="884" spans="1:26" x14ac:dyDescent="0.35">
      <c r="A884" t="s">
        <v>1475</v>
      </c>
      <c r="B884" s="6">
        <v>45818</v>
      </c>
      <c r="C884" t="s">
        <v>23</v>
      </c>
      <c r="D884">
        <v>21</v>
      </c>
      <c r="E884" t="s">
        <v>36</v>
      </c>
      <c r="F884" t="s">
        <v>42</v>
      </c>
      <c r="G884" t="s">
        <v>54</v>
      </c>
      <c r="H884" t="s">
        <v>1634</v>
      </c>
      <c r="I884" t="s">
        <v>60</v>
      </c>
      <c r="J884" t="s">
        <v>1632</v>
      </c>
      <c r="K884" t="s">
        <v>34</v>
      </c>
      <c r="L884">
        <v>23000</v>
      </c>
      <c r="M884">
        <v>15</v>
      </c>
      <c r="N884">
        <v>6.5</v>
      </c>
      <c r="O884">
        <v>0.6</v>
      </c>
      <c r="P884">
        <v>0</v>
      </c>
      <c r="Q884">
        <v>3</v>
      </c>
      <c r="R884">
        <v>2</v>
      </c>
      <c r="S884">
        <v>3</v>
      </c>
      <c r="T884" t="s">
        <v>23</v>
      </c>
      <c r="U884">
        <v>3</v>
      </c>
      <c r="W884" t="s">
        <v>1651</v>
      </c>
      <c r="X884" t="s">
        <v>1655</v>
      </c>
      <c r="Y884" t="s">
        <v>1664</v>
      </c>
      <c r="Z884">
        <v>0</v>
      </c>
    </row>
    <row r="885" spans="1:26" x14ac:dyDescent="0.35">
      <c r="A885" t="s">
        <v>788</v>
      </c>
      <c r="B885" s="6">
        <v>45306</v>
      </c>
      <c r="C885" t="s">
        <v>30</v>
      </c>
      <c r="D885">
        <v>32</v>
      </c>
      <c r="E885" t="s">
        <v>36</v>
      </c>
      <c r="F885" t="s">
        <v>25</v>
      </c>
      <c r="G885" t="s">
        <v>32</v>
      </c>
      <c r="H885" t="s">
        <v>1634</v>
      </c>
      <c r="I885" t="s">
        <v>60</v>
      </c>
      <c r="J885" t="s">
        <v>1635</v>
      </c>
      <c r="K885" t="s">
        <v>40</v>
      </c>
      <c r="L885">
        <v>64000</v>
      </c>
      <c r="M885">
        <v>17.399999999999999</v>
      </c>
      <c r="N885">
        <v>7.5</v>
      </c>
      <c r="O885">
        <v>1.2</v>
      </c>
      <c r="P885">
        <v>0.5</v>
      </c>
      <c r="Q885">
        <v>3</v>
      </c>
      <c r="R885">
        <v>4</v>
      </c>
      <c r="S885">
        <v>2</v>
      </c>
      <c r="T885" t="s">
        <v>23</v>
      </c>
      <c r="U885">
        <v>3</v>
      </c>
      <c r="V885" s="7">
        <v>45729</v>
      </c>
      <c r="W885" t="s">
        <v>1650</v>
      </c>
      <c r="X885" t="s">
        <v>1659</v>
      </c>
      <c r="Y885" t="s">
        <v>1665</v>
      </c>
      <c r="Z885">
        <v>1</v>
      </c>
    </row>
    <row r="886" spans="1:26" x14ac:dyDescent="0.35">
      <c r="A886" t="s">
        <v>1468</v>
      </c>
      <c r="B886" s="6">
        <v>45843</v>
      </c>
      <c r="C886" t="s">
        <v>23</v>
      </c>
      <c r="D886">
        <v>38</v>
      </c>
      <c r="E886" t="s">
        <v>24</v>
      </c>
      <c r="F886" t="s">
        <v>42</v>
      </c>
      <c r="G886" t="s">
        <v>54</v>
      </c>
      <c r="H886" t="s">
        <v>27</v>
      </c>
      <c r="I886" t="s">
        <v>95</v>
      </c>
      <c r="J886" t="s">
        <v>1633</v>
      </c>
      <c r="K886" t="s">
        <v>34</v>
      </c>
      <c r="L886">
        <v>43000</v>
      </c>
      <c r="M886">
        <v>8.8000000000000007</v>
      </c>
      <c r="N886">
        <v>4.5</v>
      </c>
      <c r="O886">
        <v>0.5</v>
      </c>
      <c r="P886">
        <v>0</v>
      </c>
      <c r="Q886">
        <v>3</v>
      </c>
      <c r="R886">
        <v>4</v>
      </c>
      <c r="S886">
        <v>4</v>
      </c>
      <c r="T886" t="s">
        <v>23</v>
      </c>
      <c r="U886">
        <v>3</v>
      </c>
      <c r="W886" t="s">
        <v>1649</v>
      </c>
      <c r="X886" t="s">
        <v>1656</v>
      </c>
      <c r="Y886" t="s">
        <v>1664</v>
      </c>
      <c r="Z886">
        <v>0</v>
      </c>
    </row>
    <row r="887" spans="1:26" x14ac:dyDescent="0.35">
      <c r="A887" t="s">
        <v>768</v>
      </c>
      <c r="B887" s="6">
        <v>43068</v>
      </c>
      <c r="C887" t="s">
        <v>23</v>
      </c>
      <c r="D887">
        <v>35</v>
      </c>
      <c r="E887" t="s">
        <v>24</v>
      </c>
      <c r="F887" t="s">
        <v>42</v>
      </c>
      <c r="G887" t="s">
        <v>54</v>
      </c>
      <c r="H887" t="s">
        <v>48</v>
      </c>
      <c r="I887" t="s">
        <v>49</v>
      </c>
      <c r="J887" t="s">
        <v>1635</v>
      </c>
      <c r="K887" t="s">
        <v>50</v>
      </c>
      <c r="L887">
        <v>93000</v>
      </c>
      <c r="M887">
        <v>12.5</v>
      </c>
      <c r="N887">
        <v>13.7</v>
      </c>
      <c r="O887">
        <v>8.1</v>
      </c>
      <c r="P887">
        <v>3.6</v>
      </c>
      <c r="Q887">
        <v>2</v>
      </c>
      <c r="R887">
        <v>2</v>
      </c>
      <c r="S887">
        <v>3</v>
      </c>
      <c r="T887" t="s">
        <v>23</v>
      </c>
      <c r="U887">
        <v>3</v>
      </c>
      <c r="W887" t="s">
        <v>1650</v>
      </c>
      <c r="X887" t="s">
        <v>1657</v>
      </c>
      <c r="Y887" t="s">
        <v>1662</v>
      </c>
      <c r="Z887">
        <v>0</v>
      </c>
    </row>
    <row r="888" spans="1:26" x14ac:dyDescent="0.35">
      <c r="A888" t="s">
        <v>296</v>
      </c>
      <c r="B888" s="6">
        <v>44586</v>
      </c>
      <c r="C888" t="s">
        <v>23</v>
      </c>
      <c r="D888">
        <v>43</v>
      </c>
      <c r="E888" t="s">
        <v>62</v>
      </c>
      <c r="F888" t="s">
        <v>1638</v>
      </c>
      <c r="G888" t="s">
        <v>26</v>
      </c>
      <c r="H888" t="s">
        <v>68</v>
      </c>
      <c r="I888" t="s">
        <v>109</v>
      </c>
      <c r="J888" t="s">
        <v>1633</v>
      </c>
      <c r="K888" t="s">
        <v>50</v>
      </c>
      <c r="L888">
        <v>56000</v>
      </c>
      <c r="M888">
        <v>11.7</v>
      </c>
      <c r="N888">
        <v>8.1999999999999993</v>
      </c>
      <c r="O888">
        <v>3.9</v>
      </c>
      <c r="P888">
        <v>1.3</v>
      </c>
      <c r="Q888">
        <v>3</v>
      </c>
      <c r="R888">
        <v>3</v>
      </c>
      <c r="S888">
        <v>3</v>
      </c>
      <c r="T888" t="s">
        <v>23</v>
      </c>
      <c r="U888">
        <v>2</v>
      </c>
      <c r="W888" t="s">
        <v>1649</v>
      </c>
      <c r="X888" t="s">
        <v>1656</v>
      </c>
      <c r="Y888" t="s">
        <v>1661</v>
      </c>
      <c r="Z888">
        <v>0</v>
      </c>
    </row>
    <row r="889" spans="1:26" x14ac:dyDescent="0.35">
      <c r="A889" t="s">
        <v>636</v>
      </c>
      <c r="B889" s="6">
        <v>45197</v>
      </c>
      <c r="C889" t="s">
        <v>23</v>
      </c>
      <c r="D889">
        <v>25</v>
      </c>
      <c r="E889" t="s">
        <v>62</v>
      </c>
      <c r="F889" t="s">
        <v>42</v>
      </c>
      <c r="G889" t="s">
        <v>58</v>
      </c>
      <c r="H889" t="s">
        <v>48</v>
      </c>
      <c r="I889" t="s">
        <v>129</v>
      </c>
      <c r="J889" t="s">
        <v>1632</v>
      </c>
      <c r="K889" t="s">
        <v>29</v>
      </c>
      <c r="L889">
        <v>35000</v>
      </c>
      <c r="M889">
        <v>6.9</v>
      </c>
      <c r="N889">
        <v>9.1999999999999993</v>
      </c>
      <c r="O889">
        <v>2.2999999999999998</v>
      </c>
      <c r="P889">
        <v>0.7</v>
      </c>
      <c r="Q889">
        <v>3</v>
      </c>
      <c r="R889">
        <v>4</v>
      </c>
      <c r="S889">
        <v>4</v>
      </c>
      <c r="T889" t="s">
        <v>30</v>
      </c>
      <c r="U889">
        <v>4</v>
      </c>
      <c r="W889" t="s">
        <v>1651</v>
      </c>
      <c r="X889" t="s">
        <v>1655</v>
      </c>
      <c r="Y889" t="s">
        <v>1665</v>
      </c>
      <c r="Z889">
        <v>0</v>
      </c>
    </row>
    <row r="890" spans="1:26" x14ac:dyDescent="0.35">
      <c r="A890" t="s">
        <v>1044</v>
      </c>
      <c r="B890" s="6">
        <v>42573</v>
      </c>
      <c r="C890" t="s">
        <v>23</v>
      </c>
      <c r="D890">
        <v>35</v>
      </c>
      <c r="E890" t="s">
        <v>36</v>
      </c>
      <c r="F890" t="s">
        <v>25</v>
      </c>
      <c r="G890" t="s">
        <v>26</v>
      </c>
      <c r="H890" t="s">
        <v>55</v>
      </c>
      <c r="I890" t="s">
        <v>179</v>
      </c>
      <c r="J890" t="s">
        <v>1637</v>
      </c>
      <c r="K890" t="s">
        <v>34</v>
      </c>
      <c r="L890">
        <v>202000</v>
      </c>
      <c r="M890">
        <v>1.6</v>
      </c>
      <c r="N890">
        <v>14.3</v>
      </c>
      <c r="O890">
        <v>9.4</v>
      </c>
      <c r="P890">
        <v>4.9000000000000004</v>
      </c>
      <c r="Q890">
        <v>4</v>
      </c>
      <c r="R890">
        <v>2</v>
      </c>
      <c r="S890">
        <v>3</v>
      </c>
      <c r="T890" t="s">
        <v>23</v>
      </c>
      <c r="U890">
        <v>5</v>
      </c>
      <c r="W890" t="s">
        <v>1650</v>
      </c>
      <c r="X890" t="s">
        <v>1658</v>
      </c>
      <c r="Y890" t="s">
        <v>1662</v>
      </c>
      <c r="Z890">
        <v>0</v>
      </c>
    </row>
    <row r="891" spans="1:26" x14ac:dyDescent="0.35">
      <c r="A891" t="s">
        <v>186</v>
      </c>
      <c r="B891" s="6">
        <v>45565</v>
      </c>
      <c r="C891" t="s">
        <v>23</v>
      </c>
      <c r="D891">
        <v>37</v>
      </c>
      <c r="E891" t="s">
        <v>36</v>
      </c>
      <c r="F891" t="s">
        <v>25</v>
      </c>
      <c r="G891" t="s">
        <v>32</v>
      </c>
      <c r="H891" t="s">
        <v>1634</v>
      </c>
      <c r="I891" t="s">
        <v>86</v>
      </c>
      <c r="J891" t="s">
        <v>1635</v>
      </c>
      <c r="K891" t="s">
        <v>84</v>
      </c>
      <c r="L891">
        <v>76000</v>
      </c>
      <c r="M891">
        <v>8.5</v>
      </c>
      <c r="N891">
        <v>8.9</v>
      </c>
      <c r="O891">
        <v>1.3</v>
      </c>
      <c r="P891">
        <v>0.3</v>
      </c>
      <c r="Q891">
        <v>3</v>
      </c>
      <c r="R891">
        <v>3</v>
      </c>
      <c r="S891">
        <v>4</v>
      </c>
      <c r="T891" t="s">
        <v>23</v>
      </c>
      <c r="U891">
        <v>4</v>
      </c>
      <c r="W891" t="s">
        <v>1649</v>
      </c>
      <c r="X891" t="s">
        <v>1659</v>
      </c>
      <c r="Y891" t="s">
        <v>1665</v>
      </c>
      <c r="Z891">
        <v>0</v>
      </c>
    </row>
    <row r="892" spans="1:26" x14ac:dyDescent="0.35">
      <c r="A892" t="s">
        <v>1142</v>
      </c>
      <c r="B892" s="6">
        <v>44959</v>
      </c>
      <c r="C892" t="s">
        <v>23</v>
      </c>
      <c r="D892">
        <v>35</v>
      </c>
      <c r="E892" t="s">
        <v>62</v>
      </c>
      <c r="F892" t="s">
        <v>37</v>
      </c>
      <c r="G892" t="s">
        <v>32</v>
      </c>
      <c r="H892" t="s">
        <v>1634</v>
      </c>
      <c r="I892" t="s">
        <v>75</v>
      </c>
      <c r="J892" t="s">
        <v>1635</v>
      </c>
      <c r="K892" t="s">
        <v>1638</v>
      </c>
      <c r="L892">
        <v>68000</v>
      </c>
      <c r="M892">
        <v>0.2</v>
      </c>
      <c r="N892">
        <v>7.4</v>
      </c>
      <c r="O892">
        <v>2.9</v>
      </c>
      <c r="P892">
        <v>2.2999999999999998</v>
      </c>
      <c r="Q892">
        <v>3</v>
      </c>
      <c r="R892">
        <v>4</v>
      </c>
      <c r="S892">
        <v>3</v>
      </c>
      <c r="T892" t="s">
        <v>30</v>
      </c>
      <c r="U892">
        <v>3</v>
      </c>
      <c r="W892" t="s">
        <v>1650</v>
      </c>
      <c r="X892" t="s">
        <v>1659</v>
      </c>
      <c r="Y892" t="s">
        <v>1665</v>
      </c>
      <c r="Z892">
        <v>0</v>
      </c>
    </row>
    <row r="893" spans="1:26" x14ac:dyDescent="0.35">
      <c r="A893" t="s">
        <v>1135</v>
      </c>
      <c r="B893" s="6">
        <v>45654</v>
      </c>
      <c r="C893" t="s">
        <v>23</v>
      </c>
      <c r="D893">
        <v>40</v>
      </c>
      <c r="E893" t="s">
        <v>24</v>
      </c>
      <c r="F893" t="s">
        <v>37</v>
      </c>
      <c r="G893" t="s">
        <v>58</v>
      </c>
      <c r="H893" t="s">
        <v>27</v>
      </c>
      <c r="I893" t="s">
        <v>43</v>
      </c>
      <c r="J893" t="s">
        <v>1633</v>
      </c>
      <c r="K893" t="s">
        <v>50</v>
      </c>
      <c r="L893">
        <v>51000</v>
      </c>
      <c r="M893">
        <v>9.9</v>
      </c>
      <c r="N893">
        <v>3</v>
      </c>
      <c r="O893">
        <v>1</v>
      </c>
      <c r="P893">
        <v>0.4</v>
      </c>
      <c r="Q893">
        <v>3</v>
      </c>
      <c r="R893">
        <v>3</v>
      </c>
      <c r="S893">
        <v>4</v>
      </c>
      <c r="T893" t="s">
        <v>23</v>
      </c>
      <c r="U893">
        <v>3</v>
      </c>
      <c r="W893" t="s">
        <v>1649</v>
      </c>
      <c r="X893" t="s">
        <v>1656</v>
      </c>
      <c r="Y893" t="s">
        <v>1665</v>
      </c>
      <c r="Z893">
        <v>0</v>
      </c>
    </row>
    <row r="894" spans="1:26" x14ac:dyDescent="0.35">
      <c r="A894" t="s">
        <v>1324</v>
      </c>
      <c r="B894" s="6">
        <v>43926</v>
      </c>
      <c r="C894" t="s">
        <v>23</v>
      </c>
      <c r="D894">
        <v>35</v>
      </c>
      <c r="E894" t="s">
        <v>36</v>
      </c>
      <c r="F894" t="s">
        <v>37</v>
      </c>
      <c r="G894" t="s">
        <v>54</v>
      </c>
      <c r="H894" t="s">
        <v>38</v>
      </c>
      <c r="I894" t="s">
        <v>52</v>
      </c>
      <c r="J894" t="s">
        <v>1632</v>
      </c>
      <c r="K894" t="s">
        <v>84</v>
      </c>
      <c r="L894">
        <v>46000</v>
      </c>
      <c r="M894">
        <v>7.8</v>
      </c>
      <c r="N894">
        <v>10.199999999999999</v>
      </c>
      <c r="O894">
        <v>5.7</v>
      </c>
      <c r="P894">
        <v>3.4</v>
      </c>
      <c r="Q894">
        <v>2</v>
      </c>
      <c r="R894">
        <v>4</v>
      </c>
      <c r="S894">
        <v>2</v>
      </c>
      <c r="T894" t="s">
        <v>23</v>
      </c>
      <c r="U894">
        <v>3</v>
      </c>
      <c r="W894" t="s">
        <v>1650</v>
      </c>
      <c r="X894" t="s">
        <v>1656</v>
      </c>
      <c r="Y894" t="s">
        <v>1661</v>
      </c>
      <c r="Z894">
        <v>0</v>
      </c>
    </row>
    <row r="895" spans="1:26" x14ac:dyDescent="0.35">
      <c r="A895" t="s">
        <v>1183</v>
      </c>
      <c r="B895" s="6">
        <v>45840</v>
      </c>
      <c r="C895" t="s">
        <v>23</v>
      </c>
      <c r="D895">
        <v>35</v>
      </c>
      <c r="E895" t="s">
        <v>36</v>
      </c>
      <c r="F895" t="s">
        <v>42</v>
      </c>
      <c r="G895" t="s">
        <v>32</v>
      </c>
      <c r="H895" t="s">
        <v>55</v>
      </c>
      <c r="I895" t="s">
        <v>179</v>
      </c>
      <c r="J895" t="s">
        <v>1633</v>
      </c>
      <c r="K895" t="s">
        <v>84</v>
      </c>
      <c r="L895">
        <v>63000</v>
      </c>
      <c r="M895">
        <v>3.9</v>
      </c>
      <c r="N895">
        <v>1.6</v>
      </c>
      <c r="O895">
        <v>0.5</v>
      </c>
      <c r="P895">
        <v>0</v>
      </c>
      <c r="Q895">
        <v>3</v>
      </c>
      <c r="R895">
        <v>3</v>
      </c>
      <c r="S895">
        <v>1</v>
      </c>
      <c r="T895" t="s">
        <v>30</v>
      </c>
      <c r="U895">
        <v>3</v>
      </c>
      <c r="W895" t="s">
        <v>1650</v>
      </c>
      <c r="X895" t="s">
        <v>1659</v>
      </c>
      <c r="Y895" t="s">
        <v>1664</v>
      </c>
      <c r="Z895">
        <v>0</v>
      </c>
    </row>
    <row r="896" spans="1:26" x14ac:dyDescent="0.35">
      <c r="A896" t="s">
        <v>681</v>
      </c>
      <c r="B896" s="6">
        <v>44338</v>
      </c>
      <c r="C896" t="s">
        <v>30</v>
      </c>
      <c r="D896">
        <v>27</v>
      </c>
      <c r="E896" t="s">
        <v>24</v>
      </c>
      <c r="F896" t="s">
        <v>37</v>
      </c>
      <c r="G896" t="s">
        <v>32</v>
      </c>
      <c r="H896" t="s">
        <v>27</v>
      </c>
      <c r="I896" t="s">
        <v>43</v>
      </c>
      <c r="J896" t="s">
        <v>1632</v>
      </c>
      <c r="K896" t="s">
        <v>29</v>
      </c>
      <c r="L896">
        <v>26000</v>
      </c>
      <c r="M896">
        <v>5.7</v>
      </c>
      <c r="N896">
        <v>4.8</v>
      </c>
      <c r="O896">
        <v>4.3</v>
      </c>
      <c r="P896">
        <v>3.1</v>
      </c>
      <c r="Q896">
        <v>4</v>
      </c>
      <c r="R896">
        <v>2</v>
      </c>
      <c r="S896">
        <v>2</v>
      </c>
      <c r="T896" t="s">
        <v>23</v>
      </c>
      <c r="U896">
        <v>2</v>
      </c>
      <c r="V896" s="7">
        <v>45919</v>
      </c>
      <c r="W896" t="s">
        <v>1650</v>
      </c>
      <c r="X896" t="s">
        <v>1655</v>
      </c>
      <c r="Y896" t="s">
        <v>1661</v>
      </c>
      <c r="Z896">
        <v>1</v>
      </c>
    </row>
    <row r="897" spans="1:26" x14ac:dyDescent="0.35">
      <c r="A897" t="s">
        <v>319</v>
      </c>
      <c r="B897" s="6">
        <v>41758</v>
      </c>
      <c r="C897" t="s">
        <v>23</v>
      </c>
      <c r="D897">
        <v>48</v>
      </c>
      <c r="E897" t="s">
        <v>24</v>
      </c>
      <c r="F897" t="s">
        <v>25</v>
      </c>
      <c r="G897" t="s">
        <v>26</v>
      </c>
      <c r="H897" t="s">
        <v>55</v>
      </c>
      <c r="I897" t="s">
        <v>56</v>
      </c>
      <c r="J897" t="s">
        <v>1635</v>
      </c>
      <c r="K897" t="s">
        <v>40</v>
      </c>
      <c r="L897">
        <v>102000</v>
      </c>
      <c r="M897">
        <v>16.7</v>
      </c>
      <c r="N897">
        <v>15.6</v>
      </c>
      <c r="O897">
        <v>11.7</v>
      </c>
      <c r="P897">
        <v>3.3</v>
      </c>
      <c r="Q897">
        <v>3</v>
      </c>
      <c r="R897">
        <v>3</v>
      </c>
      <c r="S897">
        <v>3</v>
      </c>
      <c r="T897" t="s">
        <v>23</v>
      </c>
      <c r="U897">
        <v>3</v>
      </c>
      <c r="W897" t="s">
        <v>1652</v>
      </c>
      <c r="X897" t="s">
        <v>1658</v>
      </c>
      <c r="Y897" t="s">
        <v>1663</v>
      </c>
      <c r="Z897">
        <v>0</v>
      </c>
    </row>
    <row r="898" spans="1:26" x14ac:dyDescent="0.35">
      <c r="A898" t="s">
        <v>449</v>
      </c>
      <c r="B898" s="6">
        <v>42018</v>
      </c>
      <c r="C898" t="s">
        <v>23</v>
      </c>
      <c r="D898">
        <v>33</v>
      </c>
      <c r="E898" t="s">
        <v>24</v>
      </c>
      <c r="F898" t="s">
        <v>37</v>
      </c>
      <c r="G898" t="s">
        <v>32</v>
      </c>
      <c r="H898" t="s">
        <v>48</v>
      </c>
      <c r="I898" t="s">
        <v>49</v>
      </c>
      <c r="J898" t="s">
        <v>1633</v>
      </c>
      <c r="K898" t="s">
        <v>40</v>
      </c>
      <c r="L898">
        <v>43000</v>
      </c>
      <c r="M898">
        <v>6.2</v>
      </c>
      <c r="N898">
        <v>15.4</v>
      </c>
      <c r="O898">
        <v>11</v>
      </c>
      <c r="P898">
        <v>0.3</v>
      </c>
      <c r="Q898">
        <v>2</v>
      </c>
      <c r="R898">
        <v>4</v>
      </c>
      <c r="S898">
        <v>2</v>
      </c>
      <c r="T898" t="s">
        <v>30</v>
      </c>
      <c r="U898">
        <v>1</v>
      </c>
      <c r="W898" t="s">
        <v>1650</v>
      </c>
      <c r="X898" t="s">
        <v>1656</v>
      </c>
      <c r="Y898" t="s">
        <v>1663</v>
      </c>
      <c r="Z898">
        <v>0</v>
      </c>
    </row>
    <row r="899" spans="1:26" x14ac:dyDescent="0.35">
      <c r="A899" t="s">
        <v>1389</v>
      </c>
      <c r="B899" s="6">
        <v>42682</v>
      </c>
      <c r="C899" t="s">
        <v>23</v>
      </c>
      <c r="D899">
        <v>42</v>
      </c>
      <c r="E899" t="s">
        <v>62</v>
      </c>
      <c r="F899" t="s">
        <v>37</v>
      </c>
      <c r="G899" t="s">
        <v>32</v>
      </c>
      <c r="H899" t="s">
        <v>27</v>
      </c>
      <c r="I899" t="s">
        <v>28</v>
      </c>
      <c r="J899" t="s">
        <v>1633</v>
      </c>
      <c r="K899" t="s">
        <v>40</v>
      </c>
      <c r="L899">
        <v>47000</v>
      </c>
      <c r="M899">
        <v>13.3</v>
      </c>
      <c r="N899">
        <v>13.1</v>
      </c>
      <c r="O899">
        <v>9.1</v>
      </c>
      <c r="P899">
        <v>4</v>
      </c>
      <c r="Q899">
        <v>1</v>
      </c>
      <c r="R899">
        <v>3</v>
      </c>
      <c r="S899">
        <v>3</v>
      </c>
      <c r="T899" t="s">
        <v>23</v>
      </c>
      <c r="U899">
        <v>1</v>
      </c>
      <c r="W899" t="s">
        <v>1649</v>
      </c>
      <c r="X899" t="s">
        <v>1656</v>
      </c>
      <c r="Y899" t="s">
        <v>1662</v>
      </c>
      <c r="Z899">
        <v>0</v>
      </c>
    </row>
    <row r="900" spans="1:26" x14ac:dyDescent="0.35">
      <c r="A900" t="s">
        <v>504</v>
      </c>
      <c r="B900" s="6">
        <v>42914</v>
      </c>
      <c r="C900" t="s">
        <v>23</v>
      </c>
      <c r="D900">
        <v>49</v>
      </c>
      <c r="E900" t="s">
        <v>36</v>
      </c>
      <c r="F900" t="s">
        <v>42</v>
      </c>
      <c r="G900" t="s">
        <v>58</v>
      </c>
      <c r="H900" t="s">
        <v>27</v>
      </c>
      <c r="I900" t="s">
        <v>33</v>
      </c>
      <c r="J900" t="s">
        <v>1632</v>
      </c>
      <c r="K900" t="s">
        <v>66</v>
      </c>
      <c r="L900">
        <v>22000</v>
      </c>
      <c r="M900">
        <v>14</v>
      </c>
      <c r="N900">
        <v>9.8000000000000007</v>
      </c>
      <c r="O900">
        <v>8.5</v>
      </c>
      <c r="P900">
        <v>1.3</v>
      </c>
      <c r="Q900">
        <v>3</v>
      </c>
      <c r="R900">
        <v>3</v>
      </c>
      <c r="S900">
        <v>4</v>
      </c>
      <c r="T900" t="s">
        <v>23</v>
      </c>
      <c r="U900">
        <v>4</v>
      </c>
      <c r="W900" t="s">
        <v>1652</v>
      </c>
      <c r="X900" t="s">
        <v>1655</v>
      </c>
      <c r="Y900" t="s">
        <v>1662</v>
      </c>
      <c r="Z900">
        <v>0</v>
      </c>
    </row>
    <row r="901" spans="1:26" x14ac:dyDescent="0.35">
      <c r="A901" t="s">
        <v>1500</v>
      </c>
      <c r="B901" s="6">
        <v>44175</v>
      </c>
      <c r="C901" t="s">
        <v>23</v>
      </c>
      <c r="D901">
        <v>26</v>
      </c>
      <c r="E901" t="s">
        <v>62</v>
      </c>
      <c r="F901" t="s">
        <v>25</v>
      </c>
      <c r="G901" t="s">
        <v>54</v>
      </c>
      <c r="H901" t="s">
        <v>48</v>
      </c>
      <c r="I901" t="s">
        <v>49</v>
      </c>
      <c r="J901" t="s">
        <v>1632</v>
      </c>
      <c r="K901" t="s">
        <v>40</v>
      </c>
      <c r="L901">
        <v>44000</v>
      </c>
      <c r="M901">
        <v>10.3</v>
      </c>
      <c r="N901">
        <v>12.2</v>
      </c>
      <c r="O901">
        <v>5.0999999999999996</v>
      </c>
      <c r="P901">
        <v>2</v>
      </c>
      <c r="Q901">
        <v>3</v>
      </c>
      <c r="R901">
        <v>3</v>
      </c>
      <c r="S901">
        <v>3</v>
      </c>
      <c r="T901" t="s">
        <v>23</v>
      </c>
      <c r="U901">
        <v>3</v>
      </c>
      <c r="W901" t="s">
        <v>1650</v>
      </c>
      <c r="X901" t="s">
        <v>1656</v>
      </c>
      <c r="Y901" t="s">
        <v>1661</v>
      </c>
      <c r="Z901">
        <v>0</v>
      </c>
    </row>
    <row r="902" spans="1:26" x14ac:dyDescent="0.35">
      <c r="A902" t="s">
        <v>1429</v>
      </c>
      <c r="B902" s="6">
        <v>45811</v>
      </c>
      <c r="C902" t="s">
        <v>23</v>
      </c>
      <c r="D902">
        <v>27</v>
      </c>
      <c r="E902" t="s">
        <v>62</v>
      </c>
      <c r="F902" t="s">
        <v>42</v>
      </c>
      <c r="G902" t="s">
        <v>58</v>
      </c>
      <c r="H902" t="s">
        <v>55</v>
      </c>
      <c r="I902" t="s">
        <v>56</v>
      </c>
      <c r="J902" t="s">
        <v>1632</v>
      </c>
      <c r="K902" t="s">
        <v>34</v>
      </c>
      <c r="L902">
        <v>33000</v>
      </c>
      <c r="M902">
        <v>17.2</v>
      </c>
      <c r="N902">
        <v>2.2000000000000002</v>
      </c>
      <c r="O902">
        <v>0.6</v>
      </c>
      <c r="P902">
        <v>0</v>
      </c>
      <c r="Q902">
        <v>4</v>
      </c>
      <c r="R902">
        <v>4</v>
      </c>
      <c r="S902">
        <v>4</v>
      </c>
      <c r="T902" t="s">
        <v>23</v>
      </c>
      <c r="U902">
        <v>4</v>
      </c>
      <c r="W902" t="s">
        <v>1650</v>
      </c>
      <c r="X902" t="s">
        <v>1655</v>
      </c>
      <c r="Y902" t="s">
        <v>1664</v>
      </c>
      <c r="Z902">
        <v>0</v>
      </c>
    </row>
    <row r="903" spans="1:26" x14ac:dyDescent="0.35">
      <c r="A903" t="s">
        <v>1291</v>
      </c>
      <c r="B903" s="6">
        <v>42134</v>
      </c>
      <c r="C903" t="s">
        <v>23</v>
      </c>
      <c r="D903">
        <v>38</v>
      </c>
      <c r="E903" t="s">
        <v>62</v>
      </c>
      <c r="F903" t="s">
        <v>42</v>
      </c>
      <c r="G903" t="s">
        <v>54</v>
      </c>
      <c r="H903" t="s">
        <v>38</v>
      </c>
      <c r="I903" t="s">
        <v>139</v>
      </c>
      <c r="J903" t="s">
        <v>1635</v>
      </c>
      <c r="K903" t="s">
        <v>34</v>
      </c>
      <c r="L903">
        <v>79000</v>
      </c>
      <c r="M903">
        <v>5.9</v>
      </c>
      <c r="N903">
        <v>12.4</v>
      </c>
      <c r="O903">
        <v>10.6</v>
      </c>
      <c r="P903">
        <v>1.1000000000000001</v>
      </c>
      <c r="Q903">
        <v>3</v>
      </c>
      <c r="R903">
        <v>3</v>
      </c>
      <c r="S903">
        <v>3</v>
      </c>
      <c r="T903" t="s">
        <v>30</v>
      </c>
      <c r="U903">
        <v>4</v>
      </c>
      <c r="W903" t="s">
        <v>1649</v>
      </c>
      <c r="X903" t="s">
        <v>1659</v>
      </c>
      <c r="Y903" t="s">
        <v>1663</v>
      </c>
      <c r="Z903">
        <v>0</v>
      </c>
    </row>
    <row r="904" spans="1:26" x14ac:dyDescent="0.35">
      <c r="A904" t="s">
        <v>1369</v>
      </c>
      <c r="B904" s="6">
        <v>44669</v>
      </c>
      <c r="C904" t="s">
        <v>23</v>
      </c>
      <c r="D904">
        <v>24</v>
      </c>
      <c r="E904" t="s">
        <v>24</v>
      </c>
      <c r="F904" t="s">
        <v>25</v>
      </c>
      <c r="G904" t="s">
        <v>26</v>
      </c>
      <c r="H904" t="s">
        <v>27</v>
      </c>
      <c r="I904" t="s">
        <v>95</v>
      </c>
      <c r="J904" t="s">
        <v>1632</v>
      </c>
      <c r="K904" t="s">
        <v>50</v>
      </c>
      <c r="L904">
        <v>28000</v>
      </c>
      <c r="M904">
        <v>9.1</v>
      </c>
      <c r="N904">
        <v>9</v>
      </c>
      <c r="O904">
        <v>3.7</v>
      </c>
      <c r="P904">
        <v>3.5</v>
      </c>
      <c r="Q904">
        <v>3</v>
      </c>
      <c r="R904">
        <v>2</v>
      </c>
      <c r="S904">
        <v>2</v>
      </c>
      <c r="T904" t="s">
        <v>23</v>
      </c>
      <c r="U904">
        <v>1</v>
      </c>
      <c r="W904" t="s">
        <v>1651</v>
      </c>
      <c r="X904" t="s">
        <v>1655</v>
      </c>
      <c r="Y904" t="s">
        <v>1661</v>
      </c>
      <c r="Z904">
        <v>0</v>
      </c>
    </row>
    <row r="905" spans="1:26" x14ac:dyDescent="0.35">
      <c r="A905" t="s">
        <v>634</v>
      </c>
      <c r="B905" s="6">
        <v>44283</v>
      </c>
      <c r="C905" t="s">
        <v>30</v>
      </c>
      <c r="D905">
        <v>32</v>
      </c>
      <c r="E905" t="s">
        <v>62</v>
      </c>
      <c r="F905" t="s">
        <v>37</v>
      </c>
      <c r="G905" t="s">
        <v>58</v>
      </c>
      <c r="H905" t="s">
        <v>68</v>
      </c>
      <c r="I905" t="s">
        <v>102</v>
      </c>
      <c r="J905" t="s">
        <v>1633</v>
      </c>
      <c r="K905" t="s">
        <v>50</v>
      </c>
      <c r="L905">
        <v>56000</v>
      </c>
      <c r="M905">
        <v>11.8</v>
      </c>
      <c r="N905">
        <v>9.1999999999999993</v>
      </c>
      <c r="O905">
        <v>4.0999999999999996</v>
      </c>
      <c r="P905">
        <v>4</v>
      </c>
      <c r="Q905">
        <v>2</v>
      </c>
      <c r="R905">
        <v>4</v>
      </c>
      <c r="S905">
        <v>3</v>
      </c>
      <c r="T905" t="s">
        <v>23</v>
      </c>
      <c r="U905">
        <v>3</v>
      </c>
      <c r="V905" s="7">
        <v>45768</v>
      </c>
      <c r="W905" t="s">
        <v>1650</v>
      </c>
      <c r="X905" t="s">
        <v>1656</v>
      </c>
      <c r="Y905" t="s">
        <v>1661</v>
      </c>
      <c r="Z905">
        <v>1</v>
      </c>
    </row>
    <row r="906" spans="1:26" x14ac:dyDescent="0.35">
      <c r="A906" t="s">
        <v>393</v>
      </c>
      <c r="B906" s="6">
        <v>45618</v>
      </c>
      <c r="C906" t="s">
        <v>23</v>
      </c>
      <c r="D906">
        <v>26</v>
      </c>
      <c r="E906" t="s">
        <v>36</v>
      </c>
      <c r="F906" t="s">
        <v>37</v>
      </c>
      <c r="G906" t="s">
        <v>26</v>
      </c>
      <c r="H906" t="s">
        <v>38</v>
      </c>
      <c r="I906" t="s">
        <v>39</v>
      </c>
      <c r="J906" t="s">
        <v>1632</v>
      </c>
      <c r="K906" t="s">
        <v>50</v>
      </c>
      <c r="L906">
        <v>35000</v>
      </c>
      <c r="M906">
        <v>13.8</v>
      </c>
      <c r="N906">
        <v>8.4</v>
      </c>
      <c r="O906">
        <v>1.1000000000000001</v>
      </c>
      <c r="P906">
        <v>0.1</v>
      </c>
      <c r="Q906">
        <v>4</v>
      </c>
      <c r="R906">
        <v>3</v>
      </c>
      <c r="S906">
        <v>4</v>
      </c>
      <c r="T906" t="s">
        <v>23</v>
      </c>
      <c r="U906">
        <v>4</v>
      </c>
      <c r="W906" t="s">
        <v>1650</v>
      </c>
      <c r="X906" t="s">
        <v>1655</v>
      </c>
      <c r="Y906" t="s">
        <v>1665</v>
      </c>
      <c r="Z906">
        <v>0</v>
      </c>
    </row>
    <row r="907" spans="1:26" x14ac:dyDescent="0.35">
      <c r="A907" t="s">
        <v>1266</v>
      </c>
      <c r="B907" s="6">
        <v>45464</v>
      </c>
      <c r="C907" t="s">
        <v>23</v>
      </c>
      <c r="D907">
        <v>23</v>
      </c>
      <c r="E907" t="s">
        <v>36</v>
      </c>
      <c r="F907" t="s">
        <v>25</v>
      </c>
      <c r="G907" t="s">
        <v>54</v>
      </c>
      <c r="H907" t="s">
        <v>38</v>
      </c>
      <c r="I907" t="s">
        <v>139</v>
      </c>
      <c r="J907" t="s">
        <v>1632</v>
      </c>
      <c r="K907" t="s">
        <v>50</v>
      </c>
      <c r="L907">
        <v>41000</v>
      </c>
      <c r="M907">
        <v>1.1000000000000001</v>
      </c>
      <c r="N907">
        <v>1.7</v>
      </c>
      <c r="O907">
        <v>1.5</v>
      </c>
      <c r="P907">
        <v>0.8</v>
      </c>
      <c r="Q907">
        <v>3</v>
      </c>
      <c r="R907">
        <v>1</v>
      </c>
      <c r="S907">
        <v>3</v>
      </c>
      <c r="T907" t="s">
        <v>23</v>
      </c>
      <c r="U907">
        <v>3</v>
      </c>
      <c r="W907" t="s">
        <v>1651</v>
      </c>
      <c r="X907" t="s">
        <v>1656</v>
      </c>
      <c r="Y907" t="s">
        <v>1665</v>
      </c>
      <c r="Z907">
        <v>0</v>
      </c>
    </row>
    <row r="908" spans="1:26" x14ac:dyDescent="0.35">
      <c r="A908" t="s">
        <v>410</v>
      </c>
      <c r="B908" s="6">
        <v>43923</v>
      </c>
      <c r="C908" t="s">
        <v>23</v>
      </c>
      <c r="D908">
        <v>46</v>
      </c>
      <c r="E908" t="s">
        <v>24</v>
      </c>
      <c r="F908" t="s">
        <v>42</v>
      </c>
      <c r="G908" t="s">
        <v>26</v>
      </c>
      <c r="H908" t="s">
        <v>38</v>
      </c>
      <c r="I908" t="s">
        <v>52</v>
      </c>
      <c r="J908" t="s">
        <v>1633</v>
      </c>
      <c r="K908" t="s">
        <v>29</v>
      </c>
      <c r="L908">
        <v>51000</v>
      </c>
      <c r="M908">
        <v>5.7</v>
      </c>
      <c r="N908">
        <v>11</v>
      </c>
      <c r="O908">
        <v>5.7</v>
      </c>
      <c r="P908">
        <v>5.5</v>
      </c>
      <c r="Q908">
        <v>1</v>
      </c>
      <c r="R908">
        <v>4</v>
      </c>
      <c r="S908">
        <v>3</v>
      </c>
      <c r="T908" t="s">
        <v>30</v>
      </c>
      <c r="U908">
        <v>4</v>
      </c>
      <c r="W908" t="s">
        <v>1652</v>
      </c>
      <c r="X908" t="s">
        <v>1656</v>
      </c>
      <c r="Y908" t="s">
        <v>1661</v>
      </c>
      <c r="Z908">
        <v>0</v>
      </c>
    </row>
    <row r="909" spans="1:26" x14ac:dyDescent="0.35">
      <c r="A909" t="s">
        <v>360</v>
      </c>
      <c r="B909" s="6">
        <v>45767</v>
      </c>
      <c r="C909" t="s">
        <v>23</v>
      </c>
      <c r="D909">
        <v>22</v>
      </c>
      <c r="E909" t="s">
        <v>24</v>
      </c>
      <c r="F909" t="s">
        <v>25</v>
      </c>
      <c r="G909" t="s">
        <v>26</v>
      </c>
      <c r="H909" t="s">
        <v>68</v>
      </c>
      <c r="I909" t="s">
        <v>109</v>
      </c>
      <c r="J909" t="s">
        <v>1632</v>
      </c>
      <c r="K909" t="s">
        <v>84</v>
      </c>
      <c r="L909">
        <v>28000</v>
      </c>
      <c r="M909">
        <v>11.4</v>
      </c>
      <c r="N909">
        <v>7.7</v>
      </c>
      <c r="O909">
        <v>0.7</v>
      </c>
      <c r="P909">
        <v>0</v>
      </c>
      <c r="Q909">
        <v>1</v>
      </c>
      <c r="R909">
        <v>3</v>
      </c>
      <c r="S909">
        <v>4</v>
      </c>
      <c r="T909" t="s">
        <v>23</v>
      </c>
      <c r="U909">
        <v>3</v>
      </c>
      <c r="W909" t="s">
        <v>1651</v>
      </c>
      <c r="X909" t="s">
        <v>1655</v>
      </c>
      <c r="Y909" t="s">
        <v>1664</v>
      </c>
      <c r="Z909">
        <v>0</v>
      </c>
    </row>
    <row r="910" spans="1:26" x14ac:dyDescent="0.35">
      <c r="A910" t="s">
        <v>364</v>
      </c>
      <c r="B910" s="6">
        <v>44130</v>
      </c>
      <c r="C910" t="s">
        <v>23</v>
      </c>
      <c r="D910">
        <v>31</v>
      </c>
      <c r="E910" t="s">
        <v>24</v>
      </c>
      <c r="F910" t="s">
        <v>25</v>
      </c>
      <c r="G910" t="s">
        <v>54</v>
      </c>
      <c r="H910" t="s">
        <v>68</v>
      </c>
      <c r="I910" t="s">
        <v>102</v>
      </c>
      <c r="J910" t="s">
        <v>1635</v>
      </c>
      <c r="K910" t="s">
        <v>84</v>
      </c>
      <c r="L910">
        <v>83000</v>
      </c>
      <c r="M910">
        <v>10.7</v>
      </c>
      <c r="N910">
        <v>8.1999999999999993</v>
      </c>
      <c r="O910">
        <v>5.2</v>
      </c>
      <c r="P910">
        <v>2.9</v>
      </c>
      <c r="Q910">
        <v>2</v>
      </c>
      <c r="R910">
        <v>2</v>
      </c>
      <c r="S910">
        <v>3</v>
      </c>
      <c r="T910" t="s">
        <v>23</v>
      </c>
      <c r="U910">
        <v>3</v>
      </c>
      <c r="W910" t="s">
        <v>1650</v>
      </c>
      <c r="X910" t="s">
        <v>1657</v>
      </c>
      <c r="Y910" t="s">
        <v>1661</v>
      </c>
      <c r="Z910">
        <v>0</v>
      </c>
    </row>
    <row r="911" spans="1:26" x14ac:dyDescent="0.35">
      <c r="A911" t="s">
        <v>1153</v>
      </c>
      <c r="B911" s="6">
        <v>45336</v>
      </c>
      <c r="C911" t="s">
        <v>23</v>
      </c>
      <c r="D911">
        <v>31</v>
      </c>
      <c r="E911" t="s">
        <v>36</v>
      </c>
      <c r="F911" t="s">
        <v>25</v>
      </c>
      <c r="G911" t="s">
        <v>54</v>
      </c>
      <c r="H911" t="s">
        <v>48</v>
      </c>
      <c r="I911" t="s">
        <v>129</v>
      </c>
      <c r="J911" t="s">
        <v>1635</v>
      </c>
      <c r="K911" t="s">
        <v>34</v>
      </c>
      <c r="L911">
        <v>83000</v>
      </c>
      <c r="M911">
        <v>8.5</v>
      </c>
      <c r="N911">
        <v>5.0999999999999996</v>
      </c>
      <c r="O911">
        <v>1.9</v>
      </c>
      <c r="P911">
        <v>1.8</v>
      </c>
      <c r="Q911">
        <v>4</v>
      </c>
      <c r="R911">
        <v>2</v>
      </c>
      <c r="S911">
        <v>2</v>
      </c>
      <c r="T911" t="s">
        <v>23</v>
      </c>
      <c r="U911">
        <v>2</v>
      </c>
      <c r="W911" t="s">
        <v>1650</v>
      </c>
      <c r="X911" t="s">
        <v>1657</v>
      </c>
      <c r="Y911" t="s">
        <v>1665</v>
      </c>
      <c r="Z911">
        <v>0</v>
      </c>
    </row>
    <row r="912" spans="1:26" x14ac:dyDescent="0.35">
      <c r="A912" t="s">
        <v>269</v>
      </c>
      <c r="B912" s="6">
        <v>44696</v>
      </c>
      <c r="C912" t="s">
        <v>23</v>
      </c>
      <c r="D912">
        <v>30</v>
      </c>
      <c r="E912" t="s">
        <v>24</v>
      </c>
      <c r="F912" t="s">
        <v>25</v>
      </c>
      <c r="G912" t="s">
        <v>54</v>
      </c>
      <c r="H912" t="s">
        <v>1634</v>
      </c>
      <c r="I912" t="s">
        <v>86</v>
      </c>
      <c r="J912" t="s">
        <v>1636</v>
      </c>
      <c r="K912" t="s">
        <v>50</v>
      </c>
      <c r="L912">
        <v>106000</v>
      </c>
      <c r="M912">
        <v>5</v>
      </c>
      <c r="N912">
        <v>6.4</v>
      </c>
      <c r="O912">
        <v>3.6</v>
      </c>
      <c r="P912">
        <v>2.2999999999999998</v>
      </c>
      <c r="Q912">
        <v>4</v>
      </c>
      <c r="R912">
        <v>4</v>
      </c>
      <c r="S912">
        <v>4</v>
      </c>
      <c r="T912" t="s">
        <v>23</v>
      </c>
      <c r="U912">
        <v>4</v>
      </c>
      <c r="W912" t="s">
        <v>1650</v>
      </c>
      <c r="X912" t="s">
        <v>1658</v>
      </c>
      <c r="Y912" t="s">
        <v>1661</v>
      </c>
      <c r="Z912">
        <v>0</v>
      </c>
    </row>
    <row r="913" spans="1:26" x14ac:dyDescent="0.35">
      <c r="A913" t="s">
        <v>1202</v>
      </c>
      <c r="B913" s="6">
        <v>43758</v>
      </c>
      <c r="C913" t="s">
        <v>23</v>
      </c>
      <c r="D913">
        <v>27</v>
      </c>
      <c r="E913" t="s">
        <v>62</v>
      </c>
      <c r="F913" t="s">
        <v>25</v>
      </c>
      <c r="G913" t="s">
        <v>58</v>
      </c>
      <c r="H913" t="s">
        <v>1634</v>
      </c>
      <c r="I913" t="s">
        <v>60</v>
      </c>
      <c r="J913" t="s">
        <v>1632</v>
      </c>
      <c r="K913" t="s">
        <v>34</v>
      </c>
      <c r="L913">
        <v>23000</v>
      </c>
      <c r="M913">
        <v>10</v>
      </c>
      <c r="N913">
        <v>10.8</v>
      </c>
      <c r="O913">
        <v>6.2</v>
      </c>
      <c r="P913">
        <v>1.5</v>
      </c>
      <c r="Q913">
        <v>3</v>
      </c>
      <c r="R913">
        <v>3</v>
      </c>
      <c r="S913">
        <v>4</v>
      </c>
      <c r="T913" t="s">
        <v>23</v>
      </c>
      <c r="U913">
        <v>4</v>
      </c>
      <c r="W913" t="s">
        <v>1650</v>
      </c>
      <c r="X913" t="s">
        <v>1655</v>
      </c>
      <c r="Y913" t="s">
        <v>1662</v>
      </c>
      <c r="Z913">
        <v>0</v>
      </c>
    </row>
    <row r="914" spans="1:26" x14ac:dyDescent="0.35">
      <c r="A914" t="s">
        <v>133</v>
      </c>
      <c r="B914" s="6">
        <v>42507</v>
      </c>
      <c r="C914" t="s">
        <v>23</v>
      </c>
      <c r="D914">
        <v>38</v>
      </c>
      <c r="E914" t="s">
        <v>24</v>
      </c>
      <c r="F914" t="s">
        <v>25</v>
      </c>
      <c r="G914" t="s">
        <v>54</v>
      </c>
      <c r="H914" t="s">
        <v>38</v>
      </c>
      <c r="I914" t="s">
        <v>39</v>
      </c>
      <c r="J914" t="s">
        <v>1635</v>
      </c>
      <c r="K914" t="s">
        <v>40</v>
      </c>
      <c r="L914">
        <v>83000</v>
      </c>
      <c r="M914">
        <v>10.6</v>
      </c>
      <c r="N914">
        <v>12.8</v>
      </c>
      <c r="O914">
        <v>9.6</v>
      </c>
      <c r="P914">
        <v>3.5</v>
      </c>
      <c r="Q914">
        <v>3</v>
      </c>
      <c r="R914">
        <v>4</v>
      </c>
      <c r="S914">
        <v>3</v>
      </c>
      <c r="T914" t="s">
        <v>23</v>
      </c>
      <c r="U914">
        <v>5</v>
      </c>
      <c r="W914" t="s">
        <v>1649</v>
      </c>
      <c r="X914" t="s">
        <v>1657</v>
      </c>
      <c r="Y914" t="s">
        <v>1662</v>
      </c>
      <c r="Z914">
        <v>0</v>
      </c>
    </row>
    <row r="915" spans="1:26" x14ac:dyDescent="0.35">
      <c r="A915" t="s">
        <v>1084</v>
      </c>
      <c r="B915" s="6">
        <v>42096</v>
      </c>
      <c r="C915" t="s">
        <v>23</v>
      </c>
      <c r="D915">
        <v>36</v>
      </c>
      <c r="E915" t="s">
        <v>24</v>
      </c>
      <c r="F915" t="s">
        <v>25</v>
      </c>
      <c r="G915" t="s">
        <v>26</v>
      </c>
      <c r="H915" t="s">
        <v>1634</v>
      </c>
      <c r="I915" t="s">
        <v>86</v>
      </c>
      <c r="J915" t="s">
        <v>1635</v>
      </c>
      <c r="K915" t="s">
        <v>40</v>
      </c>
      <c r="L915">
        <v>68000</v>
      </c>
      <c r="M915">
        <v>9.6</v>
      </c>
      <c r="N915">
        <v>18.100000000000001</v>
      </c>
      <c r="O915">
        <v>10.7</v>
      </c>
      <c r="P915">
        <v>4.2</v>
      </c>
      <c r="Q915">
        <v>4</v>
      </c>
      <c r="R915">
        <v>3</v>
      </c>
      <c r="S915">
        <v>3</v>
      </c>
      <c r="T915" t="s">
        <v>23</v>
      </c>
      <c r="U915">
        <v>3</v>
      </c>
      <c r="W915" t="s">
        <v>1649</v>
      </c>
      <c r="X915" t="s">
        <v>1659</v>
      </c>
      <c r="Y915" t="s">
        <v>1663</v>
      </c>
      <c r="Z915">
        <v>0</v>
      </c>
    </row>
    <row r="916" spans="1:26" x14ac:dyDescent="0.35">
      <c r="A916" t="s">
        <v>1000</v>
      </c>
      <c r="B916" s="6">
        <v>45396</v>
      </c>
      <c r="C916" t="s">
        <v>30</v>
      </c>
      <c r="D916">
        <v>33</v>
      </c>
      <c r="E916" t="s">
        <v>62</v>
      </c>
      <c r="F916" t="s">
        <v>42</v>
      </c>
      <c r="G916" t="s">
        <v>58</v>
      </c>
      <c r="H916" t="s">
        <v>38</v>
      </c>
      <c r="I916" t="s">
        <v>118</v>
      </c>
      <c r="J916" t="s">
        <v>1632</v>
      </c>
      <c r="K916" t="s">
        <v>34</v>
      </c>
      <c r="L916">
        <v>22000</v>
      </c>
      <c r="M916">
        <v>9.6</v>
      </c>
      <c r="N916">
        <v>4.7</v>
      </c>
      <c r="O916">
        <v>1.1000000000000001</v>
      </c>
      <c r="P916">
        <v>0.1</v>
      </c>
      <c r="Q916">
        <v>4</v>
      </c>
      <c r="R916">
        <v>4</v>
      </c>
      <c r="S916">
        <v>3</v>
      </c>
      <c r="T916" t="s">
        <v>30</v>
      </c>
      <c r="U916">
        <v>1</v>
      </c>
      <c r="V916" s="7">
        <v>45787</v>
      </c>
      <c r="W916" t="s">
        <v>1650</v>
      </c>
      <c r="X916" t="s">
        <v>1655</v>
      </c>
      <c r="Y916" t="s">
        <v>1665</v>
      </c>
      <c r="Z916">
        <v>1</v>
      </c>
    </row>
    <row r="917" spans="1:26" x14ac:dyDescent="0.35">
      <c r="A917" t="s">
        <v>1046</v>
      </c>
      <c r="B917" s="6">
        <v>43719</v>
      </c>
      <c r="C917" t="s">
        <v>23</v>
      </c>
      <c r="D917">
        <v>30</v>
      </c>
      <c r="E917" t="s">
        <v>36</v>
      </c>
      <c r="F917" t="s">
        <v>42</v>
      </c>
      <c r="G917" t="s">
        <v>26</v>
      </c>
      <c r="H917" t="s">
        <v>68</v>
      </c>
      <c r="I917" t="s">
        <v>109</v>
      </c>
      <c r="J917" t="s">
        <v>1633</v>
      </c>
      <c r="K917" t="s">
        <v>34</v>
      </c>
      <c r="L917">
        <v>46000</v>
      </c>
      <c r="M917">
        <v>10.5</v>
      </c>
      <c r="N917">
        <v>11.7</v>
      </c>
      <c r="O917">
        <v>6.3</v>
      </c>
      <c r="P917">
        <v>5.9</v>
      </c>
      <c r="Q917">
        <v>3</v>
      </c>
      <c r="R917">
        <v>3</v>
      </c>
      <c r="S917">
        <v>3</v>
      </c>
      <c r="T917" t="s">
        <v>23</v>
      </c>
      <c r="U917">
        <v>3</v>
      </c>
      <c r="W917" t="s">
        <v>1650</v>
      </c>
      <c r="X917" t="s">
        <v>1656</v>
      </c>
      <c r="Y917" t="s">
        <v>1662</v>
      </c>
      <c r="Z917">
        <v>0</v>
      </c>
    </row>
    <row r="918" spans="1:26" x14ac:dyDescent="0.35">
      <c r="A918" t="s">
        <v>359</v>
      </c>
      <c r="B918" s="6">
        <v>42986</v>
      </c>
      <c r="C918" t="s">
        <v>23</v>
      </c>
      <c r="D918">
        <v>41</v>
      </c>
      <c r="E918" t="s">
        <v>62</v>
      </c>
      <c r="F918" t="s">
        <v>25</v>
      </c>
      <c r="G918" t="s">
        <v>26</v>
      </c>
      <c r="H918" t="s">
        <v>45</v>
      </c>
      <c r="I918" t="s">
        <v>77</v>
      </c>
      <c r="J918" t="s">
        <v>1636</v>
      </c>
      <c r="K918" t="s">
        <v>34</v>
      </c>
      <c r="L918">
        <v>92000</v>
      </c>
      <c r="M918">
        <v>11.9</v>
      </c>
      <c r="N918">
        <v>14.4</v>
      </c>
      <c r="O918">
        <v>8.3000000000000007</v>
      </c>
      <c r="P918">
        <v>0.5</v>
      </c>
      <c r="Q918">
        <v>3</v>
      </c>
      <c r="R918">
        <v>3</v>
      </c>
      <c r="S918">
        <v>2</v>
      </c>
      <c r="T918" t="s">
        <v>23</v>
      </c>
      <c r="U918">
        <v>3</v>
      </c>
      <c r="W918" t="s">
        <v>1649</v>
      </c>
      <c r="X918" t="s">
        <v>1657</v>
      </c>
      <c r="Y918" t="s">
        <v>1662</v>
      </c>
      <c r="Z918">
        <v>0</v>
      </c>
    </row>
    <row r="919" spans="1:26" x14ac:dyDescent="0.35">
      <c r="A919" t="s">
        <v>553</v>
      </c>
      <c r="B919" s="6">
        <v>41708</v>
      </c>
      <c r="C919" t="s">
        <v>23</v>
      </c>
      <c r="D919">
        <v>32</v>
      </c>
      <c r="E919" t="s">
        <v>62</v>
      </c>
      <c r="F919" t="s">
        <v>37</v>
      </c>
      <c r="G919" t="s">
        <v>54</v>
      </c>
      <c r="H919" t="s">
        <v>48</v>
      </c>
      <c r="I919" t="s">
        <v>129</v>
      </c>
      <c r="J919" t="s">
        <v>1633</v>
      </c>
      <c r="K919" t="s">
        <v>50</v>
      </c>
      <c r="L919">
        <v>58000</v>
      </c>
      <c r="M919">
        <v>13.1</v>
      </c>
      <c r="N919">
        <v>18.600000000000001</v>
      </c>
      <c r="O919">
        <v>11.8</v>
      </c>
      <c r="P919">
        <v>1.3</v>
      </c>
      <c r="Q919">
        <v>3</v>
      </c>
      <c r="R919">
        <v>3</v>
      </c>
      <c r="S919">
        <v>1</v>
      </c>
      <c r="T919" t="s">
        <v>30</v>
      </c>
      <c r="U919">
        <v>2</v>
      </c>
      <c r="W919" t="s">
        <v>1650</v>
      </c>
      <c r="X919" t="s">
        <v>1656</v>
      </c>
      <c r="Y919" t="s">
        <v>1663</v>
      </c>
      <c r="Z919">
        <v>0</v>
      </c>
    </row>
    <row r="920" spans="1:26" x14ac:dyDescent="0.35">
      <c r="A920" t="s">
        <v>1001</v>
      </c>
      <c r="B920" s="6">
        <v>45118</v>
      </c>
      <c r="C920" t="s">
        <v>23</v>
      </c>
      <c r="D920">
        <v>25</v>
      </c>
      <c r="E920" t="s">
        <v>36</v>
      </c>
      <c r="F920" t="s">
        <v>42</v>
      </c>
      <c r="G920" t="s">
        <v>32</v>
      </c>
      <c r="H920" t="s">
        <v>27</v>
      </c>
      <c r="I920" t="s">
        <v>95</v>
      </c>
      <c r="J920" t="s">
        <v>1632</v>
      </c>
      <c r="K920" t="s">
        <v>50</v>
      </c>
      <c r="L920">
        <v>40000</v>
      </c>
      <c r="M920">
        <v>8.6999999999999993</v>
      </c>
      <c r="N920">
        <v>7.7</v>
      </c>
      <c r="O920">
        <v>2.5</v>
      </c>
      <c r="P920">
        <v>0.1</v>
      </c>
      <c r="Q920">
        <v>3</v>
      </c>
      <c r="R920">
        <v>3</v>
      </c>
      <c r="S920">
        <v>3</v>
      </c>
      <c r="T920" t="s">
        <v>23</v>
      </c>
      <c r="U920">
        <v>3</v>
      </c>
      <c r="W920" t="s">
        <v>1651</v>
      </c>
      <c r="X920" t="s">
        <v>1656</v>
      </c>
      <c r="Y920" t="s">
        <v>1665</v>
      </c>
      <c r="Z920">
        <v>0</v>
      </c>
    </row>
    <row r="921" spans="1:26" x14ac:dyDescent="0.35">
      <c r="A921" t="s">
        <v>1584</v>
      </c>
      <c r="B921" s="6">
        <v>42978</v>
      </c>
      <c r="C921" t="s">
        <v>23</v>
      </c>
      <c r="D921">
        <v>34</v>
      </c>
      <c r="E921" t="s">
        <v>36</v>
      </c>
      <c r="F921" t="s">
        <v>37</v>
      </c>
      <c r="G921" t="s">
        <v>58</v>
      </c>
      <c r="H921" t="s">
        <v>68</v>
      </c>
      <c r="I921" t="s">
        <v>69</v>
      </c>
      <c r="J921" t="s">
        <v>1633</v>
      </c>
      <c r="K921" t="s">
        <v>40</v>
      </c>
      <c r="L921">
        <v>51000</v>
      </c>
      <c r="M921">
        <v>13.8</v>
      </c>
      <c r="N921">
        <v>10.3</v>
      </c>
      <c r="O921">
        <v>8.3000000000000007</v>
      </c>
      <c r="P921">
        <v>2.2999999999999998</v>
      </c>
      <c r="Q921">
        <v>1</v>
      </c>
      <c r="R921">
        <v>4</v>
      </c>
      <c r="S921">
        <v>3</v>
      </c>
      <c r="T921" t="s">
        <v>23</v>
      </c>
      <c r="U921">
        <v>3</v>
      </c>
      <c r="W921" t="s">
        <v>1650</v>
      </c>
      <c r="X921" t="s">
        <v>1656</v>
      </c>
      <c r="Y921" t="s">
        <v>1662</v>
      </c>
      <c r="Z921">
        <v>0</v>
      </c>
    </row>
    <row r="922" spans="1:26" x14ac:dyDescent="0.35">
      <c r="A922" t="s">
        <v>1106</v>
      </c>
      <c r="B922" s="6">
        <v>44427</v>
      </c>
      <c r="C922" t="s">
        <v>23</v>
      </c>
      <c r="D922">
        <v>25</v>
      </c>
      <c r="E922" t="s">
        <v>62</v>
      </c>
      <c r="F922" t="s">
        <v>25</v>
      </c>
      <c r="G922" t="s">
        <v>26</v>
      </c>
      <c r="H922" t="s">
        <v>55</v>
      </c>
      <c r="I922" t="s">
        <v>88</v>
      </c>
      <c r="J922" t="s">
        <v>1632</v>
      </c>
      <c r="K922" t="s">
        <v>34</v>
      </c>
      <c r="L922">
        <v>36000</v>
      </c>
      <c r="M922">
        <v>9.6999999999999993</v>
      </c>
      <c r="N922">
        <v>10.8</v>
      </c>
      <c r="O922">
        <v>4.4000000000000004</v>
      </c>
      <c r="P922">
        <v>4.2</v>
      </c>
      <c r="Q922">
        <v>3</v>
      </c>
      <c r="R922">
        <v>2</v>
      </c>
      <c r="S922">
        <v>2</v>
      </c>
      <c r="T922" t="s">
        <v>23</v>
      </c>
      <c r="U922">
        <v>2</v>
      </c>
      <c r="W922" t="s">
        <v>1651</v>
      </c>
      <c r="X922" t="s">
        <v>1655</v>
      </c>
      <c r="Y922" t="s">
        <v>1661</v>
      </c>
      <c r="Z922">
        <v>0</v>
      </c>
    </row>
    <row r="923" spans="1:26" x14ac:dyDescent="0.35">
      <c r="A923" t="s">
        <v>413</v>
      </c>
      <c r="B923" s="6">
        <v>44075</v>
      </c>
      <c r="C923" t="s">
        <v>23</v>
      </c>
      <c r="D923">
        <v>37</v>
      </c>
      <c r="E923" t="s">
        <v>24</v>
      </c>
      <c r="F923" t="s">
        <v>37</v>
      </c>
      <c r="G923" t="s">
        <v>26</v>
      </c>
      <c r="H923" t="s">
        <v>48</v>
      </c>
      <c r="I923" t="s">
        <v>129</v>
      </c>
      <c r="J923" t="s">
        <v>1635</v>
      </c>
      <c r="K923" t="s">
        <v>84</v>
      </c>
      <c r="L923">
        <v>72000</v>
      </c>
      <c r="M923">
        <v>18.899999999999999</v>
      </c>
      <c r="N923">
        <v>9.6999999999999993</v>
      </c>
      <c r="O923">
        <v>5.3</v>
      </c>
      <c r="P923">
        <v>2.2000000000000002</v>
      </c>
      <c r="Q923">
        <v>4</v>
      </c>
      <c r="R923">
        <v>1</v>
      </c>
      <c r="S923">
        <v>3</v>
      </c>
      <c r="T923" t="s">
        <v>23</v>
      </c>
      <c r="U923">
        <v>4</v>
      </c>
      <c r="W923" t="s">
        <v>1649</v>
      </c>
      <c r="X923" t="s">
        <v>1659</v>
      </c>
      <c r="Y923" t="s">
        <v>1661</v>
      </c>
      <c r="Z923">
        <v>0</v>
      </c>
    </row>
    <row r="924" spans="1:26" x14ac:dyDescent="0.35">
      <c r="A924" t="s">
        <v>1473</v>
      </c>
      <c r="B924" s="6">
        <v>43746</v>
      </c>
      <c r="C924" t="s">
        <v>30</v>
      </c>
      <c r="D924">
        <v>42</v>
      </c>
      <c r="E924" t="s">
        <v>36</v>
      </c>
      <c r="F924" t="s">
        <v>25</v>
      </c>
      <c r="G924" t="s">
        <v>58</v>
      </c>
      <c r="H924" t="s">
        <v>45</v>
      </c>
      <c r="I924" t="s">
        <v>77</v>
      </c>
      <c r="J924" t="s">
        <v>1635</v>
      </c>
      <c r="K924" t="s">
        <v>34</v>
      </c>
      <c r="L924">
        <v>71000</v>
      </c>
      <c r="M924">
        <v>11.1</v>
      </c>
      <c r="N924">
        <v>6.6</v>
      </c>
      <c r="O924">
        <v>5.3</v>
      </c>
      <c r="P924">
        <v>3</v>
      </c>
      <c r="Q924">
        <v>4</v>
      </c>
      <c r="R924">
        <v>3</v>
      </c>
      <c r="S924">
        <v>3</v>
      </c>
      <c r="T924" t="s">
        <v>30</v>
      </c>
      <c r="U924">
        <v>5</v>
      </c>
      <c r="V924" s="7">
        <v>45670</v>
      </c>
      <c r="W924" t="s">
        <v>1649</v>
      </c>
      <c r="X924" t="s">
        <v>1659</v>
      </c>
      <c r="Y924" t="s">
        <v>1661</v>
      </c>
      <c r="Z924">
        <v>1</v>
      </c>
    </row>
    <row r="925" spans="1:26" x14ac:dyDescent="0.35">
      <c r="A925" t="s">
        <v>816</v>
      </c>
      <c r="B925" s="6">
        <v>45418</v>
      </c>
      <c r="C925" t="s">
        <v>23</v>
      </c>
      <c r="D925">
        <v>42</v>
      </c>
      <c r="E925" t="s">
        <v>62</v>
      </c>
      <c r="F925" t="s">
        <v>25</v>
      </c>
      <c r="G925" t="s">
        <v>58</v>
      </c>
      <c r="H925" t="s">
        <v>38</v>
      </c>
      <c r="I925" t="s">
        <v>139</v>
      </c>
      <c r="J925" t="s">
        <v>1635</v>
      </c>
      <c r="K925" t="s">
        <v>66</v>
      </c>
      <c r="L925">
        <v>96000</v>
      </c>
      <c r="M925">
        <v>12.5</v>
      </c>
      <c r="N925">
        <v>7.6</v>
      </c>
      <c r="O925">
        <v>1.7</v>
      </c>
      <c r="P925">
        <v>0.7</v>
      </c>
      <c r="Q925">
        <v>2</v>
      </c>
      <c r="R925">
        <v>3</v>
      </c>
      <c r="S925">
        <v>3</v>
      </c>
      <c r="T925" t="s">
        <v>30</v>
      </c>
      <c r="U925">
        <v>1</v>
      </c>
      <c r="W925" t="s">
        <v>1649</v>
      </c>
      <c r="X925" t="s">
        <v>1657</v>
      </c>
      <c r="Y925" t="s">
        <v>1665</v>
      </c>
      <c r="Z925">
        <v>0</v>
      </c>
    </row>
    <row r="926" spans="1:26" x14ac:dyDescent="0.35">
      <c r="A926" t="s">
        <v>1447</v>
      </c>
      <c r="B926" s="6">
        <v>43334</v>
      </c>
      <c r="C926" t="s">
        <v>23</v>
      </c>
      <c r="D926">
        <v>29</v>
      </c>
      <c r="E926" t="s">
        <v>62</v>
      </c>
      <c r="F926" t="s">
        <v>25</v>
      </c>
      <c r="G926" t="s">
        <v>26</v>
      </c>
      <c r="H926" t="s">
        <v>27</v>
      </c>
      <c r="I926" t="s">
        <v>43</v>
      </c>
      <c r="J926" t="s">
        <v>1633</v>
      </c>
      <c r="K926" t="s">
        <v>40</v>
      </c>
      <c r="L926">
        <v>54000</v>
      </c>
      <c r="M926">
        <v>12.7</v>
      </c>
      <c r="N926">
        <v>9.1</v>
      </c>
      <c r="O926">
        <v>7.4</v>
      </c>
      <c r="P926">
        <v>4</v>
      </c>
      <c r="Q926">
        <v>2</v>
      </c>
      <c r="R926">
        <v>3</v>
      </c>
      <c r="S926">
        <v>2</v>
      </c>
      <c r="T926" t="s">
        <v>23</v>
      </c>
      <c r="U926">
        <v>3</v>
      </c>
      <c r="W926" t="s">
        <v>1650</v>
      </c>
      <c r="X926" t="s">
        <v>1656</v>
      </c>
      <c r="Y926" t="s">
        <v>1662</v>
      </c>
      <c r="Z926">
        <v>0</v>
      </c>
    </row>
    <row r="927" spans="1:26" x14ac:dyDescent="0.35">
      <c r="A927" t="s">
        <v>1182</v>
      </c>
      <c r="B927" s="6">
        <v>45292</v>
      </c>
      <c r="C927" t="s">
        <v>23</v>
      </c>
      <c r="D927">
        <v>40</v>
      </c>
      <c r="E927" t="s">
        <v>24</v>
      </c>
      <c r="F927" t="s">
        <v>42</v>
      </c>
      <c r="G927" t="s">
        <v>54</v>
      </c>
      <c r="H927" t="s">
        <v>45</v>
      </c>
      <c r="I927" t="s">
        <v>97</v>
      </c>
      <c r="J927" t="s">
        <v>1636</v>
      </c>
      <c r="K927" t="s">
        <v>50</v>
      </c>
      <c r="L927">
        <v>117000</v>
      </c>
      <c r="M927">
        <v>5.3</v>
      </c>
      <c r="N927">
        <v>2.6</v>
      </c>
      <c r="O927">
        <v>2</v>
      </c>
      <c r="P927">
        <v>0.3</v>
      </c>
      <c r="Q927">
        <v>3</v>
      </c>
      <c r="R927">
        <v>3</v>
      </c>
      <c r="S927">
        <v>3</v>
      </c>
      <c r="T927" t="s">
        <v>23</v>
      </c>
      <c r="U927">
        <v>4</v>
      </c>
      <c r="W927" t="s">
        <v>1649</v>
      </c>
      <c r="X927" t="s">
        <v>1658</v>
      </c>
      <c r="Y927" t="s">
        <v>1665</v>
      </c>
      <c r="Z927">
        <v>0</v>
      </c>
    </row>
    <row r="928" spans="1:26" x14ac:dyDescent="0.35">
      <c r="A928" t="s">
        <v>1048</v>
      </c>
      <c r="B928" s="6">
        <v>44543</v>
      </c>
      <c r="C928" t="s">
        <v>23</v>
      </c>
      <c r="D928">
        <v>32</v>
      </c>
      <c r="E928" t="s">
        <v>36</v>
      </c>
      <c r="F928" t="s">
        <v>25</v>
      </c>
      <c r="G928" t="s">
        <v>54</v>
      </c>
      <c r="H928" t="s">
        <v>1634</v>
      </c>
      <c r="I928" t="s">
        <v>60</v>
      </c>
      <c r="J928" t="s">
        <v>1632</v>
      </c>
      <c r="K928" t="s">
        <v>29</v>
      </c>
      <c r="L928">
        <v>36000</v>
      </c>
      <c r="M928">
        <v>6.9</v>
      </c>
      <c r="N928">
        <v>7</v>
      </c>
      <c r="O928">
        <v>4</v>
      </c>
      <c r="P928">
        <v>1.8</v>
      </c>
      <c r="Q928">
        <v>2</v>
      </c>
      <c r="R928">
        <v>4</v>
      </c>
      <c r="S928">
        <v>2</v>
      </c>
      <c r="T928" t="s">
        <v>23</v>
      </c>
      <c r="U928">
        <v>5</v>
      </c>
      <c r="W928" t="s">
        <v>1650</v>
      </c>
      <c r="X928" t="s">
        <v>1655</v>
      </c>
      <c r="Y928" t="s">
        <v>1661</v>
      </c>
      <c r="Z928">
        <v>0</v>
      </c>
    </row>
    <row r="929" spans="1:26" x14ac:dyDescent="0.35">
      <c r="A929" t="s">
        <v>1062</v>
      </c>
      <c r="B929" s="6">
        <v>43685</v>
      </c>
      <c r="C929" t="s">
        <v>23</v>
      </c>
      <c r="D929">
        <v>36</v>
      </c>
      <c r="E929" t="s">
        <v>24</v>
      </c>
      <c r="F929" t="s">
        <v>42</v>
      </c>
      <c r="G929" t="s">
        <v>58</v>
      </c>
      <c r="H929" t="s">
        <v>1634</v>
      </c>
      <c r="I929" t="s">
        <v>86</v>
      </c>
      <c r="J929" t="s">
        <v>1633</v>
      </c>
      <c r="K929" t="s">
        <v>34</v>
      </c>
      <c r="L929">
        <v>52000</v>
      </c>
      <c r="M929">
        <v>3.3</v>
      </c>
      <c r="N929">
        <v>9.6999999999999993</v>
      </c>
      <c r="O929">
        <v>6.4</v>
      </c>
      <c r="P929">
        <v>3.4</v>
      </c>
      <c r="Q929">
        <v>1</v>
      </c>
      <c r="R929">
        <v>3</v>
      </c>
      <c r="S929">
        <v>4</v>
      </c>
      <c r="T929" t="s">
        <v>23</v>
      </c>
      <c r="U929">
        <v>4</v>
      </c>
      <c r="W929" t="s">
        <v>1649</v>
      </c>
      <c r="X929" t="s">
        <v>1656</v>
      </c>
      <c r="Y929" t="s">
        <v>1662</v>
      </c>
      <c r="Z929">
        <v>0</v>
      </c>
    </row>
    <row r="930" spans="1:26" x14ac:dyDescent="0.35">
      <c r="A930" t="s">
        <v>1481</v>
      </c>
      <c r="B930" s="6">
        <v>41696</v>
      </c>
      <c r="C930" t="s">
        <v>23</v>
      </c>
      <c r="D930">
        <v>35</v>
      </c>
      <c r="E930" t="s">
        <v>62</v>
      </c>
      <c r="F930" t="s">
        <v>25</v>
      </c>
      <c r="G930" t="s">
        <v>32</v>
      </c>
      <c r="H930" t="s">
        <v>68</v>
      </c>
      <c r="I930" t="s">
        <v>121</v>
      </c>
      <c r="J930" t="s">
        <v>1635</v>
      </c>
      <c r="K930" t="s">
        <v>34</v>
      </c>
      <c r="L930">
        <v>58000</v>
      </c>
      <c r="M930">
        <v>13.1</v>
      </c>
      <c r="N930">
        <v>19.2</v>
      </c>
      <c r="O930">
        <v>11.8</v>
      </c>
      <c r="P930">
        <v>5.0999999999999996</v>
      </c>
      <c r="Q930">
        <v>4</v>
      </c>
      <c r="R930">
        <v>3</v>
      </c>
      <c r="S930">
        <v>3</v>
      </c>
      <c r="T930" t="s">
        <v>23</v>
      </c>
      <c r="U930">
        <v>4</v>
      </c>
      <c r="W930" t="s">
        <v>1650</v>
      </c>
      <c r="X930" t="s">
        <v>1656</v>
      </c>
      <c r="Y930" t="s">
        <v>1663</v>
      </c>
      <c r="Z930">
        <v>0</v>
      </c>
    </row>
    <row r="931" spans="1:26" x14ac:dyDescent="0.35">
      <c r="A931" t="s">
        <v>1538</v>
      </c>
      <c r="B931" s="6">
        <v>41745</v>
      </c>
      <c r="C931" t="s">
        <v>30</v>
      </c>
      <c r="D931">
        <v>56</v>
      </c>
      <c r="E931" t="s">
        <v>36</v>
      </c>
      <c r="F931" t="s">
        <v>37</v>
      </c>
      <c r="G931" t="s">
        <v>32</v>
      </c>
      <c r="H931" t="s">
        <v>68</v>
      </c>
      <c r="I931" t="s">
        <v>102</v>
      </c>
      <c r="J931" t="s">
        <v>1635</v>
      </c>
      <c r="K931" t="s">
        <v>84</v>
      </c>
      <c r="L931">
        <v>98000</v>
      </c>
      <c r="M931">
        <v>8.3000000000000007</v>
      </c>
      <c r="N931">
        <v>13.7</v>
      </c>
      <c r="O931">
        <v>11.6</v>
      </c>
      <c r="P931">
        <v>1.6</v>
      </c>
      <c r="Q931">
        <v>3</v>
      </c>
      <c r="R931">
        <v>3</v>
      </c>
      <c r="S931">
        <v>3</v>
      </c>
      <c r="T931" t="s">
        <v>23</v>
      </c>
      <c r="U931">
        <v>3</v>
      </c>
      <c r="V931" s="7">
        <v>45980</v>
      </c>
      <c r="W931" t="s">
        <v>1653</v>
      </c>
      <c r="X931" t="s">
        <v>1657</v>
      </c>
      <c r="Y931" t="s">
        <v>1663</v>
      </c>
      <c r="Z931">
        <v>1</v>
      </c>
    </row>
    <row r="932" spans="1:26" x14ac:dyDescent="0.35">
      <c r="A932" t="s">
        <v>306</v>
      </c>
      <c r="B932" s="6">
        <v>43701</v>
      </c>
      <c r="C932" t="s">
        <v>23</v>
      </c>
      <c r="D932">
        <v>40</v>
      </c>
      <c r="E932" t="s">
        <v>36</v>
      </c>
      <c r="F932" t="s">
        <v>37</v>
      </c>
      <c r="G932" t="s">
        <v>58</v>
      </c>
      <c r="H932" t="s">
        <v>68</v>
      </c>
      <c r="I932" t="s">
        <v>109</v>
      </c>
      <c r="J932" t="s">
        <v>1636</v>
      </c>
      <c r="K932" t="s">
        <v>29</v>
      </c>
      <c r="L932">
        <v>126000</v>
      </c>
      <c r="M932">
        <v>2.4</v>
      </c>
      <c r="N932">
        <v>11.6</v>
      </c>
      <c r="O932">
        <v>6.4</v>
      </c>
      <c r="P932">
        <v>4.5999999999999996</v>
      </c>
      <c r="Q932">
        <v>3</v>
      </c>
      <c r="R932">
        <v>4</v>
      </c>
      <c r="S932">
        <v>2</v>
      </c>
      <c r="T932" t="s">
        <v>23</v>
      </c>
      <c r="U932">
        <v>4</v>
      </c>
      <c r="W932" t="s">
        <v>1649</v>
      </c>
      <c r="X932" t="s">
        <v>1658</v>
      </c>
      <c r="Y932" t="s">
        <v>1662</v>
      </c>
      <c r="Z932">
        <v>0</v>
      </c>
    </row>
    <row r="933" spans="1:26" x14ac:dyDescent="0.35">
      <c r="A933" t="s">
        <v>1305</v>
      </c>
      <c r="B933" s="6">
        <v>44443</v>
      </c>
      <c r="C933" t="s">
        <v>23</v>
      </c>
      <c r="D933">
        <v>29</v>
      </c>
      <c r="E933" t="s">
        <v>62</v>
      </c>
      <c r="F933" t="s">
        <v>42</v>
      </c>
      <c r="G933" t="s">
        <v>58</v>
      </c>
      <c r="H933" t="s">
        <v>27</v>
      </c>
      <c r="I933" t="s">
        <v>28</v>
      </c>
      <c r="J933" t="s">
        <v>1633</v>
      </c>
      <c r="K933" t="s">
        <v>40</v>
      </c>
      <c r="L933">
        <v>56000</v>
      </c>
      <c r="M933">
        <v>11</v>
      </c>
      <c r="N933">
        <v>6.7</v>
      </c>
      <c r="O933">
        <v>4.3</v>
      </c>
      <c r="P933">
        <v>1.1000000000000001</v>
      </c>
      <c r="Q933">
        <v>2</v>
      </c>
      <c r="R933">
        <v>3</v>
      </c>
      <c r="S933">
        <v>3</v>
      </c>
      <c r="T933" t="s">
        <v>23</v>
      </c>
      <c r="U933">
        <v>3</v>
      </c>
      <c r="W933" t="s">
        <v>1650</v>
      </c>
      <c r="X933" t="s">
        <v>1656</v>
      </c>
      <c r="Y933" t="s">
        <v>1661</v>
      </c>
      <c r="Z933">
        <v>0</v>
      </c>
    </row>
    <row r="934" spans="1:26" x14ac:dyDescent="0.35">
      <c r="A934" t="s">
        <v>767</v>
      </c>
      <c r="B934" s="6">
        <v>44682</v>
      </c>
      <c r="C934" t="s">
        <v>23</v>
      </c>
      <c r="D934">
        <v>25</v>
      </c>
      <c r="E934" t="s">
        <v>36</v>
      </c>
      <c r="F934" t="s">
        <v>37</v>
      </c>
      <c r="G934" t="s">
        <v>26</v>
      </c>
      <c r="H934" t="s">
        <v>48</v>
      </c>
      <c r="I934" t="s">
        <v>201</v>
      </c>
      <c r="J934" t="s">
        <v>1632</v>
      </c>
      <c r="K934" t="s">
        <v>40</v>
      </c>
      <c r="L934">
        <v>22000</v>
      </c>
      <c r="M934">
        <v>12.4</v>
      </c>
      <c r="N934">
        <v>5.7</v>
      </c>
      <c r="O934">
        <v>3.7</v>
      </c>
      <c r="P934">
        <v>0.3</v>
      </c>
      <c r="Q934">
        <v>3</v>
      </c>
      <c r="R934">
        <v>2</v>
      </c>
      <c r="S934">
        <v>3</v>
      </c>
      <c r="T934" t="s">
        <v>23</v>
      </c>
      <c r="U934">
        <v>4</v>
      </c>
      <c r="W934" t="s">
        <v>1651</v>
      </c>
      <c r="X934" t="s">
        <v>1655</v>
      </c>
      <c r="Y934" t="s">
        <v>1661</v>
      </c>
      <c r="Z934">
        <v>0</v>
      </c>
    </row>
    <row r="935" spans="1:26" x14ac:dyDescent="0.35">
      <c r="A935" t="s">
        <v>1398</v>
      </c>
      <c r="B935" s="6">
        <v>45676</v>
      </c>
      <c r="C935" t="s">
        <v>23</v>
      </c>
      <c r="D935">
        <v>21</v>
      </c>
      <c r="E935" t="s">
        <v>36</v>
      </c>
      <c r="F935" t="s">
        <v>25</v>
      </c>
      <c r="G935" t="s">
        <v>26</v>
      </c>
      <c r="H935" t="s">
        <v>1634</v>
      </c>
      <c r="I935" t="s">
        <v>150</v>
      </c>
      <c r="J935" t="s">
        <v>1632</v>
      </c>
      <c r="K935" t="s">
        <v>34</v>
      </c>
      <c r="L935">
        <v>34000</v>
      </c>
      <c r="M935">
        <v>12.2</v>
      </c>
      <c r="N935">
        <v>3.2</v>
      </c>
      <c r="O935">
        <v>0.9</v>
      </c>
      <c r="P935">
        <v>0</v>
      </c>
      <c r="Q935">
        <v>4</v>
      </c>
      <c r="R935">
        <v>2</v>
      </c>
      <c r="S935">
        <v>1</v>
      </c>
      <c r="T935" t="s">
        <v>23</v>
      </c>
      <c r="U935">
        <v>3</v>
      </c>
      <c r="W935" t="s">
        <v>1651</v>
      </c>
      <c r="X935" t="s">
        <v>1655</v>
      </c>
      <c r="Y935" t="s">
        <v>1664</v>
      </c>
      <c r="Z935">
        <v>0</v>
      </c>
    </row>
    <row r="936" spans="1:26" x14ac:dyDescent="0.35">
      <c r="A936" t="s">
        <v>1321</v>
      </c>
      <c r="B936" s="6">
        <v>45418</v>
      </c>
      <c r="C936" t="s">
        <v>23</v>
      </c>
      <c r="D936">
        <v>30</v>
      </c>
      <c r="E936" t="s">
        <v>24</v>
      </c>
      <c r="F936" t="s">
        <v>25</v>
      </c>
      <c r="G936" t="s">
        <v>54</v>
      </c>
      <c r="H936" t="s">
        <v>48</v>
      </c>
      <c r="I936" t="s">
        <v>201</v>
      </c>
      <c r="J936" t="s">
        <v>1633</v>
      </c>
      <c r="K936" t="s">
        <v>40</v>
      </c>
      <c r="L936">
        <v>54000</v>
      </c>
      <c r="M936">
        <v>7.5</v>
      </c>
      <c r="N936">
        <v>2</v>
      </c>
      <c r="O936">
        <v>1.7</v>
      </c>
      <c r="P936">
        <v>0.1</v>
      </c>
      <c r="Q936">
        <v>4</v>
      </c>
      <c r="R936">
        <v>2</v>
      </c>
      <c r="S936">
        <v>3</v>
      </c>
      <c r="T936" t="s">
        <v>30</v>
      </c>
      <c r="U936">
        <v>2</v>
      </c>
      <c r="W936" t="s">
        <v>1650</v>
      </c>
      <c r="X936" t="s">
        <v>1656</v>
      </c>
      <c r="Y936" t="s">
        <v>1665</v>
      </c>
      <c r="Z936">
        <v>0</v>
      </c>
    </row>
    <row r="937" spans="1:26" x14ac:dyDescent="0.35">
      <c r="A937" t="s">
        <v>264</v>
      </c>
      <c r="B937" s="6">
        <v>44963</v>
      </c>
      <c r="C937" t="s">
        <v>23</v>
      </c>
      <c r="D937">
        <v>28</v>
      </c>
      <c r="E937" t="s">
        <v>24</v>
      </c>
      <c r="F937" t="s">
        <v>37</v>
      </c>
      <c r="G937" t="s">
        <v>26</v>
      </c>
      <c r="H937" t="s">
        <v>38</v>
      </c>
      <c r="I937" t="s">
        <v>118</v>
      </c>
      <c r="J937" t="s">
        <v>1632</v>
      </c>
      <c r="K937" t="s">
        <v>66</v>
      </c>
      <c r="L937">
        <v>42000</v>
      </c>
      <c r="M937">
        <v>10.3</v>
      </c>
      <c r="N937">
        <v>4.7</v>
      </c>
      <c r="O937">
        <v>2.9</v>
      </c>
      <c r="P937">
        <v>1.8</v>
      </c>
      <c r="Q937">
        <v>3</v>
      </c>
      <c r="R937">
        <v>3</v>
      </c>
      <c r="S937">
        <v>3</v>
      </c>
      <c r="T937" t="s">
        <v>23</v>
      </c>
      <c r="U937">
        <v>4</v>
      </c>
      <c r="W937" t="s">
        <v>1650</v>
      </c>
      <c r="X937" t="s">
        <v>1656</v>
      </c>
      <c r="Y937" t="s">
        <v>1665</v>
      </c>
      <c r="Z937">
        <v>0</v>
      </c>
    </row>
    <row r="938" spans="1:26" x14ac:dyDescent="0.35">
      <c r="A938" t="s">
        <v>1329</v>
      </c>
      <c r="B938" s="6">
        <v>44326</v>
      </c>
      <c r="C938" t="s">
        <v>23</v>
      </c>
      <c r="D938">
        <v>26</v>
      </c>
      <c r="E938" t="s">
        <v>36</v>
      </c>
      <c r="F938" t="s">
        <v>42</v>
      </c>
      <c r="G938" t="s">
        <v>26</v>
      </c>
      <c r="H938" t="s">
        <v>27</v>
      </c>
      <c r="I938" t="s">
        <v>28</v>
      </c>
      <c r="J938" t="s">
        <v>1632</v>
      </c>
      <c r="K938" t="s">
        <v>50</v>
      </c>
      <c r="L938">
        <v>31000</v>
      </c>
      <c r="M938">
        <v>0.3</v>
      </c>
      <c r="N938">
        <v>9</v>
      </c>
      <c r="O938">
        <v>4.5999999999999996</v>
      </c>
      <c r="P938">
        <v>0.1</v>
      </c>
      <c r="Q938">
        <v>4</v>
      </c>
      <c r="R938">
        <v>2</v>
      </c>
      <c r="S938">
        <v>3</v>
      </c>
      <c r="T938" t="s">
        <v>30</v>
      </c>
      <c r="U938">
        <v>4</v>
      </c>
      <c r="W938" t="s">
        <v>1650</v>
      </c>
      <c r="X938" t="s">
        <v>1655</v>
      </c>
      <c r="Y938" t="s">
        <v>1661</v>
      </c>
      <c r="Z938">
        <v>0</v>
      </c>
    </row>
    <row r="939" spans="1:26" x14ac:dyDescent="0.35">
      <c r="A939" t="s">
        <v>462</v>
      </c>
      <c r="B939" s="6">
        <v>43949</v>
      </c>
      <c r="C939" t="s">
        <v>23</v>
      </c>
      <c r="D939">
        <v>43</v>
      </c>
      <c r="E939" t="s">
        <v>36</v>
      </c>
      <c r="F939" t="s">
        <v>42</v>
      </c>
      <c r="G939" t="s">
        <v>32</v>
      </c>
      <c r="H939" t="s">
        <v>55</v>
      </c>
      <c r="I939" t="s">
        <v>80</v>
      </c>
      <c r="J939" t="s">
        <v>1633</v>
      </c>
      <c r="K939" t="s">
        <v>40</v>
      </c>
      <c r="L939">
        <v>48000</v>
      </c>
      <c r="M939">
        <v>6.7</v>
      </c>
      <c r="N939">
        <v>6.5</v>
      </c>
      <c r="O939">
        <v>5.7</v>
      </c>
      <c r="P939">
        <v>1.4</v>
      </c>
      <c r="Q939">
        <v>2</v>
      </c>
      <c r="R939">
        <v>3</v>
      </c>
      <c r="S939">
        <v>3</v>
      </c>
      <c r="T939" t="s">
        <v>30</v>
      </c>
      <c r="U939">
        <v>4</v>
      </c>
      <c r="W939" t="s">
        <v>1649</v>
      </c>
      <c r="X939" t="s">
        <v>1656</v>
      </c>
      <c r="Y939" t="s">
        <v>1661</v>
      </c>
      <c r="Z939">
        <v>0</v>
      </c>
    </row>
    <row r="940" spans="1:26" x14ac:dyDescent="0.35">
      <c r="A940" t="s">
        <v>281</v>
      </c>
      <c r="B940" s="6">
        <v>44015</v>
      </c>
      <c r="C940" t="s">
        <v>23</v>
      </c>
      <c r="D940">
        <v>42</v>
      </c>
      <c r="E940" t="s">
        <v>36</v>
      </c>
      <c r="F940" t="s">
        <v>25</v>
      </c>
      <c r="G940" t="s">
        <v>58</v>
      </c>
      <c r="H940" t="s">
        <v>38</v>
      </c>
      <c r="I940" t="s">
        <v>118</v>
      </c>
      <c r="J940" t="s">
        <v>1633</v>
      </c>
      <c r="K940" t="s">
        <v>84</v>
      </c>
      <c r="L940">
        <v>55000</v>
      </c>
      <c r="M940">
        <v>6.2</v>
      </c>
      <c r="N940">
        <v>11.5</v>
      </c>
      <c r="O940">
        <v>5.5</v>
      </c>
      <c r="P940">
        <v>0.1</v>
      </c>
      <c r="Q940">
        <v>4</v>
      </c>
      <c r="R940">
        <v>4</v>
      </c>
      <c r="S940">
        <v>2</v>
      </c>
      <c r="T940" t="s">
        <v>30</v>
      </c>
      <c r="U940">
        <v>4</v>
      </c>
      <c r="W940" t="s">
        <v>1649</v>
      </c>
      <c r="X940" t="s">
        <v>1656</v>
      </c>
      <c r="Y940" t="s">
        <v>1661</v>
      </c>
      <c r="Z940">
        <v>0</v>
      </c>
    </row>
    <row r="941" spans="1:26" x14ac:dyDescent="0.35">
      <c r="A941" t="s">
        <v>222</v>
      </c>
      <c r="B941" s="6">
        <v>44255</v>
      </c>
      <c r="C941" t="s">
        <v>30</v>
      </c>
      <c r="D941">
        <v>34</v>
      </c>
      <c r="E941" t="s">
        <v>36</v>
      </c>
      <c r="F941" t="s">
        <v>42</v>
      </c>
      <c r="G941" t="s">
        <v>54</v>
      </c>
      <c r="H941" t="s">
        <v>38</v>
      </c>
      <c r="I941" t="s">
        <v>52</v>
      </c>
      <c r="J941" t="s">
        <v>1635</v>
      </c>
      <c r="K941" t="s">
        <v>84</v>
      </c>
      <c r="L941">
        <v>105000</v>
      </c>
      <c r="M941">
        <v>10.1</v>
      </c>
      <c r="N941">
        <v>8.8000000000000007</v>
      </c>
      <c r="O941">
        <v>3.9</v>
      </c>
      <c r="P941">
        <v>2.7</v>
      </c>
      <c r="Q941">
        <v>2</v>
      </c>
      <c r="R941">
        <v>3</v>
      </c>
      <c r="S941">
        <v>4</v>
      </c>
      <c r="T941" t="s">
        <v>23</v>
      </c>
      <c r="U941">
        <v>3</v>
      </c>
      <c r="V941" s="7">
        <v>45697</v>
      </c>
      <c r="W941" t="s">
        <v>1650</v>
      </c>
      <c r="X941" t="s">
        <v>1658</v>
      </c>
      <c r="Y941" t="s">
        <v>1661</v>
      </c>
      <c r="Z941">
        <v>1</v>
      </c>
    </row>
    <row r="942" spans="1:26" x14ac:dyDescent="0.35">
      <c r="A942" t="s">
        <v>1298</v>
      </c>
      <c r="B942" s="6">
        <v>44291</v>
      </c>
      <c r="C942" t="s">
        <v>23</v>
      </c>
      <c r="D942">
        <v>35</v>
      </c>
      <c r="E942" t="s">
        <v>62</v>
      </c>
      <c r="F942" t="s">
        <v>42</v>
      </c>
      <c r="G942" t="s">
        <v>58</v>
      </c>
      <c r="H942" t="s">
        <v>55</v>
      </c>
      <c r="I942" t="s">
        <v>88</v>
      </c>
      <c r="J942" t="s">
        <v>1636</v>
      </c>
      <c r="K942" t="s">
        <v>34</v>
      </c>
      <c r="L942">
        <v>129000</v>
      </c>
      <c r="M942">
        <v>5.7</v>
      </c>
      <c r="N942">
        <v>9.1999999999999993</v>
      </c>
      <c r="O942">
        <v>4.7</v>
      </c>
      <c r="P942">
        <v>3</v>
      </c>
      <c r="Q942">
        <v>4</v>
      </c>
      <c r="R942">
        <v>1</v>
      </c>
      <c r="S942">
        <v>3</v>
      </c>
      <c r="T942" t="s">
        <v>23</v>
      </c>
      <c r="U942">
        <v>1</v>
      </c>
      <c r="W942" t="s">
        <v>1650</v>
      </c>
      <c r="X942" t="s">
        <v>1658</v>
      </c>
      <c r="Y942" t="s">
        <v>1661</v>
      </c>
      <c r="Z942">
        <v>0</v>
      </c>
    </row>
    <row r="943" spans="1:26" x14ac:dyDescent="0.35">
      <c r="A943" t="s">
        <v>1497</v>
      </c>
      <c r="B943" s="6">
        <v>44010</v>
      </c>
      <c r="C943" t="s">
        <v>23</v>
      </c>
      <c r="D943">
        <v>35</v>
      </c>
      <c r="E943" t="s">
        <v>62</v>
      </c>
      <c r="F943" t="s">
        <v>25</v>
      </c>
      <c r="G943" t="s">
        <v>32</v>
      </c>
      <c r="H943" t="s">
        <v>38</v>
      </c>
      <c r="I943" t="s">
        <v>52</v>
      </c>
      <c r="J943" t="s">
        <v>1633</v>
      </c>
      <c r="K943" t="s">
        <v>50</v>
      </c>
      <c r="L943">
        <v>60000</v>
      </c>
      <c r="M943">
        <v>5.0999999999999996</v>
      </c>
      <c r="N943">
        <v>7.7</v>
      </c>
      <c r="O943">
        <v>5.5</v>
      </c>
      <c r="P943">
        <v>5</v>
      </c>
      <c r="Q943">
        <v>3</v>
      </c>
      <c r="R943">
        <v>3</v>
      </c>
      <c r="S943">
        <v>2</v>
      </c>
      <c r="T943" t="s">
        <v>23</v>
      </c>
      <c r="U943">
        <v>3</v>
      </c>
      <c r="W943" t="s">
        <v>1650</v>
      </c>
      <c r="X943" t="s">
        <v>1659</v>
      </c>
      <c r="Y943" t="s">
        <v>1661</v>
      </c>
      <c r="Z943">
        <v>0</v>
      </c>
    </row>
    <row r="944" spans="1:26" x14ac:dyDescent="0.35">
      <c r="A944" t="s">
        <v>290</v>
      </c>
      <c r="B944" s="6">
        <v>44936</v>
      </c>
      <c r="C944" t="s">
        <v>23</v>
      </c>
      <c r="D944">
        <v>38</v>
      </c>
      <c r="E944" t="s">
        <v>24</v>
      </c>
      <c r="F944" t="s">
        <v>42</v>
      </c>
      <c r="G944" t="s">
        <v>58</v>
      </c>
      <c r="H944" t="s">
        <v>48</v>
      </c>
      <c r="I944" t="s">
        <v>129</v>
      </c>
      <c r="J944" t="s">
        <v>1632</v>
      </c>
      <c r="K944" t="s">
        <v>40</v>
      </c>
      <c r="L944">
        <v>30000</v>
      </c>
      <c r="M944">
        <v>13</v>
      </c>
      <c r="N944">
        <v>7.4</v>
      </c>
      <c r="O944">
        <v>3</v>
      </c>
      <c r="P944">
        <v>0.8</v>
      </c>
      <c r="Q944">
        <v>2</v>
      </c>
      <c r="R944">
        <v>3</v>
      </c>
      <c r="S944">
        <v>2</v>
      </c>
      <c r="T944" t="s">
        <v>23</v>
      </c>
      <c r="U944">
        <v>2</v>
      </c>
      <c r="W944" t="s">
        <v>1649</v>
      </c>
      <c r="X944" t="s">
        <v>1655</v>
      </c>
      <c r="Y944" t="s">
        <v>1665</v>
      </c>
      <c r="Z944">
        <v>0</v>
      </c>
    </row>
    <row r="945" spans="1:26" x14ac:dyDescent="0.35">
      <c r="A945" t="s">
        <v>321</v>
      </c>
      <c r="B945" s="6">
        <v>44449</v>
      </c>
      <c r="C945" t="s">
        <v>30</v>
      </c>
      <c r="D945">
        <v>28</v>
      </c>
      <c r="E945" t="s">
        <v>36</v>
      </c>
      <c r="F945" t="s">
        <v>42</v>
      </c>
      <c r="G945" t="s">
        <v>32</v>
      </c>
      <c r="H945" t="s">
        <v>55</v>
      </c>
      <c r="I945" t="s">
        <v>80</v>
      </c>
      <c r="J945" t="s">
        <v>1633</v>
      </c>
      <c r="K945" t="s">
        <v>40</v>
      </c>
      <c r="L945">
        <v>55000</v>
      </c>
      <c r="M945">
        <v>1.9</v>
      </c>
      <c r="N945">
        <v>10.5</v>
      </c>
      <c r="O945">
        <v>4.2</v>
      </c>
      <c r="P945">
        <v>3.7</v>
      </c>
      <c r="Q945">
        <v>2</v>
      </c>
      <c r="R945">
        <v>4</v>
      </c>
      <c r="S945">
        <v>3</v>
      </c>
      <c r="T945" t="s">
        <v>30</v>
      </c>
      <c r="U945">
        <v>3</v>
      </c>
      <c r="V945" s="7">
        <v>45993</v>
      </c>
      <c r="W945" t="s">
        <v>1650</v>
      </c>
      <c r="X945" t="s">
        <v>1656</v>
      </c>
      <c r="Y945" t="s">
        <v>1661</v>
      </c>
      <c r="Z945">
        <v>1</v>
      </c>
    </row>
    <row r="946" spans="1:26" x14ac:dyDescent="0.35">
      <c r="A946" t="s">
        <v>851</v>
      </c>
      <c r="B946" s="6">
        <v>45759</v>
      </c>
      <c r="C946" t="s">
        <v>30</v>
      </c>
      <c r="D946">
        <v>21</v>
      </c>
      <c r="E946" t="s">
        <v>24</v>
      </c>
      <c r="F946" t="s">
        <v>25</v>
      </c>
      <c r="G946" t="s">
        <v>32</v>
      </c>
      <c r="H946" t="s">
        <v>38</v>
      </c>
      <c r="I946" t="s">
        <v>139</v>
      </c>
      <c r="J946" t="s">
        <v>1632</v>
      </c>
      <c r="K946" t="s">
        <v>40</v>
      </c>
      <c r="L946">
        <v>27000</v>
      </c>
      <c r="M946">
        <v>0.7</v>
      </c>
      <c r="N946">
        <v>2.1</v>
      </c>
      <c r="O946">
        <v>0.7</v>
      </c>
      <c r="P946">
        <v>0</v>
      </c>
      <c r="Q946">
        <v>4</v>
      </c>
      <c r="R946">
        <v>3</v>
      </c>
      <c r="S946">
        <v>4</v>
      </c>
      <c r="T946" t="s">
        <v>30</v>
      </c>
      <c r="U946">
        <v>4</v>
      </c>
      <c r="V946" s="7">
        <v>46019</v>
      </c>
      <c r="W946" t="s">
        <v>1651</v>
      </c>
      <c r="X946" t="s">
        <v>1655</v>
      </c>
      <c r="Y946" t="s">
        <v>1664</v>
      </c>
      <c r="Z946">
        <v>1</v>
      </c>
    </row>
    <row r="947" spans="1:26" x14ac:dyDescent="0.35">
      <c r="A947" t="s">
        <v>105</v>
      </c>
      <c r="B947" s="6">
        <v>45179</v>
      </c>
      <c r="C947" t="s">
        <v>23</v>
      </c>
      <c r="D947">
        <v>32</v>
      </c>
      <c r="E947" t="s">
        <v>24</v>
      </c>
      <c r="F947" t="s">
        <v>25</v>
      </c>
      <c r="G947" t="s">
        <v>58</v>
      </c>
      <c r="H947" t="s">
        <v>1634</v>
      </c>
      <c r="I947" t="s">
        <v>75</v>
      </c>
      <c r="J947" t="s">
        <v>1633</v>
      </c>
      <c r="K947" t="s">
        <v>66</v>
      </c>
      <c r="L947">
        <v>49000</v>
      </c>
      <c r="M947">
        <v>4.8</v>
      </c>
      <c r="N947">
        <v>9.5</v>
      </c>
      <c r="O947">
        <v>2.2999999999999998</v>
      </c>
      <c r="P947">
        <v>0.9</v>
      </c>
      <c r="Q947">
        <v>4</v>
      </c>
      <c r="R947">
        <v>2</v>
      </c>
      <c r="S947">
        <v>3</v>
      </c>
      <c r="T947" t="s">
        <v>30</v>
      </c>
      <c r="U947">
        <v>4</v>
      </c>
      <c r="W947" t="s">
        <v>1650</v>
      </c>
      <c r="X947" t="s">
        <v>1656</v>
      </c>
      <c r="Y947" t="s">
        <v>1665</v>
      </c>
      <c r="Z947">
        <v>0</v>
      </c>
    </row>
    <row r="948" spans="1:26" x14ac:dyDescent="0.35">
      <c r="A948" t="s">
        <v>561</v>
      </c>
      <c r="B948" s="6">
        <v>43969</v>
      </c>
      <c r="C948" t="s">
        <v>23</v>
      </c>
      <c r="D948">
        <v>36</v>
      </c>
      <c r="E948" t="s">
        <v>62</v>
      </c>
      <c r="F948" t="s">
        <v>42</v>
      </c>
      <c r="G948" t="s">
        <v>54</v>
      </c>
      <c r="H948" t="s">
        <v>1634</v>
      </c>
      <c r="I948" t="s">
        <v>150</v>
      </c>
      <c r="J948" t="s">
        <v>1635</v>
      </c>
      <c r="K948" t="s">
        <v>66</v>
      </c>
      <c r="L948">
        <v>70000</v>
      </c>
      <c r="M948">
        <v>10.3</v>
      </c>
      <c r="N948">
        <v>10.5</v>
      </c>
      <c r="O948">
        <v>5.6</v>
      </c>
      <c r="P948">
        <v>0.2</v>
      </c>
      <c r="Q948">
        <v>3</v>
      </c>
      <c r="R948">
        <v>4</v>
      </c>
      <c r="S948">
        <v>2</v>
      </c>
      <c r="T948" t="s">
        <v>23</v>
      </c>
      <c r="U948">
        <v>3</v>
      </c>
      <c r="W948" t="s">
        <v>1649</v>
      </c>
      <c r="X948" t="s">
        <v>1659</v>
      </c>
      <c r="Y948" t="s">
        <v>1661</v>
      </c>
      <c r="Z948">
        <v>0</v>
      </c>
    </row>
    <row r="949" spans="1:26" x14ac:dyDescent="0.35">
      <c r="A949" t="s">
        <v>617</v>
      </c>
      <c r="B949" s="6">
        <v>43919</v>
      </c>
      <c r="C949" t="s">
        <v>23</v>
      </c>
      <c r="D949">
        <v>34</v>
      </c>
      <c r="E949" t="s">
        <v>24</v>
      </c>
      <c r="F949" t="s">
        <v>25</v>
      </c>
      <c r="G949" t="s">
        <v>54</v>
      </c>
      <c r="H949" t="s">
        <v>27</v>
      </c>
      <c r="I949" t="s">
        <v>33</v>
      </c>
      <c r="J949" t="s">
        <v>1636</v>
      </c>
      <c r="K949" t="s">
        <v>40</v>
      </c>
      <c r="L949">
        <v>118000</v>
      </c>
      <c r="M949">
        <v>11.3</v>
      </c>
      <c r="N949">
        <v>10.4</v>
      </c>
      <c r="O949">
        <v>5.8</v>
      </c>
      <c r="P949">
        <v>4.9000000000000004</v>
      </c>
      <c r="Q949">
        <v>3</v>
      </c>
      <c r="R949">
        <v>3</v>
      </c>
      <c r="S949">
        <v>2</v>
      </c>
      <c r="T949" t="s">
        <v>23</v>
      </c>
      <c r="U949">
        <v>5</v>
      </c>
      <c r="W949" t="s">
        <v>1650</v>
      </c>
      <c r="X949" t="s">
        <v>1658</v>
      </c>
      <c r="Y949" t="s">
        <v>1661</v>
      </c>
      <c r="Z949">
        <v>0</v>
      </c>
    </row>
    <row r="950" spans="1:26" x14ac:dyDescent="0.35">
      <c r="A950" t="s">
        <v>710</v>
      </c>
      <c r="B950" s="6">
        <v>43350</v>
      </c>
      <c r="C950" t="s">
        <v>23</v>
      </c>
      <c r="D950">
        <v>35</v>
      </c>
      <c r="E950" t="s">
        <v>24</v>
      </c>
      <c r="F950" t="s">
        <v>37</v>
      </c>
      <c r="G950" t="s">
        <v>54</v>
      </c>
      <c r="H950" t="s">
        <v>1634</v>
      </c>
      <c r="I950" t="s">
        <v>75</v>
      </c>
      <c r="J950" t="s">
        <v>1633</v>
      </c>
      <c r="K950" t="s">
        <v>29</v>
      </c>
      <c r="L950">
        <v>50000</v>
      </c>
      <c r="M950">
        <v>9</v>
      </c>
      <c r="N950">
        <v>10.6</v>
      </c>
      <c r="O950">
        <v>7.3</v>
      </c>
      <c r="P950">
        <v>2.2999999999999998</v>
      </c>
      <c r="Q950">
        <v>3</v>
      </c>
      <c r="R950">
        <v>3</v>
      </c>
      <c r="S950">
        <v>3</v>
      </c>
      <c r="T950" t="s">
        <v>23</v>
      </c>
      <c r="U950">
        <v>3</v>
      </c>
      <c r="W950" t="s">
        <v>1650</v>
      </c>
      <c r="X950" t="s">
        <v>1656</v>
      </c>
      <c r="Y950" t="s">
        <v>1662</v>
      </c>
      <c r="Z950">
        <v>0</v>
      </c>
    </row>
    <row r="951" spans="1:26" x14ac:dyDescent="0.35">
      <c r="A951" t="s">
        <v>1423</v>
      </c>
      <c r="B951" s="6">
        <v>43390</v>
      </c>
      <c r="C951" t="s">
        <v>23</v>
      </c>
      <c r="D951">
        <v>32</v>
      </c>
      <c r="E951" t="s">
        <v>36</v>
      </c>
      <c r="F951" t="s">
        <v>42</v>
      </c>
      <c r="G951" t="s">
        <v>54</v>
      </c>
      <c r="H951" t="s">
        <v>1634</v>
      </c>
      <c r="I951" t="s">
        <v>86</v>
      </c>
      <c r="J951" t="s">
        <v>1633</v>
      </c>
      <c r="K951" t="s">
        <v>84</v>
      </c>
      <c r="L951">
        <v>54000</v>
      </c>
      <c r="M951">
        <v>5</v>
      </c>
      <c r="N951">
        <v>10.4</v>
      </c>
      <c r="O951">
        <v>7.2</v>
      </c>
      <c r="P951">
        <v>0.9</v>
      </c>
      <c r="Q951">
        <v>2</v>
      </c>
      <c r="R951">
        <v>4</v>
      </c>
      <c r="S951">
        <v>4</v>
      </c>
      <c r="T951" t="s">
        <v>23</v>
      </c>
      <c r="U951">
        <v>3</v>
      </c>
      <c r="W951" t="s">
        <v>1650</v>
      </c>
      <c r="X951" t="s">
        <v>1656</v>
      </c>
      <c r="Y951" t="s">
        <v>1662</v>
      </c>
      <c r="Z951">
        <v>0</v>
      </c>
    </row>
    <row r="952" spans="1:26" x14ac:dyDescent="0.35">
      <c r="A952" t="s">
        <v>949</v>
      </c>
      <c r="B952" s="6">
        <v>45784</v>
      </c>
      <c r="C952" t="s">
        <v>30</v>
      </c>
      <c r="D952">
        <v>23</v>
      </c>
      <c r="E952" t="s">
        <v>62</v>
      </c>
      <c r="F952" t="s">
        <v>42</v>
      </c>
      <c r="G952" t="s">
        <v>26</v>
      </c>
      <c r="H952" t="s">
        <v>55</v>
      </c>
      <c r="I952" t="s">
        <v>80</v>
      </c>
      <c r="J952" t="s">
        <v>1632</v>
      </c>
      <c r="K952" t="s">
        <v>66</v>
      </c>
      <c r="L952">
        <v>25000</v>
      </c>
      <c r="M952">
        <v>4.0999999999999996</v>
      </c>
      <c r="N952">
        <v>8</v>
      </c>
      <c r="O952">
        <v>0.6</v>
      </c>
      <c r="P952">
        <v>0</v>
      </c>
      <c r="Q952">
        <v>2</v>
      </c>
      <c r="R952">
        <v>1</v>
      </c>
      <c r="S952">
        <v>3</v>
      </c>
      <c r="T952" t="s">
        <v>23</v>
      </c>
      <c r="U952">
        <v>3</v>
      </c>
      <c r="V952" s="7">
        <v>46007</v>
      </c>
      <c r="W952" t="s">
        <v>1651</v>
      </c>
      <c r="X952" t="s">
        <v>1655</v>
      </c>
      <c r="Y952" t="s">
        <v>1664</v>
      </c>
      <c r="Z952">
        <v>1</v>
      </c>
    </row>
    <row r="953" spans="1:26" x14ac:dyDescent="0.35">
      <c r="A953" t="s">
        <v>702</v>
      </c>
      <c r="B953" s="6">
        <v>43904</v>
      </c>
      <c r="C953" t="s">
        <v>23</v>
      </c>
      <c r="D953">
        <v>27</v>
      </c>
      <c r="E953" t="s">
        <v>24</v>
      </c>
      <c r="F953" t="s">
        <v>37</v>
      </c>
      <c r="G953" t="s">
        <v>32</v>
      </c>
      <c r="H953" t="s">
        <v>68</v>
      </c>
      <c r="I953" t="s">
        <v>69</v>
      </c>
      <c r="J953" t="s">
        <v>1632</v>
      </c>
      <c r="K953" t="s">
        <v>29</v>
      </c>
      <c r="L953">
        <v>38000</v>
      </c>
      <c r="M953">
        <v>9.1</v>
      </c>
      <c r="N953">
        <v>12.6</v>
      </c>
      <c r="O953">
        <v>5.8</v>
      </c>
      <c r="P953">
        <v>0.4</v>
      </c>
      <c r="Q953">
        <v>1</v>
      </c>
      <c r="R953">
        <v>3</v>
      </c>
      <c r="S953">
        <v>3</v>
      </c>
      <c r="T953" t="s">
        <v>23</v>
      </c>
      <c r="U953">
        <v>3</v>
      </c>
      <c r="W953" t="s">
        <v>1650</v>
      </c>
      <c r="X953" t="s">
        <v>1655</v>
      </c>
      <c r="Y953" t="s">
        <v>1661</v>
      </c>
      <c r="Z953">
        <v>0</v>
      </c>
    </row>
    <row r="954" spans="1:26" x14ac:dyDescent="0.35">
      <c r="A954" t="s">
        <v>1115</v>
      </c>
      <c r="B954" s="6">
        <v>43736</v>
      </c>
      <c r="C954" t="s">
        <v>23</v>
      </c>
      <c r="D954">
        <v>38</v>
      </c>
      <c r="E954" t="s">
        <v>62</v>
      </c>
      <c r="F954" t="s">
        <v>25</v>
      </c>
      <c r="G954" t="s">
        <v>26</v>
      </c>
      <c r="H954" t="s">
        <v>45</v>
      </c>
      <c r="I954" t="s">
        <v>77</v>
      </c>
      <c r="J954" t="s">
        <v>1632</v>
      </c>
      <c r="K954" t="s">
        <v>34</v>
      </c>
      <c r="L954">
        <v>39000</v>
      </c>
      <c r="M954">
        <v>5</v>
      </c>
      <c r="N954">
        <v>8.9</v>
      </c>
      <c r="O954">
        <v>6.3</v>
      </c>
      <c r="P954">
        <v>3.7</v>
      </c>
      <c r="Q954">
        <v>3</v>
      </c>
      <c r="R954">
        <v>3</v>
      </c>
      <c r="S954">
        <v>3</v>
      </c>
      <c r="T954" t="s">
        <v>23</v>
      </c>
      <c r="U954">
        <v>3</v>
      </c>
      <c r="W954" t="s">
        <v>1649</v>
      </c>
      <c r="X954" t="s">
        <v>1655</v>
      </c>
      <c r="Y954" t="s">
        <v>1662</v>
      </c>
      <c r="Z954">
        <v>0</v>
      </c>
    </row>
    <row r="955" spans="1:26" x14ac:dyDescent="0.35">
      <c r="A955" t="s">
        <v>902</v>
      </c>
      <c r="B955" s="6">
        <v>44852</v>
      </c>
      <c r="C955" t="s">
        <v>23</v>
      </c>
      <c r="D955">
        <v>27</v>
      </c>
      <c r="E955" t="s">
        <v>36</v>
      </c>
      <c r="F955" t="s">
        <v>25</v>
      </c>
      <c r="G955" t="s">
        <v>54</v>
      </c>
      <c r="H955" t="s">
        <v>1634</v>
      </c>
      <c r="I955" t="s">
        <v>60</v>
      </c>
      <c r="J955" t="s">
        <v>1632</v>
      </c>
      <c r="K955" t="s">
        <v>29</v>
      </c>
      <c r="L955">
        <v>34000</v>
      </c>
      <c r="M955">
        <v>3.9</v>
      </c>
      <c r="N955">
        <v>9.1999999999999993</v>
      </c>
      <c r="O955">
        <v>3.2</v>
      </c>
      <c r="P955">
        <v>1.6</v>
      </c>
      <c r="Q955">
        <v>3</v>
      </c>
      <c r="R955">
        <v>4</v>
      </c>
      <c r="S955">
        <v>2</v>
      </c>
      <c r="T955" t="s">
        <v>23</v>
      </c>
      <c r="U955">
        <v>4</v>
      </c>
      <c r="W955" t="s">
        <v>1650</v>
      </c>
      <c r="X955" t="s">
        <v>1655</v>
      </c>
      <c r="Y955" t="s">
        <v>1661</v>
      </c>
      <c r="Z955">
        <v>0</v>
      </c>
    </row>
    <row r="956" spans="1:26" x14ac:dyDescent="0.35">
      <c r="A956" t="s">
        <v>348</v>
      </c>
      <c r="B956" s="6">
        <v>43213</v>
      </c>
      <c r="C956" t="s">
        <v>23</v>
      </c>
      <c r="D956">
        <v>30</v>
      </c>
      <c r="E956" t="s">
        <v>24</v>
      </c>
      <c r="F956" t="s">
        <v>42</v>
      </c>
      <c r="G956" t="s">
        <v>32</v>
      </c>
      <c r="H956" t="s">
        <v>45</v>
      </c>
      <c r="I956" t="s">
        <v>77</v>
      </c>
      <c r="J956" t="s">
        <v>1633</v>
      </c>
      <c r="K956" t="s">
        <v>34</v>
      </c>
      <c r="L956">
        <v>48000</v>
      </c>
      <c r="M956">
        <v>7.4</v>
      </c>
      <c r="N956">
        <v>9.5</v>
      </c>
      <c r="O956">
        <v>7.7</v>
      </c>
      <c r="P956">
        <v>0.3</v>
      </c>
      <c r="Q956">
        <v>3</v>
      </c>
      <c r="R956">
        <v>1</v>
      </c>
      <c r="S956">
        <v>2</v>
      </c>
      <c r="T956" t="s">
        <v>30</v>
      </c>
      <c r="U956">
        <v>3</v>
      </c>
      <c r="W956" t="s">
        <v>1650</v>
      </c>
      <c r="X956" t="s">
        <v>1656</v>
      </c>
      <c r="Y956" t="s">
        <v>1662</v>
      </c>
      <c r="Z956">
        <v>0</v>
      </c>
    </row>
    <row r="957" spans="1:26" x14ac:dyDescent="0.35">
      <c r="A957" t="s">
        <v>1218</v>
      </c>
      <c r="B957" s="6">
        <v>45167</v>
      </c>
      <c r="C957" t="s">
        <v>30</v>
      </c>
      <c r="D957">
        <v>30</v>
      </c>
      <c r="E957" t="s">
        <v>24</v>
      </c>
      <c r="F957" t="s">
        <v>37</v>
      </c>
      <c r="G957" t="s">
        <v>54</v>
      </c>
      <c r="H957" t="s">
        <v>27</v>
      </c>
      <c r="I957" t="s">
        <v>28</v>
      </c>
      <c r="J957" t="s">
        <v>1637</v>
      </c>
      <c r="K957" t="s">
        <v>84</v>
      </c>
      <c r="L957">
        <v>150000</v>
      </c>
      <c r="M957">
        <v>8.8000000000000007</v>
      </c>
      <c r="N957">
        <v>8.3000000000000007</v>
      </c>
      <c r="O957">
        <v>2</v>
      </c>
      <c r="P957">
        <v>0.4</v>
      </c>
      <c r="Q957">
        <v>2</v>
      </c>
      <c r="R957">
        <v>4</v>
      </c>
      <c r="S957">
        <v>2</v>
      </c>
      <c r="T957" t="s">
        <v>23</v>
      </c>
      <c r="U957">
        <v>4</v>
      </c>
      <c r="V957" s="7">
        <v>45905</v>
      </c>
      <c r="W957" t="s">
        <v>1650</v>
      </c>
      <c r="X957" t="s">
        <v>1658</v>
      </c>
      <c r="Y957" t="s">
        <v>1665</v>
      </c>
      <c r="Z957">
        <v>1</v>
      </c>
    </row>
    <row r="958" spans="1:26" x14ac:dyDescent="0.35">
      <c r="A958" t="s">
        <v>474</v>
      </c>
      <c r="B958" s="6">
        <v>43225</v>
      </c>
      <c r="C958" t="s">
        <v>23</v>
      </c>
      <c r="D958">
        <v>28</v>
      </c>
      <c r="E958" t="s">
        <v>62</v>
      </c>
      <c r="F958" t="s">
        <v>25</v>
      </c>
      <c r="G958" t="s">
        <v>58</v>
      </c>
      <c r="H958" t="s">
        <v>27</v>
      </c>
      <c r="I958" t="s">
        <v>28</v>
      </c>
      <c r="J958" t="s">
        <v>1636</v>
      </c>
      <c r="K958" t="s">
        <v>66</v>
      </c>
      <c r="L958">
        <v>116000</v>
      </c>
      <c r="M958">
        <v>4.3</v>
      </c>
      <c r="N958">
        <v>14.2</v>
      </c>
      <c r="O958">
        <v>7.7</v>
      </c>
      <c r="P958">
        <v>2</v>
      </c>
      <c r="Q958">
        <v>3</v>
      </c>
      <c r="R958">
        <v>3</v>
      </c>
      <c r="S958">
        <v>3</v>
      </c>
      <c r="T958" t="s">
        <v>30</v>
      </c>
      <c r="U958">
        <v>4</v>
      </c>
      <c r="W958" t="s">
        <v>1650</v>
      </c>
      <c r="X958" t="s">
        <v>1658</v>
      </c>
      <c r="Y958" t="s">
        <v>1662</v>
      </c>
      <c r="Z958">
        <v>0</v>
      </c>
    </row>
    <row r="959" spans="1:26" x14ac:dyDescent="0.35">
      <c r="A959" t="s">
        <v>547</v>
      </c>
      <c r="B959" s="6">
        <v>45818</v>
      </c>
      <c r="C959" t="s">
        <v>23</v>
      </c>
      <c r="D959">
        <v>41</v>
      </c>
      <c r="E959" t="s">
        <v>36</v>
      </c>
      <c r="F959" t="s">
        <v>37</v>
      </c>
      <c r="G959" t="s">
        <v>32</v>
      </c>
      <c r="H959" t="s">
        <v>1634</v>
      </c>
      <c r="I959" t="s">
        <v>86</v>
      </c>
      <c r="J959" t="s">
        <v>1633</v>
      </c>
      <c r="K959" t="s">
        <v>66</v>
      </c>
      <c r="L959">
        <v>56000</v>
      </c>
      <c r="M959">
        <v>8.1999999999999993</v>
      </c>
      <c r="N959">
        <v>4.5</v>
      </c>
      <c r="O959">
        <v>0.6</v>
      </c>
      <c r="P959">
        <v>0</v>
      </c>
      <c r="Q959">
        <v>3</v>
      </c>
      <c r="R959">
        <v>3</v>
      </c>
      <c r="S959">
        <v>4</v>
      </c>
      <c r="T959" t="s">
        <v>23</v>
      </c>
      <c r="U959">
        <v>3</v>
      </c>
      <c r="W959" t="s">
        <v>1649</v>
      </c>
      <c r="X959" t="s">
        <v>1656</v>
      </c>
      <c r="Y959" t="s">
        <v>1664</v>
      </c>
      <c r="Z959">
        <v>0</v>
      </c>
    </row>
    <row r="960" spans="1:26" x14ac:dyDescent="0.35">
      <c r="A960" t="s">
        <v>417</v>
      </c>
      <c r="B960" s="6">
        <v>44850</v>
      </c>
      <c r="C960" t="s">
        <v>23</v>
      </c>
      <c r="D960">
        <v>40</v>
      </c>
      <c r="E960" t="s">
        <v>24</v>
      </c>
      <c r="F960" t="s">
        <v>37</v>
      </c>
      <c r="G960" t="s">
        <v>54</v>
      </c>
      <c r="H960" t="s">
        <v>55</v>
      </c>
      <c r="I960" t="s">
        <v>179</v>
      </c>
      <c r="J960" t="s">
        <v>1636</v>
      </c>
      <c r="K960" t="s">
        <v>29</v>
      </c>
      <c r="L960">
        <v>116000</v>
      </c>
      <c r="M960">
        <v>5.0999999999999996</v>
      </c>
      <c r="N960">
        <v>7.3</v>
      </c>
      <c r="O960">
        <v>3.2</v>
      </c>
      <c r="P960">
        <v>1.3</v>
      </c>
      <c r="Q960">
        <v>4</v>
      </c>
      <c r="R960">
        <v>3</v>
      </c>
      <c r="S960">
        <v>3</v>
      </c>
      <c r="T960" t="s">
        <v>23</v>
      </c>
      <c r="U960">
        <v>3</v>
      </c>
      <c r="W960" t="s">
        <v>1649</v>
      </c>
      <c r="X960" t="s">
        <v>1658</v>
      </c>
      <c r="Y960" t="s">
        <v>1661</v>
      </c>
      <c r="Z960">
        <v>0</v>
      </c>
    </row>
    <row r="961" spans="1:26" x14ac:dyDescent="0.35">
      <c r="A961" t="s">
        <v>292</v>
      </c>
      <c r="B961" s="6">
        <v>45670</v>
      </c>
      <c r="C961" t="s">
        <v>23</v>
      </c>
      <c r="D961">
        <v>42</v>
      </c>
      <c r="E961" t="s">
        <v>36</v>
      </c>
      <c r="F961" t="s">
        <v>42</v>
      </c>
      <c r="G961" t="s">
        <v>32</v>
      </c>
      <c r="H961" t="s">
        <v>38</v>
      </c>
      <c r="I961" t="s">
        <v>39</v>
      </c>
      <c r="J961" t="s">
        <v>1636</v>
      </c>
      <c r="K961" t="s">
        <v>34</v>
      </c>
      <c r="L961">
        <v>128000</v>
      </c>
      <c r="M961">
        <v>5.0999999999999996</v>
      </c>
      <c r="N961">
        <v>8.8000000000000007</v>
      </c>
      <c r="O961">
        <v>1</v>
      </c>
      <c r="P961">
        <v>0.3</v>
      </c>
      <c r="Q961">
        <v>3</v>
      </c>
      <c r="R961">
        <v>3</v>
      </c>
      <c r="S961">
        <v>3</v>
      </c>
      <c r="T961" t="s">
        <v>23</v>
      </c>
      <c r="U961">
        <v>3</v>
      </c>
      <c r="W961" t="s">
        <v>1649</v>
      </c>
      <c r="X961" t="s">
        <v>1658</v>
      </c>
      <c r="Y961" t="s">
        <v>1665</v>
      </c>
      <c r="Z961">
        <v>0</v>
      </c>
    </row>
    <row r="962" spans="1:26" x14ac:dyDescent="0.35">
      <c r="A962" t="s">
        <v>672</v>
      </c>
      <c r="B962" s="6">
        <v>43973</v>
      </c>
      <c r="C962" t="s">
        <v>23</v>
      </c>
      <c r="D962">
        <v>29</v>
      </c>
      <c r="E962" t="s">
        <v>62</v>
      </c>
      <c r="F962" t="s">
        <v>42</v>
      </c>
      <c r="G962" t="s">
        <v>54</v>
      </c>
      <c r="H962" t="s">
        <v>48</v>
      </c>
      <c r="I962" t="s">
        <v>49</v>
      </c>
      <c r="J962" t="s">
        <v>1633</v>
      </c>
      <c r="K962" t="s">
        <v>50</v>
      </c>
      <c r="L962">
        <v>49000</v>
      </c>
      <c r="M962">
        <v>12.9</v>
      </c>
      <c r="N962">
        <v>8.6</v>
      </c>
      <c r="O962">
        <v>5.6</v>
      </c>
      <c r="P962">
        <v>0.5</v>
      </c>
      <c r="Q962">
        <v>2</v>
      </c>
      <c r="R962">
        <v>2</v>
      </c>
      <c r="S962">
        <v>4</v>
      </c>
      <c r="T962" t="s">
        <v>30</v>
      </c>
      <c r="U962">
        <v>1</v>
      </c>
      <c r="W962" t="s">
        <v>1650</v>
      </c>
      <c r="X962" t="s">
        <v>1656</v>
      </c>
      <c r="Y962" t="s">
        <v>1661</v>
      </c>
      <c r="Z962">
        <v>0</v>
      </c>
    </row>
    <row r="963" spans="1:26" x14ac:dyDescent="0.35">
      <c r="A963" t="s">
        <v>819</v>
      </c>
      <c r="B963" s="6">
        <v>45904</v>
      </c>
      <c r="C963" t="s">
        <v>23</v>
      </c>
      <c r="D963">
        <v>44</v>
      </c>
      <c r="E963" t="s">
        <v>24</v>
      </c>
      <c r="F963" t="s">
        <v>37</v>
      </c>
      <c r="G963" t="s">
        <v>58</v>
      </c>
      <c r="H963" t="s">
        <v>1634</v>
      </c>
      <c r="I963" t="s">
        <v>86</v>
      </c>
      <c r="J963" t="s">
        <v>1637</v>
      </c>
      <c r="K963" t="s">
        <v>84</v>
      </c>
      <c r="L963">
        <v>158000</v>
      </c>
      <c r="M963">
        <v>13.4</v>
      </c>
      <c r="N963">
        <v>3.3</v>
      </c>
      <c r="O963">
        <v>0.3</v>
      </c>
      <c r="P963">
        <v>0</v>
      </c>
      <c r="Q963">
        <v>2</v>
      </c>
      <c r="R963">
        <v>4</v>
      </c>
      <c r="S963">
        <v>3</v>
      </c>
      <c r="T963" t="s">
        <v>30</v>
      </c>
      <c r="U963">
        <v>4</v>
      </c>
      <c r="W963" t="s">
        <v>1649</v>
      </c>
      <c r="X963" t="s">
        <v>1658</v>
      </c>
      <c r="Y963" t="s">
        <v>1664</v>
      </c>
      <c r="Z963">
        <v>0</v>
      </c>
    </row>
    <row r="964" spans="1:26" x14ac:dyDescent="0.35">
      <c r="A964" t="s">
        <v>944</v>
      </c>
      <c r="B964" s="6">
        <v>45561</v>
      </c>
      <c r="C964" t="s">
        <v>23</v>
      </c>
      <c r="D964">
        <v>32</v>
      </c>
      <c r="E964" t="s">
        <v>36</v>
      </c>
      <c r="F964" t="s">
        <v>25</v>
      </c>
      <c r="G964" t="s">
        <v>26</v>
      </c>
      <c r="H964" t="s">
        <v>38</v>
      </c>
      <c r="I964" t="s">
        <v>118</v>
      </c>
      <c r="J964" t="s">
        <v>1637</v>
      </c>
      <c r="K964" t="s">
        <v>66</v>
      </c>
      <c r="L964">
        <v>160000</v>
      </c>
      <c r="M964">
        <v>6.9</v>
      </c>
      <c r="N964">
        <v>7.6</v>
      </c>
      <c r="O964">
        <v>1.3</v>
      </c>
      <c r="P964">
        <v>1.2</v>
      </c>
      <c r="Q964">
        <v>1</v>
      </c>
      <c r="R964">
        <v>4</v>
      </c>
      <c r="S964">
        <v>3</v>
      </c>
      <c r="T964" t="s">
        <v>30</v>
      </c>
      <c r="U964">
        <v>3</v>
      </c>
      <c r="W964" t="s">
        <v>1650</v>
      </c>
      <c r="X964" t="s">
        <v>1658</v>
      </c>
      <c r="Y964" t="s">
        <v>1665</v>
      </c>
      <c r="Z964">
        <v>0</v>
      </c>
    </row>
    <row r="965" spans="1:26" x14ac:dyDescent="0.35">
      <c r="A965" t="s">
        <v>1304</v>
      </c>
      <c r="B965" s="6">
        <v>43323</v>
      </c>
      <c r="C965" t="s">
        <v>23</v>
      </c>
      <c r="D965">
        <v>42</v>
      </c>
      <c r="E965" t="s">
        <v>62</v>
      </c>
      <c r="F965" t="s">
        <v>37</v>
      </c>
      <c r="G965" t="s">
        <v>54</v>
      </c>
      <c r="H965" t="s">
        <v>68</v>
      </c>
      <c r="I965" t="s">
        <v>109</v>
      </c>
      <c r="J965" t="s">
        <v>1632</v>
      </c>
      <c r="K965" t="s">
        <v>34</v>
      </c>
      <c r="L965">
        <v>24000</v>
      </c>
      <c r="M965">
        <v>7.5</v>
      </c>
      <c r="N965">
        <v>8.1999999999999993</v>
      </c>
      <c r="O965">
        <v>7.4</v>
      </c>
      <c r="P965">
        <v>3.6</v>
      </c>
      <c r="Q965">
        <v>3</v>
      </c>
      <c r="R965">
        <v>3</v>
      </c>
      <c r="S965">
        <v>1</v>
      </c>
      <c r="T965" t="s">
        <v>30</v>
      </c>
      <c r="U965">
        <v>4</v>
      </c>
      <c r="W965" t="s">
        <v>1649</v>
      </c>
      <c r="X965" t="s">
        <v>1655</v>
      </c>
      <c r="Y965" t="s">
        <v>1662</v>
      </c>
      <c r="Z965">
        <v>0</v>
      </c>
    </row>
    <row r="966" spans="1:26" x14ac:dyDescent="0.35">
      <c r="A966" t="s">
        <v>1387</v>
      </c>
      <c r="B966" s="6">
        <v>45623</v>
      </c>
      <c r="C966" t="s">
        <v>23</v>
      </c>
      <c r="D966">
        <v>23</v>
      </c>
      <c r="E966" t="s">
        <v>24</v>
      </c>
      <c r="F966" t="s">
        <v>25</v>
      </c>
      <c r="G966" t="s">
        <v>32</v>
      </c>
      <c r="H966" t="s">
        <v>68</v>
      </c>
      <c r="I966" t="s">
        <v>69</v>
      </c>
      <c r="J966" t="s">
        <v>1632</v>
      </c>
      <c r="K966" t="s">
        <v>50</v>
      </c>
      <c r="L966">
        <v>39000</v>
      </c>
      <c r="M966">
        <v>6.1</v>
      </c>
      <c r="N966">
        <v>3</v>
      </c>
      <c r="O966">
        <v>1.1000000000000001</v>
      </c>
      <c r="P966">
        <v>1.1000000000000001</v>
      </c>
      <c r="Q966">
        <v>3</v>
      </c>
      <c r="R966">
        <v>3</v>
      </c>
      <c r="S966">
        <v>3</v>
      </c>
      <c r="T966" t="s">
        <v>23</v>
      </c>
      <c r="U966">
        <v>3</v>
      </c>
      <c r="W966" t="s">
        <v>1651</v>
      </c>
      <c r="X966" t="s">
        <v>1655</v>
      </c>
      <c r="Y966" t="s">
        <v>1665</v>
      </c>
      <c r="Z966">
        <v>0</v>
      </c>
    </row>
    <row r="967" spans="1:26" x14ac:dyDescent="0.35">
      <c r="A967" t="s">
        <v>440</v>
      </c>
      <c r="B967" s="6">
        <v>45496</v>
      </c>
      <c r="C967" t="s">
        <v>30</v>
      </c>
      <c r="D967">
        <v>30</v>
      </c>
      <c r="E967" t="s">
        <v>36</v>
      </c>
      <c r="F967" t="s">
        <v>37</v>
      </c>
      <c r="G967" t="s">
        <v>58</v>
      </c>
      <c r="H967" t="s">
        <v>38</v>
      </c>
      <c r="I967" t="s">
        <v>118</v>
      </c>
      <c r="J967" t="s">
        <v>1635</v>
      </c>
      <c r="K967" t="s">
        <v>29</v>
      </c>
      <c r="L967">
        <v>79000</v>
      </c>
      <c r="M967">
        <v>9</v>
      </c>
      <c r="N967">
        <v>2.8</v>
      </c>
      <c r="O967">
        <v>0.5</v>
      </c>
      <c r="P967">
        <v>0</v>
      </c>
      <c r="Q967">
        <v>3</v>
      </c>
      <c r="R967">
        <v>3</v>
      </c>
      <c r="S967">
        <v>2</v>
      </c>
      <c r="T967" t="s">
        <v>30</v>
      </c>
      <c r="U967">
        <v>3</v>
      </c>
      <c r="V967" s="7">
        <v>45695</v>
      </c>
      <c r="W967" t="s">
        <v>1650</v>
      </c>
      <c r="X967" t="s">
        <v>1659</v>
      </c>
      <c r="Y967" t="s">
        <v>1664</v>
      </c>
      <c r="Z967">
        <v>1</v>
      </c>
    </row>
    <row r="968" spans="1:26" x14ac:dyDescent="0.35">
      <c r="A968" t="s">
        <v>1455</v>
      </c>
      <c r="B968" s="6">
        <v>44623</v>
      </c>
      <c r="C968" t="s">
        <v>30</v>
      </c>
      <c r="D968">
        <v>30</v>
      </c>
      <c r="E968" t="s">
        <v>36</v>
      </c>
      <c r="F968" t="s">
        <v>42</v>
      </c>
      <c r="G968" t="s">
        <v>32</v>
      </c>
      <c r="H968" t="s">
        <v>55</v>
      </c>
      <c r="I968" t="s">
        <v>80</v>
      </c>
      <c r="J968" t="s">
        <v>1635</v>
      </c>
      <c r="K968" t="s">
        <v>84</v>
      </c>
      <c r="L968">
        <v>83000</v>
      </c>
      <c r="M968">
        <v>10.3</v>
      </c>
      <c r="N968">
        <v>6.3</v>
      </c>
      <c r="O968">
        <v>3.2</v>
      </c>
      <c r="P968">
        <v>2.6</v>
      </c>
      <c r="Q968">
        <v>3</v>
      </c>
      <c r="R968">
        <v>3</v>
      </c>
      <c r="S968">
        <v>4</v>
      </c>
      <c r="T968" t="s">
        <v>23</v>
      </c>
      <c r="U968">
        <v>4</v>
      </c>
      <c r="V968" s="7">
        <v>45787</v>
      </c>
      <c r="W968" t="s">
        <v>1650</v>
      </c>
      <c r="X968" t="s">
        <v>1657</v>
      </c>
      <c r="Y968" t="s">
        <v>1661</v>
      </c>
      <c r="Z968">
        <v>1</v>
      </c>
    </row>
    <row r="969" spans="1:26" x14ac:dyDescent="0.35">
      <c r="A969" t="s">
        <v>274</v>
      </c>
      <c r="B969" s="6">
        <v>41819</v>
      </c>
      <c r="C969" t="s">
        <v>23</v>
      </c>
      <c r="D969">
        <v>34</v>
      </c>
      <c r="E969" t="s">
        <v>36</v>
      </c>
      <c r="F969" t="s">
        <v>37</v>
      </c>
      <c r="G969" t="s">
        <v>26</v>
      </c>
      <c r="H969" t="s">
        <v>45</v>
      </c>
      <c r="I969" t="s">
        <v>46</v>
      </c>
      <c r="J969" t="s">
        <v>1635</v>
      </c>
      <c r="K969" t="s">
        <v>40</v>
      </c>
      <c r="L969">
        <v>81000</v>
      </c>
      <c r="M969">
        <v>3.4</v>
      </c>
      <c r="N969">
        <v>18.5</v>
      </c>
      <c r="O969">
        <v>11.5</v>
      </c>
      <c r="P969">
        <v>1</v>
      </c>
      <c r="Q969">
        <v>4</v>
      </c>
      <c r="R969">
        <v>3</v>
      </c>
      <c r="S969">
        <v>2</v>
      </c>
      <c r="T969" t="s">
        <v>23</v>
      </c>
      <c r="U969">
        <v>5</v>
      </c>
      <c r="W969" t="s">
        <v>1650</v>
      </c>
      <c r="X969" t="s">
        <v>1657</v>
      </c>
      <c r="Y969" t="s">
        <v>1663</v>
      </c>
      <c r="Z969">
        <v>0</v>
      </c>
    </row>
    <row r="970" spans="1:26" x14ac:dyDescent="0.35">
      <c r="A970" t="s">
        <v>246</v>
      </c>
      <c r="B970" s="6">
        <v>44270</v>
      </c>
      <c r="C970" t="s">
        <v>23</v>
      </c>
      <c r="D970">
        <v>25</v>
      </c>
      <c r="E970" t="s">
        <v>24</v>
      </c>
      <c r="F970" t="s">
        <v>37</v>
      </c>
      <c r="G970" t="s">
        <v>54</v>
      </c>
      <c r="H970" t="s">
        <v>55</v>
      </c>
      <c r="I970" t="s">
        <v>80</v>
      </c>
      <c r="J970" t="s">
        <v>1632</v>
      </c>
      <c r="K970" t="s">
        <v>66</v>
      </c>
      <c r="L970">
        <v>26000</v>
      </c>
      <c r="M970">
        <v>6</v>
      </c>
      <c r="N970">
        <v>11</v>
      </c>
      <c r="O970">
        <v>4.8</v>
      </c>
      <c r="P970">
        <v>3</v>
      </c>
      <c r="Q970">
        <v>3</v>
      </c>
      <c r="R970">
        <v>3</v>
      </c>
      <c r="S970">
        <v>4</v>
      </c>
      <c r="T970" t="s">
        <v>23</v>
      </c>
      <c r="U970">
        <v>3</v>
      </c>
      <c r="W970" t="s">
        <v>1651</v>
      </c>
      <c r="X970" t="s">
        <v>1655</v>
      </c>
      <c r="Y970" t="s">
        <v>1661</v>
      </c>
      <c r="Z970">
        <v>0</v>
      </c>
    </row>
    <row r="971" spans="1:26" x14ac:dyDescent="0.35">
      <c r="A971" t="s">
        <v>1005</v>
      </c>
      <c r="B971" s="6">
        <v>43005</v>
      </c>
      <c r="C971" t="s">
        <v>23</v>
      </c>
      <c r="D971">
        <v>40</v>
      </c>
      <c r="E971" t="s">
        <v>62</v>
      </c>
      <c r="F971" t="s">
        <v>37</v>
      </c>
      <c r="G971" t="s">
        <v>54</v>
      </c>
      <c r="H971" t="s">
        <v>55</v>
      </c>
      <c r="I971" t="s">
        <v>179</v>
      </c>
      <c r="J971" t="s">
        <v>1633</v>
      </c>
      <c r="K971" t="s">
        <v>29</v>
      </c>
      <c r="L971">
        <v>64000</v>
      </c>
      <c r="M971">
        <v>2.9</v>
      </c>
      <c r="N971">
        <v>11.4</v>
      </c>
      <c r="O971">
        <v>8.3000000000000007</v>
      </c>
      <c r="P971">
        <v>3.2</v>
      </c>
      <c r="Q971">
        <v>4</v>
      </c>
      <c r="R971">
        <v>3</v>
      </c>
      <c r="S971">
        <v>4</v>
      </c>
      <c r="T971" t="s">
        <v>23</v>
      </c>
      <c r="U971">
        <v>3</v>
      </c>
      <c r="W971" t="s">
        <v>1649</v>
      </c>
      <c r="X971" t="s">
        <v>1659</v>
      </c>
      <c r="Y971" t="s">
        <v>1662</v>
      </c>
      <c r="Z971">
        <v>0</v>
      </c>
    </row>
    <row r="972" spans="1:26" x14ac:dyDescent="0.35">
      <c r="A972" t="s">
        <v>836</v>
      </c>
      <c r="B972" s="6">
        <v>42683</v>
      </c>
      <c r="C972" t="s">
        <v>23</v>
      </c>
      <c r="D972">
        <v>35</v>
      </c>
      <c r="E972" t="s">
        <v>62</v>
      </c>
      <c r="F972" t="s">
        <v>25</v>
      </c>
      <c r="G972" t="s">
        <v>32</v>
      </c>
      <c r="H972" t="s">
        <v>27</v>
      </c>
      <c r="I972" t="s">
        <v>28</v>
      </c>
      <c r="J972" t="s">
        <v>1635</v>
      </c>
      <c r="K972" t="s">
        <v>84</v>
      </c>
      <c r="L972">
        <v>75000</v>
      </c>
      <c r="M972">
        <v>1.6</v>
      </c>
      <c r="N972">
        <v>14.2</v>
      </c>
      <c r="O972">
        <v>9.1</v>
      </c>
      <c r="P972">
        <v>4.8</v>
      </c>
      <c r="Q972">
        <v>3</v>
      </c>
      <c r="R972">
        <v>3</v>
      </c>
      <c r="S972">
        <v>4</v>
      </c>
      <c r="T972" t="s">
        <v>30</v>
      </c>
      <c r="U972">
        <v>5</v>
      </c>
      <c r="W972" t="s">
        <v>1650</v>
      </c>
      <c r="X972" t="s">
        <v>1659</v>
      </c>
      <c r="Y972" t="s">
        <v>1662</v>
      </c>
      <c r="Z972">
        <v>0</v>
      </c>
    </row>
    <row r="973" spans="1:26" x14ac:dyDescent="0.35">
      <c r="A973" t="s">
        <v>1015</v>
      </c>
      <c r="B973" s="6">
        <v>44630</v>
      </c>
      <c r="C973" t="s">
        <v>23</v>
      </c>
      <c r="D973">
        <v>33</v>
      </c>
      <c r="E973" t="s">
        <v>36</v>
      </c>
      <c r="F973" t="s">
        <v>37</v>
      </c>
      <c r="G973" t="s">
        <v>54</v>
      </c>
      <c r="H973" t="s">
        <v>1634</v>
      </c>
      <c r="I973" t="s">
        <v>86</v>
      </c>
      <c r="J973" t="s">
        <v>1633</v>
      </c>
      <c r="K973" t="s">
        <v>50</v>
      </c>
      <c r="L973">
        <v>57000</v>
      </c>
      <c r="M973">
        <v>0.2</v>
      </c>
      <c r="N973">
        <v>11</v>
      </c>
      <c r="O973">
        <v>3.8</v>
      </c>
      <c r="P973">
        <v>1</v>
      </c>
      <c r="Q973">
        <v>1</v>
      </c>
      <c r="R973">
        <v>3</v>
      </c>
      <c r="S973">
        <v>3</v>
      </c>
      <c r="T973" t="s">
        <v>23</v>
      </c>
      <c r="U973">
        <v>1</v>
      </c>
      <c r="W973" t="s">
        <v>1650</v>
      </c>
      <c r="X973" t="s">
        <v>1656</v>
      </c>
      <c r="Y973" t="s">
        <v>1661</v>
      </c>
      <c r="Z973">
        <v>0</v>
      </c>
    </row>
    <row r="974" spans="1:26" x14ac:dyDescent="0.35">
      <c r="A974" t="s">
        <v>951</v>
      </c>
      <c r="B974" s="6">
        <v>42484</v>
      </c>
      <c r="C974" t="s">
        <v>23</v>
      </c>
      <c r="D974">
        <v>34</v>
      </c>
      <c r="E974" t="s">
        <v>36</v>
      </c>
      <c r="F974" t="s">
        <v>25</v>
      </c>
      <c r="G974" t="s">
        <v>26</v>
      </c>
      <c r="H974" t="s">
        <v>48</v>
      </c>
      <c r="I974" t="s">
        <v>63</v>
      </c>
      <c r="J974" t="s">
        <v>1637</v>
      </c>
      <c r="K974" t="s">
        <v>34</v>
      </c>
      <c r="L974">
        <v>168000</v>
      </c>
      <c r="M974">
        <v>11.8</v>
      </c>
      <c r="N974">
        <v>13</v>
      </c>
      <c r="O974">
        <v>9.6999999999999993</v>
      </c>
      <c r="P974">
        <v>3</v>
      </c>
      <c r="Q974">
        <v>4</v>
      </c>
      <c r="R974">
        <v>4</v>
      </c>
      <c r="S974">
        <v>4</v>
      </c>
      <c r="T974" t="s">
        <v>30</v>
      </c>
      <c r="U974">
        <v>4</v>
      </c>
      <c r="W974" t="s">
        <v>1650</v>
      </c>
      <c r="X974" t="s">
        <v>1658</v>
      </c>
      <c r="Y974" t="s">
        <v>1662</v>
      </c>
      <c r="Z974">
        <v>0</v>
      </c>
    </row>
    <row r="975" spans="1:26" x14ac:dyDescent="0.35">
      <c r="A975" t="s">
        <v>300</v>
      </c>
      <c r="B975" s="6">
        <v>44606</v>
      </c>
      <c r="C975" t="s">
        <v>23</v>
      </c>
      <c r="D975">
        <v>27</v>
      </c>
      <c r="E975" t="s">
        <v>24</v>
      </c>
      <c r="F975" t="s">
        <v>25</v>
      </c>
      <c r="G975" t="s">
        <v>54</v>
      </c>
      <c r="H975" t="s">
        <v>27</v>
      </c>
      <c r="I975" t="s">
        <v>95</v>
      </c>
      <c r="J975" t="s">
        <v>1632</v>
      </c>
      <c r="K975" t="s">
        <v>50</v>
      </c>
      <c r="L975">
        <v>22000</v>
      </c>
      <c r="M975">
        <v>7.4</v>
      </c>
      <c r="N975">
        <v>11.3</v>
      </c>
      <c r="O975">
        <v>3.9</v>
      </c>
      <c r="P975">
        <v>1.5</v>
      </c>
      <c r="Q975">
        <v>4</v>
      </c>
      <c r="R975">
        <v>3</v>
      </c>
      <c r="S975">
        <v>2</v>
      </c>
      <c r="T975" t="s">
        <v>23</v>
      </c>
      <c r="U975">
        <v>4</v>
      </c>
      <c r="W975" t="s">
        <v>1650</v>
      </c>
      <c r="X975" t="s">
        <v>1655</v>
      </c>
      <c r="Y975" t="s">
        <v>1661</v>
      </c>
      <c r="Z975">
        <v>0</v>
      </c>
    </row>
    <row r="976" spans="1:26" x14ac:dyDescent="0.35">
      <c r="A976" t="s">
        <v>1404</v>
      </c>
      <c r="B976" s="6">
        <v>45825</v>
      </c>
      <c r="C976" t="s">
        <v>23</v>
      </c>
      <c r="D976">
        <v>43</v>
      </c>
      <c r="E976" t="s">
        <v>24</v>
      </c>
      <c r="F976" t="s">
        <v>42</v>
      </c>
      <c r="G976" t="s">
        <v>26</v>
      </c>
      <c r="H976" t="s">
        <v>68</v>
      </c>
      <c r="I976" t="s">
        <v>109</v>
      </c>
      <c r="J976" t="s">
        <v>1636</v>
      </c>
      <c r="K976" t="s">
        <v>84</v>
      </c>
      <c r="L976">
        <v>117000</v>
      </c>
      <c r="M976">
        <v>10.7</v>
      </c>
      <c r="N976">
        <v>5.8</v>
      </c>
      <c r="O976">
        <v>0.5</v>
      </c>
      <c r="P976">
        <v>0</v>
      </c>
      <c r="Q976">
        <v>4</v>
      </c>
      <c r="R976">
        <v>3</v>
      </c>
      <c r="S976">
        <v>4</v>
      </c>
      <c r="T976" t="s">
        <v>30</v>
      </c>
      <c r="U976">
        <v>3</v>
      </c>
      <c r="W976" t="s">
        <v>1649</v>
      </c>
      <c r="X976" t="s">
        <v>1658</v>
      </c>
      <c r="Y976" t="s">
        <v>1664</v>
      </c>
      <c r="Z976">
        <v>0</v>
      </c>
    </row>
    <row r="977" spans="1:26" x14ac:dyDescent="0.35">
      <c r="A977" t="s">
        <v>1100</v>
      </c>
      <c r="B977" s="6">
        <v>45419</v>
      </c>
      <c r="C977" t="s">
        <v>23</v>
      </c>
      <c r="D977">
        <v>29</v>
      </c>
      <c r="E977" t="s">
        <v>36</v>
      </c>
      <c r="F977" t="s">
        <v>42</v>
      </c>
      <c r="G977" t="s">
        <v>26</v>
      </c>
      <c r="H977" t="s">
        <v>68</v>
      </c>
      <c r="I977" t="s">
        <v>102</v>
      </c>
      <c r="J977" t="s">
        <v>1632</v>
      </c>
      <c r="K977" t="s">
        <v>66</v>
      </c>
      <c r="L977">
        <v>32000</v>
      </c>
      <c r="M977">
        <v>15.7</v>
      </c>
      <c r="N977">
        <v>2.2000000000000002</v>
      </c>
      <c r="O977">
        <v>1.7</v>
      </c>
      <c r="P977">
        <v>1.3</v>
      </c>
      <c r="Q977">
        <v>4</v>
      </c>
      <c r="R977">
        <v>4</v>
      </c>
      <c r="S977">
        <v>3</v>
      </c>
      <c r="T977" t="s">
        <v>30</v>
      </c>
      <c r="U977">
        <v>3</v>
      </c>
      <c r="W977" t="s">
        <v>1650</v>
      </c>
      <c r="X977" t="s">
        <v>1655</v>
      </c>
      <c r="Y977" t="s">
        <v>1665</v>
      </c>
      <c r="Z977">
        <v>0</v>
      </c>
    </row>
    <row r="978" spans="1:26" x14ac:dyDescent="0.35">
      <c r="A978" t="s">
        <v>524</v>
      </c>
      <c r="B978" s="6">
        <v>43856</v>
      </c>
      <c r="C978" t="s">
        <v>23</v>
      </c>
      <c r="D978">
        <v>44</v>
      </c>
      <c r="E978" t="s">
        <v>24</v>
      </c>
      <c r="F978" t="s">
        <v>25</v>
      </c>
      <c r="G978" t="s">
        <v>26</v>
      </c>
      <c r="H978" t="s">
        <v>1634</v>
      </c>
      <c r="I978" t="s">
        <v>60</v>
      </c>
      <c r="J978" t="s">
        <v>1635</v>
      </c>
      <c r="K978" t="s">
        <v>50</v>
      </c>
      <c r="L978">
        <v>72000</v>
      </c>
      <c r="M978">
        <v>14.3</v>
      </c>
      <c r="N978">
        <v>6.7</v>
      </c>
      <c r="O978">
        <v>5.9</v>
      </c>
      <c r="P978">
        <v>1</v>
      </c>
      <c r="Q978">
        <v>4</v>
      </c>
      <c r="R978">
        <v>4</v>
      </c>
      <c r="S978">
        <v>3</v>
      </c>
      <c r="T978" t="s">
        <v>23</v>
      </c>
      <c r="U978">
        <v>3</v>
      </c>
      <c r="W978" t="s">
        <v>1649</v>
      </c>
      <c r="X978" t="s">
        <v>1659</v>
      </c>
      <c r="Y978" t="s">
        <v>1661</v>
      </c>
      <c r="Z978">
        <v>0</v>
      </c>
    </row>
    <row r="979" spans="1:26" x14ac:dyDescent="0.35">
      <c r="A979" t="s">
        <v>205</v>
      </c>
      <c r="B979" s="6">
        <v>43682</v>
      </c>
      <c r="C979" t="s">
        <v>23</v>
      </c>
      <c r="D979">
        <v>37</v>
      </c>
      <c r="E979" t="s">
        <v>24</v>
      </c>
      <c r="F979" t="s">
        <v>25</v>
      </c>
      <c r="G979" t="s">
        <v>54</v>
      </c>
      <c r="H979" t="s">
        <v>55</v>
      </c>
      <c r="I979" t="s">
        <v>179</v>
      </c>
      <c r="J979" t="s">
        <v>1633</v>
      </c>
      <c r="K979" t="s">
        <v>40</v>
      </c>
      <c r="L979">
        <v>55000</v>
      </c>
      <c r="M979">
        <v>3.3</v>
      </c>
      <c r="N979">
        <v>12.5</v>
      </c>
      <c r="O979">
        <v>6.4</v>
      </c>
      <c r="P979">
        <v>2.1</v>
      </c>
      <c r="Q979">
        <v>2</v>
      </c>
      <c r="R979">
        <v>3</v>
      </c>
      <c r="S979">
        <v>3</v>
      </c>
      <c r="T979" t="s">
        <v>23</v>
      </c>
      <c r="U979">
        <v>4</v>
      </c>
      <c r="W979" t="s">
        <v>1649</v>
      </c>
      <c r="X979" t="s">
        <v>1656</v>
      </c>
      <c r="Y979" t="s">
        <v>1662</v>
      </c>
      <c r="Z979">
        <v>0</v>
      </c>
    </row>
    <row r="980" spans="1:26" x14ac:dyDescent="0.35">
      <c r="A980" t="s">
        <v>568</v>
      </c>
      <c r="B980" s="6">
        <v>43847</v>
      </c>
      <c r="C980" t="s">
        <v>23</v>
      </c>
      <c r="D980">
        <v>40</v>
      </c>
      <c r="E980" t="s">
        <v>36</v>
      </c>
      <c r="F980" t="s">
        <v>42</v>
      </c>
      <c r="G980" t="s">
        <v>58</v>
      </c>
      <c r="H980" t="s">
        <v>55</v>
      </c>
      <c r="I980" t="s">
        <v>179</v>
      </c>
      <c r="J980" t="s">
        <v>1635</v>
      </c>
      <c r="K980" t="s">
        <v>29</v>
      </c>
      <c r="L980">
        <v>82000</v>
      </c>
      <c r="M980">
        <v>3</v>
      </c>
      <c r="N980">
        <v>11.9</v>
      </c>
      <c r="O980">
        <v>6</v>
      </c>
      <c r="P980">
        <v>5</v>
      </c>
      <c r="Q980">
        <v>3</v>
      </c>
      <c r="R980">
        <v>4</v>
      </c>
      <c r="S980">
        <v>4</v>
      </c>
      <c r="T980" t="s">
        <v>23</v>
      </c>
      <c r="U980">
        <v>4</v>
      </c>
      <c r="W980" t="s">
        <v>1649</v>
      </c>
      <c r="X980" t="s">
        <v>1657</v>
      </c>
      <c r="Y980" t="s">
        <v>1661</v>
      </c>
      <c r="Z980">
        <v>0</v>
      </c>
    </row>
    <row r="981" spans="1:26" x14ac:dyDescent="0.35">
      <c r="A981" t="s">
        <v>1089</v>
      </c>
      <c r="B981" s="6">
        <v>45757</v>
      </c>
      <c r="C981" t="s">
        <v>30</v>
      </c>
      <c r="D981">
        <v>32</v>
      </c>
      <c r="E981" t="s">
        <v>36</v>
      </c>
      <c r="F981" t="s">
        <v>37</v>
      </c>
      <c r="G981" t="s">
        <v>32</v>
      </c>
      <c r="H981" t="s">
        <v>68</v>
      </c>
      <c r="I981" t="s">
        <v>109</v>
      </c>
      <c r="J981" t="s">
        <v>1636</v>
      </c>
      <c r="K981" t="s">
        <v>50</v>
      </c>
      <c r="L981">
        <v>115000</v>
      </c>
      <c r="M981">
        <v>12.8</v>
      </c>
      <c r="N981">
        <v>8.1</v>
      </c>
      <c r="O981">
        <v>0.6</v>
      </c>
      <c r="P981">
        <v>0</v>
      </c>
      <c r="Q981">
        <v>3</v>
      </c>
      <c r="R981">
        <v>3</v>
      </c>
      <c r="S981">
        <v>4</v>
      </c>
      <c r="T981" t="s">
        <v>30</v>
      </c>
      <c r="U981">
        <v>5</v>
      </c>
      <c r="V981" s="7">
        <v>45987</v>
      </c>
      <c r="W981" t="s">
        <v>1650</v>
      </c>
      <c r="X981" t="s">
        <v>1658</v>
      </c>
      <c r="Y981" t="s">
        <v>1664</v>
      </c>
      <c r="Z981">
        <v>1</v>
      </c>
    </row>
    <row r="982" spans="1:26" x14ac:dyDescent="0.35">
      <c r="A982" t="s">
        <v>700</v>
      </c>
      <c r="B982" s="6">
        <v>43890</v>
      </c>
      <c r="C982" t="s">
        <v>23</v>
      </c>
      <c r="D982">
        <v>46</v>
      </c>
      <c r="E982" t="s">
        <v>62</v>
      </c>
      <c r="F982" t="s">
        <v>42</v>
      </c>
      <c r="G982" t="s">
        <v>58</v>
      </c>
      <c r="H982" t="s">
        <v>27</v>
      </c>
      <c r="I982" t="s">
        <v>43</v>
      </c>
      <c r="J982" t="s">
        <v>1635</v>
      </c>
      <c r="K982" t="s">
        <v>50</v>
      </c>
      <c r="L982">
        <v>76000</v>
      </c>
      <c r="M982">
        <v>7.6</v>
      </c>
      <c r="N982">
        <v>6.8</v>
      </c>
      <c r="O982">
        <v>5.8</v>
      </c>
      <c r="P982">
        <v>4.7</v>
      </c>
      <c r="Q982">
        <v>3</v>
      </c>
      <c r="R982">
        <v>4</v>
      </c>
      <c r="S982">
        <v>3</v>
      </c>
      <c r="T982" t="s">
        <v>23</v>
      </c>
      <c r="U982">
        <v>3</v>
      </c>
      <c r="W982" t="s">
        <v>1652</v>
      </c>
      <c r="X982" t="s">
        <v>1659</v>
      </c>
      <c r="Y982" t="s">
        <v>1661</v>
      </c>
      <c r="Z982">
        <v>0</v>
      </c>
    </row>
    <row r="983" spans="1:26" x14ac:dyDescent="0.35">
      <c r="A983" t="s">
        <v>74</v>
      </c>
      <c r="B983" s="6">
        <v>44740</v>
      </c>
      <c r="C983" t="s">
        <v>23</v>
      </c>
      <c r="D983">
        <v>31</v>
      </c>
      <c r="E983" t="s">
        <v>62</v>
      </c>
      <c r="F983" t="s">
        <v>42</v>
      </c>
      <c r="G983" t="s">
        <v>26</v>
      </c>
      <c r="H983" t="s">
        <v>1634</v>
      </c>
      <c r="I983" t="s">
        <v>75</v>
      </c>
      <c r="J983" t="s">
        <v>1632</v>
      </c>
      <c r="K983" t="s">
        <v>34</v>
      </c>
      <c r="L983">
        <v>30000</v>
      </c>
      <c r="M983">
        <v>12.8</v>
      </c>
      <c r="N983">
        <v>6.5</v>
      </c>
      <c r="O983">
        <v>3.5</v>
      </c>
      <c r="P983">
        <v>0.5</v>
      </c>
      <c r="Q983">
        <v>2</v>
      </c>
      <c r="R983">
        <v>3</v>
      </c>
      <c r="S983">
        <v>3</v>
      </c>
      <c r="T983" t="s">
        <v>23</v>
      </c>
      <c r="U983">
        <v>2</v>
      </c>
      <c r="W983" t="s">
        <v>1650</v>
      </c>
      <c r="X983" t="s">
        <v>1655</v>
      </c>
      <c r="Y983" t="s">
        <v>1661</v>
      </c>
      <c r="Z983">
        <v>0</v>
      </c>
    </row>
    <row r="984" spans="1:26" x14ac:dyDescent="0.35">
      <c r="A984" t="s">
        <v>83</v>
      </c>
      <c r="B984" s="6">
        <v>45214</v>
      </c>
      <c r="C984" t="s">
        <v>30</v>
      </c>
      <c r="D984">
        <v>25</v>
      </c>
      <c r="E984" t="s">
        <v>24</v>
      </c>
      <c r="F984" t="s">
        <v>42</v>
      </c>
      <c r="G984" t="s">
        <v>58</v>
      </c>
      <c r="H984" t="s">
        <v>68</v>
      </c>
      <c r="I984" t="s">
        <v>69</v>
      </c>
      <c r="J984" t="s">
        <v>1632</v>
      </c>
      <c r="K984" t="s">
        <v>84</v>
      </c>
      <c r="L984">
        <v>35000</v>
      </c>
      <c r="M984">
        <v>11.7</v>
      </c>
      <c r="N984">
        <v>8.3000000000000007</v>
      </c>
      <c r="O984">
        <v>1.3</v>
      </c>
      <c r="P984">
        <v>1.2</v>
      </c>
      <c r="Q984">
        <v>3</v>
      </c>
      <c r="R984">
        <v>3</v>
      </c>
      <c r="S984">
        <v>4</v>
      </c>
      <c r="T984" t="s">
        <v>30</v>
      </c>
      <c r="U984">
        <v>3</v>
      </c>
      <c r="V984" s="7">
        <v>45705</v>
      </c>
      <c r="W984" t="s">
        <v>1651</v>
      </c>
      <c r="X984" t="s">
        <v>1655</v>
      </c>
      <c r="Y984" t="s">
        <v>1665</v>
      </c>
      <c r="Z984">
        <v>1</v>
      </c>
    </row>
    <row r="985" spans="1:26" x14ac:dyDescent="0.35">
      <c r="A985" t="s">
        <v>1030</v>
      </c>
      <c r="B985" s="6">
        <v>43425</v>
      </c>
      <c r="C985" t="s">
        <v>23</v>
      </c>
      <c r="D985">
        <v>39</v>
      </c>
      <c r="E985" t="s">
        <v>62</v>
      </c>
      <c r="F985" t="s">
        <v>25</v>
      </c>
      <c r="G985" t="s">
        <v>58</v>
      </c>
      <c r="H985" t="s">
        <v>38</v>
      </c>
      <c r="I985" t="s">
        <v>139</v>
      </c>
      <c r="J985" t="s">
        <v>1635</v>
      </c>
      <c r="K985" t="s">
        <v>66</v>
      </c>
      <c r="L985">
        <v>93000</v>
      </c>
      <c r="M985">
        <v>9.1999999999999993</v>
      </c>
      <c r="N985">
        <v>13.2</v>
      </c>
      <c r="O985">
        <v>7.1</v>
      </c>
      <c r="P985">
        <v>4.5</v>
      </c>
      <c r="Q985">
        <v>1</v>
      </c>
      <c r="R985">
        <v>4</v>
      </c>
      <c r="S985">
        <v>2</v>
      </c>
      <c r="T985" t="s">
        <v>30</v>
      </c>
      <c r="U985">
        <v>4</v>
      </c>
      <c r="W985" t="s">
        <v>1649</v>
      </c>
      <c r="X985" t="s">
        <v>1657</v>
      </c>
      <c r="Y985" t="s">
        <v>1662</v>
      </c>
      <c r="Z985">
        <v>0</v>
      </c>
    </row>
    <row r="986" spans="1:26" x14ac:dyDescent="0.35">
      <c r="A986" t="s">
        <v>1108</v>
      </c>
      <c r="B986" s="6">
        <v>44188</v>
      </c>
      <c r="C986" t="s">
        <v>23</v>
      </c>
      <c r="D986">
        <v>42</v>
      </c>
      <c r="E986" t="s">
        <v>62</v>
      </c>
      <c r="F986" t="s">
        <v>37</v>
      </c>
      <c r="G986" t="s">
        <v>26</v>
      </c>
      <c r="H986" t="s">
        <v>45</v>
      </c>
      <c r="I986" t="s">
        <v>77</v>
      </c>
      <c r="J986" t="s">
        <v>1633</v>
      </c>
      <c r="K986" t="s">
        <v>34</v>
      </c>
      <c r="L986">
        <v>38000</v>
      </c>
      <c r="M986">
        <v>7.6</v>
      </c>
      <c r="N986">
        <v>5.8</v>
      </c>
      <c r="O986">
        <v>5</v>
      </c>
      <c r="P986">
        <v>1.7</v>
      </c>
      <c r="Q986">
        <v>3</v>
      </c>
      <c r="R986">
        <v>4</v>
      </c>
      <c r="S986">
        <v>2</v>
      </c>
      <c r="T986" t="s">
        <v>23</v>
      </c>
      <c r="U986">
        <v>2</v>
      </c>
      <c r="W986" t="s">
        <v>1649</v>
      </c>
      <c r="X986" t="s">
        <v>1655</v>
      </c>
      <c r="Y986" t="s">
        <v>1661</v>
      </c>
      <c r="Z986">
        <v>0</v>
      </c>
    </row>
    <row r="987" spans="1:26" x14ac:dyDescent="0.35">
      <c r="A987" t="s">
        <v>1016</v>
      </c>
      <c r="B987" s="6">
        <v>44178</v>
      </c>
      <c r="C987" t="s">
        <v>23</v>
      </c>
      <c r="D987">
        <v>36</v>
      </c>
      <c r="E987" t="s">
        <v>62</v>
      </c>
      <c r="F987" t="s">
        <v>37</v>
      </c>
      <c r="G987" t="s">
        <v>26</v>
      </c>
      <c r="H987" t="s">
        <v>38</v>
      </c>
      <c r="I987" t="s">
        <v>52</v>
      </c>
      <c r="J987" t="s">
        <v>1636</v>
      </c>
      <c r="K987" t="s">
        <v>34</v>
      </c>
      <c r="L987">
        <v>135000</v>
      </c>
      <c r="M987">
        <v>6.6</v>
      </c>
      <c r="N987">
        <v>12.2</v>
      </c>
      <c r="O987">
        <v>5</v>
      </c>
      <c r="P987">
        <v>1.2</v>
      </c>
      <c r="Q987">
        <v>2</v>
      </c>
      <c r="R987">
        <v>3</v>
      </c>
      <c r="S987">
        <v>2</v>
      </c>
      <c r="T987" t="s">
        <v>30</v>
      </c>
      <c r="U987">
        <v>5</v>
      </c>
      <c r="W987" t="s">
        <v>1649</v>
      </c>
      <c r="X987" t="s">
        <v>1658</v>
      </c>
      <c r="Y987" t="s">
        <v>1661</v>
      </c>
      <c r="Z987">
        <v>0</v>
      </c>
    </row>
    <row r="988" spans="1:26" x14ac:dyDescent="0.35">
      <c r="A988" t="s">
        <v>187</v>
      </c>
      <c r="B988" s="6">
        <v>42521</v>
      </c>
      <c r="C988" t="s">
        <v>23</v>
      </c>
      <c r="D988">
        <v>30</v>
      </c>
      <c r="E988" t="s">
        <v>24</v>
      </c>
      <c r="F988" t="s">
        <v>42</v>
      </c>
      <c r="G988" t="s">
        <v>32</v>
      </c>
      <c r="H988" t="s">
        <v>55</v>
      </c>
      <c r="I988" t="s">
        <v>179</v>
      </c>
      <c r="J988" t="s">
        <v>1633</v>
      </c>
      <c r="K988" t="s">
        <v>50</v>
      </c>
      <c r="L988">
        <v>70000</v>
      </c>
      <c r="M988">
        <v>11.2</v>
      </c>
      <c r="N988">
        <v>9.6</v>
      </c>
      <c r="O988">
        <v>9.6</v>
      </c>
      <c r="P988">
        <v>3.1</v>
      </c>
      <c r="Q988">
        <v>3</v>
      </c>
      <c r="R988">
        <v>3</v>
      </c>
      <c r="S988">
        <v>4</v>
      </c>
      <c r="T988" t="s">
        <v>23</v>
      </c>
      <c r="U988">
        <v>4</v>
      </c>
      <c r="W988" t="s">
        <v>1650</v>
      </c>
      <c r="X988" t="s">
        <v>1659</v>
      </c>
      <c r="Y988" t="s">
        <v>1662</v>
      </c>
      <c r="Z988">
        <v>0</v>
      </c>
    </row>
    <row r="989" spans="1:26" x14ac:dyDescent="0.35">
      <c r="A989" t="s">
        <v>1208</v>
      </c>
      <c r="B989" s="6">
        <v>44395</v>
      </c>
      <c r="C989" t="s">
        <v>23</v>
      </c>
      <c r="D989">
        <v>31</v>
      </c>
      <c r="E989" t="s">
        <v>24</v>
      </c>
      <c r="F989" t="s">
        <v>25</v>
      </c>
      <c r="G989" t="s">
        <v>54</v>
      </c>
      <c r="H989" t="s">
        <v>48</v>
      </c>
      <c r="I989" t="s">
        <v>49</v>
      </c>
      <c r="J989" t="s">
        <v>1635</v>
      </c>
      <c r="K989" t="s">
        <v>84</v>
      </c>
      <c r="L989">
        <v>68000</v>
      </c>
      <c r="M989">
        <v>11.1</v>
      </c>
      <c r="N989">
        <v>12.2</v>
      </c>
      <c r="O989">
        <v>4.5</v>
      </c>
      <c r="P989">
        <v>1.9</v>
      </c>
      <c r="Q989">
        <v>3</v>
      </c>
      <c r="R989">
        <v>3</v>
      </c>
      <c r="S989">
        <v>3</v>
      </c>
      <c r="T989" t="s">
        <v>23</v>
      </c>
      <c r="U989">
        <v>4</v>
      </c>
      <c r="W989" t="s">
        <v>1650</v>
      </c>
      <c r="X989" t="s">
        <v>1659</v>
      </c>
      <c r="Y989" t="s">
        <v>1661</v>
      </c>
      <c r="Z989">
        <v>0</v>
      </c>
    </row>
    <row r="990" spans="1:26" x14ac:dyDescent="0.35">
      <c r="A990" t="s">
        <v>986</v>
      </c>
      <c r="B990" s="6">
        <v>45423</v>
      </c>
      <c r="C990" t="s">
        <v>23</v>
      </c>
      <c r="D990">
        <v>48</v>
      </c>
      <c r="E990" t="s">
        <v>62</v>
      </c>
      <c r="F990" t="s">
        <v>37</v>
      </c>
      <c r="G990" t="s">
        <v>32</v>
      </c>
      <c r="H990" t="s">
        <v>45</v>
      </c>
      <c r="I990" t="s">
        <v>46</v>
      </c>
      <c r="J990" t="s">
        <v>1632</v>
      </c>
      <c r="K990" t="s">
        <v>40</v>
      </c>
      <c r="L990">
        <v>37000</v>
      </c>
      <c r="M990">
        <v>6.7</v>
      </c>
      <c r="N990">
        <v>6.3</v>
      </c>
      <c r="O990">
        <v>1.6</v>
      </c>
      <c r="P990">
        <v>1.3</v>
      </c>
      <c r="Q990">
        <v>4</v>
      </c>
      <c r="R990">
        <v>3</v>
      </c>
      <c r="S990">
        <v>4</v>
      </c>
      <c r="T990" t="s">
        <v>23</v>
      </c>
      <c r="U990">
        <v>3</v>
      </c>
      <c r="W990" t="s">
        <v>1652</v>
      </c>
      <c r="X990" t="s">
        <v>1655</v>
      </c>
      <c r="Y990" t="s">
        <v>1665</v>
      </c>
      <c r="Z990">
        <v>0</v>
      </c>
    </row>
    <row r="991" spans="1:26" x14ac:dyDescent="0.35">
      <c r="A991" t="s">
        <v>1392</v>
      </c>
      <c r="B991" s="6">
        <v>42990</v>
      </c>
      <c r="C991" t="s">
        <v>23</v>
      </c>
      <c r="D991">
        <v>32</v>
      </c>
      <c r="E991" t="s">
        <v>24</v>
      </c>
      <c r="F991" t="s">
        <v>42</v>
      </c>
      <c r="G991" t="s">
        <v>32</v>
      </c>
      <c r="H991" t="s">
        <v>45</v>
      </c>
      <c r="I991" t="s">
        <v>164</v>
      </c>
      <c r="J991" t="s">
        <v>1635</v>
      </c>
      <c r="K991" t="s">
        <v>34</v>
      </c>
      <c r="L991">
        <v>70000</v>
      </c>
      <c r="M991">
        <v>13.5</v>
      </c>
      <c r="N991">
        <v>12.9</v>
      </c>
      <c r="O991">
        <v>8.3000000000000007</v>
      </c>
      <c r="P991">
        <v>3.9</v>
      </c>
      <c r="Q991">
        <v>2</v>
      </c>
      <c r="R991">
        <v>3</v>
      </c>
      <c r="S991">
        <v>4</v>
      </c>
      <c r="T991" t="s">
        <v>30</v>
      </c>
      <c r="U991">
        <v>1</v>
      </c>
      <c r="W991" t="s">
        <v>1650</v>
      </c>
      <c r="X991" t="s">
        <v>1659</v>
      </c>
      <c r="Y991" t="s">
        <v>1662</v>
      </c>
      <c r="Z991">
        <v>0</v>
      </c>
    </row>
    <row r="992" spans="1:26" x14ac:dyDescent="0.35">
      <c r="A992" t="s">
        <v>428</v>
      </c>
      <c r="B992" s="6">
        <v>43703</v>
      </c>
      <c r="C992" t="s">
        <v>23</v>
      </c>
      <c r="D992">
        <v>28</v>
      </c>
      <c r="E992" t="s">
        <v>24</v>
      </c>
      <c r="F992" t="s">
        <v>42</v>
      </c>
      <c r="G992" t="s">
        <v>58</v>
      </c>
      <c r="H992" t="s">
        <v>55</v>
      </c>
      <c r="I992" t="s">
        <v>179</v>
      </c>
      <c r="J992" t="s">
        <v>1635</v>
      </c>
      <c r="K992" t="s">
        <v>40</v>
      </c>
      <c r="L992">
        <v>107000</v>
      </c>
      <c r="M992">
        <v>9.1999999999999993</v>
      </c>
      <c r="N992">
        <v>11.6</v>
      </c>
      <c r="O992">
        <v>6.3</v>
      </c>
      <c r="P992">
        <v>4.0999999999999996</v>
      </c>
      <c r="Q992">
        <v>3</v>
      </c>
      <c r="R992">
        <v>3</v>
      </c>
      <c r="S992">
        <v>2</v>
      </c>
      <c r="T992" t="s">
        <v>23</v>
      </c>
      <c r="U992">
        <v>4</v>
      </c>
      <c r="W992" t="s">
        <v>1650</v>
      </c>
      <c r="X992" t="s">
        <v>1658</v>
      </c>
      <c r="Y992" t="s">
        <v>1662</v>
      </c>
      <c r="Z992">
        <v>0</v>
      </c>
    </row>
    <row r="993" spans="1:26" x14ac:dyDescent="0.35">
      <c r="A993" t="s">
        <v>754</v>
      </c>
      <c r="B993" s="6">
        <v>42897</v>
      </c>
      <c r="C993" t="s">
        <v>23</v>
      </c>
      <c r="D993">
        <v>29</v>
      </c>
      <c r="E993" t="s">
        <v>24</v>
      </c>
      <c r="F993" t="s">
        <v>42</v>
      </c>
      <c r="G993" t="s">
        <v>26</v>
      </c>
      <c r="H993" t="s">
        <v>1634</v>
      </c>
      <c r="I993" t="s">
        <v>86</v>
      </c>
      <c r="J993" t="s">
        <v>1635</v>
      </c>
      <c r="K993" t="s">
        <v>84</v>
      </c>
      <c r="L993">
        <v>78000</v>
      </c>
      <c r="M993">
        <v>10.199999999999999</v>
      </c>
      <c r="N993">
        <v>9.8000000000000007</v>
      </c>
      <c r="O993">
        <v>8.6</v>
      </c>
      <c r="P993">
        <v>4.7</v>
      </c>
      <c r="Q993">
        <v>3</v>
      </c>
      <c r="R993">
        <v>4</v>
      </c>
      <c r="S993">
        <v>3</v>
      </c>
      <c r="T993" t="s">
        <v>23</v>
      </c>
      <c r="U993">
        <v>4</v>
      </c>
      <c r="W993" t="s">
        <v>1650</v>
      </c>
      <c r="X993" t="s">
        <v>1659</v>
      </c>
      <c r="Y993" t="s">
        <v>1662</v>
      </c>
      <c r="Z993">
        <v>0</v>
      </c>
    </row>
    <row r="994" spans="1:26" x14ac:dyDescent="0.35">
      <c r="A994" t="s">
        <v>87</v>
      </c>
      <c r="B994" s="6">
        <v>44092</v>
      </c>
      <c r="C994" t="s">
        <v>23</v>
      </c>
      <c r="D994">
        <v>47</v>
      </c>
      <c r="E994" t="s">
        <v>36</v>
      </c>
      <c r="F994" t="s">
        <v>42</v>
      </c>
      <c r="G994" t="s">
        <v>54</v>
      </c>
      <c r="H994" t="s">
        <v>55</v>
      </c>
      <c r="I994" t="s">
        <v>88</v>
      </c>
      <c r="J994" t="s">
        <v>1633</v>
      </c>
      <c r="K994" t="s">
        <v>84</v>
      </c>
      <c r="L994">
        <v>73000</v>
      </c>
      <c r="M994">
        <v>7.4</v>
      </c>
      <c r="N994">
        <v>10</v>
      </c>
      <c r="O994">
        <v>5.3</v>
      </c>
      <c r="P994">
        <v>1.8</v>
      </c>
      <c r="Q994">
        <v>4</v>
      </c>
      <c r="R994">
        <v>3</v>
      </c>
      <c r="S994">
        <v>3</v>
      </c>
      <c r="T994" t="s">
        <v>30</v>
      </c>
      <c r="U994">
        <v>4</v>
      </c>
      <c r="W994" t="s">
        <v>1652</v>
      </c>
      <c r="X994" t="s">
        <v>1659</v>
      </c>
      <c r="Y994" t="s">
        <v>1661</v>
      </c>
      <c r="Z994">
        <v>0</v>
      </c>
    </row>
    <row r="995" spans="1:26" x14ac:dyDescent="0.35">
      <c r="A995" t="s">
        <v>494</v>
      </c>
      <c r="B995" s="6">
        <v>42046</v>
      </c>
      <c r="C995" t="s">
        <v>23</v>
      </c>
      <c r="D995">
        <v>35</v>
      </c>
      <c r="E995" t="s">
        <v>62</v>
      </c>
      <c r="F995" t="s">
        <v>42</v>
      </c>
      <c r="G995" t="s">
        <v>58</v>
      </c>
      <c r="H995" t="s">
        <v>55</v>
      </c>
      <c r="I995" t="s">
        <v>80</v>
      </c>
      <c r="J995" t="s">
        <v>1633</v>
      </c>
      <c r="K995" t="s">
        <v>29</v>
      </c>
      <c r="L995">
        <v>62000</v>
      </c>
      <c r="M995">
        <v>10.4</v>
      </c>
      <c r="N995">
        <v>12.6</v>
      </c>
      <c r="O995">
        <v>10.9</v>
      </c>
      <c r="P995">
        <v>5.7</v>
      </c>
      <c r="Q995">
        <v>2</v>
      </c>
      <c r="R995">
        <v>3</v>
      </c>
      <c r="S995">
        <v>4</v>
      </c>
      <c r="T995" t="s">
        <v>30</v>
      </c>
      <c r="U995">
        <v>2</v>
      </c>
      <c r="W995" t="s">
        <v>1650</v>
      </c>
      <c r="X995" t="s">
        <v>1659</v>
      </c>
      <c r="Y995" t="s">
        <v>1663</v>
      </c>
      <c r="Z995">
        <v>0</v>
      </c>
    </row>
    <row r="996" spans="1:26" x14ac:dyDescent="0.35">
      <c r="A996" t="s">
        <v>640</v>
      </c>
      <c r="B996" s="6">
        <v>43706</v>
      </c>
      <c r="C996" t="s">
        <v>30</v>
      </c>
      <c r="D996">
        <v>37</v>
      </c>
      <c r="E996" t="s">
        <v>62</v>
      </c>
      <c r="F996" t="s">
        <v>25</v>
      </c>
      <c r="G996" t="s">
        <v>32</v>
      </c>
      <c r="H996" t="s">
        <v>38</v>
      </c>
      <c r="I996" t="s">
        <v>39</v>
      </c>
      <c r="J996" t="s">
        <v>1636</v>
      </c>
      <c r="K996" t="s">
        <v>29</v>
      </c>
      <c r="L996">
        <v>137000</v>
      </c>
      <c r="M996">
        <v>11.3</v>
      </c>
      <c r="N996">
        <v>7.4</v>
      </c>
      <c r="O996">
        <v>5.5</v>
      </c>
      <c r="P996">
        <v>1.6</v>
      </c>
      <c r="Q996">
        <v>3</v>
      </c>
      <c r="R996">
        <v>4</v>
      </c>
      <c r="S996">
        <v>3</v>
      </c>
      <c r="T996" t="s">
        <v>23</v>
      </c>
      <c r="U996">
        <v>4</v>
      </c>
      <c r="V996" s="7">
        <v>45712</v>
      </c>
      <c r="W996" t="s">
        <v>1649</v>
      </c>
      <c r="X996" t="s">
        <v>1658</v>
      </c>
      <c r="Y996" t="s">
        <v>1661</v>
      </c>
      <c r="Z996">
        <v>1</v>
      </c>
    </row>
    <row r="997" spans="1:26" x14ac:dyDescent="0.35">
      <c r="A997" t="s">
        <v>122</v>
      </c>
      <c r="B997" s="6">
        <v>45829</v>
      </c>
      <c r="C997" t="s">
        <v>23</v>
      </c>
      <c r="D997">
        <v>43</v>
      </c>
      <c r="E997" t="s">
        <v>36</v>
      </c>
      <c r="F997" t="s">
        <v>42</v>
      </c>
      <c r="G997" t="s">
        <v>58</v>
      </c>
      <c r="H997" t="s">
        <v>48</v>
      </c>
      <c r="I997" t="s">
        <v>63</v>
      </c>
      <c r="J997" t="s">
        <v>1633</v>
      </c>
      <c r="K997" t="s">
        <v>66</v>
      </c>
      <c r="L997">
        <v>70000</v>
      </c>
      <c r="M997">
        <v>21.6</v>
      </c>
      <c r="N997">
        <v>3.3</v>
      </c>
      <c r="O997">
        <v>0.5</v>
      </c>
      <c r="P997">
        <v>0</v>
      </c>
      <c r="Q997">
        <v>4</v>
      </c>
      <c r="R997">
        <v>2</v>
      </c>
      <c r="S997">
        <v>3</v>
      </c>
      <c r="T997" t="s">
        <v>23</v>
      </c>
      <c r="U997">
        <v>4</v>
      </c>
      <c r="W997" t="s">
        <v>1649</v>
      </c>
      <c r="X997" t="s">
        <v>1659</v>
      </c>
      <c r="Y997" t="s">
        <v>1664</v>
      </c>
      <c r="Z997">
        <v>0</v>
      </c>
    </row>
    <row r="998" spans="1:26" x14ac:dyDescent="0.35">
      <c r="A998" t="s">
        <v>119</v>
      </c>
      <c r="B998" s="6">
        <v>41808</v>
      </c>
      <c r="C998" t="s">
        <v>23</v>
      </c>
      <c r="D998">
        <v>35</v>
      </c>
      <c r="E998" t="s">
        <v>24</v>
      </c>
      <c r="F998" t="s">
        <v>25</v>
      </c>
      <c r="G998" t="s">
        <v>58</v>
      </c>
      <c r="H998" t="s">
        <v>55</v>
      </c>
      <c r="I998" t="s">
        <v>80</v>
      </c>
      <c r="J998" t="s">
        <v>1635</v>
      </c>
      <c r="K998" t="s">
        <v>34</v>
      </c>
      <c r="L998">
        <v>71000</v>
      </c>
      <c r="M998">
        <v>11.2</v>
      </c>
      <c r="N998">
        <v>16.5</v>
      </c>
      <c r="O998">
        <v>11.5</v>
      </c>
      <c r="P998">
        <v>5.3</v>
      </c>
      <c r="Q998">
        <v>3</v>
      </c>
      <c r="R998">
        <v>3</v>
      </c>
      <c r="S998">
        <v>4</v>
      </c>
      <c r="T998" t="s">
        <v>23</v>
      </c>
      <c r="U998">
        <v>3</v>
      </c>
      <c r="W998" t="s">
        <v>1650</v>
      </c>
      <c r="X998" t="s">
        <v>1659</v>
      </c>
      <c r="Y998" t="s">
        <v>1663</v>
      </c>
      <c r="Z998">
        <v>0</v>
      </c>
    </row>
    <row r="999" spans="1:26" x14ac:dyDescent="0.35">
      <c r="A999" t="s">
        <v>535</v>
      </c>
      <c r="B999" s="6">
        <v>45843</v>
      </c>
      <c r="C999" t="s">
        <v>30</v>
      </c>
      <c r="D999">
        <v>46</v>
      </c>
      <c r="E999" t="s">
        <v>62</v>
      </c>
      <c r="F999" t="s">
        <v>25</v>
      </c>
      <c r="G999" t="s">
        <v>54</v>
      </c>
      <c r="H999" t="s">
        <v>55</v>
      </c>
      <c r="I999" t="s">
        <v>80</v>
      </c>
      <c r="J999" t="s">
        <v>1637</v>
      </c>
      <c r="K999" t="s">
        <v>29</v>
      </c>
      <c r="L999">
        <v>172000</v>
      </c>
      <c r="M999">
        <v>2.2000000000000002</v>
      </c>
      <c r="N999">
        <v>7.2</v>
      </c>
      <c r="O999">
        <v>0.3</v>
      </c>
      <c r="P999">
        <v>0</v>
      </c>
      <c r="Q999">
        <v>3</v>
      </c>
      <c r="R999">
        <v>3</v>
      </c>
      <c r="S999">
        <v>4</v>
      </c>
      <c r="T999" t="s">
        <v>30</v>
      </c>
      <c r="U999">
        <v>2</v>
      </c>
      <c r="V999" s="7">
        <v>45955</v>
      </c>
      <c r="W999" t="s">
        <v>1652</v>
      </c>
      <c r="X999" t="s">
        <v>1658</v>
      </c>
      <c r="Y999" t="s">
        <v>1664</v>
      </c>
      <c r="Z999">
        <v>1</v>
      </c>
    </row>
    <row r="1000" spans="1:26" x14ac:dyDescent="0.35">
      <c r="A1000" t="s">
        <v>178</v>
      </c>
      <c r="B1000" s="6">
        <v>45724</v>
      </c>
      <c r="C1000" t="s">
        <v>30</v>
      </c>
      <c r="D1000">
        <v>21</v>
      </c>
      <c r="E1000" t="s">
        <v>24</v>
      </c>
      <c r="F1000" t="s">
        <v>37</v>
      </c>
      <c r="G1000" t="s">
        <v>58</v>
      </c>
      <c r="H1000" t="s">
        <v>55</v>
      </c>
      <c r="I1000" t="s">
        <v>179</v>
      </c>
      <c r="J1000" t="s">
        <v>1632</v>
      </c>
      <c r="K1000" t="s">
        <v>40</v>
      </c>
      <c r="L1000">
        <v>46000</v>
      </c>
      <c r="M1000">
        <v>0.7</v>
      </c>
      <c r="N1000">
        <v>5.5</v>
      </c>
      <c r="O1000">
        <v>0.8</v>
      </c>
      <c r="P1000">
        <v>0</v>
      </c>
      <c r="Q1000">
        <v>2</v>
      </c>
      <c r="R1000">
        <v>3</v>
      </c>
      <c r="S1000">
        <v>3</v>
      </c>
      <c r="T1000" t="s">
        <v>30</v>
      </c>
      <c r="U1000">
        <v>3</v>
      </c>
      <c r="V1000" s="7">
        <v>46019</v>
      </c>
      <c r="W1000" t="s">
        <v>1651</v>
      </c>
      <c r="X1000" t="s">
        <v>1656</v>
      </c>
      <c r="Y1000" t="s">
        <v>1664</v>
      </c>
      <c r="Z1000">
        <v>1</v>
      </c>
    </row>
    <row r="1001" spans="1:26" x14ac:dyDescent="0.35">
      <c r="A1001" t="s">
        <v>1371</v>
      </c>
      <c r="B1001" s="6">
        <v>45889</v>
      </c>
      <c r="C1001" t="s">
        <v>23</v>
      </c>
      <c r="D1001">
        <v>21</v>
      </c>
      <c r="E1001" t="s">
        <v>62</v>
      </c>
      <c r="F1001" t="s">
        <v>1638</v>
      </c>
      <c r="G1001" t="s">
        <v>26</v>
      </c>
      <c r="H1001" t="s">
        <v>27</v>
      </c>
      <c r="I1001" t="s">
        <v>43</v>
      </c>
      <c r="J1001" t="s">
        <v>1632</v>
      </c>
      <c r="K1001" t="s">
        <v>34</v>
      </c>
      <c r="L1001">
        <v>29000</v>
      </c>
      <c r="M1001">
        <v>15.6</v>
      </c>
      <c r="N1001">
        <v>7.9</v>
      </c>
      <c r="O1001">
        <v>0.4</v>
      </c>
      <c r="P1001">
        <v>0</v>
      </c>
      <c r="Q1001">
        <v>3</v>
      </c>
      <c r="R1001">
        <v>3</v>
      </c>
      <c r="S1001">
        <v>3</v>
      </c>
      <c r="T1001" t="s">
        <v>30</v>
      </c>
      <c r="U1001">
        <v>2</v>
      </c>
      <c r="W1001" t="s">
        <v>1651</v>
      </c>
      <c r="X1001" t="s">
        <v>1655</v>
      </c>
      <c r="Y1001" t="s">
        <v>1664</v>
      </c>
      <c r="Z1001">
        <v>0</v>
      </c>
    </row>
    <row r="1002" spans="1:26" x14ac:dyDescent="0.35">
      <c r="A1002" t="s">
        <v>1149</v>
      </c>
      <c r="B1002" s="6">
        <v>43966</v>
      </c>
      <c r="C1002" t="s">
        <v>23</v>
      </c>
      <c r="D1002">
        <v>27</v>
      </c>
      <c r="E1002" t="s">
        <v>36</v>
      </c>
      <c r="F1002" t="s">
        <v>25</v>
      </c>
      <c r="G1002" t="s">
        <v>32</v>
      </c>
      <c r="H1002" t="s">
        <v>1634</v>
      </c>
      <c r="I1002" t="s">
        <v>86</v>
      </c>
      <c r="J1002" t="s">
        <v>1632</v>
      </c>
      <c r="K1002" t="s">
        <v>50</v>
      </c>
      <c r="L1002">
        <v>33000</v>
      </c>
      <c r="M1002">
        <v>9.1</v>
      </c>
      <c r="N1002">
        <v>7.5</v>
      </c>
      <c r="O1002">
        <v>5.6</v>
      </c>
      <c r="P1002">
        <v>3.2</v>
      </c>
      <c r="Q1002">
        <v>2</v>
      </c>
      <c r="R1002">
        <v>1</v>
      </c>
      <c r="S1002">
        <v>3</v>
      </c>
      <c r="T1002" t="s">
        <v>23</v>
      </c>
      <c r="U1002">
        <v>5</v>
      </c>
      <c r="W1002" t="s">
        <v>1650</v>
      </c>
      <c r="X1002" t="s">
        <v>1655</v>
      </c>
      <c r="Y1002" t="s">
        <v>1661</v>
      </c>
      <c r="Z1002">
        <v>0</v>
      </c>
    </row>
    <row r="1003" spans="1:26" x14ac:dyDescent="0.35">
      <c r="A1003" t="s">
        <v>1495</v>
      </c>
      <c r="B1003" s="6">
        <v>44946</v>
      </c>
      <c r="C1003" t="s">
        <v>30</v>
      </c>
      <c r="D1003">
        <v>23</v>
      </c>
      <c r="E1003" t="s">
        <v>36</v>
      </c>
      <c r="F1003" t="s">
        <v>42</v>
      </c>
      <c r="G1003" t="s">
        <v>26</v>
      </c>
      <c r="H1003" t="s">
        <v>45</v>
      </c>
      <c r="I1003" t="s">
        <v>164</v>
      </c>
      <c r="J1003" t="s">
        <v>1632</v>
      </c>
      <c r="K1003" t="s">
        <v>29</v>
      </c>
      <c r="L1003">
        <v>37000</v>
      </c>
      <c r="M1003">
        <v>0</v>
      </c>
      <c r="N1003">
        <v>4</v>
      </c>
      <c r="O1003">
        <v>2.2000000000000002</v>
      </c>
      <c r="P1003">
        <v>0.1</v>
      </c>
      <c r="Q1003">
        <v>3</v>
      </c>
      <c r="R1003">
        <v>2</v>
      </c>
      <c r="S1003">
        <v>4</v>
      </c>
      <c r="T1003" t="s">
        <v>23</v>
      </c>
      <c r="U1003">
        <v>3</v>
      </c>
      <c r="V1003" s="7">
        <v>45738</v>
      </c>
      <c r="W1003" t="s">
        <v>1651</v>
      </c>
      <c r="X1003" t="s">
        <v>1655</v>
      </c>
      <c r="Y1003" t="s">
        <v>1665</v>
      </c>
      <c r="Z1003">
        <v>1</v>
      </c>
    </row>
    <row r="1004" spans="1:26" x14ac:dyDescent="0.35">
      <c r="A1004" t="s">
        <v>808</v>
      </c>
      <c r="B1004" s="6">
        <v>45801</v>
      </c>
      <c r="C1004" t="s">
        <v>23</v>
      </c>
      <c r="D1004">
        <v>30</v>
      </c>
      <c r="E1004" t="s">
        <v>24</v>
      </c>
      <c r="F1004" t="s">
        <v>42</v>
      </c>
      <c r="G1004" t="s">
        <v>54</v>
      </c>
      <c r="H1004" t="s">
        <v>48</v>
      </c>
      <c r="I1004" t="s">
        <v>49</v>
      </c>
      <c r="J1004" t="s">
        <v>1635</v>
      </c>
      <c r="K1004" t="s">
        <v>50</v>
      </c>
      <c r="L1004">
        <v>86000</v>
      </c>
      <c r="M1004">
        <v>9.1</v>
      </c>
      <c r="N1004">
        <v>6.7</v>
      </c>
      <c r="O1004">
        <v>0.6</v>
      </c>
      <c r="P1004">
        <v>0</v>
      </c>
      <c r="Q1004">
        <v>3</v>
      </c>
      <c r="R1004">
        <v>4</v>
      </c>
      <c r="S1004">
        <v>3</v>
      </c>
      <c r="T1004" t="s">
        <v>23</v>
      </c>
      <c r="U1004">
        <v>4</v>
      </c>
      <c r="W1004" t="s">
        <v>1650</v>
      </c>
      <c r="X1004" t="s">
        <v>1657</v>
      </c>
      <c r="Y1004" t="s">
        <v>1664</v>
      </c>
      <c r="Z1004">
        <v>0</v>
      </c>
    </row>
    <row r="1005" spans="1:26" x14ac:dyDescent="0.35">
      <c r="A1005" t="s">
        <v>1175</v>
      </c>
      <c r="B1005" s="6">
        <v>45840</v>
      </c>
      <c r="C1005" t="s">
        <v>23</v>
      </c>
      <c r="D1005">
        <v>26</v>
      </c>
      <c r="E1005" t="s">
        <v>62</v>
      </c>
      <c r="F1005" t="s">
        <v>37</v>
      </c>
      <c r="G1005" t="s">
        <v>58</v>
      </c>
      <c r="H1005" t="s">
        <v>55</v>
      </c>
      <c r="I1005" t="s">
        <v>88</v>
      </c>
      <c r="J1005" t="s">
        <v>1632</v>
      </c>
      <c r="K1005" t="s">
        <v>29</v>
      </c>
      <c r="L1005">
        <v>41000</v>
      </c>
      <c r="M1005">
        <v>8.6999999999999993</v>
      </c>
      <c r="N1005">
        <v>1.2</v>
      </c>
      <c r="O1005">
        <v>0.5</v>
      </c>
      <c r="P1005">
        <v>0</v>
      </c>
      <c r="Q1005">
        <v>4</v>
      </c>
      <c r="R1005">
        <v>2</v>
      </c>
      <c r="S1005">
        <v>3</v>
      </c>
      <c r="T1005" t="s">
        <v>30</v>
      </c>
      <c r="U1005">
        <v>3</v>
      </c>
      <c r="W1005" t="s">
        <v>1650</v>
      </c>
      <c r="X1005" t="s">
        <v>1656</v>
      </c>
      <c r="Y1005" t="s">
        <v>1664</v>
      </c>
      <c r="Z1005">
        <v>0</v>
      </c>
    </row>
    <row r="1006" spans="1:26" x14ac:dyDescent="0.35">
      <c r="A1006" t="s">
        <v>427</v>
      </c>
      <c r="B1006" s="6">
        <v>45355</v>
      </c>
      <c r="C1006" t="s">
        <v>23</v>
      </c>
      <c r="D1006">
        <v>30</v>
      </c>
      <c r="E1006" t="s">
        <v>36</v>
      </c>
      <c r="F1006" t="s">
        <v>25</v>
      </c>
      <c r="G1006" t="s">
        <v>32</v>
      </c>
      <c r="H1006" t="s">
        <v>27</v>
      </c>
      <c r="I1006" t="s">
        <v>28</v>
      </c>
      <c r="J1006" t="s">
        <v>1636</v>
      </c>
      <c r="K1006" t="s">
        <v>29</v>
      </c>
      <c r="L1006">
        <v>112000</v>
      </c>
      <c r="M1006">
        <v>6.9</v>
      </c>
      <c r="N1006">
        <v>9.5</v>
      </c>
      <c r="O1006">
        <v>1.8</v>
      </c>
      <c r="P1006">
        <v>0.8</v>
      </c>
      <c r="Q1006">
        <v>3</v>
      </c>
      <c r="R1006">
        <v>3</v>
      </c>
      <c r="S1006">
        <v>4</v>
      </c>
      <c r="T1006" t="s">
        <v>23</v>
      </c>
      <c r="U1006">
        <v>3</v>
      </c>
      <c r="W1006" t="s">
        <v>1650</v>
      </c>
      <c r="X1006" t="s">
        <v>1658</v>
      </c>
      <c r="Y1006" t="s">
        <v>1665</v>
      </c>
      <c r="Z1006">
        <v>0</v>
      </c>
    </row>
    <row r="1007" spans="1:26" x14ac:dyDescent="0.35">
      <c r="A1007" t="s">
        <v>639</v>
      </c>
      <c r="B1007" s="6">
        <v>44650</v>
      </c>
      <c r="C1007" t="s">
        <v>23</v>
      </c>
      <c r="D1007">
        <v>48</v>
      </c>
      <c r="E1007" t="s">
        <v>62</v>
      </c>
      <c r="F1007" t="s">
        <v>37</v>
      </c>
      <c r="G1007" t="s">
        <v>54</v>
      </c>
      <c r="H1007" t="s">
        <v>1634</v>
      </c>
      <c r="I1007" t="s">
        <v>75</v>
      </c>
      <c r="J1007" t="s">
        <v>1633</v>
      </c>
      <c r="K1007" t="s">
        <v>34</v>
      </c>
      <c r="L1007">
        <v>39000</v>
      </c>
      <c r="M1007">
        <v>1.6</v>
      </c>
      <c r="N1007">
        <v>8.4</v>
      </c>
      <c r="O1007">
        <v>3.8</v>
      </c>
      <c r="P1007">
        <v>3</v>
      </c>
      <c r="Q1007">
        <v>3</v>
      </c>
      <c r="R1007">
        <v>2</v>
      </c>
      <c r="S1007">
        <v>1</v>
      </c>
      <c r="T1007" t="s">
        <v>23</v>
      </c>
      <c r="U1007">
        <v>4</v>
      </c>
      <c r="W1007" t="s">
        <v>1652</v>
      </c>
      <c r="X1007" t="s">
        <v>1655</v>
      </c>
      <c r="Y1007" t="s">
        <v>1661</v>
      </c>
      <c r="Z1007">
        <v>0</v>
      </c>
    </row>
    <row r="1008" spans="1:26" x14ac:dyDescent="0.35">
      <c r="A1008" t="s">
        <v>666</v>
      </c>
      <c r="B1008" s="6">
        <v>45407</v>
      </c>
      <c r="C1008" t="s">
        <v>23</v>
      </c>
      <c r="D1008">
        <v>28</v>
      </c>
      <c r="E1008" t="s">
        <v>24</v>
      </c>
      <c r="F1008" t="s">
        <v>42</v>
      </c>
      <c r="G1008" t="s">
        <v>26</v>
      </c>
      <c r="H1008" t="s">
        <v>45</v>
      </c>
      <c r="I1008" t="s">
        <v>97</v>
      </c>
      <c r="J1008" t="s">
        <v>1632</v>
      </c>
      <c r="K1008" t="s">
        <v>84</v>
      </c>
      <c r="L1008">
        <v>29000</v>
      </c>
      <c r="M1008">
        <v>5.9</v>
      </c>
      <c r="N1008">
        <v>2.1</v>
      </c>
      <c r="O1008">
        <v>1.7</v>
      </c>
      <c r="P1008">
        <v>1.5</v>
      </c>
      <c r="Q1008">
        <v>4</v>
      </c>
      <c r="R1008">
        <v>3</v>
      </c>
      <c r="S1008">
        <v>2</v>
      </c>
      <c r="T1008" t="s">
        <v>23</v>
      </c>
      <c r="U1008">
        <v>4</v>
      </c>
      <c r="W1008" t="s">
        <v>1650</v>
      </c>
      <c r="X1008" t="s">
        <v>1655</v>
      </c>
      <c r="Y1008" t="s">
        <v>1665</v>
      </c>
      <c r="Z1008">
        <v>0</v>
      </c>
    </row>
    <row r="1009" spans="1:26" x14ac:dyDescent="0.35">
      <c r="A1009" t="s">
        <v>753</v>
      </c>
      <c r="B1009" s="6">
        <v>42374</v>
      </c>
      <c r="C1009" t="s">
        <v>23</v>
      </c>
      <c r="D1009">
        <v>44</v>
      </c>
      <c r="E1009" t="s">
        <v>36</v>
      </c>
      <c r="F1009" t="s">
        <v>37</v>
      </c>
      <c r="G1009" t="s">
        <v>54</v>
      </c>
      <c r="H1009" t="s">
        <v>68</v>
      </c>
      <c r="I1009" t="s">
        <v>69</v>
      </c>
      <c r="J1009" t="s">
        <v>1635</v>
      </c>
      <c r="K1009" t="s">
        <v>29</v>
      </c>
      <c r="L1009">
        <v>84000</v>
      </c>
      <c r="M1009">
        <v>12.4</v>
      </c>
      <c r="N1009">
        <v>11.1</v>
      </c>
      <c r="O1009">
        <v>10</v>
      </c>
      <c r="P1009">
        <v>4.7</v>
      </c>
      <c r="Q1009">
        <v>3</v>
      </c>
      <c r="R1009">
        <v>3</v>
      </c>
      <c r="S1009">
        <v>2</v>
      </c>
      <c r="T1009" t="s">
        <v>30</v>
      </c>
      <c r="U1009">
        <v>2</v>
      </c>
      <c r="W1009" t="s">
        <v>1649</v>
      </c>
      <c r="X1009" t="s">
        <v>1657</v>
      </c>
      <c r="Y1009" t="s">
        <v>1662</v>
      </c>
      <c r="Z1009">
        <v>0</v>
      </c>
    </row>
    <row r="1010" spans="1:26" x14ac:dyDescent="0.35">
      <c r="A1010" t="s">
        <v>652</v>
      </c>
      <c r="B1010" s="6">
        <v>44646</v>
      </c>
      <c r="C1010" t="s">
        <v>23</v>
      </c>
      <c r="D1010">
        <v>25</v>
      </c>
      <c r="E1010" t="s">
        <v>62</v>
      </c>
      <c r="F1010" t="s">
        <v>37</v>
      </c>
      <c r="G1010" t="s">
        <v>26</v>
      </c>
      <c r="H1010" t="s">
        <v>45</v>
      </c>
      <c r="I1010" t="s">
        <v>164</v>
      </c>
      <c r="J1010" t="s">
        <v>1632</v>
      </c>
      <c r="K1010" t="s">
        <v>50</v>
      </c>
      <c r="L1010">
        <v>22000</v>
      </c>
      <c r="M1010">
        <v>5.8</v>
      </c>
      <c r="N1010">
        <v>10.5</v>
      </c>
      <c r="O1010">
        <v>3.8</v>
      </c>
      <c r="P1010">
        <v>0.1</v>
      </c>
      <c r="Q1010">
        <v>2</v>
      </c>
      <c r="R1010">
        <v>4</v>
      </c>
      <c r="S1010">
        <v>4</v>
      </c>
      <c r="T1010" t="s">
        <v>23</v>
      </c>
      <c r="U1010">
        <v>4</v>
      </c>
      <c r="W1010" t="s">
        <v>1651</v>
      </c>
      <c r="X1010" t="s">
        <v>1655</v>
      </c>
      <c r="Y1010" t="s">
        <v>1661</v>
      </c>
      <c r="Z1010">
        <v>0</v>
      </c>
    </row>
    <row r="1011" spans="1:26" x14ac:dyDescent="0.35">
      <c r="A1011" t="s">
        <v>1021</v>
      </c>
      <c r="B1011" s="6">
        <v>42460</v>
      </c>
      <c r="C1011" t="s">
        <v>23</v>
      </c>
      <c r="D1011">
        <v>37</v>
      </c>
      <c r="E1011" t="s">
        <v>62</v>
      </c>
      <c r="F1011" t="s">
        <v>25</v>
      </c>
      <c r="G1011" t="s">
        <v>26</v>
      </c>
      <c r="H1011" t="s">
        <v>68</v>
      </c>
      <c r="I1011" t="s">
        <v>109</v>
      </c>
      <c r="J1011" t="s">
        <v>1635</v>
      </c>
      <c r="K1011" t="s">
        <v>29</v>
      </c>
      <c r="L1011">
        <v>75000</v>
      </c>
      <c r="M1011">
        <v>8.9</v>
      </c>
      <c r="N1011">
        <v>17.399999999999999</v>
      </c>
      <c r="O1011">
        <v>9.8000000000000007</v>
      </c>
      <c r="P1011">
        <v>0.6</v>
      </c>
      <c r="Q1011">
        <v>2</v>
      </c>
      <c r="R1011">
        <v>4</v>
      </c>
      <c r="S1011">
        <v>3</v>
      </c>
      <c r="T1011" t="s">
        <v>23</v>
      </c>
      <c r="U1011">
        <v>3</v>
      </c>
      <c r="W1011" t="s">
        <v>1649</v>
      </c>
      <c r="X1011" t="s">
        <v>1659</v>
      </c>
      <c r="Y1011" t="s">
        <v>1662</v>
      </c>
      <c r="Z1011">
        <v>0</v>
      </c>
    </row>
    <row r="1012" spans="1:26" x14ac:dyDescent="0.35">
      <c r="A1012" t="s">
        <v>356</v>
      </c>
      <c r="B1012" s="6">
        <v>43040</v>
      </c>
      <c r="C1012" t="s">
        <v>23</v>
      </c>
      <c r="D1012">
        <v>34</v>
      </c>
      <c r="E1012" t="s">
        <v>62</v>
      </c>
      <c r="F1012" t="s">
        <v>42</v>
      </c>
      <c r="G1012" t="s">
        <v>58</v>
      </c>
      <c r="H1012" t="s">
        <v>55</v>
      </c>
      <c r="I1012" t="s">
        <v>88</v>
      </c>
      <c r="J1012" t="s">
        <v>1633</v>
      </c>
      <c r="K1012" t="s">
        <v>34</v>
      </c>
      <c r="L1012">
        <v>68000</v>
      </c>
      <c r="M1012">
        <v>2.5</v>
      </c>
      <c r="N1012">
        <v>10.5</v>
      </c>
      <c r="O1012">
        <v>8.1999999999999993</v>
      </c>
      <c r="P1012">
        <v>1</v>
      </c>
      <c r="Q1012">
        <v>3</v>
      </c>
      <c r="R1012">
        <v>3</v>
      </c>
      <c r="S1012">
        <v>2</v>
      </c>
      <c r="T1012" t="s">
        <v>23</v>
      </c>
      <c r="U1012">
        <v>4</v>
      </c>
      <c r="W1012" t="s">
        <v>1650</v>
      </c>
      <c r="X1012" t="s">
        <v>1659</v>
      </c>
      <c r="Y1012" t="s">
        <v>1662</v>
      </c>
      <c r="Z1012">
        <v>0</v>
      </c>
    </row>
    <row r="1013" spans="1:26" x14ac:dyDescent="0.35">
      <c r="A1013" t="s">
        <v>1141</v>
      </c>
      <c r="B1013" s="6">
        <v>42390</v>
      </c>
      <c r="C1013" t="s">
        <v>30</v>
      </c>
      <c r="D1013">
        <v>40</v>
      </c>
      <c r="E1013" t="s">
        <v>62</v>
      </c>
      <c r="F1013" t="s">
        <v>42</v>
      </c>
      <c r="G1013" t="s">
        <v>32</v>
      </c>
      <c r="H1013" t="s">
        <v>27</v>
      </c>
      <c r="I1013" t="s">
        <v>43</v>
      </c>
      <c r="J1013" t="s">
        <v>1633</v>
      </c>
      <c r="K1013" t="s">
        <v>34</v>
      </c>
      <c r="L1013">
        <v>47000</v>
      </c>
      <c r="M1013">
        <v>11.8</v>
      </c>
      <c r="N1013">
        <v>13.2</v>
      </c>
      <c r="O1013">
        <v>9.5</v>
      </c>
      <c r="P1013">
        <v>3</v>
      </c>
      <c r="Q1013">
        <v>3</v>
      </c>
      <c r="R1013">
        <v>3</v>
      </c>
      <c r="S1013">
        <v>1</v>
      </c>
      <c r="T1013" t="s">
        <v>23</v>
      </c>
      <c r="U1013">
        <v>1</v>
      </c>
      <c r="V1013" s="7">
        <v>45852</v>
      </c>
      <c r="W1013" t="s">
        <v>1649</v>
      </c>
      <c r="X1013" t="s">
        <v>1656</v>
      </c>
      <c r="Y1013" t="s">
        <v>1662</v>
      </c>
      <c r="Z1013">
        <v>1</v>
      </c>
    </row>
    <row r="1014" spans="1:26" x14ac:dyDescent="0.35">
      <c r="A1014" t="s">
        <v>616</v>
      </c>
      <c r="B1014" s="6">
        <v>42819</v>
      </c>
      <c r="C1014" t="s">
        <v>23</v>
      </c>
      <c r="D1014">
        <v>32</v>
      </c>
      <c r="E1014" t="s">
        <v>36</v>
      </c>
      <c r="F1014" t="s">
        <v>25</v>
      </c>
      <c r="G1014" t="s">
        <v>26</v>
      </c>
      <c r="H1014" t="s">
        <v>68</v>
      </c>
      <c r="I1014" t="s">
        <v>69</v>
      </c>
      <c r="J1014" t="s">
        <v>1632</v>
      </c>
      <c r="K1014" t="s">
        <v>84</v>
      </c>
      <c r="L1014">
        <v>37000</v>
      </c>
      <c r="M1014">
        <v>6</v>
      </c>
      <c r="N1014">
        <v>9.8000000000000007</v>
      </c>
      <c r="O1014">
        <v>8.8000000000000007</v>
      </c>
      <c r="P1014">
        <v>2.5</v>
      </c>
      <c r="Q1014">
        <v>2</v>
      </c>
      <c r="R1014">
        <v>4</v>
      </c>
      <c r="S1014">
        <v>3</v>
      </c>
      <c r="T1014" t="s">
        <v>30</v>
      </c>
      <c r="U1014">
        <v>5</v>
      </c>
      <c r="W1014" t="s">
        <v>1650</v>
      </c>
      <c r="X1014" t="s">
        <v>1655</v>
      </c>
      <c r="Y1014" t="s">
        <v>1662</v>
      </c>
      <c r="Z1014">
        <v>0</v>
      </c>
    </row>
    <row r="1015" spans="1:26" x14ac:dyDescent="0.35">
      <c r="A1015" t="s">
        <v>931</v>
      </c>
      <c r="B1015" s="6">
        <v>44309</v>
      </c>
      <c r="C1015" t="s">
        <v>23</v>
      </c>
      <c r="D1015">
        <v>36</v>
      </c>
      <c r="E1015" t="s">
        <v>62</v>
      </c>
      <c r="F1015" t="s">
        <v>42</v>
      </c>
      <c r="G1015" t="s">
        <v>26</v>
      </c>
      <c r="H1015" t="s">
        <v>68</v>
      </c>
      <c r="I1015" t="s">
        <v>109</v>
      </c>
      <c r="J1015" t="s">
        <v>1635</v>
      </c>
      <c r="K1015" t="s">
        <v>66</v>
      </c>
      <c r="L1015">
        <v>79000</v>
      </c>
      <c r="M1015">
        <v>4.9000000000000004</v>
      </c>
      <c r="N1015">
        <v>5.0999999999999996</v>
      </c>
      <c r="O1015">
        <v>4.7</v>
      </c>
      <c r="P1015">
        <v>1</v>
      </c>
      <c r="Q1015">
        <v>3</v>
      </c>
      <c r="R1015">
        <v>3</v>
      </c>
      <c r="S1015">
        <v>4</v>
      </c>
      <c r="T1015" t="s">
        <v>30</v>
      </c>
      <c r="U1015">
        <v>4</v>
      </c>
      <c r="W1015" t="s">
        <v>1649</v>
      </c>
      <c r="X1015" t="s">
        <v>1659</v>
      </c>
      <c r="Y1015" t="s">
        <v>1661</v>
      </c>
      <c r="Z1015">
        <v>0</v>
      </c>
    </row>
    <row r="1016" spans="1:26" x14ac:dyDescent="0.35">
      <c r="A1016" t="s">
        <v>830</v>
      </c>
      <c r="B1016" s="6">
        <v>45653</v>
      </c>
      <c r="C1016" t="s">
        <v>23</v>
      </c>
      <c r="D1016">
        <v>43</v>
      </c>
      <c r="E1016" t="s">
        <v>36</v>
      </c>
      <c r="F1016" t="s">
        <v>25</v>
      </c>
      <c r="G1016" t="s">
        <v>58</v>
      </c>
      <c r="H1016" t="s">
        <v>1634</v>
      </c>
      <c r="I1016" t="s">
        <v>86</v>
      </c>
      <c r="J1016" t="s">
        <v>1633</v>
      </c>
      <c r="K1016" t="s">
        <v>29</v>
      </c>
      <c r="L1016">
        <v>56000</v>
      </c>
      <c r="M1016">
        <v>12.8</v>
      </c>
      <c r="N1016">
        <v>3</v>
      </c>
      <c r="O1016">
        <v>1</v>
      </c>
      <c r="P1016">
        <v>0.5</v>
      </c>
      <c r="Q1016">
        <v>4</v>
      </c>
      <c r="R1016">
        <v>4</v>
      </c>
      <c r="S1016">
        <v>4</v>
      </c>
      <c r="T1016" t="s">
        <v>23</v>
      </c>
      <c r="U1016">
        <v>4</v>
      </c>
      <c r="W1016" t="s">
        <v>1649</v>
      </c>
      <c r="X1016" t="s">
        <v>1656</v>
      </c>
      <c r="Y1016" t="s">
        <v>1665</v>
      </c>
      <c r="Z1016">
        <v>0</v>
      </c>
    </row>
    <row r="1017" spans="1:26" x14ac:dyDescent="0.35">
      <c r="A1017" t="s">
        <v>1355</v>
      </c>
      <c r="B1017" s="6">
        <v>41935</v>
      </c>
      <c r="C1017" t="s">
        <v>23</v>
      </c>
      <c r="D1017">
        <v>38</v>
      </c>
      <c r="E1017" t="s">
        <v>62</v>
      </c>
      <c r="F1017" t="s">
        <v>42</v>
      </c>
      <c r="G1017" t="s">
        <v>58</v>
      </c>
      <c r="H1017" t="s">
        <v>55</v>
      </c>
      <c r="I1017" t="s">
        <v>80</v>
      </c>
      <c r="J1017" t="s">
        <v>1635</v>
      </c>
      <c r="K1017" t="s">
        <v>29</v>
      </c>
      <c r="L1017">
        <v>92000</v>
      </c>
      <c r="M1017">
        <v>5.2</v>
      </c>
      <c r="N1017">
        <v>15.4</v>
      </c>
      <c r="O1017">
        <v>11.2</v>
      </c>
      <c r="P1017">
        <v>0.4</v>
      </c>
      <c r="Q1017">
        <v>3</v>
      </c>
      <c r="R1017">
        <v>3</v>
      </c>
      <c r="S1017">
        <v>2</v>
      </c>
      <c r="T1017" t="s">
        <v>23</v>
      </c>
      <c r="U1017">
        <v>2</v>
      </c>
      <c r="W1017" t="s">
        <v>1649</v>
      </c>
      <c r="X1017" t="s">
        <v>1657</v>
      </c>
      <c r="Y1017" t="s">
        <v>1663</v>
      </c>
      <c r="Z1017">
        <v>0</v>
      </c>
    </row>
    <row r="1018" spans="1:26" x14ac:dyDescent="0.35">
      <c r="A1018" t="s">
        <v>169</v>
      </c>
      <c r="B1018" s="6">
        <v>45064</v>
      </c>
      <c r="C1018" t="s">
        <v>23</v>
      </c>
      <c r="D1018">
        <v>26</v>
      </c>
      <c r="E1018" t="s">
        <v>36</v>
      </c>
      <c r="F1018" t="s">
        <v>42</v>
      </c>
      <c r="G1018" t="s">
        <v>26</v>
      </c>
      <c r="H1018" t="s">
        <v>55</v>
      </c>
      <c r="I1018" t="s">
        <v>88</v>
      </c>
      <c r="J1018" t="s">
        <v>1632</v>
      </c>
      <c r="K1018" t="s">
        <v>34</v>
      </c>
      <c r="L1018">
        <v>34000</v>
      </c>
      <c r="M1018">
        <v>9.8000000000000007</v>
      </c>
      <c r="N1018">
        <v>8.4</v>
      </c>
      <c r="O1018">
        <v>2.6</v>
      </c>
      <c r="P1018">
        <v>1</v>
      </c>
      <c r="Q1018">
        <v>2</v>
      </c>
      <c r="R1018">
        <v>3</v>
      </c>
      <c r="S1018">
        <v>3</v>
      </c>
      <c r="T1018" t="s">
        <v>30</v>
      </c>
      <c r="U1018">
        <v>3</v>
      </c>
      <c r="W1018" t="s">
        <v>1650</v>
      </c>
      <c r="X1018" t="s">
        <v>1655</v>
      </c>
      <c r="Y1018" t="s">
        <v>1665</v>
      </c>
      <c r="Z1018">
        <v>0</v>
      </c>
    </row>
    <row r="1019" spans="1:26" x14ac:dyDescent="0.35">
      <c r="A1019" t="s">
        <v>811</v>
      </c>
      <c r="B1019" s="6">
        <v>44502</v>
      </c>
      <c r="C1019" t="s">
        <v>23</v>
      </c>
      <c r="D1019">
        <v>25</v>
      </c>
      <c r="E1019" t="s">
        <v>36</v>
      </c>
      <c r="F1019" t="s">
        <v>37</v>
      </c>
      <c r="G1019" t="s">
        <v>58</v>
      </c>
      <c r="H1019" t="s">
        <v>1634</v>
      </c>
      <c r="I1019" t="s">
        <v>75</v>
      </c>
      <c r="J1019" t="s">
        <v>1632</v>
      </c>
      <c r="K1019" t="s">
        <v>84</v>
      </c>
      <c r="L1019">
        <v>42000</v>
      </c>
      <c r="M1019">
        <v>11.3</v>
      </c>
      <c r="N1019">
        <v>7</v>
      </c>
      <c r="O1019">
        <v>4.2</v>
      </c>
      <c r="P1019">
        <v>3.2</v>
      </c>
      <c r="Q1019">
        <v>4</v>
      </c>
      <c r="R1019">
        <v>4</v>
      </c>
      <c r="S1019">
        <v>4</v>
      </c>
      <c r="T1019" t="s">
        <v>23</v>
      </c>
      <c r="U1019">
        <v>1</v>
      </c>
      <c r="W1019" t="s">
        <v>1651</v>
      </c>
      <c r="X1019" t="s">
        <v>1656</v>
      </c>
      <c r="Y1019" t="s">
        <v>1661</v>
      </c>
      <c r="Z1019">
        <v>0</v>
      </c>
    </row>
    <row r="1020" spans="1:26" x14ac:dyDescent="0.35">
      <c r="A1020" t="s">
        <v>694</v>
      </c>
      <c r="B1020" s="6">
        <v>45730</v>
      </c>
      <c r="C1020" t="s">
        <v>30</v>
      </c>
      <c r="D1020">
        <v>22</v>
      </c>
      <c r="E1020" t="s">
        <v>62</v>
      </c>
      <c r="F1020" t="s">
        <v>25</v>
      </c>
      <c r="G1020" t="s">
        <v>26</v>
      </c>
      <c r="H1020" t="s">
        <v>27</v>
      </c>
      <c r="I1020" t="s">
        <v>95</v>
      </c>
      <c r="J1020" t="s">
        <v>1632</v>
      </c>
      <c r="K1020" t="s">
        <v>40</v>
      </c>
      <c r="L1020">
        <v>31000</v>
      </c>
      <c r="M1020">
        <v>7.2</v>
      </c>
      <c r="N1020">
        <v>4</v>
      </c>
      <c r="O1020">
        <v>0.2</v>
      </c>
      <c r="P1020">
        <v>0</v>
      </c>
      <c r="Q1020">
        <v>4</v>
      </c>
      <c r="R1020">
        <v>4</v>
      </c>
      <c r="S1020">
        <v>4</v>
      </c>
      <c r="T1020" t="s">
        <v>23</v>
      </c>
      <c r="U1020">
        <v>3</v>
      </c>
      <c r="V1020" s="7">
        <v>45811</v>
      </c>
      <c r="W1020" t="s">
        <v>1651</v>
      </c>
      <c r="X1020" t="s">
        <v>1655</v>
      </c>
      <c r="Y1020" t="s">
        <v>1664</v>
      </c>
      <c r="Z1020">
        <v>1</v>
      </c>
    </row>
    <row r="1021" spans="1:26" x14ac:dyDescent="0.35">
      <c r="A1021" t="s">
        <v>1184</v>
      </c>
      <c r="B1021" s="6">
        <v>43943</v>
      </c>
      <c r="C1021" t="s">
        <v>23</v>
      </c>
      <c r="D1021">
        <v>30</v>
      </c>
      <c r="E1021" t="s">
        <v>62</v>
      </c>
      <c r="F1021" t="s">
        <v>42</v>
      </c>
      <c r="G1021" t="s">
        <v>26</v>
      </c>
      <c r="H1021" t="s">
        <v>45</v>
      </c>
      <c r="I1021" t="s">
        <v>164</v>
      </c>
      <c r="J1021" t="s">
        <v>1633</v>
      </c>
      <c r="K1021" t="s">
        <v>84</v>
      </c>
      <c r="L1021">
        <v>31000</v>
      </c>
      <c r="M1021">
        <v>7.4</v>
      </c>
      <c r="N1021">
        <v>8.3000000000000007</v>
      </c>
      <c r="O1021">
        <v>5.7</v>
      </c>
      <c r="P1021">
        <v>5.5</v>
      </c>
      <c r="Q1021">
        <v>2</v>
      </c>
      <c r="R1021">
        <v>3</v>
      </c>
      <c r="S1021">
        <v>4</v>
      </c>
      <c r="T1021" t="s">
        <v>23</v>
      </c>
      <c r="U1021">
        <v>2</v>
      </c>
      <c r="W1021" t="s">
        <v>1650</v>
      </c>
      <c r="X1021" t="s">
        <v>1655</v>
      </c>
      <c r="Y1021" t="s">
        <v>1661</v>
      </c>
      <c r="Z1021">
        <v>0</v>
      </c>
    </row>
    <row r="1022" spans="1:26" x14ac:dyDescent="0.35">
      <c r="A1022" t="s">
        <v>372</v>
      </c>
      <c r="B1022" s="6">
        <v>44668</v>
      </c>
      <c r="C1022" t="s">
        <v>23</v>
      </c>
      <c r="D1022">
        <v>37</v>
      </c>
      <c r="E1022" t="s">
        <v>24</v>
      </c>
      <c r="F1022" t="s">
        <v>42</v>
      </c>
      <c r="G1022" t="s">
        <v>32</v>
      </c>
      <c r="H1022" t="s">
        <v>45</v>
      </c>
      <c r="I1022" t="s">
        <v>164</v>
      </c>
      <c r="J1022" t="s">
        <v>1637</v>
      </c>
      <c r="K1022" t="s">
        <v>40</v>
      </c>
      <c r="L1022">
        <v>138000</v>
      </c>
      <c r="M1022">
        <v>15.7</v>
      </c>
      <c r="N1022">
        <v>10.3</v>
      </c>
      <c r="O1022">
        <v>3.7</v>
      </c>
      <c r="P1022">
        <v>0.7</v>
      </c>
      <c r="Q1022">
        <v>2</v>
      </c>
      <c r="R1022">
        <v>3</v>
      </c>
      <c r="S1022">
        <v>3</v>
      </c>
      <c r="T1022" t="s">
        <v>30</v>
      </c>
      <c r="U1022">
        <v>5</v>
      </c>
      <c r="W1022" t="s">
        <v>1649</v>
      </c>
      <c r="X1022" t="s">
        <v>1658</v>
      </c>
      <c r="Y1022" t="s">
        <v>1661</v>
      </c>
      <c r="Z1022">
        <v>0</v>
      </c>
    </row>
    <row r="1023" spans="1:26" x14ac:dyDescent="0.35">
      <c r="A1023" t="s">
        <v>379</v>
      </c>
      <c r="B1023" s="6">
        <v>42873</v>
      </c>
      <c r="C1023" t="s">
        <v>23</v>
      </c>
      <c r="D1023">
        <v>42</v>
      </c>
      <c r="E1023" t="s">
        <v>62</v>
      </c>
      <c r="F1023" t="s">
        <v>37</v>
      </c>
      <c r="G1023" t="s">
        <v>54</v>
      </c>
      <c r="H1023" t="s">
        <v>1634</v>
      </c>
      <c r="I1023" t="s">
        <v>75</v>
      </c>
      <c r="J1023" t="s">
        <v>1632</v>
      </c>
      <c r="K1023" t="s">
        <v>40</v>
      </c>
      <c r="L1023">
        <v>31000</v>
      </c>
      <c r="M1023">
        <v>12.4</v>
      </c>
      <c r="N1023">
        <v>9.6</v>
      </c>
      <c r="O1023">
        <v>8.6</v>
      </c>
      <c r="P1023">
        <v>0.3</v>
      </c>
      <c r="Q1023">
        <v>3</v>
      </c>
      <c r="R1023">
        <v>4</v>
      </c>
      <c r="S1023">
        <v>2</v>
      </c>
      <c r="T1023" t="s">
        <v>23</v>
      </c>
      <c r="U1023">
        <v>2</v>
      </c>
      <c r="W1023" t="s">
        <v>1649</v>
      </c>
      <c r="X1023" t="s">
        <v>1655</v>
      </c>
      <c r="Y1023" t="s">
        <v>1662</v>
      </c>
      <c r="Z1023">
        <v>0</v>
      </c>
    </row>
    <row r="1024" spans="1:26" x14ac:dyDescent="0.35">
      <c r="A1024" t="s">
        <v>1264</v>
      </c>
      <c r="B1024" s="6">
        <v>41642</v>
      </c>
      <c r="C1024" t="s">
        <v>30</v>
      </c>
      <c r="D1024">
        <v>41</v>
      </c>
      <c r="E1024" t="s">
        <v>36</v>
      </c>
      <c r="F1024" t="s">
        <v>42</v>
      </c>
      <c r="G1024" t="s">
        <v>26</v>
      </c>
      <c r="H1024" t="s">
        <v>55</v>
      </c>
      <c r="I1024" t="s">
        <v>80</v>
      </c>
      <c r="J1024" t="s">
        <v>1635</v>
      </c>
      <c r="K1024" t="s">
        <v>34</v>
      </c>
      <c r="L1024">
        <v>86000</v>
      </c>
      <c r="M1024">
        <v>4.5999999999999996</v>
      </c>
      <c r="N1024">
        <v>18.8</v>
      </c>
      <c r="O1024">
        <v>11.1</v>
      </c>
      <c r="P1024">
        <v>5.5</v>
      </c>
      <c r="Q1024">
        <v>3</v>
      </c>
      <c r="R1024">
        <v>3</v>
      </c>
      <c r="S1024">
        <v>3</v>
      </c>
      <c r="T1024" t="s">
        <v>30</v>
      </c>
      <c r="U1024">
        <v>4</v>
      </c>
      <c r="V1024" s="7">
        <v>45697</v>
      </c>
      <c r="W1024" t="s">
        <v>1649</v>
      </c>
      <c r="X1024" t="s">
        <v>1657</v>
      </c>
      <c r="Y1024" t="s">
        <v>1663</v>
      </c>
      <c r="Z1024">
        <v>1</v>
      </c>
    </row>
    <row r="1025" spans="1:26" x14ac:dyDescent="0.35">
      <c r="A1025" t="s">
        <v>1334</v>
      </c>
      <c r="B1025" s="6">
        <v>42835</v>
      </c>
      <c r="C1025" t="s">
        <v>23</v>
      </c>
      <c r="D1025">
        <v>32</v>
      </c>
      <c r="E1025" t="s">
        <v>36</v>
      </c>
      <c r="F1025" t="s">
        <v>37</v>
      </c>
      <c r="G1025" t="s">
        <v>32</v>
      </c>
      <c r="H1025" t="s">
        <v>27</v>
      </c>
      <c r="I1025" t="s">
        <v>33</v>
      </c>
      <c r="J1025" t="s">
        <v>1635</v>
      </c>
      <c r="K1025" t="s">
        <v>66</v>
      </c>
      <c r="L1025">
        <v>76000</v>
      </c>
      <c r="M1025">
        <v>13.9</v>
      </c>
      <c r="N1025">
        <v>10.4</v>
      </c>
      <c r="O1025">
        <v>8.6999999999999993</v>
      </c>
      <c r="P1025">
        <v>0.2</v>
      </c>
      <c r="Q1025">
        <v>1</v>
      </c>
      <c r="R1025">
        <v>4</v>
      </c>
      <c r="S1025">
        <v>3</v>
      </c>
      <c r="T1025" t="s">
        <v>23</v>
      </c>
      <c r="U1025">
        <v>3</v>
      </c>
      <c r="W1025" t="s">
        <v>1650</v>
      </c>
      <c r="X1025" t="s">
        <v>1659</v>
      </c>
      <c r="Y1025" t="s">
        <v>1662</v>
      </c>
      <c r="Z1025">
        <v>0</v>
      </c>
    </row>
    <row r="1026" spans="1:26" x14ac:dyDescent="0.35">
      <c r="A1026" t="s">
        <v>1532</v>
      </c>
      <c r="B1026" s="6">
        <v>44301</v>
      </c>
      <c r="C1026" t="s">
        <v>23</v>
      </c>
      <c r="D1026">
        <v>37</v>
      </c>
      <c r="E1026" t="s">
        <v>24</v>
      </c>
      <c r="F1026" t="s">
        <v>25</v>
      </c>
      <c r="G1026" t="s">
        <v>32</v>
      </c>
      <c r="H1026" t="s">
        <v>27</v>
      </c>
      <c r="I1026" t="s">
        <v>43</v>
      </c>
      <c r="J1026" t="s">
        <v>1633</v>
      </c>
      <c r="K1026" t="s">
        <v>34</v>
      </c>
      <c r="L1026">
        <v>45000</v>
      </c>
      <c r="M1026">
        <v>8.5</v>
      </c>
      <c r="N1026">
        <v>7</v>
      </c>
      <c r="O1026">
        <v>4.7</v>
      </c>
      <c r="P1026">
        <v>4.5999999999999996</v>
      </c>
      <c r="Q1026">
        <v>3</v>
      </c>
      <c r="R1026">
        <v>2</v>
      </c>
      <c r="S1026">
        <v>3</v>
      </c>
      <c r="T1026" t="s">
        <v>23</v>
      </c>
      <c r="U1026">
        <v>3</v>
      </c>
      <c r="W1026" t="s">
        <v>1649</v>
      </c>
      <c r="X1026" t="s">
        <v>1656</v>
      </c>
      <c r="Y1026" t="s">
        <v>1661</v>
      </c>
      <c r="Z1026">
        <v>0</v>
      </c>
    </row>
    <row r="1027" spans="1:26" x14ac:dyDescent="0.35">
      <c r="A1027" t="s">
        <v>1426</v>
      </c>
      <c r="B1027" s="6">
        <v>45830</v>
      </c>
      <c r="C1027" t="s">
        <v>30</v>
      </c>
      <c r="D1027">
        <v>22</v>
      </c>
      <c r="E1027" t="s">
        <v>24</v>
      </c>
      <c r="F1027" t="s">
        <v>42</v>
      </c>
      <c r="G1027" t="s">
        <v>54</v>
      </c>
      <c r="H1027" t="s">
        <v>68</v>
      </c>
      <c r="I1027" t="s">
        <v>69</v>
      </c>
      <c r="J1027" t="s">
        <v>1632</v>
      </c>
      <c r="K1027" t="s">
        <v>84</v>
      </c>
      <c r="L1027">
        <v>27000</v>
      </c>
      <c r="M1027">
        <v>14.4</v>
      </c>
      <c r="N1027">
        <v>7.2</v>
      </c>
      <c r="O1027">
        <v>0.2</v>
      </c>
      <c r="P1027">
        <v>0</v>
      </c>
      <c r="Q1027">
        <v>3</v>
      </c>
      <c r="R1027">
        <v>3</v>
      </c>
      <c r="S1027">
        <v>2</v>
      </c>
      <c r="T1027" t="s">
        <v>30</v>
      </c>
      <c r="U1027">
        <v>3</v>
      </c>
      <c r="V1027" s="7">
        <v>45921</v>
      </c>
      <c r="W1027" t="s">
        <v>1651</v>
      </c>
      <c r="X1027" t="s">
        <v>1655</v>
      </c>
      <c r="Y1027" t="s">
        <v>1664</v>
      </c>
      <c r="Z1027">
        <v>1</v>
      </c>
    </row>
    <row r="1028" spans="1:26" x14ac:dyDescent="0.35">
      <c r="A1028" t="s">
        <v>815</v>
      </c>
      <c r="B1028" s="6">
        <v>42680</v>
      </c>
      <c r="C1028" t="s">
        <v>23</v>
      </c>
      <c r="D1028">
        <v>33</v>
      </c>
      <c r="E1028" t="s">
        <v>36</v>
      </c>
      <c r="F1028" t="s">
        <v>42</v>
      </c>
      <c r="G1028" t="s">
        <v>54</v>
      </c>
      <c r="H1028" t="s">
        <v>1634</v>
      </c>
      <c r="I1028" t="s">
        <v>75</v>
      </c>
      <c r="J1028" t="s">
        <v>1635</v>
      </c>
      <c r="K1028" t="s">
        <v>50</v>
      </c>
      <c r="L1028">
        <v>77000</v>
      </c>
      <c r="M1028">
        <v>7.8</v>
      </c>
      <c r="N1028">
        <v>16.7</v>
      </c>
      <c r="O1028">
        <v>9.1</v>
      </c>
      <c r="P1028">
        <v>3.6</v>
      </c>
      <c r="Q1028">
        <v>2</v>
      </c>
      <c r="R1028">
        <v>3</v>
      </c>
      <c r="S1028">
        <v>2</v>
      </c>
      <c r="T1028" t="s">
        <v>23</v>
      </c>
      <c r="U1028">
        <v>3</v>
      </c>
      <c r="W1028" t="s">
        <v>1650</v>
      </c>
      <c r="X1028" t="s">
        <v>1659</v>
      </c>
      <c r="Y1028" t="s">
        <v>1662</v>
      </c>
      <c r="Z1028">
        <v>0</v>
      </c>
    </row>
    <row r="1029" spans="1:26" x14ac:dyDescent="0.35">
      <c r="A1029" t="s">
        <v>671</v>
      </c>
      <c r="B1029" s="6">
        <v>42941</v>
      </c>
      <c r="C1029" t="s">
        <v>23</v>
      </c>
      <c r="D1029">
        <v>32</v>
      </c>
      <c r="E1029" t="s">
        <v>36</v>
      </c>
      <c r="F1029" t="s">
        <v>37</v>
      </c>
      <c r="G1029" t="s">
        <v>54</v>
      </c>
      <c r="H1029" t="s">
        <v>38</v>
      </c>
      <c r="I1029" t="s">
        <v>39</v>
      </c>
      <c r="J1029" t="s">
        <v>1636</v>
      </c>
      <c r="K1029" t="s">
        <v>34</v>
      </c>
      <c r="L1029">
        <v>126000</v>
      </c>
      <c r="M1029">
        <v>13.6</v>
      </c>
      <c r="N1029">
        <v>11.7</v>
      </c>
      <c r="O1029">
        <v>8.4</v>
      </c>
      <c r="P1029">
        <v>4.5</v>
      </c>
      <c r="Q1029">
        <v>3</v>
      </c>
      <c r="R1029">
        <v>4</v>
      </c>
      <c r="S1029">
        <v>3</v>
      </c>
      <c r="T1029" t="s">
        <v>23</v>
      </c>
      <c r="U1029">
        <v>4</v>
      </c>
      <c r="W1029" t="s">
        <v>1650</v>
      </c>
      <c r="X1029" t="s">
        <v>1658</v>
      </c>
      <c r="Y1029" t="s">
        <v>1662</v>
      </c>
      <c r="Z1029">
        <v>0</v>
      </c>
    </row>
    <row r="1030" spans="1:26" x14ac:dyDescent="0.35">
      <c r="A1030" t="s">
        <v>1133</v>
      </c>
      <c r="B1030" s="6">
        <v>42735</v>
      </c>
      <c r="C1030" t="s">
        <v>23</v>
      </c>
      <c r="D1030">
        <v>44</v>
      </c>
      <c r="E1030" t="s">
        <v>24</v>
      </c>
      <c r="F1030" t="s">
        <v>25</v>
      </c>
      <c r="G1030" t="s">
        <v>32</v>
      </c>
      <c r="H1030" t="s">
        <v>48</v>
      </c>
      <c r="I1030" t="s">
        <v>201</v>
      </c>
      <c r="J1030" t="s">
        <v>1637</v>
      </c>
      <c r="K1030" t="s">
        <v>84</v>
      </c>
      <c r="L1030">
        <v>146000</v>
      </c>
      <c r="M1030">
        <v>15.5</v>
      </c>
      <c r="N1030">
        <v>12.4</v>
      </c>
      <c r="O1030">
        <v>9</v>
      </c>
      <c r="P1030">
        <v>5.0999999999999996</v>
      </c>
      <c r="Q1030">
        <v>2</v>
      </c>
      <c r="R1030">
        <v>4</v>
      </c>
      <c r="S1030">
        <v>4</v>
      </c>
      <c r="T1030" t="s">
        <v>23</v>
      </c>
      <c r="U1030">
        <v>5</v>
      </c>
      <c r="W1030" t="s">
        <v>1649</v>
      </c>
      <c r="X1030" t="s">
        <v>1658</v>
      </c>
      <c r="Y1030" t="s">
        <v>1662</v>
      </c>
      <c r="Z1030">
        <v>0</v>
      </c>
    </row>
    <row r="1031" spans="1:26" x14ac:dyDescent="0.35">
      <c r="A1031" t="s">
        <v>1176</v>
      </c>
      <c r="B1031" s="6">
        <v>45568</v>
      </c>
      <c r="C1031" t="s">
        <v>30</v>
      </c>
      <c r="D1031">
        <v>31</v>
      </c>
      <c r="E1031" t="s">
        <v>36</v>
      </c>
      <c r="F1031" t="s">
        <v>42</v>
      </c>
      <c r="G1031" t="s">
        <v>58</v>
      </c>
      <c r="H1031" t="s">
        <v>48</v>
      </c>
      <c r="I1031" t="s">
        <v>201</v>
      </c>
      <c r="J1031" t="s">
        <v>1636</v>
      </c>
      <c r="K1031" t="s">
        <v>50</v>
      </c>
      <c r="L1031">
        <v>98000</v>
      </c>
      <c r="M1031">
        <v>7.2</v>
      </c>
      <c r="N1031">
        <v>1.5</v>
      </c>
      <c r="O1031">
        <v>0.9</v>
      </c>
      <c r="P1031">
        <v>0</v>
      </c>
      <c r="Q1031">
        <v>1</v>
      </c>
      <c r="R1031">
        <v>2</v>
      </c>
      <c r="S1031">
        <v>4</v>
      </c>
      <c r="T1031" t="s">
        <v>23</v>
      </c>
      <c r="U1031">
        <v>4</v>
      </c>
      <c r="V1031" s="7">
        <v>45891</v>
      </c>
      <c r="W1031" t="s">
        <v>1650</v>
      </c>
      <c r="X1031" t="s">
        <v>1657</v>
      </c>
      <c r="Y1031" t="s">
        <v>1664</v>
      </c>
      <c r="Z1031">
        <v>1</v>
      </c>
    </row>
    <row r="1032" spans="1:26" x14ac:dyDescent="0.35">
      <c r="A1032" t="s">
        <v>90</v>
      </c>
      <c r="B1032" s="6">
        <v>45330</v>
      </c>
      <c r="C1032" t="s">
        <v>23</v>
      </c>
      <c r="D1032">
        <v>29</v>
      </c>
      <c r="E1032" t="s">
        <v>36</v>
      </c>
      <c r="F1032" t="s">
        <v>42</v>
      </c>
      <c r="G1032" t="s">
        <v>26</v>
      </c>
      <c r="H1032" t="s">
        <v>1634</v>
      </c>
      <c r="I1032" t="s">
        <v>60</v>
      </c>
      <c r="J1032" t="s">
        <v>1635</v>
      </c>
      <c r="K1032" t="s">
        <v>50</v>
      </c>
      <c r="L1032">
        <v>74000</v>
      </c>
      <c r="M1032">
        <v>12.8</v>
      </c>
      <c r="N1032">
        <v>5.3</v>
      </c>
      <c r="O1032">
        <v>1.9</v>
      </c>
      <c r="P1032">
        <v>1.1000000000000001</v>
      </c>
      <c r="Q1032">
        <v>3</v>
      </c>
      <c r="R1032">
        <v>4</v>
      </c>
      <c r="S1032">
        <v>3</v>
      </c>
      <c r="T1032" t="s">
        <v>23</v>
      </c>
      <c r="U1032">
        <v>5</v>
      </c>
      <c r="W1032" t="s">
        <v>1650</v>
      </c>
      <c r="X1032" t="s">
        <v>1659</v>
      </c>
      <c r="Y1032" t="s">
        <v>1665</v>
      </c>
      <c r="Z1032">
        <v>0</v>
      </c>
    </row>
    <row r="1033" spans="1:26" x14ac:dyDescent="0.35">
      <c r="A1033" t="s">
        <v>469</v>
      </c>
      <c r="B1033" s="6">
        <v>45892</v>
      </c>
      <c r="C1033" t="s">
        <v>23</v>
      </c>
      <c r="D1033">
        <v>35</v>
      </c>
      <c r="E1033" t="s">
        <v>24</v>
      </c>
      <c r="F1033" t="s">
        <v>42</v>
      </c>
      <c r="G1033" t="s">
        <v>26</v>
      </c>
      <c r="H1033" t="s">
        <v>55</v>
      </c>
      <c r="I1033" t="s">
        <v>88</v>
      </c>
      <c r="J1033" t="s">
        <v>1636</v>
      </c>
      <c r="K1033" t="s">
        <v>40</v>
      </c>
      <c r="L1033">
        <v>119000</v>
      </c>
      <c r="M1033">
        <v>5.5</v>
      </c>
      <c r="N1033">
        <v>2.7</v>
      </c>
      <c r="O1033">
        <v>0.4</v>
      </c>
      <c r="P1033">
        <v>0</v>
      </c>
      <c r="Q1033">
        <v>3</v>
      </c>
      <c r="R1033">
        <v>3</v>
      </c>
      <c r="S1033">
        <v>3</v>
      </c>
      <c r="T1033" t="s">
        <v>23</v>
      </c>
      <c r="U1033">
        <v>5</v>
      </c>
      <c r="W1033" t="s">
        <v>1650</v>
      </c>
      <c r="X1033" t="s">
        <v>1658</v>
      </c>
      <c r="Y1033" t="s">
        <v>1664</v>
      </c>
      <c r="Z1033">
        <v>0</v>
      </c>
    </row>
    <row r="1034" spans="1:26" x14ac:dyDescent="0.35">
      <c r="A1034" t="s">
        <v>817</v>
      </c>
      <c r="B1034" s="6">
        <v>45564</v>
      </c>
      <c r="C1034" t="s">
        <v>23</v>
      </c>
      <c r="D1034">
        <v>28</v>
      </c>
      <c r="E1034" t="s">
        <v>24</v>
      </c>
      <c r="F1034" t="s">
        <v>42</v>
      </c>
      <c r="G1034" t="s">
        <v>58</v>
      </c>
      <c r="H1034" t="s">
        <v>55</v>
      </c>
      <c r="I1034" t="s">
        <v>88</v>
      </c>
      <c r="J1034" t="s">
        <v>1635</v>
      </c>
      <c r="K1034" t="s">
        <v>66</v>
      </c>
      <c r="L1034">
        <v>105000</v>
      </c>
      <c r="M1034">
        <v>8</v>
      </c>
      <c r="N1034">
        <v>1.4</v>
      </c>
      <c r="O1034">
        <v>1.3</v>
      </c>
      <c r="P1034">
        <v>1.1000000000000001</v>
      </c>
      <c r="Q1034">
        <v>3</v>
      </c>
      <c r="R1034">
        <v>3</v>
      </c>
      <c r="S1034">
        <v>4</v>
      </c>
      <c r="T1034" t="s">
        <v>30</v>
      </c>
      <c r="U1034">
        <v>4</v>
      </c>
      <c r="W1034" t="s">
        <v>1650</v>
      </c>
      <c r="X1034" t="s">
        <v>1658</v>
      </c>
      <c r="Y1034" t="s">
        <v>1665</v>
      </c>
      <c r="Z1034">
        <v>0</v>
      </c>
    </row>
    <row r="1035" spans="1:26" x14ac:dyDescent="0.35">
      <c r="A1035" t="s">
        <v>454</v>
      </c>
      <c r="B1035" s="6">
        <v>43977</v>
      </c>
      <c r="C1035" t="s">
        <v>23</v>
      </c>
      <c r="D1035">
        <v>40</v>
      </c>
      <c r="E1035" t="s">
        <v>36</v>
      </c>
      <c r="F1035" t="s">
        <v>25</v>
      </c>
      <c r="G1035" t="s">
        <v>58</v>
      </c>
      <c r="H1035" t="s">
        <v>55</v>
      </c>
      <c r="I1035" t="s">
        <v>56</v>
      </c>
      <c r="J1035" t="s">
        <v>1635</v>
      </c>
      <c r="K1035" t="s">
        <v>66</v>
      </c>
      <c r="L1035">
        <v>101000</v>
      </c>
      <c r="M1035">
        <v>8.6</v>
      </c>
      <c r="N1035">
        <v>10.4</v>
      </c>
      <c r="O1035">
        <v>5.6</v>
      </c>
      <c r="P1035">
        <v>3.2</v>
      </c>
      <c r="Q1035">
        <v>4</v>
      </c>
      <c r="R1035">
        <v>4</v>
      </c>
      <c r="S1035">
        <v>3</v>
      </c>
      <c r="T1035" t="s">
        <v>30</v>
      </c>
      <c r="U1035">
        <v>4</v>
      </c>
      <c r="W1035" t="s">
        <v>1649</v>
      </c>
      <c r="X1035" t="s">
        <v>1658</v>
      </c>
      <c r="Y1035" t="s">
        <v>1661</v>
      </c>
      <c r="Z1035">
        <v>0</v>
      </c>
    </row>
    <row r="1036" spans="1:26" x14ac:dyDescent="0.35">
      <c r="A1036" t="s">
        <v>1014</v>
      </c>
      <c r="B1036" s="6">
        <v>43681</v>
      </c>
      <c r="C1036" t="s">
        <v>23</v>
      </c>
      <c r="D1036">
        <v>33</v>
      </c>
      <c r="E1036" t="s">
        <v>62</v>
      </c>
      <c r="F1036" t="s">
        <v>42</v>
      </c>
      <c r="G1036" t="s">
        <v>32</v>
      </c>
      <c r="H1036" t="s">
        <v>45</v>
      </c>
      <c r="I1036" t="s">
        <v>46</v>
      </c>
      <c r="J1036" t="s">
        <v>1632</v>
      </c>
      <c r="K1036" t="s">
        <v>40</v>
      </c>
      <c r="L1036">
        <v>35000</v>
      </c>
      <c r="M1036">
        <v>12.6</v>
      </c>
      <c r="N1036">
        <v>11.5</v>
      </c>
      <c r="O1036">
        <v>6.4</v>
      </c>
      <c r="P1036">
        <v>3.4</v>
      </c>
      <c r="Q1036">
        <v>4</v>
      </c>
      <c r="R1036">
        <v>2</v>
      </c>
      <c r="S1036">
        <v>3</v>
      </c>
      <c r="T1036" t="s">
        <v>30</v>
      </c>
      <c r="U1036">
        <v>3</v>
      </c>
      <c r="W1036" t="s">
        <v>1650</v>
      </c>
      <c r="X1036" t="s">
        <v>1655</v>
      </c>
      <c r="Y1036" t="s">
        <v>1662</v>
      </c>
      <c r="Z1036">
        <v>0</v>
      </c>
    </row>
    <row r="1037" spans="1:26" x14ac:dyDescent="0.35">
      <c r="A1037" t="s">
        <v>677</v>
      </c>
      <c r="B1037" s="6">
        <v>42578</v>
      </c>
      <c r="C1037" t="s">
        <v>23</v>
      </c>
      <c r="D1037">
        <v>37</v>
      </c>
      <c r="E1037" t="s">
        <v>62</v>
      </c>
      <c r="F1037" t="s">
        <v>37</v>
      </c>
      <c r="G1037" t="s">
        <v>54</v>
      </c>
      <c r="H1037" t="s">
        <v>55</v>
      </c>
      <c r="I1037" t="s">
        <v>56</v>
      </c>
      <c r="J1037" t="s">
        <v>1633</v>
      </c>
      <c r="K1037" t="s">
        <v>40</v>
      </c>
      <c r="L1037">
        <v>76000</v>
      </c>
      <c r="M1037">
        <v>10.5</v>
      </c>
      <c r="N1037">
        <v>17.2</v>
      </c>
      <c r="O1037">
        <v>9.4</v>
      </c>
      <c r="P1037">
        <v>2.4</v>
      </c>
      <c r="Q1037">
        <v>3</v>
      </c>
      <c r="R1037">
        <v>3</v>
      </c>
      <c r="S1037">
        <v>4</v>
      </c>
      <c r="T1037" t="s">
        <v>23</v>
      </c>
      <c r="U1037">
        <v>3</v>
      </c>
      <c r="W1037" t="s">
        <v>1649</v>
      </c>
      <c r="X1037" t="s">
        <v>1659</v>
      </c>
      <c r="Y1037" t="s">
        <v>1662</v>
      </c>
      <c r="Z1037">
        <v>0</v>
      </c>
    </row>
    <row r="1038" spans="1:26" x14ac:dyDescent="0.35">
      <c r="A1038" t="s">
        <v>866</v>
      </c>
      <c r="B1038" s="6">
        <v>45629</v>
      </c>
      <c r="C1038" t="s">
        <v>23</v>
      </c>
      <c r="D1038">
        <v>22</v>
      </c>
      <c r="E1038" t="s">
        <v>62</v>
      </c>
      <c r="F1038" t="s">
        <v>37</v>
      </c>
      <c r="G1038" t="s">
        <v>58</v>
      </c>
      <c r="H1038" t="s">
        <v>48</v>
      </c>
      <c r="I1038" t="s">
        <v>63</v>
      </c>
      <c r="J1038" t="s">
        <v>1632</v>
      </c>
      <c r="K1038" t="s">
        <v>29</v>
      </c>
      <c r="L1038">
        <v>22000</v>
      </c>
      <c r="M1038">
        <v>10.6</v>
      </c>
      <c r="N1038">
        <v>2.5</v>
      </c>
      <c r="O1038">
        <v>1.1000000000000001</v>
      </c>
      <c r="P1038">
        <v>0.2</v>
      </c>
      <c r="Q1038">
        <v>4</v>
      </c>
      <c r="R1038">
        <v>3</v>
      </c>
      <c r="S1038">
        <v>4</v>
      </c>
      <c r="T1038" t="s">
        <v>23</v>
      </c>
      <c r="U1038">
        <v>3</v>
      </c>
      <c r="W1038" t="s">
        <v>1651</v>
      </c>
      <c r="X1038" t="s">
        <v>1655</v>
      </c>
      <c r="Y1038" t="s">
        <v>1665</v>
      </c>
      <c r="Z1038">
        <v>0</v>
      </c>
    </row>
    <row r="1039" spans="1:26" x14ac:dyDescent="0.35">
      <c r="A1039" t="s">
        <v>230</v>
      </c>
      <c r="B1039" s="6">
        <v>43058</v>
      </c>
      <c r="C1039" t="s">
        <v>23</v>
      </c>
      <c r="D1039">
        <v>29</v>
      </c>
      <c r="E1039" t="s">
        <v>36</v>
      </c>
      <c r="F1039" t="s">
        <v>25</v>
      </c>
      <c r="G1039" t="s">
        <v>26</v>
      </c>
      <c r="H1039" t="s">
        <v>45</v>
      </c>
      <c r="I1039" t="s">
        <v>77</v>
      </c>
      <c r="J1039" t="s">
        <v>1635</v>
      </c>
      <c r="K1039" t="s">
        <v>40</v>
      </c>
      <c r="L1039">
        <v>74000</v>
      </c>
      <c r="M1039">
        <v>8.8000000000000007</v>
      </c>
      <c r="N1039">
        <v>8.3000000000000007</v>
      </c>
      <c r="O1039">
        <v>8.1</v>
      </c>
      <c r="P1039">
        <v>4.9000000000000004</v>
      </c>
      <c r="Q1039">
        <v>3</v>
      </c>
      <c r="R1039">
        <v>3</v>
      </c>
      <c r="S1039">
        <v>1</v>
      </c>
      <c r="T1039" t="s">
        <v>23</v>
      </c>
      <c r="U1039">
        <v>3</v>
      </c>
      <c r="W1039" t="s">
        <v>1650</v>
      </c>
      <c r="X1039" t="s">
        <v>1659</v>
      </c>
      <c r="Y1039" t="s">
        <v>1662</v>
      </c>
      <c r="Z1039">
        <v>0</v>
      </c>
    </row>
    <row r="1040" spans="1:26" x14ac:dyDescent="0.35">
      <c r="A1040" t="s">
        <v>1376</v>
      </c>
      <c r="B1040" s="6">
        <v>43566</v>
      </c>
      <c r="C1040" t="s">
        <v>23</v>
      </c>
      <c r="D1040">
        <v>34</v>
      </c>
      <c r="E1040" t="s">
        <v>36</v>
      </c>
      <c r="F1040" t="s">
        <v>25</v>
      </c>
      <c r="G1040" t="s">
        <v>54</v>
      </c>
      <c r="H1040" t="s">
        <v>45</v>
      </c>
      <c r="I1040" t="s">
        <v>46</v>
      </c>
      <c r="J1040" t="s">
        <v>1633</v>
      </c>
      <c r="K1040" t="s">
        <v>84</v>
      </c>
      <c r="L1040">
        <v>43000</v>
      </c>
      <c r="M1040">
        <v>13</v>
      </c>
      <c r="N1040">
        <v>9.6</v>
      </c>
      <c r="O1040">
        <v>6.7</v>
      </c>
      <c r="P1040">
        <v>4.0999999999999996</v>
      </c>
      <c r="Q1040">
        <v>2</v>
      </c>
      <c r="R1040">
        <v>3</v>
      </c>
      <c r="S1040">
        <v>3</v>
      </c>
      <c r="T1040" t="s">
        <v>23</v>
      </c>
      <c r="U1040">
        <v>4</v>
      </c>
      <c r="W1040" t="s">
        <v>1650</v>
      </c>
      <c r="X1040" t="s">
        <v>1656</v>
      </c>
      <c r="Y1040" t="s">
        <v>1662</v>
      </c>
      <c r="Z1040">
        <v>0</v>
      </c>
    </row>
    <row r="1041" spans="1:26" x14ac:dyDescent="0.35">
      <c r="A1041" t="s">
        <v>442</v>
      </c>
      <c r="B1041" s="6">
        <v>44987</v>
      </c>
      <c r="C1041" t="s">
        <v>30</v>
      </c>
      <c r="D1041">
        <v>37</v>
      </c>
      <c r="E1041" t="s">
        <v>24</v>
      </c>
      <c r="F1041" t="s">
        <v>42</v>
      </c>
      <c r="G1041" t="s">
        <v>32</v>
      </c>
      <c r="H1041" t="s">
        <v>48</v>
      </c>
      <c r="I1041" t="s">
        <v>63</v>
      </c>
      <c r="J1041" t="s">
        <v>1636</v>
      </c>
      <c r="K1041" t="s">
        <v>84</v>
      </c>
      <c r="L1041">
        <v>111000</v>
      </c>
      <c r="M1041">
        <v>6.4</v>
      </c>
      <c r="N1041">
        <v>9.9</v>
      </c>
      <c r="O1041">
        <v>2.8</v>
      </c>
      <c r="P1041">
        <v>2.1</v>
      </c>
      <c r="Q1041">
        <v>4</v>
      </c>
      <c r="R1041">
        <v>4</v>
      </c>
      <c r="S1041">
        <v>3</v>
      </c>
      <c r="T1041" t="s">
        <v>23</v>
      </c>
      <c r="U1041">
        <v>3</v>
      </c>
      <c r="W1041" t="s">
        <v>1649</v>
      </c>
      <c r="X1041" t="s">
        <v>1658</v>
      </c>
      <c r="Y1041" t="s">
        <v>1665</v>
      </c>
      <c r="Z1041">
        <v>1</v>
      </c>
    </row>
    <row r="1042" spans="1:26" x14ac:dyDescent="0.35">
      <c r="A1042" t="s">
        <v>1393</v>
      </c>
      <c r="B1042" s="6">
        <v>42510</v>
      </c>
      <c r="C1042" t="s">
        <v>23</v>
      </c>
      <c r="D1042">
        <v>33</v>
      </c>
      <c r="E1042" t="s">
        <v>24</v>
      </c>
      <c r="F1042" t="s">
        <v>25</v>
      </c>
      <c r="G1042" t="s">
        <v>54</v>
      </c>
      <c r="H1042" t="s">
        <v>48</v>
      </c>
      <c r="I1042" t="s">
        <v>49</v>
      </c>
      <c r="J1042" t="s">
        <v>1633</v>
      </c>
      <c r="K1042" t="s">
        <v>66</v>
      </c>
      <c r="L1042">
        <v>59000</v>
      </c>
      <c r="M1042">
        <v>7.9</v>
      </c>
      <c r="N1042">
        <v>9.9</v>
      </c>
      <c r="O1042">
        <v>9.6</v>
      </c>
      <c r="P1042">
        <v>0.2</v>
      </c>
      <c r="Q1042">
        <v>3</v>
      </c>
      <c r="R1042">
        <v>4</v>
      </c>
      <c r="S1042">
        <v>3</v>
      </c>
      <c r="T1042" t="s">
        <v>23</v>
      </c>
      <c r="U1042">
        <v>3</v>
      </c>
      <c r="W1042" t="s">
        <v>1650</v>
      </c>
      <c r="X1042" t="s">
        <v>1656</v>
      </c>
      <c r="Y1042" t="s">
        <v>1662</v>
      </c>
      <c r="Z1042">
        <v>0</v>
      </c>
    </row>
    <row r="1043" spans="1:26" x14ac:dyDescent="0.35">
      <c r="A1043" t="s">
        <v>214</v>
      </c>
      <c r="B1043" s="6">
        <v>45718</v>
      </c>
      <c r="C1043" t="s">
        <v>23</v>
      </c>
      <c r="D1043">
        <v>30</v>
      </c>
      <c r="E1043" t="s">
        <v>24</v>
      </c>
      <c r="F1043" t="s">
        <v>37</v>
      </c>
      <c r="G1043" t="s">
        <v>26</v>
      </c>
      <c r="H1043" t="s">
        <v>48</v>
      </c>
      <c r="I1043" t="s">
        <v>201</v>
      </c>
      <c r="J1043" t="s">
        <v>1632</v>
      </c>
      <c r="K1043" t="s">
        <v>34</v>
      </c>
      <c r="L1043">
        <v>42000</v>
      </c>
      <c r="M1043">
        <v>7.8</v>
      </c>
      <c r="N1043">
        <v>1.4</v>
      </c>
      <c r="O1043">
        <v>0.8</v>
      </c>
      <c r="P1043">
        <v>0</v>
      </c>
      <c r="Q1043">
        <v>4</v>
      </c>
      <c r="R1043">
        <v>4</v>
      </c>
      <c r="S1043">
        <v>3</v>
      </c>
      <c r="T1043" t="s">
        <v>23</v>
      </c>
      <c r="U1043">
        <v>5</v>
      </c>
      <c r="W1043" t="s">
        <v>1650</v>
      </c>
      <c r="X1043" t="s">
        <v>1656</v>
      </c>
      <c r="Y1043" t="s">
        <v>1664</v>
      </c>
      <c r="Z1043">
        <v>0</v>
      </c>
    </row>
    <row r="1044" spans="1:26" x14ac:dyDescent="0.35">
      <c r="A1044" t="s">
        <v>285</v>
      </c>
      <c r="B1044" s="6">
        <v>44720</v>
      </c>
      <c r="C1044" t="s">
        <v>23</v>
      </c>
      <c r="D1044">
        <v>40</v>
      </c>
      <c r="E1044" t="s">
        <v>62</v>
      </c>
      <c r="F1044" t="s">
        <v>42</v>
      </c>
      <c r="G1044" t="s">
        <v>54</v>
      </c>
      <c r="H1044" t="s">
        <v>27</v>
      </c>
      <c r="I1044" t="s">
        <v>43</v>
      </c>
      <c r="J1044" t="s">
        <v>1635</v>
      </c>
      <c r="K1044" t="s">
        <v>29</v>
      </c>
      <c r="L1044">
        <v>67000</v>
      </c>
      <c r="M1044">
        <v>2.8</v>
      </c>
      <c r="N1044">
        <v>6.1</v>
      </c>
      <c r="O1044">
        <v>3.6</v>
      </c>
      <c r="P1044">
        <v>1.6</v>
      </c>
      <c r="Q1044">
        <v>3</v>
      </c>
      <c r="R1044">
        <v>4</v>
      </c>
      <c r="S1044">
        <v>4</v>
      </c>
      <c r="T1044" t="s">
        <v>23</v>
      </c>
      <c r="U1044">
        <v>4</v>
      </c>
      <c r="W1044" t="s">
        <v>1649</v>
      </c>
      <c r="X1044" t="s">
        <v>1659</v>
      </c>
      <c r="Y1044" t="s">
        <v>1661</v>
      </c>
      <c r="Z1044">
        <v>0</v>
      </c>
    </row>
    <row r="1045" spans="1:26" x14ac:dyDescent="0.35">
      <c r="A1045" t="s">
        <v>185</v>
      </c>
      <c r="B1045" s="6">
        <v>45132</v>
      </c>
      <c r="C1045" t="s">
        <v>23</v>
      </c>
      <c r="D1045">
        <v>30</v>
      </c>
      <c r="E1045" t="s">
        <v>24</v>
      </c>
      <c r="F1045" t="s">
        <v>25</v>
      </c>
      <c r="G1045" t="s">
        <v>54</v>
      </c>
      <c r="H1045" t="s">
        <v>55</v>
      </c>
      <c r="I1045" t="s">
        <v>56</v>
      </c>
      <c r="J1045" t="s">
        <v>1635</v>
      </c>
      <c r="K1045" t="s">
        <v>34</v>
      </c>
      <c r="L1045">
        <v>81000</v>
      </c>
      <c r="M1045">
        <v>8.3000000000000007</v>
      </c>
      <c r="N1045">
        <v>6</v>
      </c>
      <c r="O1045">
        <v>2.4</v>
      </c>
      <c r="P1045">
        <v>0.7</v>
      </c>
      <c r="Q1045">
        <v>1</v>
      </c>
      <c r="R1045">
        <v>2</v>
      </c>
      <c r="S1045">
        <v>3</v>
      </c>
      <c r="T1045" t="s">
        <v>30</v>
      </c>
      <c r="U1045">
        <v>3</v>
      </c>
      <c r="W1045" t="s">
        <v>1650</v>
      </c>
      <c r="X1045" t="s">
        <v>1657</v>
      </c>
      <c r="Y1045" t="s">
        <v>1665</v>
      </c>
      <c r="Z1045">
        <v>0</v>
      </c>
    </row>
    <row r="1046" spans="1:26" x14ac:dyDescent="0.35">
      <c r="A1046" t="s">
        <v>1571</v>
      </c>
      <c r="B1046" s="6">
        <v>44441</v>
      </c>
      <c r="C1046" t="s">
        <v>23</v>
      </c>
      <c r="D1046">
        <v>33</v>
      </c>
      <c r="E1046" t="s">
        <v>62</v>
      </c>
      <c r="F1046" t="s">
        <v>25</v>
      </c>
      <c r="G1046" t="s">
        <v>26</v>
      </c>
      <c r="H1046" t="s">
        <v>45</v>
      </c>
      <c r="I1046" t="s">
        <v>97</v>
      </c>
      <c r="J1046" t="s">
        <v>1635</v>
      </c>
      <c r="K1046" t="s">
        <v>84</v>
      </c>
      <c r="L1046">
        <v>75000</v>
      </c>
      <c r="M1046">
        <v>16.3</v>
      </c>
      <c r="N1046">
        <v>10.1</v>
      </c>
      <c r="O1046">
        <v>4.3</v>
      </c>
      <c r="P1046">
        <v>3.6</v>
      </c>
      <c r="Q1046">
        <v>2</v>
      </c>
      <c r="R1046">
        <v>4</v>
      </c>
      <c r="S1046">
        <v>4</v>
      </c>
      <c r="T1046" t="s">
        <v>23</v>
      </c>
      <c r="U1046">
        <v>5</v>
      </c>
      <c r="W1046" t="s">
        <v>1650</v>
      </c>
      <c r="X1046" t="s">
        <v>1659</v>
      </c>
      <c r="Y1046" t="s">
        <v>1661</v>
      </c>
      <c r="Z1046">
        <v>0</v>
      </c>
    </row>
    <row r="1047" spans="1:26" x14ac:dyDescent="0.35">
      <c r="A1047" t="s">
        <v>176</v>
      </c>
      <c r="B1047" s="6">
        <v>43030</v>
      </c>
      <c r="C1047" t="s">
        <v>23</v>
      </c>
      <c r="D1047">
        <v>35</v>
      </c>
      <c r="E1047" t="s">
        <v>24</v>
      </c>
      <c r="F1047" t="s">
        <v>37</v>
      </c>
      <c r="G1047" t="s">
        <v>58</v>
      </c>
      <c r="H1047" t="s">
        <v>38</v>
      </c>
      <c r="I1047" t="s">
        <v>52</v>
      </c>
      <c r="J1047" t="s">
        <v>1636</v>
      </c>
      <c r="K1047" t="s">
        <v>34</v>
      </c>
      <c r="L1047">
        <v>120000</v>
      </c>
      <c r="M1047">
        <v>5.6</v>
      </c>
      <c r="N1047">
        <v>11.8</v>
      </c>
      <c r="O1047">
        <v>8.1999999999999993</v>
      </c>
      <c r="P1047">
        <v>0.5</v>
      </c>
      <c r="Q1047">
        <v>4</v>
      </c>
      <c r="R1047">
        <v>2</v>
      </c>
      <c r="S1047">
        <v>4</v>
      </c>
      <c r="T1047" t="s">
        <v>30</v>
      </c>
      <c r="U1047">
        <v>3</v>
      </c>
      <c r="W1047" t="s">
        <v>1650</v>
      </c>
      <c r="X1047" t="s">
        <v>1658</v>
      </c>
      <c r="Y1047" t="s">
        <v>1662</v>
      </c>
      <c r="Z1047">
        <v>0</v>
      </c>
    </row>
    <row r="1048" spans="1:26" x14ac:dyDescent="0.35">
      <c r="A1048" t="s">
        <v>695</v>
      </c>
      <c r="B1048" s="6">
        <v>45632</v>
      </c>
      <c r="C1048" t="s">
        <v>23</v>
      </c>
      <c r="D1048">
        <v>30</v>
      </c>
      <c r="E1048" t="s">
        <v>36</v>
      </c>
      <c r="F1048" t="s">
        <v>37</v>
      </c>
      <c r="G1048" t="s">
        <v>58</v>
      </c>
      <c r="H1048" t="s">
        <v>38</v>
      </c>
      <c r="I1048" t="s">
        <v>52</v>
      </c>
      <c r="J1048" t="s">
        <v>1635</v>
      </c>
      <c r="K1048" t="s">
        <v>40</v>
      </c>
      <c r="L1048">
        <v>90000</v>
      </c>
      <c r="M1048">
        <v>18.399999999999999</v>
      </c>
      <c r="N1048">
        <v>2.4</v>
      </c>
      <c r="O1048">
        <v>1.1000000000000001</v>
      </c>
      <c r="P1048">
        <v>0.1</v>
      </c>
      <c r="Q1048">
        <v>4</v>
      </c>
      <c r="R1048">
        <v>3</v>
      </c>
      <c r="S1048">
        <v>1</v>
      </c>
      <c r="T1048" t="s">
        <v>30</v>
      </c>
      <c r="U1048">
        <v>2</v>
      </c>
      <c r="W1048" t="s">
        <v>1650</v>
      </c>
      <c r="X1048" t="s">
        <v>1657</v>
      </c>
      <c r="Y1048" t="s">
        <v>1665</v>
      </c>
      <c r="Z1048">
        <v>0</v>
      </c>
    </row>
    <row r="1049" spans="1:26" x14ac:dyDescent="0.35">
      <c r="A1049" t="s">
        <v>831</v>
      </c>
      <c r="B1049" s="6">
        <v>42453</v>
      </c>
      <c r="C1049" t="s">
        <v>23</v>
      </c>
      <c r="D1049">
        <v>30</v>
      </c>
      <c r="E1049" t="s">
        <v>24</v>
      </c>
      <c r="F1049" t="s">
        <v>25</v>
      </c>
      <c r="G1049" t="s">
        <v>58</v>
      </c>
      <c r="H1049" t="s">
        <v>48</v>
      </c>
      <c r="I1049" t="s">
        <v>201</v>
      </c>
      <c r="J1049" t="s">
        <v>1635</v>
      </c>
      <c r="K1049" t="s">
        <v>50</v>
      </c>
      <c r="L1049">
        <v>79000</v>
      </c>
      <c r="M1049">
        <v>10.6</v>
      </c>
      <c r="N1049">
        <v>16.899999999999999</v>
      </c>
      <c r="O1049">
        <v>9.8000000000000007</v>
      </c>
      <c r="P1049">
        <v>3.3</v>
      </c>
      <c r="Q1049">
        <v>2</v>
      </c>
      <c r="R1049">
        <v>3</v>
      </c>
      <c r="S1049">
        <v>3</v>
      </c>
      <c r="T1049" t="s">
        <v>23</v>
      </c>
      <c r="U1049">
        <v>4</v>
      </c>
      <c r="W1049" t="s">
        <v>1650</v>
      </c>
      <c r="X1049" t="s">
        <v>1659</v>
      </c>
      <c r="Y1049" t="s">
        <v>1662</v>
      </c>
      <c r="Z1049">
        <v>0</v>
      </c>
    </row>
    <row r="1050" spans="1:26" x14ac:dyDescent="0.35">
      <c r="A1050" t="s">
        <v>1315</v>
      </c>
      <c r="B1050" s="6">
        <v>45729</v>
      </c>
      <c r="C1050" t="s">
        <v>23</v>
      </c>
      <c r="D1050">
        <v>42</v>
      </c>
      <c r="E1050" t="s">
        <v>62</v>
      </c>
      <c r="F1050" t="s">
        <v>37</v>
      </c>
      <c r="G1050" t="s">
        <v>32</v>
      </c>
      <c r="H1050" t="s">
        <v>55</v>
      </c>
      <c r="I1050" t="s">
        <v>80</v>
      </c>
      <c r="J1050" t="s">
        <v>1633</v>
      </c>
      <c r="K1050" t="s">
        <v>34</v>
      </c>
      <c r="L1050">
        <v>40000</v>
      </c>
      <c r="M1050">
        <v>0</v>
      </c>
      <c r="N1050">
        <v>1.2</v>
      </c>
      <c r="O1050">
        <v>0.8</v>
      </c>
      <c r="P1050">
        <v>0</v>
      </c>
      <c r="Q1050">
        <v>3</v>
      </c>
      <c r="R1050">
        <v>3</v>
      </c>
      <c r="S1050">
        <v>4</v>
      </c>
      <c r="T1050" t="s">
        <v>23</v>
      </c>
      <c r="U1050">
        <v>3</v>
      </c>
      <c r="W1050" t="s">
        <v>1649</v>
      </c>
      <c r="X1050" t="s">
        <v>1656</v>
      </c>
      <c r="Y1050" t="s">
        <v>1664</v>
      </c>
      <c r="Z1050">
        <v>0</v>
      </c>
    </row>
    <row r="1051" spans="1:26" x14ac:dyDescent="0.35">
      <c r="A1051" t="s">
        <v>323</v>
      </c>
      <c r="B1051" s="6">
        <v>45185</v>
      </c>
      <c r="C1051" t="s">
        <v>30</v>
      </c>
      <c r="D1051">
        <v>41</v>
      </c>
      <c r="E1051" t="s">
        <v>24</v>
      </c>
      <c r="F1051" t="s">
        <v>42</v>
      </c>
      <c r="G1051" t="s">
        <v>54</v>
      </c>
      <c r="H1051" t="s">
        <v>45</v>
      </c>
      <c r="I1051" t="s">
        <v>46</v>
      </c>
      <c r="J1051" t="s">
        <v>1635</v>
      </c>
      <c r="K1051" t="s">
        <v>40</v>
      </c>
      <c r="L1051">
        <v>58000</v>
      </c>
      <c r="M1051">
        <v>0</v>
      </c>
      <c r="N1051">
        <v>8.4</v>
      </c>
      <c r="O1051">
        <v>1.4</v>
      </c>
      <c r="P1051">
        <v>1.3</v>
      </c>
      <c r="Q1051">
        <v>1</v>
      </c>
      <c r="R1051">
        <v>3</v>
      </c>
      <c r="S1051">
        <v>4</v>
      </c>
      <c r="T1051" t="s">
        <v>30</v>
      </c>
      <c r="U1051">
        <v>2</v>
      </c>
      <c r="V1051" s="7">
        <v>45705</v>
      </c>
      <c r="W1051" t="s">
        <v>1649</v>
      </c>
      <c r="X1051" t="s">
        <v>1656</v>
      </c>
      <c r="Y1051" t="s">
        <v>1665</v>
      </c>
      <c r="Z1051">
        <v>1</v>
      </c>
    </row>
    <row r="1052" spans="1:26" x14ac:dyDescent="0.35">
      <c r="A1052" t="s">
        <v>316</v>
      </c>
      <c r="B1052" s="6">
        <v>43813</v>
      </c>
      <c r="C1052" t="s">
        <v>23</v>
      </c>
      <c r="D1052">
        <v>35</v>
      </c>
      <c r="E1052" t="s">
        <v>62</v>
      </c>
      <c r="F1052" t="s">
        <v>37</v>
      </c>
      <c r="G1052" t="s">
        <v>58</v>
      </c>
      <c r="H1052" t="s">
        <v>27</v>
      </c>
      <c r="I1052" t="s">
        <v>28</v>
      </c>
      <c r="J1052" t="s">
        <v>1635</v>
      </c>
      <c r="K1052" t="s">
        <v>34</v>
      </c>
      <c r="L1052">
        <v>64000</v>
      </c>
      <c r="M1052">
        <v>5.0999999999999996</v>
      </c>
      <c r="N1052">
        <v>9.5</v>
      </c>
      <c r="O1052">
        <v>6</v>
      </c>
      <c r="P1052">
        <v>5</v>
      </c>
      <c r="Q1052">
        <v>3</v>
      </c>
      <c r="R1052">
        <v>4</v>
      </c>
      <c r="S1052">
        <v>3</v>
      </c>
      <c r="T1052" t="s">
        <v>23</v>
      </c>
      <c r="U1052">
        <v>5</v>
      </c>
      <c r="W1052" t="s">
        <v>1650</v>
      </c>
      <c r="X1052" t="s">
        <v>1659</v>
      </c>
      <c r="Y1052" t="s">
        <v>1661</v>
      </c>
      <c r="Z1052">
        <v>0</v>
      </c>
    </row>
    <row r="1053" spans="1:26" x14ac:dyDescent="0.35">
      <c r="A1053" t="s">
        <v>879</v>
      </c>
      <c r="B1053" s="6">
        <v>42707</v>
      </c>
      <c r="C1053" t="s">
        <v>23</v>
      </c>
      <c r="D1053">
        <v>34</v>
      </c>
      <c r="E1053" t="s">
        <v>36</v>
      </c>
      <c r="F1053" t="s">
        <v>42</v>
      </c>
      <c r="G1053" t="s">
        <v>26</v>
      </c>
      <c r="H1053" t="s">
        <v>38</v>
      </c>
      <c r="I1053" t="s">
        <v>39</v>
      </c>
      <c r="J1053" t="s">
        <v>1633</v>
      </c>
      <c r="K1053" t="s">
        <v>34</v>
      </c>
      <c r="L1053">
        <v>54000</v>
      </c>
      <c r="M1053">
        <v>11</v>
      </c>
      <c r="N1053">
        <v>13.8</v>
      </c>
      <c r="O1053">
        <v>9.1</v>
      </c>
      <c r="P1053">
        <v>4.3</v>
      </c>
      <c r="Q1053">
        <v>1</v>
      </c>
      <c r="R1053">
        <v>3</v>
      </c>
      <c r="S1053">
        <v>3</v>
      </c>
      <c r="T1053" t="s">
        <v>23</v>
      </c>
      <c r="U1053">
        <v>5</v>
      </c>
      <c r="W1053" t="s">
        <v>1650</v>
      </c>
      <c r="X1053" t="s">
        <v>1656</v>
      </c>
      <c r="Y1053" t="s">
        <v>1662</v>
      </c>
      <c r="Z1053">
        <v>0</v>
      </c>
    </row>
    <row r="1054" spans="1:26" x14ac:dyDescent="0.35">
      <c r="A1054" t="s">
        <v>135</v>
      </c>
      <c r="B1054" s="6">
        <v>45336</v>
      </c>
      <c r="C1054" t="s">
        <v>30</v>
      </c>
      <c r="D1054">
        <v>27</v>
      </c>
      <c r="E1054" t="s">
        <v>24</v>
      </c>
      <c r="F1054" t="s">
        <v>37</v>
      </c>
      <c r="G1054" t="s">
        <v>58</v>
      </c>
      <c r="H1054" t="s">
        <v>1634</v>
      </c>
      <c r="I1054" t="s">
        <v>60</v>
      </c>
      <c r="J1054" t="s">
        <v>1632</v>
      </c>
      <c r="K1054" t="s">
        <v>84</v>
      </c>
      <c r="L1054">
        <v>23000</v>
      </c>
      <c r="M1054">
        <v>8</v>
      </c>
      <c r="N1054">
        <v>3.8</v>
      </c>
      <c r="O1054">
        <v>0.9</v>
      </c>
      <c r="P1054">
        <v>0</v>
      </c>
      <c r="Q1054">
        <v>4</v>
      </c>
      <c r="R1054">
        <v>3</v>
      </c>
      <c r="S1054">
        <v>2</v>
      </c>
      <c r="T1054" t="s">
        <v>23</v>
      </c>
      <c r="U1054">
        <v>4</v>
      </c>
      <c r="V1054" s="7">
        <v>45665</v>
      </c>
      <c r="W1054" t="s">
        <v>1650</v>
      </c>
      <c r="X1054" t="s">
        <v>1655</v>
      </c>
      <c r="Y1054" t="s">
        <v>1664</v>
      </c>
      <c r="Z1054">
        <v>1</v>
      </c>
    </row>
    <row r="1055" spans="1:26" x14ac:dyDescent="0.35">
      <c r="A1055" t="s">
        <v>722</v>
      </c>
      <c r="B1055" s="6">
        <v>44232</v>
      </c>
      <c r="C1055" t="s">
        <v>23</v>
      </c>
      <c r="D1055">
        <v>39</v>
      </c>
      <c r="E1055" t="s">
        <v>62</v>
      </c>
      <c r="F1055" t="s">
        <v>37</v>
      </c>
      <c r="G1055" t="s">
        <v>32</v>
      </c>
      <c r="H1055" t="s">
        <v>45</v>
      </c>
      <c r="I1055" t="s">
        <v>97</v>
      </c>
      <c r="J1055" t="s">
        <v>1632</v>
      </c>
      <c r="K1055" t="s">
        <v>50</v>
      </c>
      <c r="L1055">
        <v>22000</v>
      </c>
      <c r="M1055">
        <v>9.1999999999999993</v>
      </c>
      <c r="N1055">
        <v>9.1999999999999993</v>
      </c>
      <c r="O1055">
        <v>4.9000000000000004</v>
      </c>
      <c r="P1055">
        <v>2.2000000000000002</v>
      </c>
      <c r="Q1055">
        <v>3</v>
      </c>
      <c r="R1055">
        <v>2</v>
      </c>
      <c r="S1055">
        <v>3</v>
      </c>
      <c r="T1055" t="s">
        <v>23</v>
      </c>
      <c r="U1055">
        <v>4</v>
      </c>
      <c r="W1055" t="s">
        <v>1649</v>
      </c>
      <c r="X1055" t="s">
        <v>1655</v>
      </c>
      <c r="Y1055" t="s">
        <v>1661</v>
      </c>
      <c r="Z1055">
        <v>0</v>
      </c>
    </row>
    <row r="1056" spans="1:26" x14ac:dyDescent="0.35">
      <c r="A1056" t="s">
        <v>1067</v>
      </c>
      <c r="B1056" s="6">
        <v>44212</v>
      </c>
      <c r="C1056" t="s">
        <v>30</v>
      </c>
      <c r="D1056">
        <v>46</v>
      </c>
      <c r="E1056" t="s">
        <v>62</v>
      </c>
      <c r="F1056" t="s">
        <v>37</v>
      </c>
      <c r="G1056" t="s">
        <v>32</v>
      </c>
      <c r="H1056" t="s">
        <v>27</v>
      </c>
      <c r="I1056" t="s">
        <v>95</v>
      </c>
      <c r="J1056" t="s">
        <v>1633</v>
      </c>
      <c r="K1056" t="s">
        <v>40</v>
      </c>
      <c r="L1056">
        <v>46000</v>
      </c>
      <c r="M1056">
        <v>10.3</v>
      </c>
      <c r="N1056">
        <v>9.1</v>
      </c>
      <c r="O1056">
        <v>4.8</v>
      </c>
      <c r="P1056">
        <v>3.3</v>
      </c>
      <c r="Q1056">
        <v>3</v>
      </c>
      <c r="R1056">
        <v>2</v>
      </c>
      <c r="S1056">
        <v>3</v>
      </c>
      <c r="T1056" t="s">
        <v>23</v>
      </c>
      <c r="U1056">
        <v>4</v>
      </c>
      <c r="V1056" s="7">
        <v>45960</v>
      </c>
      <c r="W1056" t="s">
        <v>1652</v>
      </c>
      <c r="X1056" t="s">
        <v>1656</v>
      </c>
      <c r="Y1056" t="s">
        <v>1661</v>
      </c>
      <c r="Z1056">
        <v>1</v>
      </c>
    </row>
    <row r="1057" spans="1:26" x14ac:dyDescent="0.35">
      <c r="A1057" t="s">
        <v>1335</v>
      </c>
      <c r="B1057" s="6">
        <v>45709</v>
      </c>
      <c r="C1057" t="s">
        <v>30</v>
      </c>
      <c r="D1057">
        <v>21</v>
      </c>
      <c r="E1057" t="s">
        <v>36</v>
      </c>
      <c r="F1057" t="s">
        <v>25</v>
      </c>
      <c r="G1057" t="s">
        <v>32</v>
      </c>
      <c r="H1057" t="s">
        <v>38</v>
      </c>
      <c r="I1057" t="s">
        <v>39</v>
      </c>
      <c r="J1057" t="s">
        <v>1632</v>
      </c>
      <c r="K1057" t="s">
        <v>84</v>
      </c>
      <c r="L1057">
        <v>45000</v>
      </c>
      <c r="M1057">
        <v>9</v>
      </c>
      <c r="N1057">
        <v>5.0999999999999996</v>
      </c>
      <c r="O1057">
        <v>0.8</v>
      </c>
      <c r="P1057">
        <v>0</v>
      </c>
      <c r="Q1057">
        <v>3</v>
      </c>
      <c r="R1057">
        <v>3</v>
      </c>
      <c r="S1057">
        <v>3</v>
      </c>
      <c r="T1057" t="s">
        <v>23</v>
      </c>
      <c r="U1057">
        <v>3</v>
      </c>
      <c r="V1057" s="7">
        <v>45984</v>
      </c>
      <c r="W1057" t="s">
        <v>1651</v>
      </c>
      <c r="X1057" t="s">
        <v>1656</v>
      </c>
      <c r="Y1057" t="s">
        <v>1664</v>
      </c>
      <c r="Z1057">
        <v>1</v>
      </c>
    </row>
    <row r="1058" spans="1:26" x14ac:dyDescent="0.35">
      <c r="A1058" t="s">
        <v>742</v>
      </c>
      <c r="B1058" s="6">
        <v>45078</v>
      </c>
      <c r="C1058" t="s">
        <v>30</v>
      </c>
      <c r="D1058">
        <v>23</v>
      </c>
      <c r="E1058" t="s">
        <v>24</v>
      </c>
      <c r="F1058" t="s">
        <v>25</v>
      </c>
      <c r="G1058" t="s">
        <v>54</v>
      </c>
      <c r="H1058" t="s">
        <v>27</v>
      </c>
      <c r="I1058" t="s">
        <v>28</v>
      </c>
      <c r="J1058" t="s">
        <v>1632</v>
      </c>
      <c r="K1058" t="s">
        <v>50</v>
      </c>
      <c r="L1058">
        <v>37000</v>
      </c>
      <c r="M1058">
        <v>16.5</v>
      </c>
      <c r="N1058">
        <v>4</v>
      </c>
      <c r="O1058">
        <v>1.7</v>
      </c>
      <c r="P1058">
        <v>0.8</v>
      </c>
      <c r="Q1058">
        <v>3</v>
      </c>
      <c r="R1058">
        <v>3</v>
      </c>
      <c r="S1058">
        <v>3</v>
      </c>
      <c r="T1058" t="s">
        <v>23</v>
      </c>
      <c r="U1058">
        <v>4</v>
      </c>
      <c r="V1058" s="7">
        <v>45701</v>
      </c>
      <c r="W1058" t="s">
        <v>1651</v>
      </c>
      <c r="X1058" t="s">
        <v>1655</v>
      </c>
      <c r="Y1058" t="s">
        <v>1665</v>
      </c>
      <c r="Z1058">
        <v>1</v>
      </c>
    </row>
    <row r="1059" spans="1:26" x14ac:dyDescent="0.35">
      <c r="A1059" t="s">
        <v>395</v>
      </c>
      <c r="B1059" s="6">
        <v>43588</v>
      </c>
      <c r="C1059" t="s">
        <v>23</v>
      </c>
      <c r="D1059">
        <v>35</v>
      </c>
      <c r="E1059" t="s">
        <v>24</v>
      </c>
      <c r="F1059" t="s">
        <v>25</v>
      </c>
      <c r="G1059" t="s">
        <v>26</v>
      </c>
      <c r="H1059" t="s">
        <v>68</v>
      </c>
      <c r="I1059" t="s">
        <v>109</v>
      </c>
      <c r="J1059" t="s">
        <v>1633</v>
      </c>
      <c r="K1059" t="s">
        <v>29</v>
      </c>
      <c r="L1059">
        <v>53000</v>
      </c>
      <c r="M1059">
        <v>2.7</v>
      </c>
      <c r="N1059">
        <v>14.4</v>
      </c>
      <c r="O1059">
        <v>6.7</v>
      </c>
      <c r="P1059">
        <v>1.1000000000000001</v>
      </c>
      <c r="Q1059">
        <v>3</v>
      </c>
      <c r="R1059">
        <v>4</v>
      </c>
      <c r="S1059">
        <v>3</v>
      </c>
      <c r="T1059" t="s">
        <v>23</v>
      </c>
      <c r="U1059">
        <v>3</v>
      </c>
      <c r="W1059" t="s">
        <v>1650</v>
      </c>
      <c r="X1059" t="s">
        <v>1656</v>
      </c>
      <c r="Y1059" t="s">
        <v>1662</v>
      </c>
      <c r="Z1059">
        <v>0</v>
      </c>
    </row>
    <row r="1060" spans="1:26" x14ac:dyDescent="0.35">
      <c r="A1060" t="s">
        <v>1487</v>
      </c>
      <c r="B1060" s="6">
        <v>44222</v>
      </c>
      <c r="C1060" t="s">
        <v>23</v>
      </c>
      <c r="D1060">
        <v>29</v>
      </c>
      <c r="E1060" t="s">
        <v>36</v>
      </c>
      <c r="F1060" t="s">
        <v>25</v>
      </c>
      <c r="G1060" t="s">
        <v>32</v>
      </c>
      <c r="H1060" t="s">
        <v>45</v>
      </c>
      <c r="I1060" t="s">
        <v>46</v>
      </c>
      <c r="J1060" t="s">
        <v>1635</v>
      </c>
      <c r="K1060" t="s">
        <v>34</v>
      </c>
      <c r="L1060">
        <v>77000</v>
      </c>
      <c r="M1060">
        <v>2.7</v>
      </c>
      <c r="N1060">
        <v>12.3</v>
      </c>
      <c r="O1060">
        <v>4.9000000000000004</v>
      </c>
      <c r="P1060">
        <v>2.5</v>
      </c>
      <c r="Q1060">
        <v>2</v>
      </c>
      <c r="R1060">
        <v>3</v>
      </c>
      <c r="S1060">
        <v>2</v>
      </c>
      <c r="T1060" t="s">
        <v>23</v>
      </c>
      <c r="U1060">
        <v>4</v>
      </c>
      <c r="W1060" t="s">
        <v>1650</v>
      </c>
      <c r="X1060" t="s">
        <v>1659</v>
      </c>
      <c r="Y1060" t="s">
        <v>1661</v>
      </c>
      <c r="Z1060">
        <v>0</v>
      </c>
    </row>
    <row r="1061" spans="1:26" x14ac:dyDescent="0.35">
      <c r="A1061" t="s">
        <v>1590</v>
      </c>
      <c r="B1061" s="6">
        <v>43639</v>
      </c>
      <c r="C1061" t="s">
        <v>23</v>
      </c>
      <c r="D1061">
        <v>43</v>
      </c>
      <c r="E1061" t="s">
        <v>62</v>
      </c>
      <c r="F1061" t="s">
        <v>42</v>
      </c>
      <c r="G1061" t="s">
        <v>54</v>
      </c>
      <c r="H1061" t="s">
        <v>45</v>
      </c>
      <c r="I1061" t="s">
        <v>164</v>
      </c>
      <c r="J1061" t="s">
        <v>1635</v>
      </c>
      <c r="K1061" t="s">
        <v>34</v>
      </c>
      <c r="L1061">
        <v>69000</v>
      </c>
      <c r="M1061">
        <v>14.8</v>
      </c>
      <c r="N1061">
        <v>12</v>
      </c>
      <c r="O1061">
        <v>6.5</v>
      </c>
      <c r="P1061">
        <v>4.8</v>
      </c>
      <c r="Q1061">
        <v>1</v>
      </c>
      <c r="R1061">
        <v>3</v>
      </c>
      <c r="S1061">
        <v>3</v>
      </c>
      <c r="T1061" t="s">
        <v>23</v>
      </c>
      <c r="U1061">
        <v>5</v>
      </c>
      <c r="W1061" t="s">
        <v>1649</v>
      </c>
      <c r="X1061" t="s">
        <v>1659</v>
      </c>
      <c r="Y1061" t="s">
        <v>1662</v>
      </c>
      <c r="Z1061">
        <v>0</v>
      </c>
    </row>
    <row r="1062" spans="1:26" x14ac:dyDescent="0.35">
      <c r="A1062" t="s">
        <v>183</v>
      </c>
      <c r="B1062" s="6">
        <v>45738</v>
      </c>
      <c r="C1062" t="s">
        <v>30</v>
      </c>
      <c r="D1062">
        <v>21</v>
      </c>
      <c r="E1062" t="s">
        <v>24</v>
      </c>
      <c r="F1062" t="s">
        <v>25</v>
      </c>
      <c r="G1062" t="s">
        <v>54</v>
      </c>
      <c r="H1062" t="s">
        <v>45</v>
      </c>
      <c r="I1062" t="s">
        <v>77</v>
      </c>
      <c r="J1062" t="s">
        <v>1632</v>
      </c>
      <c r="K1062" t="s">
        <v>34</v>
      </c>
      <c r="L1062">
        <v>40000</v>
      </c>
      <c r="M1062">
        <v>6.6</v>
      </c>
      <c r="N1062">
        <v>7.6</v>
      </c>
      <c r="O1062">
        <v>0.4</v>
      </c>
      <c r="P1062">
        <v>0</v>
      </c>
      <c r="Q1062">
        <v>1</v>
      </c>
      <c r="R1062">
        <v>4</v>
      </c>
      <c r="S1062">
        <v>4</v>
      </c>
      <c r="T1062" t="s">
        <v>23</v>
      </c>
      <c r="U1062">
        <v>3</v>
      </c>
      <c r="V1062" s="7">
        <v>45869</v>
      </c>
      <c r="W1062" t="s">
        <v>1651</v>
      </c>
      <c r="X1062" t="s">
        <v>1656</v>
      </c>
      <c r="Y1062" t="s">
        <v>1664</v>
      </c>
      <c r="Z1062">
        <v>1</v>
      </c>
    </row>
    <row r="1063" spans="1:26" x14ac:dyDescent="0.35">
      <c r="A1063" t="s">
        <v>383</v>
      </c>
      <c r="B1063" s="6">
        <v>44404</v>
      </c>
      <c r="C1063" t="s">
        <v>23</v>
      </c>
      <c r="D1063">
        <v>33</v>
      </c>
      <c r="E1063" t="s">
        <v>36</v>
      </c>
      <c r="F1063" t="s">
        <v>37</v>
      </c>
      <c r="G1063" t="s">
        <v>32</v>
      </c>
      <c r="H1063" t="s">
        <v>27</v>
      </c>
      <c r="I1063" t="s">
        <v>33</v>
      </c>
      <c r="J1063" t="s">
        <v>1633</v>
      </c>
      <c r="K1063" t="s">
        <v>66</v>
      </c>
      <c r="L1063">
        <v>37000</v>
      </c>
      <c r="M1063">
        <v>9.6999999999999993</v>
      </c>
      <c r="N1063">
        <v>9.5</v>
      </c>
      <c r="O1063">
        <v>4.4000000000000004</v>
      </c>
      <c r="P1063">
        <v>0.6</v>
      </c>
      <c r="Q1063">
        <v>3</v>
      </c>
      <c r="R1063">
        <v>3</v>
      </c>
      <c r="S1063">
        <v>3</v>
      </c>
      <c r="T1063" t="s">
        <v>23</v>
      </c>
      <c r="U1063">
        <v>3</v>
      </c>
      <c r="W1063" t="s">
        <v>1650</v>
      </c>
      <c r="X1063" t="s">
        <v>1655</v>
      </c>
      <c r="Y1063" t="s">
        <v>1661</v>
      </c>
      <c r="Z1063">
        <v>0</v>
      </c>
    </row>
    <row r="1064" spans="1:26" x14ac:dyDescent="0.35">
      <c r="A1064" t="s">
        <v>1466</v>
      </c>
      <c r="B1064" s="6">
        <v>45210</v>
      </c>
      <c r="C1064" t="s">
        <v>23</v>
      </c>
      <c r="D1064">
        <v>36</v>
      </c>
      <c r="E1064" t="s">
        <v>36</v>
      </c>
      <c r="F1064" t="s">
        <v>42</v>
      </c>
      <c r="G1064" t="s">
        <v>32</v>
      </c>
      <c r="H1064" t="s">
        <v>27</v>
      </c>
      <c r="I1064" t="s">
        <v>43</v>
      </c>
      <c r="J1064" t="s">
        <v>1633</v>
      </c>
      <c r="K1064" t="s">
        <v>66</v>
      </c>
      <c r="L1064">
        <v>50000</v>
      </c>
      <c r="M1064">
        <v>13.3</v>
      </c>
      <c r="N1064">
        <v>6.5</v>
      </c>
      <c r="O1064">
        <v>2.2000000000000002</v>
      </c>
      <c r="P1064">
        <v>0.7</v>
      </c>
      <c r="Q1064">
        <v>3</v>
      </c>
      <c r="R1064">
        <v>4</v>
      </c>
      <c r="S1064">
        <v>3</v>
      </c>
      <c r="T1064" t="s">
        <v>30</v>
      </c>
      <c r="U1064">
        <v>5</v>
      </c>
      <c r="W1064" t="s">
        <v>1649</v>
      </c>
      <c r="X1064" t="s">
        <v>1656</v>
      </c>
      <c r="Y1064" t="s">
        <v>1665</v>
      </c>
      <c r="Z1064">
        <v>0</v>
      </c>
    </row>
    <row r="1065" spans="1:26" x14ac:dyDescent="0.35">
      <c r="A1065" t="s">
        <v>1460</v>
      </c>
      <c r="B1065" s="6">
        <v>44966</v>
      </c>
      <c r="C1065" t="s">
        <v>23</v>
      </c>
      <c r="D1065">
        <v>34</v>
      </c>
      <c r="E1065" t="s">
        <v>62</v>
      </c>
      <c r="F1065" t="s">
        <v>42</v>
      </c>
      <c r="G1065" t="s">
        <v>58</v>
      </c>
      <c r="H1065" t="s">
        <v>55</v>
      </c>
      <c r="I1065" t="s">
        <v>80</v>
      </c>
      <c r="J1065" t="s">
        <v>1636</v>
      </c>
      <c r="K1065" t="s">
        <v>84</v>
      </c>
      <c r="L1065">
        <v>119000</v>
      </c>
      <c r="M1065">
        <v>9.9</v>
      </c>
      <c r="N1065">
        <v>8.4</v>
      </c>
      <c r="O1065">
        <v>2.9</v>
      </c>
      <c r="P1065">
        <v>0.3</v>
      </c>
      <c r="Q1065">
        <v>3</v>
      </c>
      <c r="R1065">
        <v>4</v>
      </c>
      <c r="S1065">
        <v>4</v>
      </c>
      <c r="T1065" t="s">
        <v>23</v>
      </c>
      <c r="U1065">
        <v>2</v>
      </c>
      <c r="W1065" t="s">
        <v>1650</v>
      </c>
      <c r="X1065" t="s">
        <v>1658</v>
      </c>
      <c r="Y1065" t="s">
        <v>1665</v>
      </c>
      <c r="Z1065">
        <v>0</v>
      </c>
    </row>
    <row r="1066" spans="1:26" x14ac:dyDescent="0.35">
      <c r="A1066" t="s">
        <v>991</v>
      </c>
      <c r="B1066" s="6">
        <v>44643</v>
      </c>
      <c r="C1066" t="s">
        <v>23</v>
      </c>
      <c r="D1066">
        <v>27</v>
      </c>
      <c r="E1066" t="s">
        <v>24</v>
      </c>
      <c r="F1066" t="s">
        <v>37</v>
      </c>
      <c r="G1066" t="s">
        <v>32</v>
      </c>
      <c r="H1066" t="s">
        <v>38</v>
      </c>
      <c r="I1066" t="s">
        <v>52</v>
      </c>
      <c r="J1066" t="s">
        <v>1632</v>
      </c>
      <c r="K1066" t="s">
        <v>84</v>
      </c>
      <c r="L1066">
        <v>51000</v>
      </c>
      <c r="M1066">
        <v>8.6</v>
      </c>
      <c r="N1066">
        <v>3.9</v>
      </c>
      <c r="O1066">
        <v>3.8</v>
      </c>
      <c r="P1066">
        <v>1.2</v>
      </c>
      <c r="Q1066">
        <v>4</v>
      </c>
      <c r="R1066">
        <v>3</v>
      </c>
      <c r="S1066">
        <v>3</v>
      </c>
      <c r="T1066" t="s">
        <v>23</v>
      </c>
      <c r="U1066">
        <v>4</v>
      </c>
      <c r="W1066" t="s">
        <v>1650</v>
      </c>
      <c r="X1066" t="s">
        <v>1656</v>
      </c>
      <c r="Y1066" t="s">
        <v>1661</v>
      </c>
      <c r="Z1066">
        <v>0</v>
      </c>
    </row>
    <row r="1067" spans="1:26" x14ac:dyDescent="0.35">
      <c r="A1067" t="s">
        <v>577</v>
      </c>
      <c r="B1067" s="6">
        <v>42093</v>
      </c>
      <c r="C1067" t="s">
        <v>23</v>
      </c>
      <c r="D1067">
        <v>40</v>
      </c>
      <c r="E1067" t="s">
        <v>36</v>
      </c>
      <c r="F1067" t="s">
        <v>25</v>
      </c>
      <c r="G1067" t="s">
        <v>32</v>
      </c>
      <c r="H1067" t="s">
        <v>45</v>
      </c>
      <c r="I1067" t="s">
        <v>164</v>
      </c>
      <c r="J1067" t="s">
        <v>1636</v>
      </c>
      <c r="K1067" t="s">
        <v>84</v>
      </c>
      <c r="L1067">
        <v>101000</v>
      </c>
      <c r="M1067">
        <v>12</v>
      </c>
      <c r="N1067">
        <v>18.100000000000001</v>
      </c>
      <c r="O1067">
        <v>10.8</v>
      </c>
      <c r="P1067">
        <v>3.6</v>
      </c>
      <c r="Q1067">
        <v>1</v>
      </c>
      <c r="R1067">
        <v>2</v>
      </c>
      <c r="S1067">
        <v>2</v>
      </c>
      <c r="T1067" t="s">
        <v>23</v>
      </c>
      <c r="U1067">
        <v>4</v>
      </c>
      <c r="W1067" t="s">
        <v>1649</v>
      </c>
      <c r="X1067" t="s">
        <v>1658</v>
      </c>
      <c r="Y1067" t="s">
        <v>1663</v>
      </c>
      <c r="Z1067">
        <v>0</v>
      </c>
    </row>
    <row r="1068" spans="1:26" x14ac:dyDescent="0.35">
      <c r="A1068" t="s">
        <v>979</v>
      </c>
      <c r="B1068" s="6">
        <v>44356</v>
      </c>
      <c r="C1068" t="s">
        <v>23</v>
      </c>
      <c r="D1068">
        <v>33</v>
      </c>
      <c r="E1068" t="s">
        <v>62</v>
      </c>
      <c r="F1068" t="s">
        <v>37</v>
      </c>
      <c r="G1068" t="s">
        <v>54</v>
      </c>
      <c r="H1068" t="s">
        <v>1634</v>
      </c>
      <c r="I1068" t="s">
        <v>75</v>
      </c>
      <c r="J1068" t="s">
        <v>1632</v>
      </c>
      <c r="K1068" t="s">
        <v>34</v>
      </c>
      <c r="L1068">
        <v>37000</v>
      </c>
      <c r="M1068">
        <v>10.199999999999999</v>
      </c>
      <c r="N1068">
        <v>5.4</v>
      </c>
      <c r="O1068">
        <v>4.5999999999999996</v>
      </c>
      <c r="P1068">
        <v>3.8</v>
      </c>
      <c r="Q1068">
        <v>2</v>
      </c>
      <c r="R1068">
        <v>2</v>
      </c>
      <c r="S1068">
        <v>2</v>
      </c>
      <c r="T1068" t="s">
        <v>23</v>
      </c>
      <c r="U1068">
        <v>3</v>
      </c>
      <c r="W1068" t="s">
        <v>1650</v>
      </c>
      <c r="X1068" t="s">
        <v>1655</v>
      </c>
      <c r="Y1068" t="s">
        <v>1661</v>
      </c>
      <c r="Z1068">
        <v>0</v>
      </c>
    </row>
    <row r="1069" spans="1:26" x14ac:dyDescent="0.35">
      <c r="A1069" t="s">
        <v>1171</v>
      </c>
      <c r="B1069" s="6">
        <v>45504</v>
      </c>
      <c r="C1069" t="s">
        <v>30</v>
      </c>
      <c r="D1069">
        <v>25</v>
      </c>
      <c r="E1069" t="s">
        <v>24</v>
      </c>
      <c r="F1069" t="s">
        <v>37</v>
      </c>
      <c r="G1069" t="s">
        <v>58</v>
      </c>
      <c r="H1069" t="s">
        <v>45</v>
      </c>
      <c r="I1069" t="s">
        <v>164</v>
      </c>
      <c r="J1069" t="s">
        <v>1632</v>
      </c>
      <c r="K1069" t="s">
        <v>40</v>
      </c>
      <c r="L1069">
        <v>40000</v>
      </c>
      <c r="M1069">
        <v>8.5</v>
      </c>
      <c r="N1069">
        <v>3.4</v>
      </c>
      <c r="O1069">
        <v>1.3</v>
      </c>
      <c r="P1069">
        <v>1.1000000000000001</v>
      </c>
      <c r="Q1069">
        <v>4</v>
      </c>
      <c r="R1069">
        <v>3</v>
      </c>
      <c r="S1069">
        <v>3</v>
      </c>
      <c r="T1069" t="s">
        <v>23</v>
      </c>
      <c r="U1069">
        <v>2</v>
      </c>
      <c r="V1069" s="7">
        <v>45975</v>
      </c>
      <c r="W1069" t="s">
        <v>1651</v>
      </c>
      <c r="X1069" t="s">
        <v>1656</v>
      </c>
      <c r="Y1069" t="s">
        <v>1665</v>
      </c>
      <c r="Z1069">
        <v>1</v>
      </c>
    </row>
    <row r="1070" spans="1:26" x14ac:dyDescent="0.35">
      <c r="A1070" t="s">
        <v>324</v>
      </c>
      <c r="B1070" s="6">
        <v>45306</v>
      </c>
      <c r="C1070" t="s">
        <v>23</v>
      </c>
      <c r="D1070">
        <v>23</v>
      </c>
      <c r="E1070" t="s">
        <v>36</v>
      </c>
      <c r="F1070" t="s">
        <v>42</v>
      </c>
      <c r="G1070" t="s">
        <v>32</v>
      </c>
      <c r="H1070" t="s">
        <v>48</v>
      </c>
      <c r="I1070" t="s">
        <v>201</v>
      </c>
      <c r="J1070" t="s">
        <v>1632</v>
      </c>
      <c r="K1070" t="s">
        <v>40</v>
      </c>
      <c r="L1070">
        <v>25000</v>
      </c>
      <c r="M1070">
        <v>0.9</v>
      </c>
      <c r="N1070">
        <v>5.7</v>
      </c>
      <c r="O1070">
        <v>2</v>
      </c>
      <c r="P1070">
        <v>0.1</v>
      </c>
      <c r="Q1070">
        <v>2</v>
      </c>
      <c r="R1070">
        <v>3</v>
      </c>
      <c r="S1070">
        <v>2</v>
      </c>
      <c r="T1070" t="s">
        <v>23</v>
      </c>
      <c r="U1070">
        <v>3</v>
      </c>
      <c r="W1070" t="s">
        <v>1651</v>
      </c>
      <c r="X1070" t="s">
        <v>1655</v>
      </c>
      <c r="Y1070" t="s">
        <v>1665</v>
      </c>
      <c r="Z1070">
        <v>0</v>
      </c>
    </row>
    <row r="1071" spans="1:26" x14ac:dyDescent="0.35">
      <c r="A1071" t="s">
        <v>1238</v>
      </c>
      <c r="B1071" s="6">
        <v>43084</v>
      </c>
      <c r="C1071" t="s">
        <v>23</v>
      </c>
      <c r="D1071">
        <v>29</v>
      </c>
      <c r="E1071" t="s">
        <v>36</v>
      </c>
      <c r="F1071" t="s">
        <v>42</v>
      </c>
      <c r="G1071" t="s">
        <v>54</v>
      </c>
      <c r="H1071" t="s">
        <v>1634</v>
      </c>
      <c r="I1071" t="s">
        <v>150</v>
      </c>
      <c r="J1071" t="s">
        <v>1633</v>
      </c>
      <c r="K1071" t="s">
        <v>84</v>
      </c>
      <c r="L1071">
        <v>43000</v>
      </c>
      <c r="M1071">
        <v>8.6999999999999993</v>
      </c>
      <c r="N1071">
        <v>14.3</v>
      </c>
      <c r="O1071">
        <v>8</v>
      </c>
      <c r="P1071">
        <v>2.5</v>
      </c>
      <c r="Q1071">
        <v>3</v>
      </c>
      <c r="R1071">
        <v>4</v>
      </c>
      <c r="S1071">
        <v>4</v>
      </c>
      <c r="T1071" t="s">
        <v>23</v>
      </c>
      <c r="U1071">
        <v>4</v>
      </c>
      <c r="W1071" t="s">
        <v>1650</v>
      </c>
      <c r="X1071" t="s">
        <v>1656</v>
      </c>
      <c r="Y1071" t="s">
        <v>1662</v>
      </c>
      <c r="Z1071">
        <v>0</v>
      </c>
    </row>
    <row r="1072" spans="1:26" x14ac:dyDescent="0.35">
      <c r="A1072" t="s">
        <v>783</v>
      </c>
      <c r="B1072" s="6">
        <v>42895</v>
      </c>
      <c r="C1072" t="s">
        <v>23</v>
      </c>
      <c r="D1072">
        <v>48</v>
      </c>
      <c r="E1072" t="s">
        <v>36</v>
      </c>
      <c r="F1072" t="s">
        <v>25</v>
      </c>
      <c r="G1072" t="s">
        <v>58</v>
      </c>
      <c r="H1072" t="s">
        <v>68</v>
      </c>
      <c r="I1072" t="s">
        <v>109</v>
      </c>
      <c r="J1072" t="s">
        <v>1633</v>
      </c>
      <c r="K1072" t="s">
        <v>40</v>
      </c>
      <c r="L1072">
        <v>39000</v>
      </c>
      <c r="M1072">
        <v>13.6</v>
      </c>
      <c r="N1072">
        <v>10.8</v>
      </c>
      <c r="O1072">
        <v>8.6</v>
      </c>
      <c r="P1072">
        <v>3.8</v>
      </c>
      <c r="Q1072">
        <v>4</v>
      </c>
      <c r="R1072">
        <v>3</v>
      </c>
      <c r="S1072">
        <v>3</v>
      </c>
      <c r="T1072" t="s">
        <v>23</v>
      </c>
      <c r="U1072">
        <v>3</v>
      </c>
      <c r="W1072" t="s">
        <v>1652</v>
      </c>
      <c r="X1072" t="s">
        <v>1655</v>
      </c>
      <c r="Y1072" t="s">
        <v>1662</v>
      </c>
      <c r="Z1072">
        <v>0</v>
      </c>
    </row>
    <row r="1073" spans="1:26" x14ac:dyDescent="0.35">
      <c r="A1073" t="s">
        <v>895</v>
      </c>
      <c r="B1073" s="6">
        <v>44185</v>
      </c>
      <c r="C1073" t="s">
        <v>23</v>
      </c>
      <c r="D1073">
        <v>28</v>
      </c>
      <c r="E1073" t="s">
        <v>24</v>
      </c>
      <c r="F1073" t="s">
        <v>42</v>
      </c>
      <c r="G1073" t="s">
        <v>58</v>
      </c>
      <c r="H1073" t="s">
        <v>27</v>
      </c>
      <c r="I1073" t="s">
        <v>95</v>
      </c>
      <c r="J1073" t="s">
        <v>1633</v>
      </c>
      <c r="K1073" t="s">
        <v>29</v>
      </c>
      <c r="L1073">
        <v>52000</v>
      </c>
      <c r="M1073">
        <v>7.2</v>
      </c>
      <c r="N1073">
        <v>12.9</v>
      </c>
      <c r="O1073">
        <v>5</v>
      </c>
      <c r="P1073">
        <v>0.1</v>
      </c>
      <c r="Q1073">
        <v>2</v>
      </c>
      <c r="R1073">
        <v>4</v>
      </c>
      <c r="S1073">
        <v>1</v>
      </c>
      <c r="T1073" t="s">
        <v>30</v>
      </c>
      <c r="U1073">
        <v>1</v>
      </c>
      <c r="W1073" t="s">
        <v>1650</v>
      </c>
      <c r="X1073" t="s">
        <v>1656</v>
      </c>
      <c r="Y1073" t="s">
        <v>1661</v>
      </c>
      <c r="Z1073">
        <v>0</v>
      </c>
    </row>
    <row r="1074" spans="1:26" x14ac:dyDescent="0.35">
      <c r="A1074" t="s">
        <v>1139</v>
      </c>
      <c r="B1074" s="6">
        <v>44903</v>
      </c>
      <c r="C1074" t="s">
        <v>23</v>
      </c>
      <c r="D1074">
        <v>44</v>
      </c>
      <c r="E1074" t="s">
        <v>36</v>
      </c>
      <c r="F1074" t="s">
        <v>37</v>
      </c>
      <c r="G1074" t="s">
        <v>32</v>
      </c>
      <c r="H1074" t="s">
        <v>55</v>
      </c>
      <c r="I1074" t="s">
        <v>179</v>
      </c>
      <c r="J1074" t="s">
        <v>1632</v>
      </c>
      <c r="K1074" t="s">
        <v>29</v>
      </c>
      <c r="L1074">
        <v>45000</v>
      </c>
      <c r="M1074">
        <v>11</v>
      </c>
      <c r="N1074">
        <v>4</v>
      </c>
      <c r="O1074">
        <v>3.1</v>
      </c>
      <c r="P1074">
        <v>1</v>
      </c>
      <c r="Q1074">
        <v>4</v>
      </c>
      <c r="R1074">
        <v>3</v>
      </c>
      <c r="S1074">
        <v>2</v>
      </c>
      <c r="T1074" t="s">
        <v>23</v>
      </c>
      <c r="U1074">
        <v>3</v>
      </c>
      <c r="W1074" t="s">
        <v>1649</v>
      </c>
      <c r="X1074" t="s">
        <v>1656</v>
      </c>
      <c r="Y1074" t="s">
        <v>1661</v>
      </c>
      <c r="Z1074">
        <v>0</v>
      </c>
    </row>
    <row r="1075" spans="1:26" x14ac:dyDescent="0.35">
      <c r="A1075" t="s">
        <v>898</v>
      </c>
      <c r="B1075" s="6">
        <v>45365</v>
      </c>
      <c r="C1075" t="s">
        <v>23</v>
      </c>
      <c r="D1075">
        <v>23</v>
      </c>
      <c r="E1075" t="s">
        <v>36</v>
      </c>
      <c r="F1075" t="s">
        <v>37</v>
      </c>
      <c r="G1075" t="s">
        <v>54</v>
      </c>
      <c r="H1075" t="s">
        <v>45</v>
      </c>
      <c r="I1075" t="s">
        <v>46</v>
      </c>
      <c r="J1075" t="s">
        <v>1632</v>
      </c>
      <c r="K1075" t="s">
        <v>29</v>
      </c>
      <c r="L1075">
        <v>30000</v>
      </c>
      <c r="M1075">
        <v>13.8</v>
      </c>
      <c r="N1075">
        <v>8.6</v>
      </c>
      <c r="O1075">
        <v>1.8</v>
      </c>
      <c r="P1075">
        <v>0.9</v>
      </c>
      <c r="Q1075">
        <v>2</v>
      </c>
      <c r="R1075">
        <v>3</v>
      </c>
      <c r="S1075">
        <v>3</v>
      </c>
      <c r="T1075" t="s">
        <v>30</v>
      </c>
      <c r="U1075">
        <v>5</v>
      </c>
      <c r="W1075" t="s">
        <v>1651</v>
      </c>
      <c r="X1075" t="s">
        <v>1655</v>
      </c>
      <c r="Y1075" t="s">
        <v>1665</v>
      </c>
      <c r="Z1075">
        <v>0</v>
      </c>
    </row>
    <row r="1076" spans="1:26" x14ac:dyDescent="0.35">
      <c r="A1076" t="s">
        <v>704</v>
      </c>
      <c r="B1076" s="6">
        <v>44978</v>
      </c>
      <c r="C1076" t="s">
        <v>23</v>
      </c>
      <c r="D1076">
        <v>26</v>
      </c>
      <c r="E1076" t="s">
        <v>62</v>
      </c>
      <c r="F1076" t="s">
        <v>25</v>
      </c>
      <c r="G1076" t="s">
        <v>32</v>
      </c>
      <c r="H1076" t="s">
        <v>55</v>
      </c>
      <c r="I1076" t="s">
        <v>80</v>
      </c>
      <c r="J1076" t="s">
        <v>1632</v>
      </c>
      <c r="K1076" t="s">
        <v>84</v>
      </c>
      <c r="L1076">
        <v>40000</v>
      </c>
      <c r="M1076">
        <v>5.0999999999999996</v>
      </c>
      <c r="N1076">
        <v>8</v>
      </c>
      <c r="O1076">
        <v>2.9</v>
      </c>
      <c r="P1076">
        <v>0.4</v>
      </c>
      <c r="Q1076">
        <v>3</v>
      </c>
      <c r="R1076">
        <v>1</v>
      </c>
      <c r="S1076">
        <v>3</v>
      </c>
      <c r="T1076" t="s">
        <v>23</v>
      </c>
      <c r="U1076">
        <v>3</v>
      </c>
      <c r="W1076" t="s">
        <v>1650</v>
      </c>
      <c r="X1076" t="s">
        <v>1656</v>
      </c>
      <c r="Y1076" t="s">
        <v>1665</v>
      </c>
      <c r="Z1076">
        <v>0</v>
      </c>
    </row>
    <row r="1077" spans="1:26" x14ac:dyDescent="0.35">
      <c r="A1077" t="s">
        <v>1190</v>
      </c>
      <c r="B1077" s="6">
        <v>45666</v>
      </c>
      <c r="C1077" t="s">
        <v>23</v>
      </c>
      <c r="D1077">
        <v>30</v>
      </c>
      <c r="E1077" t="s">
        <v>62</v>
      </c>
      <c r="F1077" t="s">
        <v>37</v>
      </c>
      <c r="G1077" t="s">
        <v>26</v>
      </c>
      <c r="H1077" t="s">
        <v>68</v>
      </c>
      <c r="I1077" t="s">
        <v>109</v>
      </c>
      <c r="J1077" t="s">
        <v>1636</v>
      </c>
      <c r="K1077" t="s">
        <v>29</v>
      </c>
      <c r="L1077">
        <v>98000</v>
      </c>
      <c r="M1077">
        <v>5.0999999999999996</v>
      </c>
      <c r="N1077">
        <v>7.4</v>
      </c>
      <c r="O1077">
        <v>1</v>
      </c>
      <c r="P1077">
        <v>0.1</v>
      </c>
      <c r="Q1077">
        <v>4</v>
      </c>
      <c r="R1077">
        <v>2</v>
      </c>
      <c r="S1077">
        <v>4</v>
      </c>
      <c r="T1077" t="s">
        <v>30</v>
      </c>
      <c r="U1077">
        <v>2</v>
      </c>
      <c r="W1077" t="s">
        <v>1650</v>
      </c>
      <c r="X1077" t="s">
        <v>1657</v>
      </c>
      <c r="Y1077" t="s">
        <v>1665</v>
      </c>
      <c r="Z1077">
        <v>0</v>
      </c>
    </row>
    <row r="1078" spans="1:26" x14ac:dyDescent="0.35">
      <c r="A1078" t="s">
        <v>1444</v>
      </c>
      <c r="B1078" s="6">
        <v>45833</v>
      </c>
      <c r="C1078" t="s">
        <v>23</v>
      </c>
      <c r="D1078">
        <v>24</v>
      </c>
      <c r="E1078" t="s">
        <v>62</v>
      </c>
      <c r="F1078" t="s">
        <v>37</v>
      </c>
      <c r="G1078" t="s">
        <v>54</v>
      </c>
      <c r="H1078" t="s">
        <v>68</v>
      </c>
      <c r="I1078" t="s">
        <v>102</v>
      </c>
      <c r="J1078" t="s">
        <v>1632</v>
      </c>
      <c r="K1078" t="s">
        <v>34</v>
      </c>
      <c r="L1078">
        <v>22000</v>
      </c>
      <c r="M1078">
        <v>6.5</v>
      </c>
      <c r="N1078">
        <v>3.8</v>
      </c>
      <c r="O1078">
        <v>0.5</v>
      </c>
      <c r="P1078">
        <v>0</v>
      </c>
      <c r="Q1078">
        <v>4</v>
      </c>
      <c r="R1078">
        <v>2</v>
      </c>
      <c r="S1078">
        <v>3</v>
      </c>
      <c r="T1078" t="s">
        <v>23</v>
      </c>
      <c r="U1078">
        <v>3</v>
      </c>
      <c r="W1078" t="s">
        <v>1651</v>
      </c>
      <c r="X1078" t="s">
        <v>1655</v>
      </c>
      <c r="Y1078" t="s">
        <v>1664</v>
      </c>
      <c r="Z1078">
        <v>0</v>
      </c>
    </row>
    <row r="1079" spans="1:26" x14ac:dyDescent="0.35">
      <c r="A1079" t="s">
        <v>1061</v>
      </c>
      <c r="B1079" s="6">
        <v>45157</v>
      </c>
      <c r="C1079" t="s">
        <v>23</v>
      </c>
      <c r="D1079">
        <v>32</v>
      </c>
      <c r="E1079" t="s">
        <v>24</v>
      </c>
      <c r="F1079" t="s">
        <v>25</v>
      </c>
      <c r="G1079" t="s">
        <v>26</v>
      </c>
      <c r="H1079" t="s">
        <v>27</v>
      </c>
      <c r="I1079" t="s">
        <v>43</v>
      </c>
      <c r="J1079" t="s">
        <v>1635</v>
      </c>
      <c r="K1079" t="s">
        <v>84</v>
      </c>
      <c r="L1079">
        <v>69000</v>
      </c>
      <c r="M1079">
        <v>9.1999999999999993</v>
      </c>
      <c r="N1079">
        <v>4.5</v>
      </c>
      <c r="O1079">
        <v>2.4</v>
      </c>
      <c r="P1079">
        <v>2.2999999999999998</v>
      </c>
      <c r="Q1079">
        <v>3</v>
      </c>
      <c r="R1079">
        <v>3</v>
      </c>
      <c r="S1079">
        <v>3</v>
      </c>
      <c r="T1079" t="s">
        <v>30</v>
      </c>
      <c r="U1079">
        <v>2</v>
      </c>
      <c r="W1079" t="s">
        <v>1650</v>
      </c>
      <c r="X1079" t="s">
        <v>1659</v>
      </c>
      <c r="Y1079" t="s">
        <v>1665</v>
      </c>
      <c r="Z1079">
        <v>0</v>
      </c>
    </row>
    <row r="1080" spans="1:26" x14ac:dyDescent="0.35">
      <c r="A1080" t="s">
        <v>1085</v>
      </c>
      <c r="B1080" s="6">
        <v>42599</v>
      </c>
      <c r="C1080" t="s">
        <v>23</v>
      </c>
      <c r="D1080">
        <v>36</v>
      </c>
      <c r="E1080" t="s">
        <v>36</v>
      </c>
      <c r="F1080" t="s">
        <v>37</v>
      </c>
      <c r="G1080" t="s">
        <v>54</v>
      </c>
      <c r="H1080" t="s">
        <v>55</v>
      </c>
      <c r="I1080" t="s">
        <v>56</v>
      </c>
      <c r="J1080" t="s">
        <v>1635</v>
      </c>
      <c r="K1080" t="s">
        <v>40</v>
      </c>
      <c r="L1080">
        <v>93000</v>
      </c>
      <c r="M1080">
        <v>7.4</v>
      </c>
      <c r="N1080">
        <v>13.8</v>
      </c>
      <c r="O1080">
        <v>9.4</v>
      </c>
      <c r="P1080">
        <v>4.4000000000000004</v>
      </c>
      <c r="Q1080">
        <v>3</v>
      </c>
      <c r="R1080">
        <v>3</v>
      </c>
      <c r="S1080">
        <v>3</v>
      </c>
      <c r="T1080" t="s">
        <v>23</v>
      </c>
      <c r="U1080">
        <v>3</v>
      </c>
      <c r="W1080" t="s">
        <v>1649</v>
      </c>
      <c r="X1080" t="s">
        <v>1657</v>
      </c>
      <c r="Y1080" t="s">
        <v>1662</v>
      </c>
      <c r="Z1080">
        <v>0</v>
      </c>
    </row>
    <row r="1081" spans="1:26" x14ac:dyDescent="0.35">
      <c r="A1081" t="s">
        <v>111</v>
      </c>
      <c r="B1081" s="6">
        <v>44733</v>
      </c>
      <c r="C1081" t="s">
        <v>23</v>
      </c>
      <c r="D1081">
        <v>25</v>
      </c>
      <c r="E1081" t="s">
        <v>36</v>
      </c>
      <c r="F1081" t="s">
        <v>37</v>
      </c>
      <c r="G1081" t="s">
        <v>32</v>
      </c>
      <c r="H1081" t="s">
        <v>38</v>
      </c>
      <c r="I1081" t="s">
        <v>52</v>
      </c>
      <c r="J1081" t="s">
        <v>1632</v>
      </c>
      <c r="K1081" t="s">
        <v>40</v>
      </c>
      <c r="L1081">
        <v>48000</v>
      </c>
      <c r="M1081">
        <v>9.6</v>
      </c>
      <c r="N1081">
        <v>10.9</v>
      </c>
      <c r="O1081">
        <v>3.5</v>
      </c>
      <c r="P1081">
        <v>2.2999999999999998</v>
      </c>
      <c r="Q1081">
        <v>4</v>
      </c>
      <c r="R1081">
        <v>4</v>
      </c>
      <c r="S1081">
        <v>4</v>
      </c>
      <c r="T1081" t="s">
        <v>30</v>
      </c>
      <c r="U1081">
        <v>5</v>
      </c>
      <c r="W1081" t="s">
        <v>1651</v>
      </c>
      <c r="X1081" t="s">
        <v>1656</v>
      </c>
      <c r="Y1081" t="s">
        <v>1661</v>
      </c>
      <c r="Z1081">
        <v>0</v>
      </c>
    </row>
    <row r="1082" spans="1:26" x14ac:dyDescent="0.35">
      <c r="A1082" t="s">
        <v>305</v>
      </c>
      <c r="B1082" s="6">
        <v>42146</v>
      </c>
      <c r="C1082" t="s">
        <v>23</v>
      </c>
      <c r="D1082">
        <v>33</v>
      </c>
      <c r="E1082" t="s">
        <v>24</v>
      </c>
      <c r="F1082" t="s">
        <v>37</v>
      </c>
      <c r="G1082" t="s">
        <v>58</v>
      </c>
      <c r="H1082" t="s">
        <v>27</v>
      </c>
      <c r="I1082" t="s">
        <v>95</v>
      </c>
      <c r="J1082" t="s">
        <v>1635</v>
      </c>
      <c r="K1082" t="s">
        <v>29</v>
      </c>
      <c r="L1082">
        <v>73000</v>
      </c>
      <c r="M1082">
        <v>13.9</v>
      </c>
      <c r="N1082">
        <v>15.9</v>
      </c>
      <c r="O1082">
        <v>10.6</v>
      </c>
      <c r="P1082">
        <v>3.5</v>
      </c>
      <c r="Q1082">
        <v>4</v>
      </c>
      <c r="R1082">
        <v>3</v>
      </c>
      <c r="S1082">
        <v>2</v>
      </c>
      <c r="T1082" t="s">
        <v>23</v>
      </c>
      <c r="U1082">
        <v>4</v>
      </c>
      <c r="W1082" t="s">
        <v>1650</v>
      </c>
      <c r="X1082" t="s">
        <v>1659</v>
      </c>
      <c r="Y1082" t="s">
        <v>1663</v>
      </c>
      <c r="Z1082">
        <v>0</v>
      </c>
    </row>
    <row r="1083" spans="1:26" x14ac:dyDescent="0.35">
      <c r="A1083" t="s">
        <v>812</v>
      </c>
      <c r="B1083" s="6">
        <v>43506</v>
      </c>
      <c r="C1083" t="s">
        <v>23</v>
      </c>
      <c r="D1083">
        <v>28</v>
      </c>
      <c r="E1083" t="s">
        <v>36</v>
      </c>
      <c r="F1083" t="s">
        <v>37</v>
      </c>
      <c r="G1083" t="s">
        <v>32</v>
      </c>
      <c r="H1083" t="s">
        <v>68</v>
      </c>
      <c r="I1083" t="s">
        <v>109</v>
      </c>
      <c r="J1083" t="s">
        <v>1635</v>
      </c>
      <c r="K1083" t="s">
        <v>34</v>
      </c>
      <c r="L1083">
        <v>86000</v>
      </c>
      <c r="M1083">
        <v>6.6</v>
      </c>
      <c r="N1083">
        <v>9</v>
      </c>
      <c r="O1083">
        <v>6.9</v>
      </c>
      <c r="P1083">
        <v>0.7</v>
      </c>
      <c r="Q1083">
        <v>3</v>
      </c>
      <c r="R1083">
        <v>3</v>
      </c>
      <c r="S1083">
        <v>3</v>
      </c>
      <c r="T1083" t="s">
        <v>23</v>
      </c>
      <c r="U1083">
        <v>4</v>
      </c>
      <c r="W1083" t="s">
        <v>1650</v>
      </c>
      <c r="X1083" t="s">
        <v>1657</v>
      </c>
      <c r="Y1083" t="s">
        <v>1662</v>
      </c>
      <c r="Z1083">
        <v>0</v>
      </c>
    </row>
    <row r="1084" spans="1:26" x14ac:dyDescent="0.35">
      <c r="A1084" t="s">
        <v>1274</v>
      </c>
      <c r="B1084" s="6">
        <v>43473</v>
      </c>
      <c r="C1084" t="s">
        <v>23</v>
      </c>
      <c r="D1084">
        <v>45</v>
      </c>
      <c r="E1084" t="s">
        <v>62</v>
      </c>
      <c r="F1084" t="s">
        <v>42</v>
      </c>
      <c r="G1084" t="s">
        <v>26</v>
      </c>
      <c r="H1084" t="s">
        <v>68</v>
      </c>
      <c r="I1084" t="s">
        <v>109</v>
      </c>
      <c r="J1084" t="s">
        <v>1636</v>
      </c>
      <c r="K1084" t="s">
        <v>40</v>
      </c>
      <c r="L1084">
        <v>107000</v>
      </c>
      <c r="M1084">
        <v>11.7</v>
      </c>
      <c r="N1084">
        <v>13.2</v>
      </c>
      <c r="O1084">
        <v>7</v>
      </c>
      <c r="P1084">
        <v>3.7</v>
      </c>
      <c r="Q1084">
        <v>3</v>
      </c>
      <c r="R1084">
        <v>3</v>
      </c>
      <c r="S1084">
        <v>2</v>
      </c>
      <c r="T1084" t="s">
        <v>30</v>
      </c>
      <c r="U1084">
        <v>3</v>
      </c>
      <c r="W1084" t="s">
        <v>1649</v>
      </c>
      <c r="X1084" t="s">
        <v>1658</v>
      </c>
      <c r="Y1084" t="s">
        <v>1662</v>
      </c>
      <c r="Z1084">
        <v>0</v>
      </c>
    </row>
    <row r="1085" spans="1:26" x14ac:dyDescent="0.35">
      <c r="A1085" t="s">
        <v>1569</v>
      </c>
      <c r="B1085" s="6">
        <v>45220</v>
      </c>
      <c r="C1085" t="s">
        <v>23</v>
      </c>
      <c r="D1085">
        <v>38</v>
      </c>
      <c r="E1085" t="s">
        <v>36</v>
      </c>
      <c r="F1085" t="s">
        <v>37</v>
      </c>
      <c r="G1085" t="s">
        <v>32</v>
      </c>
      <c r="H1085" t="s">
        <v>27</v>
      </c>
      <c r="I1085" t="s">
        <v>95</v>
      </c>
      <c r="J1085" t="s">
        <v>1633</v>
      </c>
      <c r="K1085" t="s">
        <v>40</v>
      </c>
      <c r="L1085">
        <v>52000</v>
      </c>
      <c r="M1085">
        <v>10.9</v>
      </c>
      <c r="N1085">
        <v>8.3000000000000007</v>
      </c>
      <c r="O1085">
        <v>2.2000000000000002</v>
      </c>
      <c r="P1085">
        <v>2</v>
      </c>
      <c r="Q1085">
        <v>3</v>
      </c>
      <c r="R1085">
        <v>3</v>
      </c>
      <c r="S1085">
        <v>2</v>
      </c>
      <c r="T1085" t="s">
        <v>23</v>
      </c>
      <c r="U1085">
        <v>4</v>
      </c>
      <c r="W1085" t="s">
        <v>1649</v>
      </c>
      <c r="X1085" t="s">
        <v>1656</v>
      </c>
      <c r="Y1085" t="s">
        <v>1665</v>
      </c>
      <c r="Z1085">
        <v>0</v>
      </c>
    </row>
    <row r="1086" spans="1:26" x14ac:dyDescent="0.35">
      <c r="A1086" t="s">
        <v>796</v>
      </c>
      <c r="B1086" s="6">
        <v>45705</v>
      </c>
      <c r="C1086" t="s">
        <v>23</v>
      </c>
      <c r="D1086">
        <v>21</v>
      </c>
      <c r="E1086" t="s">
        <v>24</v>
      </c>
      <c r="F1086" t="s">
        <v>42</v>
      </c>
      <c r="G1086" t="s">
        <v>54</v>
      </c>
      <c r="H1086" t="s">
        <v>55</v>
      </c>
      <c r="I1086" t="s">
        <v>56</v>
      </c>
      <c r="J1086" t="s">
        <v>1632</v>
      </c>
      <c r="K1086" t="s">
        <v>66</v>
      </c>
      <c r="L1086">
        <v>44000</v>
      </c>
      <c r="M1086">
        <v>0.7</v>
      </c>
      <c r="N1086">
        <v>4</v>
      </c>
      <c r="O1086">
        <v>0.9</v>
      </c>
      <c r="P1086">
        <v>0</v>
      </c>
      <c r="Q1086">
        <v>2</v>
      </c>
      <c r="R1086">
        <v>4</v>
      </c>
      <c r="S1086">
        <v>3</v>
      </c>
      <c r="T1086" t="s">
        <v>334</v>
      </c>
      <c r="U1086">
        <v>3</v>
      </c>
      <c r="W1086" t="s">
        <v>1651</v>
      </c>
      <c r="X1086" t="s">
        <v>1656</v>
      </c>
      <c r="Y1086" t="s">
        <v>1664</v>
      </c>
      <c r="Z1086">
        <v>0</v>
      </c>
    </row>
    <row r="1087" spans="1:26" x14ac:dyDescent="0.35">
      <c r="A1087" t="s">
        <v>850</v>
      </c>
      <c r="B1087" s="6">
        <v>43751</v>
      </c>
      <c r="C1087" t="s">
        <v>23</v>
      </c>
      <c r="D1087">
        <v>40</v>
      </c>
      <c r="E1087" t="s">
        <v>62</v>
      </c>
      <c r="F1087" t="s">
        <v>25</v>
      </c>
      <c r="G1087" t="s">
        <v>54</v>
      </c>
      <c r="H1087" t="s">
        <v>1634</v>
      </c>
      <c r="I1087" t="s">
        <v>60</v>
      </c>
      <c r="J1087" t="s">
        <v>1635</v>
      </c>
      <c r="K1087" t="s">
        <v>50</v>
      </c>
      <c r="L1087">
        <v>77000</v>
      </c>
      <c r="M1087">
        <v>16.8</v>
      </c>
      <c r="N1087">
        <v>12.1</v>
      </c>
      <c r="O1087">
        <v>6.2</v>
      </c>
      <c r="P1087">
        <v>4.2</v>
      </c>
      <c r="Q1087">
        <v>3</v>
      </c>
      <c r="R1087">
        <v>3</v>
      </c>
      <c r="S1087">
        <v>3</v>
      </c>
      <c r="T1087" t="s">
        <v>23</v>
      </c>
      <c r="U1087">
        <v>3</v>
      </c>
      <c r="W1087" t="s">
        <v>1649</v>
      </c>
      <c r="X1087" t="s">
        <v>1659</v>
      </c>
      <c r="Y1087" t="s">
        <v>1662</v>
      </c>
      <c r="Z1087">
        <v>0</v>
      </c>
    </row>
    <row r="1088" spans="1:26" x14ac:dyDescent="0.35">
      <c r="A1088" t="s">
        <v>1559</v>
      </c>
      <c r="B1088" s="6">
        <v>45131</v>
      </c>
      <c r="C1088" t="s">
        <v>23</v>
      </c>
      <c r="D1088">
        <v>28</v>
      </c>
      <c r="E1088" t="s">
        <v>24</v>
      </c>
      <c r="F1088" t="s">
        <v>37</v>
      </c>
      <c r="G1088" t="s">
        <v>26</v>
      </c>
      <c r="H1088" t="s">
        <v>1634</v>
      </c>
      <c r="I1088" t="s">
        <v>75</v>
      </c>
      <c r="J1088" t="s">
        <v>1633</v>
      </c>
      <c r="K1088" t="s">
        <v>50</v>
      </c>
      <c r="L1088">
        <v>52000</v>
      </c>
      <c r="M1088">
        <v>8.8000000000000007</v>
      </c>
      <c r="N1088">
        <v>9</v>
      </c>
      <c r="O1088">
        <v>2.4</v>
      </c>
      <c r="P1088">
        <v>2.1</v>
      </c>
      <c r="Q1088">
        <v>4</v>
      </c>
      <c r="R1088">
        <v>3</v>
      </c>
      <c r="S1088">
        <v>2</v>
      </c>
      <c r="T1088" t="s">
        <v>23</v>
      </c>
      <c r="U1088">
        <v>2</v>
      </c>
      <c r="W1088" t="s">
        <v>1650</v>
      </c>
      <c r="X1088" t="s">
        <v>1656</v>
      </c>
      <c r="Y1088" t="s">
        <v>1665</v>
      </c>
      <c r="Z1088">
        <v>0</v>
      </c>
    </row>
    <row r="1089" spans="1:26" x14ac:dyDescent="0.35">
      <c r="A1089" t="s">
        <v>918</v>
      </c>
      <c r="B1089" s="6">
        <v>44574</v>
      </c>
      <c r="C1089" t="s">
        <v>23</v>
      </c>
      <c r="D1089">
        <v>26</v>
      </c>
      <c r="E1089" t="s">
        <v>62</v>
      </c>
      <c r="F1089" t="s">
        <v>25</v>
      </c>
      <c r="G1089" t="s">
        <v>32</v>
      </c>
      <c r="H1089" t="s">
        <v>1634</v>
      </c>
      <c r="I1089" t="s">
        <v>86</v>
      </c>
      <c r="J1089" t="s">
        <v>1632</v>
      </c>
      <c r="K1089" t="s">
        <v>50</v>
      </c>
      <c r="L1089">
        <v>28000</v>
      </c>
      <c r="M1089">
        <v>0.9</v>
      </c>
      <c r="N1089">
        <v>10</v>
      </c>
      <c r="O1089">
        <v>4</v>
      </c>
      <c r="P1089">
        <v>2.7</v>
      </c>
      <c r="Q1089">
        <v>4</v>
      </c>
      <c r="R1089">
        <v>2</v>
      </c>
      <c r="S1089">
        <v>2</v>
      </c>
      <c r="T1089" t="s">
        <v>30</v>
      </c>
      <c r="U1089">
        <v>3</v>
      </c>
      <c r="W1089" t="s">
        <v>1650</v>
      </c>
      <c r="X1089" t="s">
        <v>1655</v>
      </c>
      <c r="Y1089" t="s">
        <v>1661</v>
      </c>
      <c r="Z1089">
        <v>0</v>
      </c>
    </row>
    <row r="1090" spans="1:26" x14ac:dyDescent="0.35">
      <c r="A1090" t="s">
        <v>906</v>
      </c>
      <c r="B1090" s="6">
        <v>43660</v>
      </c>
      <c r="C1090" t="s">
        <v>23</v>
      </c>
      <c r="D1090">
        <v>31</v>
      </c>
      <c r="E1090" t="s">
        <v>62</v>
      </c>
      <c r="F1090" t="s">
        <v>37</v>
      </c>
      <c r="G1090" t="s">
        <v>26</v>
      </c>
      <c r="H1090" t="s">
        <v>27</v>
      </c>
      <c r="I1090" t="s">
        <v>95</v>
      </c>
      <c r="J1090" t="s">
        <v>1636</v>
      </c>
      <c r="K1090" t="s">
        <v>40</v>
      </c>
      <c r="L1090">
        <v>91000</v>
      </c>
      <c r="M1090">
        <v>10.6</v>
      </c>
      <c r="N1090">
        <v>10.5</v>
      </c>
      <c r="O1090">
        <v>6.5</v>
      </c>
      <c r="P1090">
        <v>3.7</v>
      </c>
      <c r="Q1090">
        <v>2</v>
      </c>
      <c r="R1090">
        <v>2</v>
      </c>
      <c r="S1090">
        <v>3</v>
      </c>
      <c r="T1090" t="s">
        <v>23</v>
      </c>
      <c r="U1090">
        <v>4</v>
      </c>
      <c r="W1090" t="s">
        <v>1650</v>
      </c>
      <c r="X1090" t="s">
        <v>1657</v>
      </c>
      <c r="Y1090" t="s">
        <v>1662</v>
      </c>
      <c r="Z1090">
        <v>0</v>
      </c>
    </row>
    <row r="1091" spans="1:26" x14ac:dyDescent="0.35">
      <c r="A1091" t="s">
        <v>248</v>
      </c>
      <c r="B1091" s="6">
        <v>41964</v>
      </c>
      <c r="C1091" t="s">
        <v>23</v>
      </c>
      <c r="D1091">
        <v>35</v>
      </c>
      <c r="E1091" t="s">
        <v>36</v>
      </c>
      <c r="F1091" t="s">
        <v>42</v>
      </c>
      <c r="G1091" t="s">
        <v>26</v>
      </c>
      <c r="H1091" t="s">
        <v>55</v>
      </c>
      <c r="I1091" t="s">
        <v>56</v>
      </c>
      <c r="J1091" t="s">
        <v>1636</v>
      </c>
      <c r="K1091" t="s">
        <v>40</v>
      </c>
      <c r="L1091">
        <v>126000</v>
      </c>
      <c r="M1091">
        <v>11.4</v>
      </c>
      <c r="N1091">
        <v>12.2</v>
      </c>
      <c r="O1091">
        <v>11.1</v>
      </c>
      <c r="P1091">
        <v>0.7</v>
      </c>
      <c r="Q1091">
        <v>3</v>
      </c>
      <c r="R1091">
        <v>4</v>
      </c>
      <c r="S1091">
        <v>3</v>
      </c>
      <c r="T1091" t="s">
        <v>23</v>
      </c>
      <c r="U1091">
        <v>2</v>
      </c>
      <c r="W1091" t="s">
        <v>1650</v>
      </c>
      <c r="X1091" t="s">
        <v>1658</v>
      </c>
      <c r="Y1091" t="s">
        <v>1663</v>
      </c>
      <c r="Z1091">
        <v>0</v>
      </c>
    </row>
    <row r="1092" spans="1:26" x14ac:dyDescent="0.35">
      <c r="A1092" t="s">
        <v>821</v>
      </c>
      <c r="B1092" s="6">
        <v>42829</v>
      </c>
      <c r="C1092" t="s">
        <v>23</v>
      </c>
      <c r="D1092">
        <v>35</v>
      </c>
      <c r="E1092" t="s">
        <v>62</v>
      </c>
      <c r="F1092" t="s">
        <v>37</v>
      </c>
      <c r="G1092" t="s">
        <v>26</v>
      </c>
      <c r="H1092" t="s">
        <v>55</v>
      </c>
      <c r="I1092" t="s">
        <v>56</v>
      </c>
      <c r="J1092" t="s">
        <v>1633</v>
      </c>
      <c r="K1092" t="s">
        <v>84</v>
      </c>
      <c r="L1092">
        <v>54000</v>
      </c>
      <c r="M1092">
        <v>10.1</v>
      </c>
      <c r="N1092">
        <v>16.100000000000001</v>
      </c>
      <c r="O1092">
        <v>8.6999999999999993</v>
      </c>
      <c r="P1092">
        <v>4.5999999999999996</v>
      </c>
      <c r="Q1092">
        <v>3</v>
      </c>
      <c r="R1092">
        <v>4</v>
      </c>
      <c r="S1092">
        <v>2</v>
      </c>
      <c r="T1092" t="s">
        <v>23</v>
      </c>
      <c r="U1092">
        <v>4</v>
      </c>
      <c r="W1092" t="s">
        <v>1650</v>
      </c>
      <c r="X1092" t="s">
        <v>1656</v>
      </c>
      <c r="Y1092" t="s">
        <v>1662</v>
      </c>
      <c r="Z1092">
        <v>0</v>
      </c>
    </row>
    <row r="1093" spans="1:26" x14ac:dyDescent="0.35">
      <c r="A1093" t="s">
        <v>1450</v>
      </c>
      <c r="B1093" s="6">
        <v>44841</v>
      </c>
      <c r="C1093" t="s">
        <v>23</v>
      </c>
      <c r="D1093">
        <v>29</v>
      </c>
      <c r="E1093" t="s">
        <v>36</v>
      </c>
      <c r="F1093" t="s">
        <v>37</v>
      </c>
      <c r="G1093" t="s">
        <v>26</v>
      </c>
      <c r="H1093" t="s">
        <v>27</v>
      </c>
      <c r="I1093" t="s">
        <v>95</v>
      </c>
      <c r="J1093" t="s">
        <v>1633</v>
      </c>
      <c r="K1093" t="s">
        <v>50</v>
      </c>
      <c r="L1093">
        <v>69000</v>
      </c>
      <c r="M1093">
        <v>6.9</v>
      </c>
      <c r="N1093">
        <v>10.199999999999999</v>
      </c>
      <c r="O1093">
        <v>3.2</v>
      </c>
      <c r="P1093">
        <v>2.6</v>
      </c>
      <c r="Q1093">
        <v>3</v>
      </c>
      <c r="R1093">
        <v>4</v>
      </c>
      <c r="S1093">
        <v>2</v>
      </c>
      <c r="T1093" t="s">
        <v>23</v>
      </c>
      <c r="U1093">
        <v>4</v>
      </c>
      <c r="W1093" t="s">
        <v>1650</v>
      </c>
      <c r="X1093" t="s">
        <v>1659</v>
      </c>
      <c r="Y1093" t="s">
        <v>1661</v>
      </c>
      <c r="Z1093">
        <v>0</v>
      </c>
    </row>
    <row r="1094" spans="1:26" x14ac:dyDescent="0.35">
      <c r="A1094" t="s">
        <v>1587</v>
      </c>
      <c r="B1094" s="6">
        <v>43992</v>
      </c>
      <c r="C1094" t="s">
        <v>23</v>
      </c>
      <c r="D1094">
        <v>28</v>
      </c>
      <c r="E1094" t="s">
        <v>24</v>
      </c>
      <c r="F1094" t="s">
        <v>37</v>
      </c>
      <c r="G1094" t="s">
        <v>32</v>
      </c>
      <c r="H1094" t="s">
        <v>68</v>
      </c>
      <c r="I1094" t="s">
        <v>102</v>
      </c>
      <c r="J1094" t="s">
        <v>1635</v>
      </c>
      <c r="K1094" t="s">
        <v>29</v>
      </c>
      <c r="L1094">
        <v>79000</v>
      </c>
      <c r="M1094">
        <v>2</v>
      </c>
      <c r="N1094">
        <v>5.6</v>
      </c>
      <c r="O1094">
        <v>5.6</v>
      </c>
      <c r="P1094">
        <v>3.7</v>
      </c>
      <c r="Q1094">
        <v>2</v>
      </c>
      <c r="R1094">
        <v>4</v>
      </c>
      <c r="S1094">
        <v>2</v>
      </c>
      <c r="T1094" t="s">
        <v>23</v>
      </c>
      <c r="U1094">
        <v>3</v>
      </c>
      <c r="W1094" t="s">
        <v>1650</v>
      </c>
      <c r="X1094" t="s">
        <v>1659</v>
      </c>
      <c r="Y1094" t="s">
        <v>1661</v>
      </c>
      <c r="Z1094">
        <v>0</v>
      </c>
    </row>
    <row r="1095" spans="1:26" x14ac:dyDescent="0.35">
      <c r="A1095" t="s">
        <v>1269</v>
      </c>
      <c r="B1095" s="6">
        <v>44206</v>
      </c>
      <c r="C1095" t="s">
        <v>23</v>
      </c>
      <c r="D1095">
        <v>25</v>
      </c>
      <c r="E1095" t="s">
        <v>62</v>
      </c>
      <c r="F1095" t="s">
        <v>25</v>
      </c>
      <c r="G1095" t="s">
        <v>58</v>
      </c>
      <c r="H1095" t="s">
        <v>1634</v>
      </c>
      <c r="I1095" t="s">
        <v>150</v>
      </c>
      <c r="J1095" t="s">
        <v>1632</v>
      </c>
      <c r="K1095" t="s">
        <v>40</v>
      </c>
      <c r="L1095">
        <v>34000</v>
      </c>
      <c r="M1095">
        <v>13</v>
      </c>
      <c r="N1095">
        <v>11.5</v>
      </c>
      <c r="O1095">
        <v>5</v>
      </c>
      <c r="P1095">
        <v>3.7</v>
      </c>
      <c r="Q1095">
        <v>3</v>
      </c>
      <c r="R1095">
        <v>1</v>
      </c>
      <c r="S1095">
        <v>4</v>
      </c>
      <c r="T1095" t="s">
        <v>23</v>
      </c>
      <c r="U1095">
        <v>4</v>
      </c>
      <c r="W1095" t="s">
        <v>1651</v>
      </c>
      <c r="X1095" t="s">
        <v>1655</v>
      </c>
      <c r="Y1095" t="s">
        <v>1661</v>
      </c>
      <c r="Z1095">
        <v>0</v>
      </c>
    </row>
    <row r="1096" spans="1:26" x14ac:dyDescent="0.35">
      <c r="A1096" t="s">
        <v>1433</v>
      </c>
      <c r="B1096" s="6">
        <v>45702</v>
      </c>
      <c r="C1096" t="s">
        <v>23</v>
      </c>
      <c r="D1096">
        <v>21</v>
      </c>
      <c r="E1096" t="s">
        <v>36</v>
      </c>
      <c r="F1096" t="s">
        <v>42</v>
      </c>
      <c r="G1096" t="s">
        <v>32</v>
      </c>
      <c r="H1096" t="s">
        <v>1634</v>
      </c>
      <c r="I1096" t="s">
        <v>60</v>
      </c>
      <c r="J1096" t="s">
        <v>1632</v>
      </c>
      <c r="K1096" t="s">
        <v>40</v>
      </c>
      <c r="L1096">
        <v>51000</v>
      </c>
      <c r="M1096">
        <v>10.199999999999999</v>
      </c>
      <c r="N1096">
        <v>2</v>
      </c>
      <c r="O1096">
        <v>0.9</v>
      </c>
      <c r="P1096">
        <v>0</v>
      </c>
      <c r="Q1096">
        <v>2</v>
      </c>
      <c r="R1096">
        <v>4</v>
      </c>
      <c r="S1096">
        <v>3</v>
      </c>
      <c r="T1096" t="s">
        <v>23</v>
      </c>
      <c r="U1096">
        <v>4</v>
      </c>
      <c r="W1096" t="s">
        <v>1651</v>
      </c>
      <c r="X1096" t="s">
        <v>1656</v>
      </c>
      <c r="Y1096" t="s">
        <v>1664</v>
      </c>
      <c r="Z1096">
        <v>0</v>
      </c>
    </row>
    <row r="1097" spans="1:26" x14ac:dyDescent="0.35">
      <c r="A1097" t="s">
        <v>854</v>
      </c>
      <c r="B1097" s="6">
        <v>45593</v>
      </c>
      <c r="C1097" t="s">
        <v>30</v>
      </c>
      <c r="D1097">
        <v>34</v>
      </c>
      <c r="E1097" t="s">
        <v>36</v>
      </c>
      <c r="F1097" t="s">
        <v>42</v>
      </c>
      <c r="G1097" t="s">
        <v>26</v>
      </c>
      <c r="H1097" t="s">
        <v>1634</v>
      </c>
      <c r="I1097" t="s">
        <v>75</v>
      </c>
      <c r="J1097" t="s">
        <v>1633</v>
      </c>
      <c r="K1097" t="s">
        <v>40</v>
      </c>
      <c r="L1097">
        <v>53000</v>
      </c>
      <c r="M1097">
        <v>6.3</v>
      </c>
      <c r="N1097">
        <v>8.3000000000000007</v>
      </c>
      <c r="O1097">
        <v>0.9</v>
      </c>
      <c r="P1097">
        <v>0</v>
      </c>
      <c r="Q1097">
        <v>2</v>
      </c>
      <c r="R1097">
        <v>3</v>
      </c>
      <c r="S1097">
        <v>2</v>
      </c>
      <c r="T1097" t="s">
        <v>23</v>
      </c>
      <c r="U1097">
        <v>3</v>
      </c>
      <c r="V1097" s="7">
        <v>45904</v>
      </c>
      <c r="W1097" t="s">
        <v>1650</v>
      </c>
      <c r="X1097" t="s">
        <v>1656</v>
      </c>
      <c r="Y1097" t="s">
        <v>1664</v>
      </c>
      <c r="Z1097">
        <v>1</v>
      </c>
    </row>
    <row r="1098" spans="1:26" x14ac:dyDescent="0.35">
      <c r="A1098" t="s">
        <v>997</v>
      </c>
      <c r="B1098" s="6">
        <v>43620</v>
      </c>
      <c r="C1098" t="s">
        <v>23</v>
      </c>
      <c r="D1098">
        <v>29</v>
      </c>
      <c r="E1098" t="s">
        <v>24</v>
      </c>
      <c r="F1098" t="s">
        <v>42</v>
      </c>
      <c r="G1098" t="s">
        <v>58</v>
      </c>
      <c r="H1098" t="s">
        <v>27</v>
      </c>
      <c r="I1098" t="s">
        <v>43</v>
      </c>
      <c r="J1098" t="s">
        <v>1633</v>
      </c>
      <c r="K1098" t="s">
        <v>84</v>
      </c>
      <c r="L1098">
        <v>47000</v>
      </c>
      <c r="M1098">
        <v>6.3</v>
      </c>
      <c r="N1098">
        <v>9.9</v>
      </c>
      <c r="O1098">
        <v>6.6</v>
      </c>
      <c r="P1098">
        <v>0.8</v>
      </c>
      <c r="Q1098">
        <v>3</v>
      </c>
      <c r="R1098">
        <v>4</v>
      </c>
      <c r="S1098">
        <v>3</v>
      </c>
      <c r="T1098" t="s">
        <v>30</v>
      </c>
      <c r="U1098">
        <v>5</v>
      </c>
      <c r="W1098" t="s">
        <v>1650</v>
      </c>
      <c r="X1098" t="s">
        <v>1656</v>
      </c>
      <c r="Y1098" t="s">
        <v>1662</v>
      </c>
      <c r="Z1098">
        <v>0</v>
      </c>
    </row>
    <row r="1099" spans="1:26" x14ac:dyDescent="0.35">
      <c r="A1099" t="s">
        <v>470</v>
      </c>
      <c r="B1099" s="6">
        <v>42988</v>
      </c>
      <c r="C1099" t="s">
        <v>23</v>
      </c>
      <c r="D1099">
        <v>34</v>
      </c>
      <c r="E1099" t="s">
        <v>36</v>
      </c>
      <c r="F1099" t="s">
        <v>42</v>
      </c>
      <c r="G1099" t="s">
        <v>54</v>
      </c>
      <c r="H1099" t="s">
        <v>1634</v>
      </c>
      <c r="I1099" t="s">
        <v>86</v>
      </c>
      <c r="J1099" t="s">
        <v>1636</v>
      </c>
      <c r="K1099" t="s">
        <v>84</v>
      </c>
      <c r="L1099">
        <v>113000</v>
      </c>
      <c r="M1099">
        <v>11.1</v>
      </c>
      <c r="N1099">
        <v>10.6</v>
      </c>
      <c r="O1099">
        <v>8.3000000000000007</v>
      </c>
      <c r="P1099">
        <v>1.5</v>
      </c>
      <c r="Q1099">
        <v>2</v>
      </c>
      <c r="R1099">
        <v>2</v>
      </c>
      <c r="S1099">
        <v>3</v>
      </c>
      <c r="T1099" t="s">
        <v>23</v>
      </c>
      <c r="U1099">
        <v>5</v>
      </c>
      <c r="W1099" t="s">
        <v>1650</v>
      </c>
      <c r="X1099" t="s">
        <v>1658</v>
      </c>
      <c r="Y1099" t="s">
        <v>1662</v>
      </c>
      <c r="Z1099">
        <v>0</v>
      </c>
    </row>
    <row r="1100" spans="1:26" x14ac:dyDescent="0.35">
      <c r="A1100" t="s">
        <v>889</v>
      </c>
      <c r="B1100" s="6">
        <v>44328</v>
      </c>
      <c r="C1100" t="s">
        <v>23</v>
      </c>
      <c r="D1100">
        <v>35</v>
      </c>
      <c r="E1100" t="s">
        <v>24</v>
      </c>
      <c r="F1100" t="s">
        <v>42</v>
      </c>
      <c r="G1100" t="s">
        <v>54</v>
      </c>
      <c r="H1100" t="s">
        <v>48</v>
      </c>
      <c r="I1100" t="s">
        <v>129</v>
      </c>
      <c r="J1100" t="s">
        <v>1635</v>
      </c>
      <c r="K1100" t="s">
        <v>34</v>
      </c>
      <c r="L1100">
        <v>75000</v>
      </c>
      <c r="M1100">
        <v>12.4</v>
      </c>
      <c r="N1100">
        <v>6.9</v>
      </c>
      <c r="O1100">
        <v>4.5999999999999996</v>
      </c>
      <c r="P1100">
        <v>3.9</v>
      </c>
      <c r="Q1100">
        <v>4</v>
      </c>
      <c r="R1100">
        <v>4</v>
      </c>
      <c r="S1100">
        <v>2</v>
      </c>
      <c r="T1100" t="s">
        <v>23</v>
      </c>
      <c r="U1100">
        <v>4</v>
      </c>
      <c r="W1100" t="s">
        <v>1650</v>
      </c>
      <c r="X1100" t="s">
        <v>1659</v>
      </c>
      <c r="Y1100" t="s">
        <v>1661</v>
      </c>
      <c r="Z1100">
        <v>0</v>
      </c>
    </row>
    <row r="1101" spans="1:26" x14ac:dyDescent="0.35">
      <c r="A1101" t="s">
        <v>790</v>
      </c>
      <c r="B1101" s="6">
        <v>45805</v>
      </c>
      <c r="C1101" t="s">
        <v>23</v>
      </c>
      <c r="D1101">
        <v>27</v>
      </c>
      <c r="E1101" t="s">
        <v>24</v>
      </c>
      <c r="F1101" t="s">
        <v>37</v>
      </c>
      <c r="G1101" t="s">
        <v>54</v>
      </c>
      <c r="H1101" t="s">
        <v>38</v>
      </c>
      <c r="I1101" t="s">
        <v>118</v>
      </c>
      <c r="J1101" t="s">
        <v>1632</v>
      </c>
      <c r="K1101" t="s">
        <v>34</v>
      </c>
      <c r="L1101">
        <v>29000</v>
      </c>
      <c r="M1101">
        <v>13.3</v>
      </c>
      <c r="N1101">
        <v>1.6</v>
      </c>
      <c r="O1101">
        <v>0.6</v>
      </c>
      <c r="P1101">
        <v>0</v>
      </c>
      <c r="Q1101">
        <v>2</v>
      </c>
      <c r="R1101">
        <v>4</v>
      </c>
      <c r="S1101">
        <v>3</v>
      </c>
      <c r="T1101" t="s">
        <v>30</v>
      </c>
      <c r="U1101">
        <v>3</v>
      </c>
      <c r="W1101" t="s">
        <v>1650</v>
      </c>
      <c r="X1101" t="s">
        <v>1655</v>
      </c>
      <c r="Y1101" t="s">
        <v>1664</v>
      </c>
      <c r="Z1101">
        <v>0</v>
      </c>
    </row>
    <row r="1102" spans="1:26" x14ac:dyDescent="0.35">
      <c r="A1102" t="s">
        <v>1327</v>
      </c>
      <c r="B1102" s="6">
        <v>44102</v>
      </c>
      <c r="C1102" t="s">
        <v>30</v>
      </c>
      <c r="D1102">
        <v>36</v>
      </c>
      <c r="E1102" t="s">
        <v>36</v>
      </c>
      <c r="F1102" t="s">
        <v>25</v>
      </c>
      <c r="G1102" t="s">
        <v>26</v>
      </c>
      <c r="H1102" t="s">
        <v>68</v>
      </c>
      <c r="I1102" t="s">
        <v>102</v>
      </c>
      <c r="J1102" t="s">
        <v>1635</v>
      </c>
      <c r="K1102" t="s">
        <v>34</v>
      </c>
      <c r="L1102">
        <v>86000</v>
      </c>
      <c r="M1102">
        <v>5.5</v>
      </c>
      <c r="N1102">
        <v>8.1</v>
      </c>
      <c r="O1102">
        <v>5.2</v>
      </c>
      <c r="P1102">
        <v>0.6</v>
      </c>
      <c r="Q1102">
        <v>1</v>
      </c>
      <c r="R1102">
        <v>3</v>
      </c>
      <c r="S1102">
        <v>4</v>
      </c>
      <c r="T1102" t="s">
        <v>30</v>
      </c>
      <c r="U1102">
        <v>2</v>
      </c>
      <c r="V1102" s="7">
        <v>46001</v>
      </c>
      <c r="W1102" t="s">
        <v>1649</v>
      </c>
      <c r="X1102" t="s">
        <v>1657</v>
      </c>
      <c r="Y1102" t="s">
        <v>1661</v>
      </c>
      <c r="Z1102">
        <v>1</v>
      </c>
    </row>
    <row r="1103" spans="1:26" x14ac:dyDescent="0.35">
      <c r="A1103" t="s">
        <v>1536</v>
      </c>
      <c r="B1103" s="6">
        <v>44167</v>
      </c>
      <c r="C1103" t="s">
        <v>23</v>
      </c>
      <c r="D1103">
        <v>32</v>
      </c>
      <c r="E1103" t="s">
        <v>36</v>
      </c>
      <c r="F1103" t="s">
        <v>42</v>
      </c>
      <c r="G1103" t="s">
        <v>58</v>
      </c>
      <c r="H1103" t="s">
        <v>38</v>
      </c>
      <c r="I1103" t="s">
        <v>139</v>
      </c>
      <c r="J1103" t="s">
        <v>1635</v>
      </c>
      <c r="K1103" t="s">
        <v>40</v>
      </c>
      <c r="L1103">
        <v>94000</v>
      </c>
      <c r="M1103">
        <v>8.5</v>
      </c>
      <c r="N1103">
        <v>7.7</v>
      </c>
      <c r="O1103">
        <v>5.0999999999999996</v>
      </c>
      <c r="P1103">
        <v>4.9000000000000004</v>
      </c>
      <c r="Q1103">
        <v>1</v>
      </c>
      <c r="R1103">
        <v>4</v>
      </c>
      <c r="S1103">
        <v>3</v>
      </c>
      <c r="T1103" t="s">
        <v>30</v>
      </c>
      <c r="U1103">
        <v>5</v>
      </c>
      <c r="W1103" t="s">
        <v>1650</v>
      </c>
      <c r="X1103" t="s">
        <v>1657</v>
      </c>
      <c r="Y1103" t="s">
        <v>1661</v>
      </c>
      <c r="Z1103">
        <v>0</v>
      </c>
    </row>
    <row r="1104" spans="1:26" x14ac:dyDescent="0.35">
      <c r="A1104" t="s">
        <v>1162</v>
      </c>
      <c r="B1104" s="6">
        <v>42904</v>
      </c>
      <c r="C1104" t="s">
        <v>23</v>
      </c>
      <c r="D1104">
        <v>37</v>
      </c>
      <c r="E1104" t="s">
        <v>36</v>
      </c>
      <c r="F1104" t="s">
        <v>42</v>
      </c>
      <c r="G1104" t="s">
        <v>26</v>
      </c>
      <c r="H1104" t="s">
        <v>1634</v>
      </c>
      <c r="I1104" t="s">
        <v>60</v>
      </c>
      <c r="J1104" t="s">
        <v>1633</v>
      </c>
      <c r="K1104" t="s">
        <v>40</v>
      </c>
      <c r="L1104">
        <v>60000</v>
      </c>
      <c r="M1104">
        <v>6.3</v>
      </c>
      <c r="N1104">
        <v>12.8</v>
      </c>
      <c r="O1104">
        <v>8.5</v>
      </c>
      <c r="P1104">
        <v>3.2</v>
      </c>
      <c r="Q1104">
        <v>3</v>
      </c>
      <c r="R1104">
        <v>3</v>
      </c>
      <c r="S1104">
        <v>3</v>
      </c>
      <c r="T1104" t="s">
        <v>30</v>
      </c>
      <c r="U1104">
        <v>3</v>
      </c>
      <c r="W1104" t="s">
        <v>1649</v>
      </c>
      <c r="X1104" t="s">
        <v>1659</v>
      </c>
      <c r="Y1104" t="s">
        <v>1662</v>
      </c>
      <c r="Z1104">
        <v>0</v>
      </c>
    </row>
    <row r="1105" spans="1:26" x14ac:dyDescent="0.35">
      <c r="A1105" t="s">
        <v>361</v>
      </c>
      <c r="B1105" s="6">
        <v>45218</v>
      </c>
      <c r="C1105" t="s">
        <v>23</v>
      </c>
      <c r="D1105">
        <v>26</v>
      </c>
      <c r="E1105" t="s">
        <v>36</v>
      </c>
      <c r="F1105" t="s">
        <v>42</v>
      </c>
      <c r="G1105" t="s">
        <v>54</v>
      </c>
      <c r="H1105" t="s">
        <v>38</v>
      </c>
      <c r="I1105" t="s">
        <v>118</v>
      </c>
      <c r="J1105" t="s">
        <v>1632</v>
      </c>
      <c r="K1105" t="s">
        <v>40</v>
      </c>
      <c r="L1105">
        <v>22000</v>
      </c>
      <c r="M1105">
        <v>9.8000000000000007</v>
      </c>
      <c r="N1105">
        <v>7.1</v>
      </c>
      <c r="O1105">
        <v>2.2000000000000002</v>
      </c>
      <c r="P1105">
        <v>0.3</v>
      </c>
      <c r="Q1105">
        <v>4</v>
      </c>
      <c r="R1105">
        <v>4</v>
      </c>
      <c r="S1105">
        <v>4</v>
      </c>
      <c r="T1105" t="s">
        <v>23</v>
      </c>
      <c r="U1105">
        <v>5</v>
      </c>
      <c r="W1105" t="s">
        <v>1650</v>
      </c>
      <c r="X1105" t="s">
        <v>1655</v>
      </c>
      <c r="Y1105" t="s">
        <v>1665</v>
      </c>
      <c r="Z1105">
        <v>0</v>
      </c>
    </row>
    <row r="1106" spans="1:26" x14ac:dyDescent="0.35">
      <c r="A1106" t="s">
        <v>937</v>
      </c>
      <c r="B1106" s="6">
        <v>43671</v>
      </c>
      <c r="C1106" t="s">
        <v>23</v>
      </c>
      <c r="D1106">
        <v>35</v>
      </c>
      <c r="E1106" t="s">
        <v>36</v>
      </c>
      <c r="F1106" t="s">
        <v>25</v>
      </c>
      <c r="G1106" t="s">
        <v>26</v>
      </c>
      <c r="H1106" t="s">
        <v>38</v>
      </c>
      <c r="I1106" t="s">
        <v>39</v>
      </c>
      <c r="J1106" t="s">
        <v>1635</v>
      </c>
      <c r="K1106" t="s">
        <v>50</v>
      </c>
      <c r="L1106">
        <v>69000</v>
      </c>
      <c r="M1106">
        <v>7.6</v>
      </c>
      <c r="N1106">
        <v>6.7</v>
      </c>
      <c r="O1106">
        <v>6.4</v>
      </c>
      <c r="P1106">
        <v>5.9</v>
      </c>
      <c r="Q1106">
        <v>3</v>
      </c>
      <c r="R1106">
        <v>3</v>
      </c>
      <c r="S1106">
        <v>3</v>
      </c>
      <c r="T1106" t="s">
        <v>23</v>
      </c>
      <c r="U1106">
        <v>3</v>
      </c>
      <c r="W1106" t="s">
        <v>1650</v>
      </c>
      <c r="X1106" t="s">
        <v>1659</v>
      </c>
      <c r="Y1106" t="s">
        <v>1662</v>
      </c>
      <c r="Z1106">
        <v>0</v>
      </c>
    </row>
    <row r="1107" spans="1:26" x14ac:dyDescent="0.35">
      <c r="A1107" t="s">
        <v>626</v>
      </c>
      <c r="B1107" s="6">
        <v>43398</v>
      </c>
      <c r="C1107" t="s">
        <v>23</v>
      </c>
      <c r="D1107">
        <v>43</v>
      </c>
      <c r="E1107" t="s">
        <v>24</v>
      </c>
      <c r="F1107" t="s">
        <v>25</v>
      </c>
      <c r="G1107" t="s">
        <v>58</v>
      </c>
      <c r="H1107" t="s">
        <v>1634</v>
      </c>
      <c r="I1107" t="s">
        <v>75</v>
      </c>
      <c r="J1107" t="s">
        <v>1632</v>
      </c>
      <c r="K1107" t="s">
        <v>66</v>
      </c>
      <c r="L1107">
        <v>23000</v>
      </c>
      <c r="M1107">
        <v>14</v>
      </c>
      <c r="N1107">
        <v>7.3</v>
      </c>
      <c r="O1107">
        <v>7.2</v>
      </c>
      <c r="P1107">
        <v>3.9</v>
      </c>
      <c r="Q1107">
        <v>2</v>
      </c>
      <c r="R1107">
        <v>3</v>
      </c>
      <c r="S1107">
        <v>3</v>
      </c>
      <c r="T1107" t="s">
        <v>23</v>
      </c>
      <c r="U1107">
        <v>5</v>
      </c>
      <c r="W1107" t="s">
        <v>1649</v>
      </c>
      <c r="X1107" t="s">
        <v>1655</v>
      </c>
      <c r="Y1107" t="s">
        <v>1662</v>
      </c>
      <c r="Z1107">
        <v>0</v>
      </c>
    </row>
    <row r="1108" spans="1:26" x14ac:dyDescent="0.35">
      <c r="A1108" t="s">
        <v>1319</v>
      </c>
      <c r="B1108" s="6">
        <v>45303</v>
      </c>
      <c r="C1108" t="s">
        <v>23</v>
      </c>
      <c r="D1108">
        <v>27</v>
      </c>
      <c r="E1108" t="s">
        <v>62</v>
      </c>
      <c r="F1108" t="s">
        <v>42</v>
      </c>
      <c r="G1108" t="s">
        <v>54</v>
      </c>
      <c r="H1108" t="s">
        <v>38</v>
      </c>
      <c r="I1108" t="s">
        <v>39</v>
      </c>
      <c r="J1108" t="s">
        <v>1632</v>
      </c>
      <c r="K1108" t="s">
        <v>66</v>
      </c>
      <c r="L1108">
        <v>28000</v>
      </c>
      <c r="M1108">
        <v>10.4</v>
      </c>
      <c r="N1108">
        <v>2.2999999999999998</v>
      </c>
      <c r="O1108">
        <v>2</v>
      </c>
      <c r="P1108">
        <v>1.2</v>
      </c>
      <c r="Q1108">
        <v>1</v>
      </c>
      <c r="R1108">
        <v>3</v>
      </c>
      <c r="S1108">
        <v>4</v>
      </c>
      <c r="T1108" t="s">
        <v>23</v>
      </c>
      <c r="U1108">
        <v>3</v>
      </c>
      <c r="W1108" t="s">
        <v>1650</v>
      </c>
      <c r="X1108" t="s">
        <v>1655</v>
      </c>
      <c r="Y1108" t="s">
        <v>1665</v>
      </c>
      <c r="Z1108">
        <v>0</v>
      </c>
    </row>
    <row r="1109" spans="1:26" x14ac:dyDescent="0.35">
      <c r="A1109" t="s">
        <v>1524</v>
      </c>
      <c r="B1109" s="6">
        <v>43144</v>
      </c>
      <c r="C1109" t="s">
        <v>23</v>
      </c>
      <c r="D1109">
        <v>34</v>
      </c>
      <c r="E1109" t="s">
        <v>36</v>
      </c>
      <c r="F1109" t="s">
        <v>37</v>
      </c>
      <c r="G1109" t="s">
        <v>32</v>
      </c>
      <c r="H1109" t="s">
        <v>27</v>
      </c>
      <c r="I1109" t="s">
        <v>33</v>
      </c>
      <c r="J1109" t="s">
        <v>1635</v>
      </c>
      <c r="K1109" t="s">
        <v>40</v>
      </c>
      <c r="L1109">
        <v>69000</v>
      </c>
      <c r="M1109">
        <v>1.9</v>
      </c>
      <c r="N1109">
        <v>14.4</v>
      </c>
      <c r="O1109">
        <v>7.9</v>
      </c>
      <c r="P1109">
        <v>2.2999999999999998</v>
      </c>
      <c r="Q1109">
        <v>3</v>
      </c>
      <c r="R1109">
        <v>3</v>
      </c>
      <c r="S1109">
        <v>3</v>
      </c>
      <c r="T1109" t="s">
        <v>30</v>
      </c>
      <c r="U1109">
        <v>3</v>
      </c>
      <c r="W1109" t="s">
        <v>1650</v>
      </c>
      <c r="X1109" t="s">
        <v>1659</v>
      </c>
      <c r="Y1109" t="s">
        <v>1662</v>
      </c>
      <c r="Z1109">
        <v>0</v>
      </c>
    </row>
    <row r="1110" spans="1:26" x14ac:dyDescent="0.35">
      <c r="A1110" t="s">
        <v>609</v>
      </c>
      <c r="B1110" s="6">
        <v>43840</v>
      </c>
      <c r="C1110" t="s">
        <v>23</v>
      </c>
      <c r="D1110">
        <v>35</v>
      </c>
      <c r="E1110" t="s">
        <v>62</v>
      </c>
      <c r="F1110" t="s">
        <v>25</v>
      </c>
      <c r="G1110" t="s">
        <v>58</v>
      </c>
      <c r="H1110" t="s">
        <v>48</v>
      </c>
      <c r="I1110" t="s">
        <v>129</v>
      </c>
      <c r="J1110" t="s">
        <v>1637</v>
      </c>
      <c r="K1110" t="s">
        <v>66</v>
      </c>
      <c r="L1110">
        <v>155000</v>
      </c>
      <c r="M1110">
        <v>6.8</v>
      </c>
      <c r="N1110">
        <v>12.1</v>
      </c>
      <c r="O1110">
        <v>6</v>
      </c>
      <c r="P1110">
        <v>2.6</v>
      </c>
      <c r="Q1110">
        <v>2</v>
      </c>
      <c r="R1110">
        <v>2</v>
      </c>
      <c r="S1110">
        <v>3</v>
      </c>
      <c r="T1110" t="s">
        <v>23</v>
      </c>
      <c r="U1110">
        <v>3</v>
      </c>
      <c r="W1110" t="s">
        <v>1650</v>
      </c>
      <c r="X1110" t="s">
        <v>1658</v>
      </c>
      <c r="Y1110" t="s">
        <v>1661</v>
      </c>
      <c r="Z1110">
        <v>0</v>
      </c>
    </row>
    <row r="1111" spans="1:26" x14ac:dyDescent="0.35">
      <c r="A1111" t="s">
        <v>1248</v>
      </c>
      <c r="B1111" s="6">
        <v>44007</v>
      </c>
      <c r="C1111" t="s">
        <v>23</v>
      </c>
      <c r="D1111">
        <v>41</v>
      </c>
      <c r="E1111" t="s">
        <v>36</v>
      </c>
      <c r="F1111" t="s">
        <v>37</v>
      </c>
      <c r="G1111" t="s">
        <v>54</v>
      </c>
      <c r="H1111" t="s">
        <v>27</v>
      </c>
      <c r="I1111" t="s">
        <v>43</v>
      </c>
      <c r="J1111" t="s">
        <v>1637</v>
      </c>
      <c r="K1111" t="s">
        <v>66</v>
      </c>
      <c r="L1111">
        <v>145000</v>
      </c>
      <c r="M1111">
        <v>7.6</v>
      </c>
      <c r="N1111">
        <v>6.8</v>
      </c>
      <c r="O1111">
        <v>5.5</v>
      </c>
      <c r="P1111">
        <v>2.4</v>
      </c>
      <c r="Q1111">
        <v>3</v>
      </c>
      <c r="R1111">
        <v>4</v>
      </c>
      <c r="S1111">
        <v>3</v>
      </c>
      <c r="T1111" t="s">
        <v>30</v>
      </c>
      <c r="U1111">
        <v>1</v>
      </c>
      <c r="W1111" t="s">
        <v>1649</v>
      </c>
      <c r="X1111" t="s">
        <v>1658</v>
      </c>
      <c r="Y1111" t="s">
        <v>1661</v>
      </c>
      <c r="Z1111">
        <v>0</v>
      </c>
    </row>
    <row r="1112" spans="1:26" x14ac:dyDescent="0.35">
      <c r="A1112" t="s">
        <v>1027</v>
      </c>
      <c r="B1112" s="6">
        <v>45770</v>
      </c>
      <c r="C1112" t="s">
        <v>23</v>
      </c>
      <c r="D1112">
        <v>24</v>
      </c>
      <c r="E1112" t="s">
        <v>62</v>
      </c>
      <c r="F1112" t="s">
        <v>37</v>
      </c>
      <c r="G1112" t="s">
        <v>32</v>
      </c>
      <c r="H1112" t="s">
        <v>1634</v>
      </c>
      <c r="I1112" t="s">
        <v>86</v>
      </c>
      <c r="J1112" t="s">
        <v>1632</v>
      </c>
      <c r="K1112" t="s">
        <v>84</v>
      </c>
      <c r="L1112">
        <v>35000</v>
      </c>
      <c r="M1112">
        <v>11.2</v>
      </c>
      <c r="N1112">
        <v>6</v>
      </c>
      <c r="O1112">
        <v>0.7</v>
      </c>
      <c r="P1112">
        <v>0</v>
      </c>
      <c r="Q1112">
        <v>4</v>
      </c>
      <c r="R1112">
        <v>3</v>
      </c>
      <c r="S1112">
        <v>2</v>
      </c>
      <c r="T1112" t="s">
        <v>23</v>
      </c>
      <c r="U1112">
        <v>4</v>
      </c>
      <c r="W1112" t="s">
        <v>1651</v>
      </c>
      <c r="X1112" t="s">
        <v>1655</v>
      </c>
      <c r="Y1112" t="s">
        <v>1664</v>
      </c>
      <c r="Z1112">
        <v>0</v>
      </c>
    </row>
    <row r="1113" spans="1:26" x14ac:dyDescent="0.35">
      <c r="A1113" t="s">
        <v>1159</v>
      </c>
      <c r="B1113" s="6">
        <v>45683</v>
      </c>
      <c r="C1113" t="s">
        <v>23</v>
      </c>
      <c r="D1113">
        <v>21</v>
      </c>
      <c r="E1113" t="s">
        <v>62</v>
      </c>
      <c r="F1113" t="s">
        <v>25</v>
      </c>
      <c r="G1113" t="s">
        <v>26</v>
      </c>
      <c r="H1113" t="s">
        <v>45</v>
      </c>
      <c r="I1113" t="s">
        <v>46</v>
      </c>
      <c r="J1113" t="s">
        <v>1632</v>
      </c>
      <c r="K1113" t="s">
        <v>50</v>
      </c>
      <c r="L1113">
        <v>25000</v>
      </c>
      <c r="M1113">
        <v>5.5</v>
      </c>
      <c r="N1113">
        <v>1.1000000000000001</v>
      </c>
      <c r="O1113">
        <v>0.9</v>
      </c>
      <c r="P1113">
        <v>0</v>
      </c>
      <c r="Q1113">
        <v>2</v>
      </c>
      <c r="R1113">
        <v>3</v>
      </c>
      <c r="S1113">
        <v>3</v>
      </c>
      <c r="T1113" t="s">
        <v>23</v>
      </c>
      <c r="U1113">
        <v>3</v>
      </c>
      <c r="W1113" t="s">
        <v>1651</v>
      </c>
      <c r="X1113" t="s">
        <v>1655</v>
      </c>
      <c r="Y1113" t="s">
        <v>1664</v>
      </c>
      <c r="Z1113">
        <v>0</v>
      </c>
    </row>
    <row r="1114" spans="1:26" x14ac:dyDescent="0.35">
      <c r="A1114" t="s">
        <v>1535</v>
      </c>
      <c r="B1114" s="6">
        <v>44613</v>
      </c>
      <c r="C1114" t="s">
        <v>23</v>
      </c>
      <c r="D1114">
        <v>36</v>
      </c>
      <c r="E1114" t="s">
        <v>36</v>
      </c>
      <c r="F1114" t="s">
        <v>25</v>
      </c>
      <c r="G1114" t="s">
        <v>58</v>
      </c>
      <c r="H1114" t="s">
        <v>27</v>
      </c>
      <c r="I1114" t="s">
        <v>33</v>
      </c>
      <c r="J1114" t="s">
        <v>1636</v>
      </c>
      <c r="K1114" t="s">
        <v>34</v>
      </c>
      <c r="L1114">
        <v>119000</v>
      </c>
      <c r="M1114">
        <v>7</v>
      </c>
      <c r="N1114">
        <v>10.9</v>
      </c>
      <c r="O1114">
        <v>3.9</v>
      </c>
      <c r="P1114">
        <v>1.4</v>
      </c>
      <c r="Q1114">
        <v>4</v>
      </c>
      <c r="R1114">
        <v>3</v>
      </c>
      <c r="S1114">
        <v>4</v>
      </c>
      <c r="T1114" t="s">
        <v>30</v>
      </c>
      <c r="U1114">
        <v>4</v>
      </c>
      <c r="W1114" t="s">
        <v>1649</v>
      </c>
      <c r="X1114" t="s">
        <v>1658</v>
      </c>
      <c r="Y1114" t="s">
        <v>1661</v>
      </c>
      <c r="Z1114">
        <v>0</v>
      </c>
    </row>
    <row r="1115" spans="1:26" x14ac:dyDescent="0.35">
      <c r="A1115" t="s">
        <v>397</v>
      </c>
      <c r="B1115" s="6">
        <v>45803</v>
      </c>
      <c r="C1115" t="s">
        <v>23</v>
      </c>
      <c r="D1115">
        <v>41</v>
      </c>
      <c r="E1115" t="s">
        <v>36</v>
      </c>
      <c r="F1115" t="s">
        <v>25</v>
      </c>
      <c r="G1115" t="s">
        <v>54</v>
      </c>
      <c r="H1115" t="s">
        <v>38</v>
      </c>
      <c r="I1115" t="s">
        <v>139</v>
      </c>
      <c r="J1115" t="s">
        <v>1632</v>
      </c>
      <c r="K1115" t="s">
        <v>50</v>
      </c>
      <c r="L1115">
        <v>40000</v>
      </c>
      <c r="M1115">
        <v>14.1</v>
      </c>
      <c r="N1115">
        <v>5.9</v>
      </c>
      <c r="O1115">
        <v>0.6</v>
      </c>
      <c r="P1115">
        <v>0</v>
      </c>
      <c r="Q1115">
        <v>3</v>
      </c>
      <c r="R1115">
        <v>2</v>
      </c>
      <c r="S1115">
        <v>2</v>
      </c>
      <c r="T1115" t="s">
        <v>23</v>
      </c>
      <c r="U1115">
        <v>4</v>
      </c>
      <c r="W1115" t="s">
        <v>1649</v>
      </c>
      <c r="X1115" t="s">
        <v>1656</v>
      </c>
      <c r="Y1115" t="s">
        <v>1664</v>
      </c>
      <c r="Z1115">
        <v>0</v>
      </c>
    </row>
    <row r="1116" spans="1:26" x14ac:dyDescent="0.35">
      <c r="A1116" t="s">
        <v>920</v>
      </c>
      <c r="B1116" s="6">
        <v>44309</v>
      </c>
      <c r="C1116" t="s">
        <v>23</v>
      </c>
      <c r="D1116">
        <v>25</v>
      </c>
      <c r="E1116" t="s">
        <v>36</v>
      </c>
      <c r="F1116" t="s">
        <v>25</v>
      </c>
      <c r="G1116" t="s">
        <v>54</v>
      </c>
      <c r="H1116" t="s">
        <v>1634</v>
      </c>
      <c r="I1116" t="s">
        <v>75</v>
      </c>
      <c r="J1116" t="s">
        <v>1632</v>
      </c>
      <c r="K1116" t="s">
        <v>66</v>
      </c>
      <c r="L1116">
        <v>22000</v>
      </c>
      <c r="M1116">
        <v>2.8</v>
      </c>
      <c r="N1116">
        <v>6.9</v>
      </c>
      <c r="O1116">
        <v>4.7</v>
      </c>
      <c r="P1116">
        <v>0.8</v>
      </c>
      <c r="R1116">
        <v>3</v>
      </c>
      <c r="S1116">
        <v>3</v>
      </c>
      <c r="T1116" t="s">
        <v>23</v>
      </c>
      <c r="U1116">
        <v>3</v>
      </c>
      <c r="W1116" t="s">
        <v>1651</v>
      </c>
      <c r="X1116" t="s">
        <v>1655</v>
      </c>
      <c r="Y1116" t="s">
        <v>1661</v>
      </c>
      <c r="Z1116">
        <v>0</v>
      </c>
    </row>
    <row r="1117" spans="1:26" x14ac:dyDescent="0.35">
      <c r="A1117" t="s">
        <v>1210</v>
      </c>
      <c r="B1117" s="6">
        <v>45699</v>
      </c>
      <c r="C1117" t="s">
        <v>23</v>
      </c>
      <c r="D1117">
        <v>41</v>
      </c>
      <c r="E1117" t="s">
        <v>24</v>
      </c>
      <c r="F1117" t="s">
        <v>42</v>
      </c>
      <c r="G1117" t="s">
        <v>32</v>
      </c>
      <c r="H1117" t="s">
        <v>45</v>
      </c>
      <c r="I1117" t="s">
        <v>46</v>
      </c>
      <c r="J1117" t="s">
        <v>1635</v>
      </c>
      <c r="K1117" t="s">
        <v>40</v>
      </c>
      <c r="L1117">
        <v>89000</v>
      </c>
      <c r="M1117">
        <v>12.4</v>
      </c>
      <c r="N1117">
        <v>3</v>
      </c>
      <c r="O1117">
        <v>0.9</v>
      </c>
      <c r="P1117">
        <v>0</v>
      </c>
      <c r="Q1117">
        <v>3</v>
      </c>
      <c r="R1117">
        <v>4</v>
      </c>
      <c r="S1117">
        <v>3</v>
      </c>
      <c r="T1117" t="s">
        <v>30</v>
      </c>
      <c r="U1117">
        <v>3</v>
      </c>
      <c r="W1117" t="s">
        <v>1649</v>
      </c>
      <c r="X1117" t="s">
        <v>1657</v>
      </c>
      <c r="Y1117" t="s">
        <v>1664</v>
      </c>
      <c r="Z1117">
        <v>0</v>
      </c>
    </row>
    <row r="1118" spans="1:26" x14ac:dyDescent="0.35">
      <c r="A1118" t="s">
        <v>370</v>
      </c>
      <c r="B1118" s="6">
        <v>43344</v>
      </c>
      <c r="C1118" t="s">
        <v>23</v>
      </c>
      <c r="D1118">
        <v>29</v>
      </c>
      <c r="E1118" t="s">
        <v>62</v>
      </c>
      <c r="F1118" t="s">
        <v>25</v>
      </c>
      <c r="G1118" t="s">
        <v>54</v>
      </c>
      <c r="H1118" t="s">
        <v>48</v>
      </c>
      <c r="I1118" t="s">
        <v>129</v>
      </c>
      <c r="J1118" t="s">
        <v>1635</v>
      </c>
      <c r="K1118" t="s">
        <v>40</v>
      </c>
      <c r="L1118">
        <v>70000</v>
      </c>
      <c r="M1118">
        <v>12.4</v>
      </c>
      <c r="N1118">
        <v>10.199999999999999</v>
      </c>
      <c r="O1118">
        <v>7.3</v>
      </c>
      <c r="P1118">
        <v>4.7</v>
      </c>
      <c r="Q1118">
        <v>2</v>
      </c>
      <c r="R1118">
        <v>3</v>
      </c>
      <c r="S1118">
        <v>4</v>
      </c>
      <c r="T1118" t="s">
        <v>23</v>
      </c>
      <c r="U1118">
        <v>4</v>
      </c>
      <c r="W1118" t="s">
        <v>1650</v>
      </c>
      <c r="X1118" t="s">
        <v>1659</v>
      </c>
      <c r="Y1118" t="s">
        <v>1662</v>
      </c>
      <c r="Z1118">
        <v>0</v>
      </c>
    </row>
    <row r="1119" spans="1:26" x14ac:dyDescent="0.35">
      <c r="A1119" t="s">
        <v>101</v>
      </c>
      <c r="B1119" s="6">
        <v>41955</v>
      </c>
      <c r="C1119" t="s">
        <v>23</v>
      </c>
      <c r="D1119">
        <v>34</v>
      </c>
      <c r="E1119" t="s">
        <v>36</v>
      </c>
      <c r="F1119" t="s">
        <v>25</v>
      </c>
      <c r="G1119" t="s">
        <v>58</v>
      </c>
      <c r="H1119" t="s">
        <v>68</v>
      </c>
      <c r="I1119" t="s">
        <v>102</v>
      </c>
      <c r="J1119" t="s">
        <v>1636</v>
      </c>
      <c r="K1119" t="s">
        <v>40</v>
      </c>
      <c r="L1119">
        <v>114000</v>
      </c>
      <c r="M1119">
        <v>10.3</v>
      </c>
      <c r="N1119">
        <v>14.2</v>
      </c>
      <c r="O1119">
        <v>11.1</v>
      </c>
      <c r="P1119">
        <v>1.5</v>
      </c>
      <c r="Q1119">
        <v>3</v>
      </c>
      <c r="R1119">
        <v>3</v>
      </c>
      <c r="S1119">
        <v>3</v>
      </c>
      <c r="T1119" t="s">
        <v>23</v>
      </c>
      <c r="U1119">
        <v>1</v>
      </c>
      <c r="W1119" t="s">
        <v>1650</v>
      </c>
      <c r="X1119" t="s">
        <v>1658</v>
      </c>
      <c r="Y1119" t="s">
        <v>1663</v>
      </c>
      <c r="Z1119">
        <v>0</v>
      </c>
    </row>
    <row r="1120" spans="1:26" x14ac:dyDescent="0.35">
      <c r="A1120" t="s">
        <v>1458</v>
      </c>
      <c r="B1120" s="6">
        <v>43516</v>
      </c>
      <c r="C1120" t="s">
        <v>23</v>
      </c>
      <c r="D1120">
        <v>42</v>
      </c>
      <c r="E1120" t="s">
        <v>24</v>
      </c>
      <c r="F1120" t="s">
        <v>37</v>
      </c>
      <c r="G1120" t="s">
        <v>32</v>
      </c>
      <c r="H1120" t="s">
        <v>38</v>
      </c>
      <c r="I1120" t="s">
        <v>52</v>
      </c>
      <c r="J1120" t="s">
        <v>1632</v>
      </c>
      <c r="K1120" t="s">
        <v>84</v>
      </c>
      <c r="L1120">
        <v>43000</v>
      </c>
      <c r="M1120">
        <v>12.4</v>
      </c>
      <c r="N1120">
        <v>9.6999999999999993</v>
      </c>
      <c r="O1120">
        <v>6.9</v>
      </c>
      <c r="P1120">
        <v>4.5999999999999996</v>
      </c>
      <c r="Q1120">
        <v>2</v>
      </c>
      <c r="R1120">
        <v>4</v>
      </c>
      <c r="S1120">
        <v>3</v>
      </c>
      <c r="T1120" t="s">
        <v>30</v>
      </c>
      <c r="U1120">
        <v>4</v>
      </c>
      <c r="W1120" t="s">
        <v>1649</v>
      </c>
      <c r="X1120" t="s">
        <v>1656</v>
      </c>
      <c r="Y1120" t="s">
        <v>1662</v>
      </c>
      <c r="Z1120">
        <v>0</v>
      </c>
    </row>
    <row r="1121" spans="1:26" x14ac:dyDescent="0.35">
      <c r="A1121" t="s">
        <v>1541</v>
      </c>
      <c r="B1121" s="6">
        <v>44135</v>
      </c>
      <c r="C1121" t="s">
        <v>23</v>
      </c>
      <c r="D1121">
        <v>30</v>
      </c>
      <c r="E1121" t="s">
        <v>62</v>
      </c>
      <c r="F1121" t="s">
        <v>37</v>
      </c>
      <c r="G1121" t="s">
        <v>54</v>
      </c>
      <c r="H1121" t="s">
        <v>27</v>
      </c>
      <c r="I1121" t="s">
        <v>33</v>
      </c>
      <c r="J1121" t="s">
        <v>1635</v>
      </c>
      <c r="K1121" t="s">
        <v>50</v>
      </c>
      <c r="L1121">
        <v>80000</v>
      </c>
      <c r="M1121">
        <v>3.4</v>
      </c>
      <c r="N1121">
        <v>7.2</v>
      </c>
      <c r="O1121">
        <v>5.2</v>
      </c>
      <c r="P1121">
        <v>2.5</v>
      </c>
      <c r="Q1121">
        <v>4</v>
      </c>
      <c r="R1121">
        <v>4</v>
      </c>
      <c r="S1121">
        <v>3</v>
      </c>
      <c r="T1121" t="s">
        <v>23</v>
      </c>
      <c r="U1121">
        <v>3</v>
      </c>
      <c r="W1121" t="s">
        <v>1650</v>
      </c>
      <c r="X1121" t="s">
        <v>1657</v>
      </c>
      <c r="Y1121" t="s">
        <v>1661</v>
      </c>
      <c r="Z1121">
        <v>0</v>
      </c>
    </row>
    <row r="1122" spans="1:26" x14ac:dyDescent="0.35">
      <c r="A1122" t="s">
        <v>1253</v>
      </c>
      <c r="B1122" s="6">
        <v>45760</v>
      </c>
      <c r="C1122" t="s">
        <v>30</v>
      </c>
      <c r="D1122">
        <v>25</v>
      </c>
      <c r="E1122" t="s">
        <v>24</v>
      </c>
      <c r="F1122" t="s">
        <v>37</v>
      </c>
      <c r="G1122" t="s">
        <v>54</v>
      </c>
      <c r="H1122" t="s">
        <v>27</v>
      </c>
      <c r="I1122" t="s">
        <v>43</v>
      </c>
      <c r="J1122" t="s">
        <v>1632</v>
      </c>
      <c r="K1122" t="s">
        <v>50</v>
      </c>
      <c r="L1122">
        <v>35000</v>
      </c>
      <c r="M1122">
        <v>5.6</v>
      </c>
      <c r="N1122">
        <v>8.6</v>
      </c>
      <c r="O1122">
        <v>0.7</v>
      </c>
      <c r="P1122">
        <v>0</v>
      </c>
      <c r="Q1122">
        <v>4</v>
      </c>
      <c r="R1122">
        <v>3</v>
      </c>
      <c r="S1122">
        <v>4</v>
      </c>
      <c r="T1122" t="s">
        <v>30</v>
      </c>
      <c r="U1122">
        <v>4</v>
      </c>
      <c r="V1122" s="7">
        <v>46013</v>
      </c>
      <c r="W1122" t="s">
        <v>1651</v>
      </c>
      <c r="X1122" t="s">
        <v>1655</v>
      </c>
      <c r="Y1122" t="s">
        <v>1664</v>
      </c>
      <c r="Z1122">
        <v>1</v>
      </c>
    </row>
    <row r="1123" spans="1:26" x14ac:dyDescent="0.35">
      <c r="A1123" t="s">
        <v>1309</v>
      </c>
      <c r="B1123" s="6">
        <v>44171</v>
      </c>
      <c r="C1123" t="s">
        <v>23</v>
      </c>
      <c r="D1123">
        <v>33</v>
      </c>
      <c r="E1123" t="s">
        <v>62</v>
      </c>
      <c r="F1123" t="s">
        <v>37</v>
      </c>
      <c r="G1123" t="s">
        <v>32</v>
      </c>
      <c r="H1123" t="s">
        <v>55</v>
      </c>
      <c r="I1123" t="s">
        <v>179</v>
      </c>
      <c r="J1123" t="s">
        <v>1635</v>
      </c>
      <c r="K1123" t="s">
        <v>84</v>
      </c>
      <c r="L1123">
        <v>75000</v>
      </c>
      <c r="M1123">
        <v>10.7</v>
      </c>
      <c r="N1123">
        <v>12.4</v>
      </c>
      <c r="O1123">
        <v>5.0999999999999996</v>
      </c>
      <c r="P1123">
        <v>1.6</v>
      </c>
      <c r="Q1123">
        <v>2</v>
      </c>
      <c r="R1123">
        <v>3</v>
      </c>
      <c r="S1123">
        <v>3</v>
      </c>
      <c r="T1123" t="s">
        <v>30</v>
      </c>
      <c r="U1123">
        <v>4</v>
      </c>
      <c r="W1123" t="s">
        <v>1650</v>
      </c>
      <c r="X1123" t="s">
        <v>1659</v>
      </c>
      <c r="Y1123" t="s">
        <v>1661</v>
      </c>
      <c r="Z1123">
        <v>0</v>
      </c>
    </row>
    <row r="1124" spans="1:26" x14ac:dyDescent="0.35">
      <c r="A1124" t="s">
        <v>1436</v>
      </c>
      <c r="B1124" s="6">
        <v>44793</v>
      </c>
      <c r="C1124" t="s">
        <v>23</v>
      </c>
      <c r="D1124">
        <v>39</v>
      </c>
      <c r="E1124" t="s">
        <v>24</v>
      </c>
      <c r="F1124" t="s">
        <v>42</v>
      </c>
      <c r="G1124" t="s">
        <v>54</v>
      </c>
      <c r="H1124" t="s">
        <v>68</v>
      </c>
      <c r="I1124" t="s">
        <v>69</v>
      </c>
      <c r="J1124" t="s">
        <v>1635</v>
      </c>
      <c r="K1124" t="s">
        <v>29</v>
      </c>
      <c r="L1124">
        <v>77000</v>
      </c>
      <c r="M1124">
        <v>10.6</v>
      </c>
      <c r="N1124">
        <v>10.3</v>
      </c>
      <c r="O1124">
        <v>3.4</v>
      </c>
      <c r="P1124">
        <v>2.4</v>
      </c>
      <c r="Q1124">
        <v>3</v>
      </c>
      <c r="R1124">
        <v>3</v>
      </c>
      <c r="S1124">
        <v>4</v>
      </c>
      <c r="T1124" t="s">
        <v>23</v>
      </c>
      <c r="U1124">
        <v>3</v>
      </c>
      <c r="W1124" t="s">
        <v>1649</v>
      </c>
      <c r="X1124" t="s">
        <v>1659</v>
      </c>
      <c r="Y1124" t="s">
        <v>1661</v>
      </c>
      <c r="Z1124">
        <v>0</v>
      </c>
    </row>
    <row r="1125" spans="1:26" x14ac:dyDescent="0.35">
      <c r="A1125" t="s">
        <v>480</v>
      </c>
      <c r="B1125" s="6">
        <v>44024</v>
      </c>
      <c r="C1125" t="s">
        <v>30</v>
      </c>
      <c r="D1125">
        <v>29</v>
      </c>
      <c r="E1125" t="s">
        <v>24</v>
      </c>
      <c r="F1125" t="s">
        <v>42</v>
      </c>
      <c r="G1125" t="s">
        <v>26</v>
      </c>
      <c r="H1125" t="s">
        <v>38</v>
      </c>
      <c r="I1125" t="s">
        <v>139</v>
      </c>
      <c r="J1125" t="s">
        <v>1635</v>
      </c>
      <c r="K1125" t="s">
        <v>34</v>
      </c>
      <c r="L1125">
        <v>82000</v>
      </c>
      <c r="M1125">
        <v>12.4</v>
      </c>
      <c r="N1125">
        <v>12.9</v>
      </c>
      <c r="O1125">
        <v>5.2</v>
      </c>
      <c r="P1125">
        <v>3.8</v>
      </c>
      <c r="Q1125">
        <v>3</v>
      </c>
      <c r="R1125">
        <v>4</v>
      </c>
      <c r="S1125">
        <v>3</v>
      </c>
      <c r="T1125" t="s">
        <v>23</v>
      </c>
      <c r="U1125">
        <v>4</v>
      </c>
      <c r="V1125" s="7">
        <v>45935</v>
      </c>
      <c r="W1125" t="s">
        <v>1650</v>
      </c>
      <c r="X1125" t="s">
        <v>1657</v>
      </c>
      <c r="Y1125" t="s">
        <v>1661</v>
      </c>
      <c r="Z1125">
        <v>1</v>
      </c>
    </row>
    <row r="1126" spans="1:26" x14ac:dyDescent="0.35">
      <c r="A1126" t="s">
        <v>1137</v>
      </c>
      <c r="B1126" s="6">
        <v>44648</v>
      </c>
      <c r="C1126" t="s">
        <v>23</v>
      </c>
      <c r="D1126">
        <v>27</v>
      </c>
      <c r="E1126" t="s">
        <v>62</v>
      </c>
      <c r="F1126" t="s">
        <v>25</v>
      </c>
      <c r="G1126" t="s">
        <v>32</v>
      </c>
      <c r="H1126" t="s">
        <v>68</v>
      </c>
      <c r="I1126" t="s">
        <v>121</v>
      </c>
      <c r="J1126" t="s">
        <v>1632</v>
      </c>
      <c r="K1126" t="s">
        <v>29</v>
      </c>
      <c r="L1126">
        <v>43000</v>
      </c>
      <c r="M1126">
        <v>0.3</v>
      </c>
      <c r="N1126">
        <v>8.6999999999999993</v>
      </c>
      <c r="O1126">
        <v>3.8</v>
      </c>
      <c r="P1126">
        <v>3.5</v>
      </c>
      <c r="Q1126">
        <v>4</v>
      </c>
      <c r="R1126">
        <v>3</v>
      </c>
      <c r="S1126">
        <v>4</v>
      </c>
      <c r="T1126" t="s">
        <v>23</v>
      </c>
      <c r="U1126">
        <v>4</v>
      </c>
      <c r="W1126" t="s">
        <v>1650</v>
      </c>
      <c r="X1126" t="s">
        <v>1656</v>
      </c>
      <c r="Y1126" t="s">
        <v>1661</v>
      </c>
      <c r="Z1126">
        <v>0</v>
      </c>
    </row>
    <row r="1127" spans="1:26" x14ac:dyDescent="0.35">
      <c r="A1127" t="s">
        <v>805</v>
      </c>
      <c r="B1127" s="6">
        <v>44463</v>
      </c>
      <c r="C1127" t="s">
        <v>23</v>
      </c>
      <c r="D1127">
        <v>26</v>
      </c>
      <c r="E1127" t="s">
        <v>36</v>
      </c>
      <c r="F1127" t="s">
        <v>25</v>
      </c>
      <c r="G1127" t="s">
        <v>26</v>
      </c>
      <c r="H1127" t="s">
        <v>27</v>
      </c>
      <c r="I1127" t="s">
        <v>33</v>
      </c>
      <c r="J1127" t="s">
        <v>1632</v>
      </c>
      <c r="K1127" t="s">
        <v>50</v>
      </c>
      <c r="L1127">
        <v>22000</v>
      </c>
      <c r="M1127">
        <v>2.7</v>
      </c>
      <c r="N1127">
        <v>8.8000000000000007</v>
      </c>
      <c r="O1127">
        <v>4.3</v>
      </c>
      <c r="P1127">
        <v>3</v>
      </c>
      <c r="Q1127">
        <v>3</v>
      </c>
      <c r="R1127">
        <v>4</v>
      </c>
      <c r="S1127">
        <v>3</v>
      </c>
      <c r="T1127" t="s">
        <v>23</v>
      </c>
      <c r="U1127">
        <v>4</v>
      </c>
      <c r="W1127" t="s">
        <v>1650</v>
      </c>
      <c r="X1127" t="s">
        <v>1655</v>
      </c>
      <c r="Y1127" t="s">
        <v>1661</v>
      </c>
      <c r="Z1127">
        <v>0</v>
      </c>
    </row>
    <row r="1128" spans="1:26" x14ac:dyDescent="0.35">
      <c r="A1128" t="s">
        <v>160</v>
      </c>
      <c r="B1128" s="6">
        <v>43009</v>
      </c>
      <c r="C1128" t="s">
        <v>23</v>
      </c>
      <c r="D1128">
        <v>32</v>
      </c>
      <c r="E1128" t="s">
        <v>24</v>
      </c>
      <c r="F1128" t="s">
        <v>42</v>
      </c>
      <c r="G1128" t="s">
        <v>26</v>
      </c>
      <c r="H1128" t="s">
        <v>38</v>
      </c>
      <c r="I1128" t="s">
        <v>139</v>
      </c>
      <c r="J1128" t="s">
        <v>1635</v>
      </c>
      <c r="K1128" t="s">
        <v>34</v>
      </c>
      <c r="L1128">
        <v>90000</v>
      </c>
      <c r="M1128">
        <v>11.8</v>
      </c>
      <c r="N1128">
        <v>11.1</v>
      </c>
      <c r="O1128">
        <v>8.1999999999999993</v>
      </c>
      <c r="P1128">
        <v>4.2</v>
      </c>
      <c r="Q1128">
        <v>3</v>
      </c>
      <c r="R1128">
        <v>3</v>
      </c>
      <c r="S1128">
        <v>3</v>
      </c>
      <c r="T1128" t="s">
        <v>30</v>
      </c>
      <c r="U1128">
        <v>3</v>
      </c>
      <c r="W1128" t="s">
        <v>1650</v>
      </c>
      <c r="X1128" t="s">
        <v>1657</v>
      </c>
      <c r="Y1128" t="s">
        <v>1662</v>
      </c>
      <c r="Z1128">
        <v>0</v>
      </c>
    </row>
    <row r="1129" spans="1:26" x14ac:dyDescent="0.35">
      <c r="A1129" t="s">
        <v>1170</v>
      </c>
      <c r="B1129" s="6">
        <v>43366</v>
      </c>
      <c r="C1129" t="s">
        <v>23</v>
      </c>
      <c r="D1129">
        <v>38</v>
      </c>
      <c r="E1129" t="s">
        <v>62</v>
      </c>
      <c r="F1129" t="s">
        <v>42</v>
      </c>
      <c r="G1129" t="s">
        <v>58</v>
      </c>
      <c r="H1129" t="s">
        <v>45</v>
      </c>
      <c r="I1129" t="s">
        <v>164</v>
      </c>
      <c r="J1129" t="s">
        <v>1633</v>
      </c>
      <c r="K1129" t="s">
        <v>84</v>
      </c>
      <c r="L1129">
        <v>49000</v>
      </c>
      <c r="M1129">
        <v>4.3</v>
      </c>
      <c r="N1129">
        <v>10.6</v>
      </c>
      <c r="O1129">
        <v>7.3</v>
      </c>
      <c r="P1129">
        <v>1.5</v>
      </c>
      <c r="Q1129">
        <v>3</v>
      </c>
      <c r="R1129">
        <v>4</v>
      </c>
      <c r="S1129">
        <v>3</v>
      </c>
      <c r="T1129" t="s">
        <v>23</v>
      </c>
      <c r="U1129">
        <v>2</v>
      </c>
      <c r="W1129" t="s">
        <v>1649</v>
      </c>
      <c r="X1129" t="s">
        <v>1656</v>
      </c>
      <c r="Y1129" t="s">
        <v>1662</v>
      </c>
      <c r="Z1129">
        <v>0</v>
      </c>
    </row>
    <row r="1130" spans="1:26" x14ac:dyDescent="0.35">
      <c r="A1130" t="s">
        <v>749</v>
      </c>
      <c r="B1130" s="6">
        <v>45889</v>
      </c>
      <c r="C1130" t="s">
        <v>23</v>
      </c>
      <c r="D1130">
        <v>29</v>
      </c>
      <c r="E1130" t="s">
        <v>36</v>
      </c>
      <c r="F1130" t="s">
        <v>42</v>
      </c>
      <c r="G1130" t="s">
        <v>58</v>
      </c>
      <c r="H1130" t="s">
        <v>27</v>
      </c>
      <c r="I1130" t="s">
        <v>43</v>
      </c>
      <c r="J1130" t="s">
        <v>1633</v>
      </c>
      <c r="K1130" t="s">
        <v>29</v>
      </c>
      <c r="L1130">
        <v>42000</v>
      </c>
      <c r="M1130">
        <v>8.3000000000000007</v>
      </c>
      <c r="N1130">
        <v>6.8</v>
      </c>
      <c r="O1130">
        <v>0.4</v>
      </c>
      <c r="P1130">
        <v>0</v>
      </c>
      <c r="R1130">
        <v>4</v>
      </c>
      <c r="S1130">
        <v>2</v>
      </c>
      <c r="T1130" t="s">
        <v>30</v>
      </c>
      <c r="U1130">
        <v>1</v>
      </c>
      <c r="W1130" t="s">
        <v>1650</v>
      </c>
      <c r="X1130" t="s">
        <v>1656</v>
      </c>
      <c r="Y1130" t="s">
        <v>1664</v>
      </c>
      <c r="Z1130">
        <v>0</v>
      </c>
    </row>
    <row r="1131" spans="1:26" x14ac:dyDescent="0.35">
      <c r="A1131" t="s">
        <v>1157</v>
      </c>
      <c r="B1131" s="6">
        <v>44459</v>
      </c>
      <c r="C1131" t="s">
        <v>23</v>
      </c>
      <c r="D1131">
        <v>30</v>
      </c>
      <c r="E1131" t="s">
        <v>36</v>
      </c>
      <c r="F1131" t="s">
        <v>42</v>
      </c>
      <c r="G1131" t="s">
        <v>26</v>
      </c>
      <c r="H1131" t="s">
        <v>1634</v>
      </c>
      <c r="I1131" t="s">
        <v>60</v>
      </c>
      <c r="J1131" t="s">
        <v>1633</v>
      </c>
      <c r="K1131" t="s">
        <v>66</v>
      </c>
      <c r="L1131">
        <v>55000</v>
      </c>
      <c r="M1131">
        <v>10.4</v>
      </c>
      <c r="N1131">
        <v>10.8</v>
      </c>
      <c r="O1131">
        <v>4.3</v>
      </c>
      <c r="P1131">
        <v>4</v>
      </c>
      <c r="Q1131">
        <v>3</v>
      </c>
      <c r="R1131">
        <v>3</v>
      </c>
      <c r="S1131">
        <v>4</v>
      </c>
      <c r="T1131" t="s">
        <v>23</v>
      </c>
      <c r="U1131">
        <v>3</v>
      </c>
      <c r="W1131" t="s">
        <v>1650</v>
      </c>
      <c r="X1131" t="s">
        <v>1656</v>
      </c>
      <c r="Y1131" t="s">
        <v>1661</v>
      </c>
      <c r="Z1131">
        <v>0</v>
      </c>
    </row>
    <row r="1132" spans="1:26" x14ac:dyDescent="0.35">
      <c r="A1132" t="s">
        <v>1311</v>
      </c>
      <c r="B1132" s="6">
        <v>42495</v>
      </c>
      <c r="C1132" t="s">
        <v>23</v>
      </c>
      <c r="D1132">
        <v>30</v>
      </c>
      <c r="E1132" t="s">
        <v>36</v>
      </c>
      <c r="F1132" t="s">
        <v>37</v>
      </c>
      <c r="G1132" t="s">
        <v>32</v>
      </c>
      <c r="H1132" t="s">
        <v>48</v>
      </c>
      <c r="I1132" t="s">
        <v>129</v>
      </c>
      <c r="J1132" t="s">
        <v>1635</v>
      </c>
      <c r="K1132" t="s">
        <v>34</v>
      </c>
      <c r="L1132">
        <v>90000</v>
      </c>
      <c r="M1132">
        <v>11</v>
      </c>
      <c r="N1132">
        <v>13.1</v>
      </c>
      <c r="O1132">
        <v>9.6999999999999993</v>
      </c>
      <c r="P1132">
        <v>1.5</v>
      </c>
      <c r="Q1132">
        <v>3</v>
      </c>
      <c r="R1132">
        <v>4</v>
      </c>
      <c r="S1132">
        <v>2</v>
      </c>
      <c r="T1132" t="s">
        <v>30</v>
      </c>
      <c r="U1132">
        <v>3</v>
      </c>
      <c r="W1132" t="s">
        <v>1650</v>
      </c>
      <c r="X1132" t="s">
        <v>1657</v>
      </c>
      <c r="Y1132" t="s">
        <v>1662</v>
      </c>
      <c r="Z1132">
        <v>0</v>
      </c>
    </row>
    <row r="1133" spans="1:26" x14ac:dyDescent="0.35">
      <c r="A1133" t="s">
        <v>1045</v>
      </c>
      <c r="B1133" s="6">
        <v>44219</v>
      </c>
      <c r="C1133" t="s">
        <v>23</v>
      </c>
      <c r="D1133">
        <v>41</v>
      </c>
      <c r="E1133" t="s">
        <v>24</v>
      </c>
      <c r="F1133" t="s">
        <v>37</v>
      </c>
      <c r="G1133" t="s">
        <v>58</v>
      </c>
      <c r="H1133" t="s">
        <v>68</v>
      </c>
      <c r="I1133" t="s">
        <v>69</v>
      </c>
      <c r="J1133" t="s">
        <v>1632</v>
      </c>
      <c r="K1133" t="s">
        <v>40</v>
      </c>
      <c r="L1133">
        <v>44000</v>
      </c>
      <c r="M1133">
        <v>3.4</v>
      </c>
      <c r="N1133">
        <v>5.4</v>
      </c>
      <c r="O1133">
        <v>4.9000000000000004</v>
      </c>
      <c r="P1133">
        <v>3.4</v>
      </c>
      <c r="Q1133">
        <v>3</v>
      </c>
      <c r="R1133">
        <v>3</v>
      </c>
      <c r="S1133">
        <v>2</v>
      </c>
      <c r="T1133" t="s">
        <v>23</v>
      </c>
      <c r="U1133">
        <v>3</v>
      </c>
      <c r="W1133" t="s">
        <v>1649</v>
      </c>
      <c r="X1133" t="s">
        <v>1656</v>
      </c>
      <c r="Y1133" t="s">
        <v>1661</v>
      </c>
      <c r="Z1133">
        <v>0</v>
      </c>
    </row>
    <row r="1134" spans="1:26" x14ac:dyDescent="0.35">
      <c r="A1134" t="s">
        <v>490</v>
      </c>
      <c r="B1134" s="6">
        <v>42147</v>
      </c>
      <c r="C1134" t="s">
        <v>23</v>
      </c>
      <c r="D1134">
        <v>33</v>
      </c>
      <c r="E1134" t="s">
        <v>62</v>
      </c>
      <c r="F1134" t="s">
        <v>37</v>
      </c>
      <c r="G1134" t="s">
        <v>26</v>
      </c>
      <c r="H1134" t="s">
        <v>1634</v>
      </c>
      <c r="I1134" t="s">
        <v>60</v>
      </c>
      <c r="J1134" t="s">
        <v>1633</v>
      </c>
      <c r="K1134" t="s">
        <v>84</v>
      </c>
      <c r="L1134">
        <v>47000</v>
      </c>
      <c r="M1134">
        <v>9.6999999999999993</v>
      </c>
      <c r="N1134">
        <v>16.7</v>
      </c>
      <c r="O1134">
        <v>10.6</v>
      </c>
      <c r="P1134">
        <v>3.7</v>
      </c>
      <c r="Q1134">
        <v>3</v>
      </c>
      <c r="R1134">
        <v>3</v>
      </c>
      <c r="S1134">
        <v>2</v>
      </c>
      <c r="T1134" t="s">
        <v>23</v>
      </c>
      <c r="U1134">
        <v>3</v>
      </c>
      <c r="W1134" t="s">
        <v>1650</v>
      </c>
      <c r="X1134" t="s">
        <v>1656</v>
      </c>
      <c r="Y1134" t="s">
        <v>1663</v>
      </c>
      <c r="Z1134">
        <v>0</v>
      </c>
    </row>
    <row r="1135" spans="1:26" x14ac:dyDescent="0.35">
      <c r="A1135" t="s">
        <v>1087</v>
      </c>
      <c r="B1135" s="6">
        <v>43703</v>
      </c>
      <c r="C1135" t="s">
        <v>23</v>
      </c>
      <c r="D1135">
        <v>37</v>
      </c>
      <c r="E1135" t="s">
        <v>62</v>
      </c>
      <c r="F1135" t="s">
        <v>42</v>
      </c>
      <c r="G1135" t="s">
        <v>32</v>
      </c>
      <c r="H1135" t="s">
        <v>1634</v>
      </c>
      <c r="I1135" t="s">
        <v>150</v>
      </c>
      <c r="J1135" t="s">
        <v>1635</v>
      </c>
      <c r="K1135" t="s">
        <v>40</v>
      </c>
      <c r="L1135">
        <v>67000</v>
      </c>
      <c r="M1135">
        <v>12</v>
      </c>
      <c r="N1135">
        <v>14.2</v>
      </c>
      <c r="O1135">
        <v>6.3</v>
      </c>
      <c r="P1135">
        <v>0.1</v>
      </c>
      <c r="Q1135">
        <v>1</v>
      </c>
      <c r="R1135">
        <v>3</v>
      </c>
      <c r="S1135">
        <v>3</v>
      </c>
      <c r="T1135" t="s">
        <v>23</v>
      </c>
      <c r="U1135">
        <v>3</v>
      </c>
      <c r="W1135" t="s">
        <v>1649</v>
      </c>
      <c r="X1135" t="s">
        <v>1659</v>
      </c>
      <c r="Y1135" t="s">
        <v>1662</v>
      </c>
      <c r="Z1135">
        <v>0</v>
      </c>
    </row>
    <row r="1136" spans="1:26" x14ac:dyDescent="0.35">
      <c r="A1136" t="s">
        <v>1333</v>
      </c>
      <c r="B1136" s="6">
        <v>43368</v>
      </c>
      <c r="C1136" t="s">
        <v>23</v>
      </c>
      <c r="D1136">
        <v>35</v>
      </c>
      <c r="E1136" t="s">
        <v>36</v>
      </c>
      <c r="F1136" t="s">
        <v>37</v>
      </c>
      <c r="G1136" t="s">
        <v>54</v>
      </c>
      <c r="H1136" t="s">
        <v>1634</v>
      </c>
      <c r="I1136" t="s">
        <v>75</v>
      </c>
      <c r="J1136" t="s">
        <v>1633</v>
      </c>
      <c r="K1136" t="s">
        <v>50</v>
      </c>
      <c r="L1136">
        <v>49000</v>
      </c>
      <c r="M1136">
        <v>8.1</v>
      </c>
      <c r="N1136">
        <v>7.4</v>
      </c>
      <c r="O1136">
        <v>7.3</v>
      </c>
      <c r="P1136">
        <v>4.8</v>
      </c>
      <c r="Q1136">
        <v>3</v>
      </c>
      <c r="R1136">
        <v>3</v>
      </c>
      <c r="S1136">
        <v>4</v>
      </c>
      <c r="T1136" t="s">
        <v>23</v>
      </c>
      <c r="U1136">
        <v>3</v>
      </c>
      <c r="W1136" t="s">
        <v>1650</v>
      </c>
      <c r="X1136" t="s">
        <v>1656</v>
      </c>
      <c r="Y1136" t="s">
        <v>1662</v>
      </c>
      <c r="Z1136">
        <v>0</v>
      </c>
    </row>
    <row r="1137" spans="1:26" x14ac:dyDescent="0.35">
      <c r="A1137" t="s">
        <v>457</v>
      </c>
      <c r="B1137" s="6">
        <v>43999</v>
      </c>
      <c r="C1137" t="s">
        <v>23</v>
      </c>
      <c r="D1137">
        <v>26</v>
      </c>
      <c r="E1137" t="s">
        <v>36</v>
      </c>
      <c r="F1137" t="s">
        <v>25</v>
      </c>
      <c r="G1137" t="s">
        <v>26</v>
      </c>
      <c r="H1137" t="s">
        <v>55</v>
      </c>
      <c r="I1137" t="s">
        <v>56</v>
      </c>
      <c r="J1137" t="s">
        <v>1632</v>
      </c>
      <c r="K1137" t="s">
        <v>34</v>
      </c>
      <c r="L1137">
        <v>57000</v>
      </c>
      <c r="M1137">
        <v>1.7</v>
      </c>
      <c r="N1137">
        <v>11.6</v>
      </c>
      <c r="O1137">
        <v>5.5</v>
      </c>
      <c r="P1137">
        <v>2.6</v>
      </c>
      <c r="Q1137">
        <v>3</v>
      </c>
      <c r="R1137">
        <v>2</v>
      </c>
      <c r="S1137">
        <v>3</v>
      </c>
      <c r="T1137" t="s">
        <v>30</v>
      </c>
      <c r="U1137">
        <v>4</v>
      </c>
      <c r="W1137" t="s">
        <v>1650</v>
      </c>
      <c r="X1137" t="s">
        <v>1656</v>
      </c>
      <c r="Y1137" t="s">
        <v>1661</v>
      </c>
      <c r="Z1137">
        <v>0</v>
      </c>
    </row>
    <row r="1138" spans="1:26" x14ac:dyDescent="0.35">
      <c r="A1138" t="s">
        <v>1064</v>
      </c>
      <c r="B1138" s="6">
        <v>43197</v>
      </c>
      <c r="C1138" t="s">
        <v>23</v>
      </c>
      <c r="D1138">
        <v>36</v>
      </c>
      <c r="E1138" t="s">
        <v>36</v>
      </c>
      <c r="F1138" t="s">
        <v>42</v>
      </c>
      <c r="G1138" t="s">
        <v>58</v>
      </c>
      <c r="H1138" t="s">
        <v>27</v>
      </c>
      <c r="I1138" t="s">
        <v>28</v>
      </c>
      <c r="J1138" t="s">
        <v>1637</v>
      </c>
      <c r="K1138" t="s">
        <v>50</v>
      </c>
      <c r="L1138">
        <v>152000</v>
      </c>
      <c r="M1138">
        <v>8.6</v>
      </c>
      <c r="N1138">
        <v>10.199999999999999</v>
      </c>
      <c r="O1138">
        <v>7.7</v>
      </c>
      <c r="P1138">
        <v>0.7</v>
      </c>
      <c r="Q1138">
        <v>3</v>
      </c>
      <c r="R1138">
        <v>3</v>
      </c>
      <c r="S1138">
        <v>3</v>
      </c>
      <c r="T1138" t="s">
        <v>23</v>
      </c>
      <c r="U1138">
        <v>3</v>
      </c>
      <c r="W1138" t="s">
        <v>1649</v>
      </c>
      <c r="X1138" t="s">
        <v>1658</v>
      </c>
      <c r="Y1138" t="s">
        <v>1662</v>
      </c>
      <c r="Z1138">
        <v>0</v>
      </c>
    </row>
    <row r="1139" spans="1:26" x14ac:dyDescent="0.35">
      <c r="A1139" t="s">
        <v>455</v>
      </c>
      <c r="B1139" s="6">
        <v>43123</v>
      </c>
      <c r="C1139" t="s">
        <v>23</v>
      </c>
      <c r="D1139">
        <v>36</v>
      </c>
      <c r="E1139" t="s">
        <v>62</v>
      </c>
      <c r="F1139" t="s">
        <v>42</v>
      </c>
      <c r="G1139" t="s">
        <v>58</v>
      </c>
      <c r="H1139" t="s">
        <v>38</v>
      </c>
      <c r="I1139" t="s">
        <v>52</v>
      </c>
      <c r="J1139" t="s">
        <v>1633</v>
      </c>
      <c r="K1139" t="s">
        <v>66</v>
      </c>
      <c r="L1139">
        <v>57000</v>
      </c>
      <c r="M1139">
        <v>14.6</v>
      </c>
      <c r="N1139">
        <v>14.9</v>
      </c>
      <c r="O1139">
        <v>7.9</v>
      </c>
      <c r="P1139">
        <v>5.0999999999999996</v>
      </c>
      <c r="Q1139">
        <v>3</v>
      </c>
      <c r="R1139">
        <v>2</v>
      </c>
      <c r="S1139">
        <v>2</v>
      </c>
      <c r="T1139" t="s">
        <v>23</v>
      </c>
      <c r="U1139">
        <v>3</v>
      </c>
      <c r="W1139" t="s">
        <v>1649</v>
      </c>
      <c r="X1139" t="s">
        <v>1656</v>
      </c>
      <c r="Y1139" t="s">
        <v>1662</v>
      </c>
      <c r="Z1139">
        <v>0</v>
      </c>
    </row>
    <row r="1140" spans="1:26" x14ac:dyDescent="0.35">
      <c r="A1140" t="s">
        <v>1428</v>
      </c>
      <c r="B1140" s="6">
        <v>43260</v>
      </c>
      <c r="C1140" t="s">
        <v>23</v>
      </c>
      <c r="D1140">
        <v>39</v>
      </c>
      <c r="E1140" t="s">
        <v>62</v>
      </c>
      <c r="F1140" t="s">
        <v>37</v>
      </c>
      <c r="G1140" t="s">
        <v>54</v>
      </c>
      <c r="H1140" t="s">
        <v>27</v>
      </c>
      <c r="I1140" t="s">
        <v>33</v>
      </c>
      <c r="J1140" t="s">
        <v>1635</v>
      </c>
      <c r="K1140" t="s">
        <v>40</v>
      </c>
      <c r="L1140">
        <v>65000</v>
      </c>
      <c r="M1140">
        <v>8.6999999999999993</v>
      </c>
      <c r="N1140">
        <v>13.8</v>
      </c>
      <c r="O1140">
        <v>7.6</v>
      </c>
      <c r="P1140">
        <v>4.5999999999999996</v>
      </c>
      <c r="Q1140">
        <v>2</v>
      </c>
      <c r="R1140">
        <v>2</v>
      </c>
      <c r="S1140">
        <v>3</v>
      </c>
      <c r="T1140" t="s">
        <v>23</v>
      </c>
      <c r="U1140">
        <v>4</v>
      </c>
      <c r="W1140" t="s">
        <v>1649</v>
      </c>
      <c r="X1140" t="s">
        <v>1659</v>
      </c>
      <c r="Y1140" t="s">
        <v>1662</v>
      </c>
      <c r="Z1140">
        <v>0</v>
      </c>
    </row>
    <row r="1141" spans="1:26" x14ac:dyDescent="0.35">
      <c r="A1141" t="s">
        <v>551</v>
      </c>
      <c r="B1141" s="6">
        <v>44107</v>
      </c>
      <c r="C1141" t="s">
        <v>23</v>
      </c>
      <c r="D1141">
        <v>26</v>
      </c>
      <c r="E1141" t="s">
        <v>24</v>
      </c>
      <c r="F1141" t="s">
        <v>25</v>
      </c>
      <c r="G1141" t="s">
        <v>54</v>
      </c>
      <c r="H1141" t="s">
        <v>38</v>
      </c>
      <c r="I1141" t="s">
        <v>139</v>
      </c>
      <c r="J1141" t="s">
        <v>1632</v>
      </c>
      <c r="K1141" t="s">
        <v>40</v>
      </c>
      <c r="L1141">
        <v>41000</v>
      </c>
      <c r="M1141">
        <v>6.8</v>
      </c>
      <c r="N1141">
        <v>5.8</v>
      </c>
      <c r="O1141">
        <v>5.2</v>
      </c>
      <c r="P1141">
        <v>2.5</v>
      </c>
      <c r="Q1141">
        <v>3</v>
      </c>
      <c r="R1141">
        <v>3</v>
      </c>
      <c r="S1141">
        <v>3</v>
      </c>
      <c r="T1141" t="s">
        <v>23</v>
      </c>
      <c r="U1141">
        <v>2</v>
      </c>
      <c r="W1141" t="s">
        <v>1650</v>
      </c>
      <c r="X1141" t="s">
        <v>1656</v>
      </c>
      <c r="Y1141" t="s">
        <v>1661</v>
      </c>
      <c r="Z1141">
        <v>0</v>
      </c>
    </row>
    <row r="1142" spans="1:26" x14ac:dyDescent="0.35">
      <c r="A1142" t="s">
        <v>1358</v>
      </c>
      <c r="B1142" s="6">
        <v>45382</v>
      </c>
      <c r="C1142" t="s">
        <v>23</v>
      </c>
      <c r="D1142">
        <v>26</v>
      </c>
      <c r="E1142" t="s">
        <v>36</v>
      </c>
      <c r="F1142" t="s">
        <v>25</v>
      </c>
      <c r="G1142" t="s">
        <v>32</v>
      </c>
      <c r="H1142" t="s">
        <v>1634</v>
      </c>
      <c r="I1142" t="s">
        <v>75</v>
      </c>
      <c r="J1142" t="s">
        <v>1632</v>
      </c>
      <c r="K1142" t="s">
        <v>84</v>
      </c>
      <c r="L1142">
        <v>48000</v>
      </c>
      <c r="M1142">
        <v>5.4</v>
      </c>
      <c r="N1142">
        <v>9.6999999999999993</v>
      </c>
      <c r="O1142">
        <v>1.8</v>
      </c>
      <c r="P1142">
        <v>1.8</v>
      </c>
      <c r="Q1142">
        <v>2</v>
      </c>
      <c r="R1142">
        <v>3</v>
      </c>
      <c r="S1142">
        <v>3</v>
      </c>
      <c r="T1142" t="s">
        <v>23</v>
      </c>
      <c r="U1142">
        <v>4</v>
      </c>
      <c r="W1142" t="s">
        <v>1650</v>
      </c>
      <c r="X1142" t="s">
        <v>1656</v>
      </c>
      <c r="Y1142" t="s">
        <v>1665</v>
      </c>
      <c r="Z1142">
        <v>0</v>
      </c>
    </row>
    <row r="1143" spans="1:26" x14ac:dyDescent="0.35">
      <c r="A1143" t="s">
        <v>610</v>
      </c>
      <c r="B1143" s="6">
        <v>45862</v>
      </c>
      <c r="C1143" t="s">
        <v>23</v>
      </c>
      <c r="D1143">
        <v>39</v>
      </c>
      <c r="E1143" t="s">
        <v>36</v>
      </c>
      <c r="F1143" t="s">
        <v>25</v>
      </c>
      <c r="G1143" t="s">
        <v>26</v>
      </c>
      <c r="H1143" t="s">
        <v>1634</v>
      </c>
      <c r="I1143" t="s">
        <v>86</v>
      </c>
      <c r="J1143" t="s">
        <v>1636</v>
      </c>
      <c r="K1143" t="s">
        <v>34</v>
      </c>
      <c r="L1143">
        <v>103000</v>
      </c>
      <c r="M1143">
        <v>12.4</v>
      </c>
      <c r="N1143">
        <v>6.4</v>
      </c>
      <c r="O1143">
        <v>0.4</v>
      </c>
      <c r="P1143">
        <v>0</v>
      </c>
      <c r="Q1143">
        <v>4</v>
      </c>
      <c r="R1143">
        <v>3</v>
      </c>
      <c r="S1143">
        <v>3</v>
      </c>
      <c r="T1143" t="s">
        <v>23</v>
      </c>
      <c r="U1143">
        <v>3</v>
      </c>
      <c r="W1143" t="s">
        <v>1649</v>
      </c>
      <c r="X1143" t="s">
        <v>1658</v>
      </c>
      <c r="Y1143" t="s">
        <v>1664</v>
      </c>
      <c r="Z1143">
        <v>0</v>
      </c>
    </row>
    <row r="1144" spans="1:26" x14ac:dyDescent="0.35">
      <c r="A1144" t="s">
        <v>343</v>
      </c>
      <c r="B1144" s="6">
        <v>44826</v>
      </c>
      <c r="C1144" t="s">
        <v>23</v>
      </c>
      <c r="D1144">
        <v>43</v>
      </c>
      <c r="E1144" t="s">
        <v>36</v>
      </c>
      <c r="F1144" t="s">
        <v>25</v>
      </c>
      <c r="G1144" t="s">
        <v>32</v>
      </c>
      <c r="H1144" t="s">
        <v>68</v>
      </c>
      <c r="I1144" t="s">
        <v>109</v>
      </c>
      <c r="J1144" t="s">
        <v>1633</v>
      </c>
      <c r="K1144" t="s">
        <v>34</v>
      </c>
      <c r="L1144">
        <v>53000</v>
      </c>
      <c r="M1144">
        <v>6.6</v>
      </c>
      <c r="N1144">
        <v>3.7</v>
      </c>
      <c r="O1144">
        <v>3.3</v>
      </c>
      <c r="P1144">
        <v>1.8</v>
      </c>
      <c r="Q1144">
        <v>3</v>
      </c>
      <c r="R1144">
        <v>4</v>
      </c>
      <c r="S1144">
        <v>4</v>
      </c>
      <c r="T1144" t="s">
        <v>23</v>
      </c>
      <c r="U1144">
        <v>4</v>
      </c>
      <c r="W1144" t="s">
        <v>1649</v>
      </c>
      <c r="X1144" t="s">
        <v>1656</v>
      </c>
      <c r="Y1144" t="s">
        <v>1661</v>
      </c>
      <c r="Z1144">
        <v>0</v>
      </c>
    </row>
    <row r="1145" spans="1:26" x14ac:dyDescent="0.35">
      <c r="A1145" t="s">
        <v>391</v>
      </c>
      <c r="B1145" s="6">
        <v>42980</v>
      </c>
      <c r="C1145" t="s">
        <v>23</v>
      </c>
      <c r="D1145">
        <v>39</v>
      </c>
      <c r="E1145" t="s">
        <v>62</v>
      </c>
      <c r="F1145" t="s">
        <v>42</v>
      </c>
      <c r="G1145" t="s">
        <v>54</v>
      </c>
      <c r="H1145" t="s">
        <v>45</v>
      </c>
      <c r="I1145" t="s">
        <v>164</v>
      </c>
      <c r="J1145" t="s">
        <v>1632</v>
      </c>
      <c r="K1145" t="s">
        <v>66</v>
      </c>
      <c r="L1145">
        <v>26000</v>
      </c>
      <c r="M1145">
        <v>6</v>
      </c>
      <c r="N1145">
        <v>10.3</v>
      </c>
      <c r="O1145">
        <v>8.3000000000000007</v>
      </c>
      <c r="P1145">
        <v>3.6</v>
      </c>
      <c r="Q1145">
        <v>4</v>
      </c>
      <c r="R1145">
        <v>2</v>
      </c>
      <c r="S1145">
        <v>3</v>
      </c>
      <c r="T1145" t="s">
        <v>23</v>
      </c>
      <c r="U1145">
        <v>3</v>
      </c>
      <c r="W1145" t="s">
        <v>1649</v>
      </c>
      <c r="X1145" t="s">
        <v>1655</v>
      </c>
      <c r="Y1145" t="s">
        <v>1662</v>
      </c>
      <c r="Z1145">
        <v>0</v>
      </c>
    </row>
    <row r="1146" spans="1:26" x14ac:dyDescent="0.35">
      <c r="A1146" t="s">
        <v>1379</v>
      </c>
      <c r="B1146" s="6">
        <v>44217</v>
      </c>
      <c r="C1146" t="s">
        <v>23</v>
      </c>
      <c r="D1146">
        <v>25</v>
      </c>
      <c r="E1146" t="s">
        <v>62</v>
      </c>
      <c r="F1146" t="s">
        <v>37</v>
      </c>
      <c r="G1146" t="s">
        <v>54</v>
      </c>
      <c r="H1146" t="s">
        <v>27</v>
      </c>
      <c r="I1146" t="s">
        <v>33</v>
      </c>
      <c r="J1146" t="s">
        <v>1632</v>
      </c>
      <c r="K1146" t="s">
        <v>50</v>
      </c>
      <c r="L1146">
        <v>49000</v>
      </c>
      <c r="M1146">
        <v>6.7</v>
      </c>
      <c r="N1146">
        <v>11.1</v>
      </c>
      <c r="O1146">
        <v>4.9000000000000004</v>
      </c>
      <c r="P1146">
        <v>2.9</v>
      </c>
      <c r="Q1146">
        <v>4</v>
      </c>
      <c r="R1146">
        <v>3</v>
      </c>
      <c r="S1146">
        <v>4</v>
      </c>
      <c r="T1146" t="s">
        <v>23</v>
      </c>
      <c r="U1146">
        <v>3</v>
      </c>
      <c r="W1146" t="s">
        <v>1651</v>
      </c>
      <c r="X1146" t="s">
        <v>1656</v>
      </c>
      <c r="Y1146" t="s">
        <v>1661</v>
      </c>
      <c r="Z1146">
        <v>0</v>
      </c>
    </row>
    <row r="1147" spans="1:26" x14ac:dyDescent="0.35">
      <c r="A1147" t="s">
        <v>1254</v>
      </c>
      <c r="B1147" s="6">
        <v>44828</v>
      </c>
      <c r="C1147" t="s">
        <v>23</v>
      </c>
      <c r="D1147">
        <v>34</v>
      </c>
      <c r="E1147" t="s">
        <v>24</v>
      </c>
      <c r="F1147" t="s">
        <v>37</v>
      </c>
      <c r="G1147" t="s">
        <v>32</v>
      </c>
      <c r="H1147" t="s">
        <v>68</v>
      </c>
      <c r="I1147" t="s">
        <v>121</v>
      </c>
      <c r="J1147" t="s">
        <v>1635</v>
      </c>
      <c r="K1147" t="s">
        <v>66</v>
      </c>
      <c r="L1147">
        <v>68000</v>
      </c>
      <c r="M1147">
        <v>9</v>
      </c>
      <c r="N1147">
        <v>11.2</v>
      </c>
      <c r="O1147">
        <v>3.3</v>
      </c>
      <c r="P1147">
        <v>1.8</v>
      </c>
      <c r="Q1147">
        <v>4</v>
      </c>
      <c r="R1147">
        <v>4</v>
      </c>
      <c r="S1147">
        <v>3</v>
      </c>
      <c r="T1147" t="s">
        <v>30</v>
      </c>
      <c r="U1147">
        <v>3</v>
      </c>
      <c r="W1147" t="s">
        <v>1650</v>
      </c>
      <c r="X1147" t="s">
        <v>1659</v>
      </c>
      <c r="Y1147" t="s">
        <v>1661</v>
      </c>
      <c r="Z1147">
        <v>0</v>
      </c>
    </row>
    <row r="1148" spans="1:26" x14ac:dyDescent="0.35">
      <c r="A1148" t="s">
        <v>104</v>
      </c>
      <c r="B1148" s="6">
        <v>44895</v>
      </c>
      <c r="C1148" t="s">
        <v>30</v>
      </c>
      <c r="D1148">
        <v>32</v>
      </c>
      <c r="E1148" t="s">
        <v>62</v>
      </c>
      <c r="F1148" t="s">
        <v>37</v>
      </c>
      <c r="G1148" t="s">
        <v>32</v>
      </c>
      <c r="H1148" t="s">
        <v>48</v>
      </c>
      <c r="I1148" t="s">
        <v>49</v>
      </c>
      <c r="J1148" t="s">
        <v>1635</v>
      </c>
      <c r="K1148" t="s">
        <v>66</v>
      </c>
      <c r="L1148">
        <v>91000</v>
      </c>
      <c r="M1148">
        <v>13.1</v>
      </c>
      <c r="N1148">
        <v>8.3000000000000007</v>
      </c>
      <c r="O1148">
        <v>3</v>
      </c>
      <c r="P1148">
        <v>1.5</v>
      </c>
      <c r="Q1148">
        <v>2</v>
      </c>
      <c r="R1148">
        <v>3</v>
      </c>
      <c r="S1148">
        <v>4</v>
      </c>
      <c r="T1148" t="s">
        <v>23</v>
      </c>
      <c r="U1148">
        <v>5</v>
      </c>
      <c r="V1148" s="7">
        <v>45988</v>
      </c>
      <c r="W1148" t="s">
        <v>1650</v>
      </c>
      <c r="X1148" t="s">
        <v>1657</v>
      </c>
      <c r="Y1148" t="s">
        <v>1665</v>
      </c>
      <c r="Z1148">
        <v>1</v>
      </c>
    </row>
    <row r="1149" spans="1:26" x14ac:dyDescent="0.35">
      <c r="A1149" t="s">
        <v>1539</v>
      </c>
      <c r="B1149" s="6">
        <v>43939</v>
      </c>
      <c r="C1149" t="s">
        <v>30</v>
      </c>
      <c r="D1149">
        <v>30</v>
      </c>
      <c r="E1149" t="s">
        <v>36</v>
      </c>
      <c r="F1149" t="s">
        <v>42</v>
      </c>
      <c r="G1149" t="s">
        <v>54</v>
      </c>
      <c r="H1149" t="s">
        <v>1634</v>
      </c>
      <c r="I1149" t="s">
        <v>75</v>
      </c>
      <c r="J1149" t="s">
        <v>1635</v>
      </c>
      <c r="K1149" t="s">
        <v>34</v>
      </c>
      <c r="L1149">
        <v>65000</v>
      </c>
      <c r="M1149">
        <v>6.5</v>
      </c>
      <c r="N1149">
        <v>5</v>
      </c>
      <c r="O1149">
        <v>4.9000000000000004</v>
      </c>
      <c r="P1149">
        <v>1.1000000000000001</v>
      </c>
      <c r="Q1149">
        <v>2</v>
      </c>
      <c r="R1149">
        <v>4</v>
      </c>
      <c r="S1149">
        <v>1</v>
      </c>
      <c r="T1149" t="s">
        <v>30</v>
      </c>
      <c r="U1149">
        <v>4</v>
      </c>
      <c r="V1149" s="7">
        <v>45717</v>
      </c>
      <c r="W1149" t="s">
        <v>1650</v>
      </c>
      <c r="X1149" t="s">
        <v>1659</v>
      </c>
      <c r="Y1149" t="s">
        <v>1661</v>
      </c>
      <c r="Z1149">
        <v>1</v>
      </c>
    </row>
    <row r="1150" spans="1:26" x14ac:dyDescent="0.35">
      <c r="A1150" t="s">
        <v>761</v>
      </c>
      <c r="B1150" s="6">
        <v>43742</v>
      </c>
      <c r="C1150" t="s">
        <v>23</v>
      </c>
      <c r="D1150">
        <v>37</v>
      </c>
      <c r="E1150" t="s">
        <v>36</v>
      </c>
      <c r="F1150" t="s">
        <v>37</v>
      </c>
      <c r="G1150" t="s">
        <v>58</v>
      </c>
      <c r="H1150" t="s">
        <v>38</v>
      </c>
      <c r="I1150" t="s">
        <v>118</v>
      </c>
      <c r="J1150" t="s">
        <v>1636</v>
      </c>
      <c r="K1150" t="s">
        <v>34</v>
      </c>
      <c r="L1150">
        <v>105000</v>
      </c>
      <c r="M1150">
        <v>9</v>
      </c>
      <c r="N1150">
        <v>12.7</v>
      </c>
      <c r="O1150">
        <v>6.2</v>
      </c>
      <c r="P1150">
        <v>2.9</v>
      </c>
      <c r="Q1150">
        <v>3</v>
      </c>
      <c r="R1150">
        <v>3</v>
      </c>
      <c r="S1150">
        <v>1</v>
      </c>
      <c r="T1150" t="s">
        <v>23</v>
      </c>
      <c r="U1150">
        <v>2</v>
      </c>
      <c r="W1150" t="s">
        <v>1649</v>
      </c>
      <c r="X1150" t="s">
        <v>1658</v>
      </c>
      <c r="Y1150" t="s">
        <v>1662</v>
      </c>
      <c r="Z1150">
        <v>0</v>
      </c>
    </row>
    <row r="1151" spans="1:26" x14ac:dyDescent="0.35">
      <c r="A1151" t="s">
        <v>257</v>
      </c>
      <c r="B1151" s="6">
        <v>42328</v>
      </c>
      <c r="C1151" t="s">
        <v>30</v>
      </c>
      <c r="D1151">
        <v>31</v>
      </c>
      <c r="E1151" t="s">
        <v>36</v>
      </c>
      <c r="F1151" t="s">
        <v>42</v>
      </c>
      <c r="G1151" t="s">
        <v>54</v>
      </c>
      <c r="H1151" t="s">
        <v>1634</v>
      </c>
      <c r="I1151" t="s">
        <v>75</v>
      </c>
      <c r="J1151" t="s">
        <v>1633</v>
      </c>
      <c r="K1151" t="s">
        <v>66</v>
      </c>
      <c r="L1151">
        <v>63000</v>
      </c>
      <c r="M1151">
        <v>10.7</v>
      </c>
      <c r="N1151">
        <v>15.3</v>
      </c>
      <c r="O1151">
        <v>10.1</v>
      </c>
      <c r="P1151">
        <v>3.8</v>
      </c>
      <c r="Q1151">
        <v>3</v>
      </c>
      <c r="R1151">
        <v>2</v>
      </c>
      <c r="S1151">
        <v>3</v>
      </c>
      <c r="T1151" t="s">
        <v>30</v>
      </c>
      <c r="U1151">
        <v>1</v>
      </c>
      <c r="W1151" t="s">
        <v>1650</v>
      </c>
      <c r="X1151" t="s">
        <v>1659</v>
      </c>
      <c r="Y1151" t="s">
        <v>1663</v>
      </c>
      <c r="Z1151">
        <v>1</v>
      </c>
    </row>
    <row r="1152" spans="1:26" x14ac:dyDescent="0.35">
      <c r="A1152" t="s">
        <v>574</v>
      </c>
      <c r="B1152" s="6">
        <v>44704</v>
      </c>
      <c r="C1152" t="s">
        <v>23</v>
      </c>
      <c r="D1152">
        <v>31</v>
      </c>
      <c r="E1152" t="s">
        <v>36</v>
      </c>
      <c r="F1152" t="s">
        <v>37</v>
      </c>
      <c r="G1152" t="s">
        <v>26</v>
      </c>
      <c r="H1152" t="s">
        <v>45</v>
      </c>
      <c r="I1152" t="s">
        <v>97</v>
      </c>
      <c r="J1152" t="s">
        <v>1633</v>
      </c>
      <c r="K1152" t="s">
        <v>84</v>
      </c>
      <c r="L1152">
        <v>58000</v>
      </c>
      <c r="M1152">
        <v>15.5</v>
      </c>
      <c r="N1152">
        <v>9.9</v>
      </c>
      <c r="O1152">
        <v>3.6</v>
      </c>
      <c r="P1152">
        <v>0.1</v>
      </c>
      <c r="Q1152">
        <v>3</v>
      </c>
      <c r="R1152">
        <v>2</v>
      </c>
      <c r="S1152">
        <v>4</v>
      </c>
      <c r="T1152" t="s">
        <v>23</v>
      </c>
      <c r="U1152">
        <v>1</v>
      </c>
      <c r="W1152" t="s">
        <v>1650</v>
      </c>
      <c r="X1152" t="s">
        <v>1656</v>
      </c>
      <c r="Y1152" t="s">
        <v>1661</v>
      </c>
      <c r="Z1152">
        <v>0</v>
      </c>
    </row>
    <row r="1153" spans="1:26" x14ac:dyDescent="0.35">
      <c r="A1153" t="s">
        <v>1452</v>
      </c>
      <c r="B1153" s="6">
        <v>44293</v>
      </c>
      <c r="C1153" t="s">
        <v>23</v>
      </c>
      <c r="D1153">
        <v>25</v>
      </c>
      <c r="E1153" t="s">
        <v>62</v>
      </c>
      <c r="F1153" t="s">
        <v>42</v>
      </c>
      <c r="G1153" t="s">
        <v>54</v>
      </c>
      <c r="H1153" t="s">
        <v>1634</v>
      </c>
      <c r="I1153" t="s">
        <v>150</v>
      </c>
      <c r="J1153" t="s">
        <v>1632</v>
      </c>
      <c r="K1153" t="s">
        <v>84</v>
      </c>
      <c r="L1153">
        <v>31000</v>
      </c>
      <c r="M1153">
        <v>7.6</v>
      </c>
      <c r="N1153">
        <v>5.3</v>
      </c>
      <c r="O1153">
        <v>4.7</v>
      </c>
      <c r="P1153">
        <v>0.1</v>
      </c>
      <c r="Q1153">
        <v>3</v>
      </c>
      <c r="R1153">
        <v>3</v>
      </c>
      <c r="S1153">
        <v>3</v>
      </c>
      <c r="T1153" t="s">
        <v>23</v>
      </c>
      <c r="U1153">
        <v>5</v>
      </c>
      <c r="W1153" t="s">
        <v>1651</v>
      </c>
      <c r="X1153" t="s">
        <v>1655</v>
      </c>
      <c r="Y1153" t="s">
        <v>1661</v>
      </c>
      <c r="Z1153">
        <v>0</v>
      </c>
    </row>
    <row r="1154" spans="1:26" x14ac:dyDescent="0.35">
      <c r="A1154" t="s">
        <v>1340</v>
      </c>
      <c r="B1154" s="6">
        <v>43147</v>
      </c>
      <c r="C1154" t="s">
        <v>30</v>
      </c>
      <c r="D1154">
        <v>38</v>
      </c>
      <c r="E1154" t="s">
        <v>36</v>
      </c>
      <c r="F1154" t="s">
        <v>25</v>
      </c>
      <c r="G1154" t="s">
        <v>58</v>
      </c>
      <c r="H1154" t="s">
        <v>38</v>
      </c>
      <c r="I1154" t="s">
        <v>118</v>
      </c>
      <c r="J1154" t="s">
        <v>1632</v>
      </c>
      <c r="K1154" t="s">
        <v>50</v>
      </c>
      <c r="L1154">
        <v>30000</v>
      </c>
      <c r="M1154">
        <v>9.3000000000000007</v>
      </c>
      <c r="N1154">
        <v>12.6</v>
      </c>
      <c r="O1154">
        <v>7</v>
      </c>
      <c r="P1154">
        <v>5.4</v>
      </c>
      <c r="Q1154">
        <v>3</v>
      </c>
      <c r="R1154">
        <v>4</v>
      </c>
      <c r="S1154">
        <v>4</v>
      </c>
      <c r="T1154" t="s">
        <v>23</v>
      </c>
      <c r="U1154">
        <v>1</v>
      </c>
      <c r="V1154" s="7">
        <v>45704</v>
      </c>
      <c r="W1154" t="s">
        <v>1649</v>
      </c>
      <c r="X1154" t="s">
        <v>1655</v>
      </c>
      <c r="Y1154" t="s">
        <v>1662</v>
      </c>
      <c r="Z1154">
        <v>1</v>
      </c>
    </row>
    <row r="1155" spans="1:26" x14ac:dyDescent="0.35">
      <c r="A1155" t="s">
        <v>439</v>
      </c>
      <c r="B1155" s="6">
        <v>43907</v>
      </c>
      <c r="C1155" t="s">
        <v>23</v>
      </c>
      <c r="D1155">
        <v>43</v>
      </c>
      <c r="E1155" t="s">
        <v>62</v>
      </c>
      <c r="F1155" t="s">
        <v>25</v>
      </c>
      <c r="G1155" t="s">
        <v>54</v>
      </c>
      <c r="H1155" t="s">
        <v>48</v>
      </c>
      <c r="I1155" t="s">
        <v>129</v>
      </c>
      <c r="J1155" t="s">
        <v>1635</v>
      </c>
      <c r="K1155" t="s">
        <v>40</v>
      </c>
      <c r="L1155">
        <v>75000</v>
      </c>
      <c r="M1155">
        <v>9.1999999999999993</v>
      </c>
      <c r="N1155">
        <v>11.9</v>
      </c>
      <c r="O1155">
        <v>5.8</v>
      </c>
      <c r="P1155">
        <v>2.5</v>
      </c>
      <c r="Q1155">
        <v>1</v>
      </c>
      <c r="R1155">
        <v>3</v>
      </c>
      <c r="S1155">
        <v>3</v>
      </c>
      <c r="T1155" t="s">
        <v>23</v>
      </c>
      <c r="U1155">
        <v>2</v>
      </c>
      <c r="W1155" t="s">
        <v>1649</v>
      </c>
      <c r="X1155" t="s">
        <v>1659</v>
      </c>
      <c r="Y1155" t="s">
        <v>1661</v>
      </c>
      <c r="Z1155">
        <v>0</v>
      </c>
    </row>
    <row r="1156" spans="1:26" x14ac:dyDescent="0.35">
      <c r="A1156" t="s">
        <v>1461</v>
      </c>
      <c r="B1156" s="6">
        <v>43657</v>
      </c>
      <c r="C1156" t="s">
        <v>23</v>
      </c>
      <c r="D1156">
        <v>41</v>
      </c>
      <c r="E1156" t="s">
        <v>62</v>
      </c>
      <c r="F1156" t="s">
        <v>37</v>
      </c>
      <c r="G1156" t="s">
        <v>58</v>
      </c>
      <c r="H1156" t="s">
        <v>48</v>
      </c>
      <c r="I1156" t="s">
        <v>201</v>
      </c>
      <c r="J1156" t="s">
        <v>1635</v>
      </c>
      <c r="K1156" t="s">
        <v>50</v>
      </c>
      <c r="L1156">
        <v>54000</v>
      </c>
      <c r="M1156">
        <v>8.9</v>
      </c>
      <c r="N1156">
        <v>11.6</v>
      </c>
      <c r="O1156">
        <v>6.5</v>
      </c>
      <c r="P1156">
        <v>0.7</v>
      </c>
      <c r="Q1156">
        <v>3</v>
      </c>
      <c r="R1156">
        <v>3</v>
      </c>
      <c r="S1156">
        <v>3</v>
      </c>
      <c r="T1156" t="s">
        <v>23</v>
      </c>
      <c r="U1156">
        <v>4</v>
      </c>
      <c r="W1156" t="s">
        <v>1649</v>
      </c>
      <c r="X1156" t="s">
        <v>1656</v>
      </c>
      <c r="Y1156" t="s">
        <v>1662</v>
      </c>
      <c r="Z1156">
        <v>0</v>
      </c>
    </row>
    <row r="1157" spans="1:26" x14ac:dyDescent="0.35">
      <c r="A1157" t="s">
        <v>1080</v>
      </c>
      <c r="B1157" s="6">
        <v>44306</v>
      </c>
      <c r="C1157" t="s">
        <v>23</v>
      </c>
      <c r="D1157">
        <v>30</v>
      </c>
      <c r="E1157" t="s">
        <v>62</v>
      </c>
      <c r="F1157" t="s">
        <v>42</v>
      </c>
      <c r="G1157" t="s">
        <v>54</v>
      </c>
      <c r="H1157" t="s">
        <v>68</v>
      </c>
      <c r="I1157" t="s">
        <v>121</v>
      </c>
      <c r="J1157" t="s">
        <v>1633</v>
      </c>
      <c r="K1157" t="s">
        <v>29</v>
      </c>
      <c r="L1157">
        <v>68000</v>
      </c>
      <c r="M1157">
        <v>5.5</v>
      </c>
      <c r="N1157">
        <v>10.199999999999999</v>
      </c>
      <c r="O1157">
        <v>4.7</v>
      </c>
      <c r="P1157">
        <v>1.1000000000000001</v>
      </c>
      <c r="Q1157">
        <v>3</v>
      </c>
      <c r="R1157">
        <v>1</v>
      </c>
      <c r="S1157">
        <v>2</v>
      </c>
      <c r="T1157" t="s">
        <v>30</v>
      </c>
      <c r="U1157">
        <v>3</v>
      </c>
      <c r="W1157" t="s">
        <v>1650</v>
      </c>
      <c r="X1157" t="s">
        <v>1659</v>
      </c>
      <c r="Y1157" t="s">
        <v>1661</v>
      </c>
      <c r="Z1157">
        <v>0</v>
      </c>
    </row>
    <row r="1158" spans="1:26" x14ac:dyDescent="0.35">
      <c r="A1158" t="s">
        <v>631</v>
      </c>
      <c r="B1158" s="6">
        <v>44619</v>
      </c>
      <c r="C1158" t="s">
        <v>23</v>
      </c>
      <c r="D1158">
        <v>35</v>
      </c>
      <c r="E1158" t="s">
        <v>36</v>
      </c>
      <c r="F1158" t="s">
        <v>42</v>
      </c>
      <c r="G1158" t="s">
        <v>58</v>
      </c>
      <c r="H1158" t="s">
        <v>27</v>
      </c>
      <c r="I1158" t="s">
        <v>95</v>
      </c>
      <c r="J1158" t="s">
        <v>1633</v>
      </c>
      <c r="K1158" t="s">
        <v>50</v>
      </c>
      <c r="L1158">
        <v>62000</v>
      </c>
      <c r="M1158">
        <v>6.3</v>
      </c>
      <c r="N1158">
        <v>11.7</v>
      </c>
      <c r="O1158">
        <v>3.8</v>
      </c>
      <c r="P1158">
        <v>2.2000000000000002</v>
      </c>
      <c r="Q1158">
        <v>4</v>
      </c>
      <c r="R1158">
        <v>4</v>
      </c>
      <c r="S1158">
        <v>4</v>
      </c>
      <c r="T1158" t="s">
        <v>30</v>
      </c>
      <c r="U1158">
        <v>4</v>
      </c>
      <c r="W1158" t="s">
        <v>1650</v>
      </c>
      <c r="X1158" t="s">
        <v>1659</v>
      </c>
      <c r="Y1158" t="s">
        <v>1661</v>
      </c>
      <c r="Z1158">
        <v>0</v>
      </c>
    </row>
    <row r="1159" spans="1:26" x14ac:dyDescent="0.35">
      <c r="A1159" t="s">
        <v>1413</v>
      </c>
      <c r="B1159" s="6">
        <v>42896</v>
      </c>
      <c r="C1159" t="s">
        <v>23</v>
      </c>
      <c r="D1159">
        <v>41</v>
      </c>
      <c r="E1159" t="s">
        <v>62</v>
      </c>
      <c r="F1159" t="s">
        <v>37</v>
      </c>
      <c r="G1159" t="s">
        <v>58</v>
      </c>
      <c r="H1159" t="s">
        <v>48</v>
      </c>
      <c r="I1159" t="s">
        <v>201</v>
      </c>
      <c r="J1159" t="s">
        <v>1635</v>
      </c>
      <c r="K1159" t="s">
        <v>50</v>
      </c>
      <c r="L1159">
        <v>84000</v>
      </c>
      <c r="M1159">
        <v>2.8</v>
      </c>
      <c r="N1159">
        <v>13.4</v>
      </c>
      <c r="O1159">
        <v>8.6</v>
      </c>
      <c r="P1159">
        <v>4.7</v>
      </c>
      <c r="Q1159">
        <v>2</v>
      </c>
      <c r="R1159">
        <v>2</v>
      </c>
      <c r="S1159">
        <v>3</v>
      </c>
      <c r="T1159" t="s">
        <v>23</v>
      </c>
      <c r="U1159">
        <v>4</v>
      </c>
      <c r="W1159" t="s">
        <v>1649</v>
      </c>
      <c r="X1159" t="s">
        <v>1657</v>
      </c>
      <c r="Y1159" t="s">
        <v>1662</v>
      </c>
      <c r="Z1159">
        <v>0</v>
      </c>
    </row>
    <row r="1160" spans="1:26" x14ac:dyDescent="0.35">
      <c r="A1160" t="s">
        <v>508</v>
      </c>
      <c r="B1160" s="6">
        <v>44051</v>
      </c>
      <c r="C1160" t="s">
        <v>23</v>
      </c>
      <c r="D1160">
        <v>36</v>
      </c>
      <c r="E1160" t="s">
        <v>36</v>
      </c>
      <c r="F1160" t="s">
        <v>25</v>
      </c>
      <c r="G1160" t="s">
        <v>58</v>
      </c>
      <c r="H1160" t="s">
        <v>27</v>
      </c>
      <c r="I1160" t="s">
        <v>33</v>
      </c>
      <c r="J1160" t="s">
        <v>1636</v>
      </c>
      <c r="K1160" t="s">
        <v>84</v>
      </c>
      <c r="L1160">
        <v>113000</v>
      </c>
      <c r="M1160">
        <v>6.3</v>
      </c>
      <c r="N1160">
        <v>8.1</v>
      </c>
      <c r="O1160">
        <v>5.4</v>
      </c>
      <c r="P1160">
        <v>3.2</v>
      </c>
      <c r="Q1160">
        <v>2</v>
      </c>
      <c r="R1160">
        <v>3</v>
      </c>
      <c r="S1160">
        <v>4</v>
      </c>
      <c r="T1160" t="s">
        <v>30</v>
      </c>
      <c r="U1160">
        <v>5</v>
      </c>
      <c r="W1160" t="s">
        <v>1649</v>
      </c>
      <c r="X1160" t="s">
        <v>1658</v>
      </c>
      <c r="Y1160" t="s">
        <v>1661</v>
      </c>
      <c r="Z1160">
        <v>0</v>
      </c>
    </row>
    <row r="1161" spans="1:26" x14ac:dyDescent="0.35">
      <c r="A1161" t="s">
        <v>484</v>
      </c>
      <c r="B1161" s="6">
        <v>44432</v>
      </c>
      <c r="C1161" t="s">
        <v>23</v>
      </c>
      <c r="D1161">
        <v>37</v>
      </c>
      <c r="E1161" t="s">
        <v>36</v>
      </c>
      <c r="F1161" t="s">
        <v>42</v>
      </c>
      <c r="G1161" t="s">
        <v>26</v>
      </c>
      <c r="H1161" t="s">
        <v>55</v>
      </c>
      <c r="I1161" t="s">
        <v>56</v>
      </c>
      <c r="J1161" t="s">
        <v>1636</v>
      </c>
      <c r="K1161" t="s">
        <v>29</v>
      </c>
      <c r="L1161">
        <v>118000</v>
      </c>
      <c r="M1161">
        <v>0.9</v>
      </c>
      <c r="N1161">
        <v>6.9</v>
      </c>
      <c r="O1161">
        <v>4.4000000000000004</v>
      </c>
      <c r="P1161">
        <v>3.4</v>
      </c>
      <c r="Q1161">
        <v>3</v>
      </c>
      <c r="R1161">
        <v>2</v>
      </c>
      <c r="S1161">
        <v>4</v>
      </c>
      <c r="T1161" t="s">
        <v>23</v>
      </c>
      <c r="U1161">
        <v>2</v>
      </c>
      <c r="W1161" t="s">
        <v>1649</v>
      </c>
      <c r="X1161" t="s">
        <v>1658</v>
      </c>
      <c r="Y1161" t="s">
        <v>1661</v>
      </c>
      <c r="Z1161">
        <v>0</v>
      </c>
    </row>
    <row r="1162" spans="1:26" x14ac:dyDescent="0.35">
      <c r="A1162" t="s">
        <v>375</v>
      </c>
      <c r="B1162" s="6">
        <v>45700</v>
      </c>
      <c r="C1162" t="s">
        <v>23</v>
      </c>
      <c r="D1162">
        <v>39</v>
      </c>
      <c r="E1162" t="s">
        <v>36</v>
      </c>
      <c r="F1162" t="s">
        <v>42</v>
      </c>
      <c r="G1162" t="s">
        <v>32</v>
      </c>
      <c r="H1162" t="s">
        <v>27</v>
      </c>
      <c r="I1162" t="s">
        <v>43</v>
      </c>
      <c r="J1162" t="s">
        <v>1636</v>
      </c>
      <c r="K1162" t="s">
        <v>66</v>
      </c>
      <c r="L1162">
        <v>107000</v>
      </c>
      <c r="M1162">
        <v>8.1</v>
      </c>
      <c r="N1162">
        <v>3.6</v>
      </c>
      <c r="O1162">
        <v>0.9</v>
      </c>
      <c r="P1162">
        <v>0</v>
      </c>
      <c r="Q1162">
        <v>2</v>
      </c>
      <c r="R1162">
        <v>1</v>
      </c>
      <c r="S1162">
        <v>2</v>
      </c>
      <c r="T1162" t="s">
        <v>23</v>
      </c>
      <c r="U1162">
        <v>4</v>
      </c>
      <c r="W1162" t="s">
        <v>1649</v>
      </c>
      <c r="X1162" t="s">
        <v>1658</v>
      </c>
      <c r="Y1162" t="s">
        <v>1664</v>
      </c>
      <c r="Z1162">
        <v>0</v>
      </c>
    </row>
    <row r="1163" spans="1:26" x14ac:dyDescent="0.35">
      <c r="A1163" t="s">
        <v>719</v>
      </c>
      <c r="B1163" s="6">
        <v>42129</v>
      </c>
      <c r="C1163" t="s">
        <v>23</v>
      </c>
      <c r="D1163">
        <v>37</v>
      </c>
      <c r="E1163" t="s">
        <v>36</v>
      </c>
      <c r="F1163" t="s">
        <v>37</v>
      </c>
      <c r="G1163" t="s">
        <v>26</v>
      </c>
      <c r="H1163" t="s">
        <v>55</v>
      </c>
      <c r="I1163" t="s">
        <v>88</v>
      </c>
      <c r="J1163" t="s">
        <v>1636</v>
      </c>
      <c r="K1163" t="s">
        <v>40</v>
      </c>
      <c r="L1163">
        <v>143000</v>
      </c>
      <c r="M1163">
        <v>3.4</v>
      </c>
      <c r="N1163">
        <v>15.9</v>
      </c>
      <c r="O1163">
        <v>10.7</v>
      </c>
      <c r="P1163">
        <v>5.5</v>
      </c>
      <c r="Q1163">
        <v>1</v>
      </c>
      <c r="R1163">
        <v>3</v>
      </c>
      <c r="S1163">
        <v>2</v>
      </c>
      <c r="T1163" t="s">
        <v>30</v>
      </c>
      <c r="U1163">
        <v>3</v>
      </c>
      <c r="W1163" t="s">
        <v>1649</v>
      </c>
      <c r="X1163" t="s">
        <v>1658</v>
      </c>
      <c r="Y1163" t="s">
        <v>1663</v>
      </c>
      <c r="Z1163">
        <v>0</v>
      </c>
    </row>
    <row r="1164" spans="1:26" x14ac:dyDescent="0.35">
      <c r="A1164" t="s">
        <v>743</v>
      </c>
      <c r="B1164" s="6">
        <v>45671</v>
      </c>
      <c r="C1164" t="s">
        <v>23</v>
      </c>
      <c r="D1164">
        <v>22</v>
      </c>
      <c r="E1164" t="s">
        <v>62</v>
      </c>
      <c r="F1164" t="s">
        <v>37</v>
      </c>
      <c r="G1164" t="s">
        <v>26</v>
      </c>
      <c r="H1164" t="s">
        <v>48</v>
      </c>
      <c r="I1164" t="s">
        <v>63</v>
      </c>
      <c r="J1164" t="s">
        <v>1632</v>
      </c>
      <c r="K1164" t="s">
        <v>50</v>
      </c>
      <c r="L1164">
        <v>33000</v>
      </c>
      <c r="M1164">
        <v>8</v>
      </c>
      <c r="N1164">
        <v>3.9</v>
      </c>
      <c r="O1164">
        <v>1</v>
      </c>
      <c r="P1164">
        <v>0.5</v>
      </c>
      <c r="Q1164">
        <v>4</v>
      </c>
      <c r="R1164">
        <v>1</v>
      </c>
      <c r="S1164">
        <v>3</v>
      </c>
      <c r="T1164" t="s">
        <v>23</v>
      </c>
      <c r="U1164">
        <v>4</v>
      </c>
      <c r="W1164" t="s">
        <v>1651</v>
      </c>
      <c r="X1164" t="s">
        <v>1655</v>
      </c>
      <c r="Y1164" t="s">
        <v>1665</v>
      </c>
      <c r="Z1164">
        <v>0</v>
      </c>
    </row>
    <row r="1165" spans="1:26" x14ac:dyDescent="0.35">
      <c r="A1165" t="s">
        <v>1453</v>
      </c>
      <c r="B1165" s="6">
        <v>43304</v>
      </c>
      <c r="C1165" t="s">
        <v>30</v>
      </c>
      <c r="D1165">
        <v>33</v>
      </c>
      <c r="E1165" t="s">
        <v>24</v>
      </c>
      <c r="F1165" t="s">
        <v>42</v>
      </c>
      <c r="G1165" t="s">
        <v>26</v>
      </c>
      <c r="H1165" t="s">
        <v>27</v>
      </c>
      <c r="I1165" t="s">
        <v>28</v>
      </c>
      <c r="J1165" t="s">
        <v>1637</v>
      </c>
      <c r="K1165" t="s">
        <v>66</v>
      </c>
      <c r="L1165">
        <v>153000</v>
      </c>
      <c r="M1165">
        <v>11.8</v>
      </c>
      <c r="N1165">
        <v>8.1</v>
      </c>
      <c r="O1165">
        <v>7.4</v>
      </c>
      <c r="P1165">
        <v>1.1000000000000001</v>
      </c>
      <c r="Q1165">
        <v>4</v>
      </c>
      <c r="R1165">
        <v>2</v>
      </c>
      <c r="S1165">
        <v>4</v>
      </c>
      <c r="T1165" t="s">
        <v>23</v>
      </c>
      <c r="U1165">
        <v>4</v>
      </c>
      <c r="V1165" s="7">
        <v>45994</v>
      </c>
      <c r="W1165" t="s">
        <v>1650</v>
      </c>
      <c r="X1165" t="s">
        <v>1658</v>
      </c>
      <c r="Y1165" t="s">
        <v>1662</v>
      </c>
      <c r="Z1165">
        <v>1</v>
      </c>
    </row>
    <row r="1166" spans="1:26" x14ac:dyDescent="0.35">
      <c r="A1166" t="s">
        <v>412</v>
      </c>
      <c r="B1166" s="6">
        <v>44106</v>
      </c>
      <c r="C1166" t="s">
        <v>23</v>
      </c>
      <c r="D1166">
        <v>31</v>
      </c>
      <c r="E1166" t="s">
        <v>62</v>
      </c>
      <c r="F1166" t="s">
        <v>25</v>
      </c>
      <c r="G1166" t="s">
        <v>58</v>
      </c>
      <c r="H1166" t="s">
        <v>55</v>
      </c>
      <c r="I1166" t="s">
        <v>179</v>
      </c>
      <c r="J1166" t="s">
        <v>1632</v>
      </c>
      <c r="K1166" t="s">
        <v>66</v>
      </c>
      <c r="L1166">
        <v>31000</v>
      </c>
      <c r="M1166">
        <v>10</v>
      </c>
      <c r="N1166">
        <v>5.3</v>
      </c>
      <c r="O1166">
        <v>5.2</v>
      </c>
      <c r="P1166">
        <v>2.5</v>
      </c>
      <c r="Q1166">
        <v>3</v>
      </c>
      <c r="R1166">
        <v>4</v>
      </c>
      <c r="S1166">
        <v>4</v>
      </c>
      <c r="T1166" t="s">
        <v>23</v>
      </c>
      <c r="U1166">
        <v>4</v>
      </c>
      <c r="W1166" t="s">
        <v>1650</v>
      </c>
      <c r="X1166" t="s">
        <v>1655</v>
      </c>
      <c r="Y1166" t="s">
        <v>1661</v>
      </c>
      <c r="Z1166">
        <v>0</v>
      </c>
    </row>
    <row r="1167" spans="1:26" x14ac:dyDescent="0.35">
      <c r="A1167" t="s">
        <v>244</v>
      </c>
      <c r="B1167" s="6">
        <v>44943</v>
      </c>
      <c r="C1167" t="s">
        <v>23</v>
      </c>
      <c r="D1167">
        <v>43</v>
      </c>
      <c r="E1167" t="s">
        <v>62</v>
      </c>
      <c r="F1167" t="s">
        <v>42</v>
      </c>
      <c r="G1167" t="s">
        <v>58</v>
      </c>
      <c r="H1167" t="s">
        <v>45</v>
      </c>
      <c r="I1167" t="s">
        <v>77</v>
      </c>
      <c r="J1167" t="s">
        <v>1635</v>
      </c>
      <c r="K1167" t="s">
        <v>34</v>
      </c>
      <c r="L1167">
        <v>69000</v>
      </c>
      <c r="M1167">
        <v>6.7</v>
      </c>
      <c r="N1167">
        <v>6.3</v>
      </c>
      <c r="O1167">
        <v>3</v>
      </c>
      <c r="P1167">
        <v>1.7</v>
      </c>
      <c r="Q1167">
        <v>4</v>
      </c>
      <c r="R1167">
        <v>2</v>
      </c>
      <c r="S1167">
        <v>4</v>
      </c>
      <c r="T1167" t="s">
        <v>23</v>
      </c>
      <c r="U1167">
        <v>3</v>
      </c>
      <c r="W1167" t="s">
        <v>1649</v>
      </c>
      <c r="X1167" t="s">
        <v>1659</v>
      </c>
      <c r="Y1167" t="s">
        <v>1665</v>
      </c>
      <c r="Z1167">
        <v>0</v>
      </c>
    </row>
    <row r="1168" spans="1:26" x14ac:dyDescent="0.35">
      <c r="A1168" t="s">
        <v>707</v>
      </c>
      <c r="B1168" s="6">
        <v>42782</v>
      </c>
      <c r="C1168" t="s">
        <v>23</v>
      </c>
      <c r="D1168">
        <v>38</v>
      </c>
      <c r="E1168" t="s">
        <v>62</v>
      </c>
      <c r="F1168" t="s">
        <v>37</v>
      </c>
      <c r="G1168" t="s">
        <v>26</v>
      </c>
      <c r="H1168" t="s">
        <v>1634</v>
      </c>
      <c r="I1168" t="s">
        <v>75</v>
      </c>
      <c r="J1168" t="s">
        <v>1633</v>
      </c>
      <c r="K1168" t="s">
        <v>84</v>
      </c>
      <c r="L1168">
        <v>50000</v>
      </c>
      <c r="M1168">
        <v>6.4</v>
      </c>
      <c r="N1168">
        <v>10</v>
      </c>
      <c r="O1168">
        <v>8.9</v>
      </c>
      <c r="P1168">
        <v>2.8</v>
      </c>
      <c r="Q1168">
        <v>4</v>
      </c>
      <c r="R1168">
        <v>4</v>
      </c>
      <c r="S1168">
        <v>4</v>
      </c>
      <c r="T1168" t="s">
        <v>23</v>
      </c>
      <c r="U1168">
        <v>2</v>
      </c>
      <c r="W1168" t="s">
        <v>1649</v>
      </c>
      <c r="X1168" t="s">
        <v>1656</v>
      </c>
      <c r="Y1168" t="s">
        <v>1662</v>
      </c>
      <c r="Z1168">
        <v>0</v>
      </c>
    </row>
    <row r="1169" spans="1:26" x14ac:dyDescent="0.35">
      <c r="A1169" t="s">
        <v>124</v>
      </c>
      <c r="B1169" s="6">
        <v>45537</v>
      </c>
      <c r="C1169" t="s">
        <v>23</v>
      </c>
      <c r="D1169">
        <v>27</v>
      </c>
      <c r="E1169" t="s">
        <v>62</v>
      </c>
      <c r="F1169" t="s">
        <v>42</v>
      </c>
      <c r="G1169" t="s">
        <v>54</v>
      </c>
      <c r="H1169" t="s">
        <v>68</v>
      </c>
      <c r="I1169" t="s">
        <v>102</v>
      </c>
      <c r="J1169" t="s">
        <v>1632</v>
      </c>
      <c r="K1169" t="s">
        <v>84</v>
      </c>
      <c r="L1169">
        <v>34000</v>
      </c>
      <c r="M1169">
        <v>11.6</v>
      </c>
      <c r="N1169">
        <v>6.8</v>
      </c>
      <c r="O1169">
        <v>1.3</v>
      </c>
      <c r="P1169">
        <v>0.1</v>
      </c>
      <c r="Q1169">
        <v>3</v>
      </c>
      <c r="R1169">
        <v>4</v>
      </c>
      <c r="S1169">
        <v>2</v>
      </c>
      <c r="T1169" t="s">
        <v>23</v>
      </c>
      <c r="U1169">
        <v>5</v>
      </c>
      <c r="W1169" t="s">
        <v>1650</v>
      </c>
      <c r="X1169" t="s">
        <v>1655</v>
      </c>
      <c r="Y1169" t="s">
        <v>1665</v>
      </c>
      <c r="Z1169">
        <v>0</v>
      </c>
    </row>
    <row r="1170" spans="1:26" x14ac:dyDescent="0.35">
      <c r="A1170" t="s">
        <v>115</v>
      </c>
      <c r="B1170" s="6">
        <v>41988</v>
      </c>
      <c r="C1170" t="s">
        <v>23</v>
      </c>
      <c r="D1170">
        <v>36</v>
      </c>
      <c r="E1170" t="s">
        <v>24</v>
      </c>
      <c r="F1170" t="s">
        <v>25</v>
      </c>
      <c r="G1170" t="s">
        <v>58</v>
      </c>
      <c r="H1170" t="s">
        <v>27</v>
      </c>
      <c r="I1170" t="s">
        <v>95</v>
      </c>
      <c r="J1170" t="s">
        <v>1633</v>
      </c>
      <c r="K1170" t="s">
        <v>84</v>
      </c>
      <c r="L1170">
        <v>41000</v>
      </c>
      <c r="M1170">
        <v>12.3</v>
      </c>
      <c r="N1170">
        <v>18.899999999999999</v>
      </c>
      <c r="O1170">
        <v>11</v>
      </c>
      <c r="P1170">
        <v>2.6</v>
      </c>
      <c r="Q1170">
        <v>1</v>
      </c>
      <c r="R1170">
        <v>4</v>
      </c>
      <c r="S1170">
        <v>3</v>
      </c>
      <c r="T1170" t="s">
        <v>23</v>
      </c>
      <c r="U1170">
        <v>4</v>
      </c>
      <c r="W1170" t="s">
        <v>1649</v>
      </c>
      <c r="X1170" t="s">
        <v>1656</v>
      </c>
      <c r="Y1170" t="s">
        <v>1663</v>
      </c>
      <c r="Z1170">
        <v>0</v>
      </c>
    </row>
    <row r="1171" spans="1:26" x14ac:dyDescent="0.35">
      <c r="A1171" t="s">
        <v>1109</v>
      </c>
      <c r="B1171" s="6">
        <v>41778</v>
      </c>
      <c r="C1171" t="s">
        <v>23</v>
      </c>
      <c r="D1171">
        <v>38</v>
      </c>
      <c r="E1171" t="s">
        <v>24</v>
      </c>
      <c r="F1171" t="s">
        <v>42</v>
      </c>
      <c r="G1171" t="s">
        <v>58</v>
      </c>
      <c r="H1171" t="s">
        <v>27</v>
      </c>
      <c r="I1171" t="s">
        <v>95</v>
      </c>
      <c r="J1171" t="s">
        <v>1635</v>
      </c>
      <c r="K1171" t="s">
        <v>50</v>
      </c>
      <c r="L1171">
        <v>84000</v>
      </c>
      <c r="M1171">
        <v>12.4</v>
      </c>
      <c r="N1171">
        <v>18</v>
      </c>
      <c r="O1171">
        <v>11.6</v>
      </c>
      <c r="P1171">
        <v>3.8</v>
      </c>
      <c r="Q1171">
        <v>2</v>
      </c>
      <c r="R1171">
        <v>4</v>
      </c>
      <c r="S1171">
        <v>3</v>
      </c>
      <c r="T1171" t="s">
        <v>23</v>
      </c>
      <c r="U1171">
        <v>2</v>
      </c>
      <c r="W1171" t="s">
        <v>1649</v>
      </c>
      <c r="X1171" t="s">
        <v>1657</v>
      </c>
      <c r="Y1171" t="s">
        <v>1663</v>
      </c>
      <c r="Z1171">
        <v>0</v>
      </c>
    </row>
    <row r="1172" spans="1:26" x14ac:dyDescent="0.35">
      <c r="A1172" t="s">
        <v>963</v>
      </c>
      <c r="B1172" s="6">
        <v>43159</v>
      </c>
      <c r="C1172" t="s">
        <v>23</v>
      </c>
      <c r="D1172">
        <v>31</v>
      </c>
      <c r="E1172" t="s">
        <v>24</v>
      </c>
      <c r="F1172" t="s">
        <v>25</v>
      </c>
      <c r="G1172" t="s">
        <v>26</v>
      </c>
      <c r="H1172" t="s">
        <v>48</v>
      </c>
      <c r="I1172" t="s">
        <v>201</v>
      </c>
      <c r="J1172" t="s">
        <v>1636</v>
      </c>
      <c r="K1172" t="s">
        <v>66</v>
      </c>
      <c r="L1172">
        <v>110000</v>
      </c>
      <c r="M1172">
        <v>14.9</v>
      </c>
      <c r="N1172">
        <v>8.5</v>
      </c>
      <c r="O1172">
        <v>7.8</v>
      </c>
      <c r="P1172">
        <v>5.8</v>
      </c>
      <c r="Q1172">
        <v>3</v>
      </c>
      <c r="R1172">
        <v>2</v>
      </c>
      <c r="S1172">
        <v>3</v>
      </c>
      <c r="T1172" t="s">
        <v>23</v>
      </c>
      <c r="U1172">
        <v>4</v>
      </c>
      <c r="W1172" t="s">
        <v>1650</v>
      </c>
      <c r="X1172" t="s">
        <v>1658</v>
      </c>
      <c r="Y1172" t="s">
        <v>1662</v>
      </c>
      <c r="Z1172">
        <v>0</v>
      </c>
    </row>
    <row r="1173" spans="1:26" x14ac:dyDescent="0.35">
      <c r="A1173" t="s">
        <v>1281</v>
      </c>
      <c r="B1173" s="6">
        <v>45690</v>
      </c>
      <c r="C1173" t="s">
        <v>23</v>
      </c>
      <c r="D1173">
        <v>26</v>
      </c>
      <c r="E1173" t="s">
        <v>24</v>
      </c>
      <c r="F1173" t="s">
        <v>42</v>
      </c>
      <c r="G1173" t="s">
        <v>54</v>
      </c>
      <c r="H1173" t="s">
        <v>68</v>
      </c>
      <c r="I1173" t="s">
        <v>69</v>
      </c>
      <c r="J1173" t="s">
        <v>1632</v>
      </c>
      <c r="K1173" t="s">
        <v>50</v>
      </c>
      <c r="L1173">
        <v>40000</v>
      </c>
      <c r="M1173">
        <v>5.8</v>
      </c>
      <c r="N1173">
        <v>6.2</v>
      </c>
      <c r="O1173">
        <v>0.9</v>
      </c>
      <c r="P1173">
        <v>0</v>
      </c>
      <c r="Q1173">
        <v>3</v>
      </c>
      <c r="R1173">
        <v>4</v>
      </c>
      <c r="S1173">
        <v>2</v>
      </c>
      <c r="T1173" t="s">
        <v>23</v>
      </c>
      <c r="U1173">
        <v>2</v>
      </c>
      <c r="W1173" t="s">
        <v>1650</v>
      </c>
      <c r="X1173" t="s">
        <v>1656</v>
      </c>
      <c r="Y1173" t="s">
        <v>1664</v>
      </c>
      <c r="Z1173">
        <v>0</v>
      </c>
    </row>
    <row r="1174" spans="1:26" x14ac:dyDescent="0.35">
      <c r="A1174" t="s">
        <v>556</v>
      </c>
      <c r="B1174" s="6">
        <v>45773</v>
      </c>
      <c r="C1174" t="s">
        <v>23</v>
      </c>
      <c r="D1174">
        <v>23</v>
      </c>
      <c r="E1174" t="s">
        <v>62</v>
      </c>
      <c r="F1174" t="s">
        <v>42</v>
      </c>
      <c r="G1174" t="s">
        <v>32</v>
      </c>
      <c r="H1174" t="s">
        <v>27</v>
      </c>
      <c r="I1174" t="s">
        <v>43</v>
      </c>
      <c r="J1174" t="s">
        <v>1632</v>
      </c>
      <c r="K1174" t="s">
        <v>84</v>
      </c>
      <c r="L1174">
        <v>28000</v>
      </c>
      <c r="M1174">
        <v>8.6999999999999993</v>
      </c>
      <c r="N1174">
        <v>3.8</v>
      </c>
      <c r="O1174">
        <v>0.7</v>
      </c>
      <c r="P1174">
        <v>0</v>
      </c>
      <c r="Q1174">
        <v>3</v>
      </c>
      <c r="R1174">
        <v>2</v>
      </c>
      <c r="S1174">
        <v>3</v>
      </c>
      <c r="T1174" t="s">
        <v>23</v>
      </c>
      <c r="U1174">
        <v>3</v>
      </c>
      <c r="W1174" t="s">
        <v>1651</v>
      </c>
      <c r="X1174" t="s">
        <v>1655</v>
      </c>
      <c r="Y1174" t="s">
        <v>1664</v>
      </c>
      <c r="Z1174">
        <v>0</v>
      </c>
    </row>
    <row r="1175" spans="1:26" x14ac:dyDescent="0.35">
      <c r="A1175" t="s">
        <v>1441</v>
      </c>
      <c r="B1175" s="6">
        <v>45558</v>
      </c>
      <c r="C1175" t="s">
        <v>30</v>
      </c>
      <c r="D1175">
        <v>40</v>
      </c>
      <c r="E1175" t="s">
        <v>24</v>
      </c>
      <c r="F1175" t="s">
        <v>37</v>
      </c>
      <c r="G1175" t="s">
        <v>32</v>
      </c>
      <c r="H1175" t="s">
        <v>1634</v>
      </c>
      <c r="I1175" t="s">
        <v>150</v>
      </c>
      <c r="J1175" t="s">
        <v>1635</v>
      </c>
      <c r="K1175" t="s">
        <v>34</v>
      </c>
      <c r="L1175">
        <v>80000</v>
      </c>
      <c r="M1175">
        <v>8.1999999999999993</v>
      </c>
      <c r="N1175">
        <v>1.9</v>
      </c>
      <c r="O1175">
        <v>0.5</v>
      </c>
      <c r="P1175">
        <v>0</v>
      </c>
      <c r="Q1175">
        <v>1</v>
      </c>
      <c r="R1175">
        <v>4</v>
      </c>
      <c r="S1175">
        <v>4</v>
      </c>
      <c r="T1175" t="s">
        <v>30</v>
      </c>
      <c r="U1175">
        <v>3</v>
      </c>
      <c r="V1175" s="7">
        <v>45727</v>
      </c>
      <c r="W1175" t="s">
        <v>1649</v>
      </c>
      <c r="X1175" t="s">
        <v>1657</v>
      </c>
      <c r="Y1175" t="s">
        <v>1664</v>
      </c>
      <c r="Z1175">
        <v>1</v>
      </c>
    </row>
    <row r="1176" spans="1:26" x14ac:dyDescent="0.35">
      <c r="A1176" t="s">
        <v>1152</v>
      </c>
      <c r="B1176" s="6">
        <v>45439</v>
      </c>
      <c r="C1176" t="s">
        <v>30</v>
      </c>
      <c r="D1176">
        <v>37</v>
      </c>
      <c r="E1176" t="s">
        <v>62</v>
      </c>
      <c r="F1176" t="s">
        <v>42</v>
      </c>
      <c r="G1176" t="s">
        <v>26</v>
      </c>
      <c r="H1176" t="s">
        <v>1634</v>
      </c>
      <c r="I1176" t="s">
        <v>75</v>
      </c>
      <c r="J1176" t="s">
        <v>1632</v>
      </c>
      <c r="K1176" t="s">
        <v>34</v>
      </c>
      <c r="L1176">
        <v>44000</v>
      </c>
      <c r="M1176">
        <v>9.5</v>
      </c>
      <c r="N1176">
        <v>8.8000000000000007</v>
      </c>
      <c r="O1176">
        <v>1.1000000000000001</v>
      </c>
      <c r="P1176">
        <v>0.7</v>
      </c>
      <c r="Q1176">
        <v>3</v>
      </c>
      <c r="R1176">
        <v>3</v>
      </c>
      <c r="S1176">
        <v>2</v>
      </c>
      <c r="T1176" t="s">
        <v>30</v>
      </c>
      <c r="U1176">
        <v>4</v>
      </c>
      <c r="V1176" s="7">
        <v>45835</v>
      </c>
      <c r="W1176" t="s">
        <v>1649</v>
      </c>
      <c r="X1176" t="s">
        <v>1656</v>
      </c>
      <c r="Y1176" t="s">
        <v>1665</v>
      </c>
      <c r="Z1176">
        <v>1</v>
      </c>
    </row>
    <row r="1177" spans="1:26" x14ac:dyDescent="0.35">
      <c r="A1177" t="s">
        <v>1408</v>
      </c>
      <c r="B1177" s="6">
        <v>43923</v>
      </c>
      <c r="C1177" t="s">
        <v>23</v>
      </c>
      <c r="D1177">
        <v>26</v>
      </c>
      <c r="E1177" t="s">
        <v>62</v>
      </c>
      <c r="F1177" t="s">
        <v>25</v>
      </c>
      <c r="G1177" t="s">
        <v>58</v>
      </c>
      <c r="H1177" t="s">
        <v>68</v>
      </c>
      <c r="I1177" t="s">
        <v>102</v>
      </c>
      <c r="J1177" t="s">
        <v>1632</v>
      </c>
      <c r="K1177" t="s">
        <v>29</v>
      </c>
      <c r="L1177">
        <v>22000</v>
      </c>
      <c r="M1177">
        <v>11.7</v>
      </c>
      <c r="N1177">
        <v>12.5</v>
      </c>
      <c r="O1177">
        <v>5.7</v>
      </c>
      <c r="P1177">
        <v>2.6</v>
      </c>
      <c r="Q1177">
        <v>4</v>
      </c>
      <c r="R1177">
        <v>3</v>
      </c>
      <c r="S1177">
        <v>4</v>
      </c>
      <c r="T1177" t="s">
        <v>23</v>
      </c>
      <c r="U1177">
        <v>4</v>
      </c>
      <c r="W1177" t="s">
        <v>1650</v>
      </c>
      <c r="X1177" t="s">
        <v>1655</v>
      </c>
      <c r="Y1177" t="s">
        <v>1661</v>
      </c>
      <c r="Z1177">
        <v>0</v>
      </c>
    </row>
    <row r="1178" spans="1:26" x14ac:dyDescent="0.35">
      <c r="A1178" t="s">
        <v>1250</v>
      </c>
      <c r="B1178" s="6">
        <v>42369</v>
      </c>
      <c r="C1178" t="s">
        <v>23</v>
      </c>
      <c r="D1178">
        <v>37</v>
      </c>
      <c r="E1178" t="s">
        <v>62</v>
      </c>
      <c r="F1178" t="s">
        <v>37</v>
      </c>
      <c r="G1178" t="s">
        <v>26</v>
      </c>
      <c r="H1178" t="s">
        <v>38</v>
      </c>
      <c r="I1178" t="s">
        <v>139</v>
      </c>
      <c r="J1178" t="s">
        <v>1635</v>
      </c>
      <c r="K1178" t="s">
        <v>84</v>
      </c>
      <c r="L1178">
        <v>85000</v>
      </c>
      <c r="M1178">
        <v>14.6</v>
      </c>
      <c r="N1178">
        <v>15.4</v>
      </c>
      <c r="O1178">
        <v>10</v>
      </c>
      <c r="P1178">
        <v>1.3</v>
      </c>
      <c r="Q1178">
        <v>4</v>
      </c>
      <c r="R1178">
        <v>3</v>
      </c>
      <c r="S1178">
        <v>3</v>
      </c>
      <c r="T1178" t="s">
        <v>30</v>
      </c>
      <c r="U1178">
        <v>3</v>
      </c>
      <c r="W1178" t="s">
        <v>1649</v>
      </c>
      <c r="X1178" t="s">
        <v>1657</v>
      </c>
      <c r="Y1178" t="s">
        <v>1662</v>
      </c>
      <c r="Z1178">
        <v>0</v>
      </c>
    </row>
    <row r="1179" spans="1:26" x14ac:dyDescent="0.35">
      <c r="A1179" t="s">
        <v>692</v>
      </c>
      <c r="B1179" s="6">
        <v>42160</v>
      </c>
      <c r="C1179" t="s">
        <v>23</v>
      </c>
      <c r="D1179">
        <v>40</v>
      </c>
      <c r="E1179" t="s">
        <v>24</v>
      </c>
      <c r="F1179" t="s">
        <v>25</v>
      </c>
      <c r="G1179" t="s">
        <v>58</v>
      </c>
      <c r="H1179" t="s">
        <v>68</v>
      </c>
      <c r="I1179" t="s">
        <v>109</v>
      </c>
      <c r="J1179" t="s">
        <v>1636</v>
      </c>
      <c r="K1179" t="s">
        <v>66</v>
      </c>
      <c r="L1179">
        <v>110000</v>
      </c>
      <c r="M1179">
        <v>6.6</v>
      </c>
      <c r="N1179">
        <v>16.7</v>
      </c>
      <c r="O1179">
        <v>10.6</v>
      </c>
      <c r="P1179">
        <v>0.4</v>
      </c>
      <c r="Q1179">
        <v>3</v>
      </c>
      <c r="R1179">
        <v>3</v>
      </c>
      <c r="S1179">
        <v>3</v>
      </c>
      <c r="T1179" t="s">
        <v>23</v>
      </c>
      <c r="U1179">
        <v>5</v>
      </c>
      <c r="W1179" t="s">
        <v>1649</v>
      </c>
      <c r="X1179" t="s">
        <v>1658</v>
      </c>
      <c r="Y1179" t="s">
        <v>1663</v>
      </c>
      <c r="Z1179">
        <v>0</v>
      </c>
    </row>
    <row r="1180" spans="1:26" x14ac:dyDescent="0.35">
      <c r="A1180" t="s">
        <v>605</v>
      </c>
      <c r="B1180" s="6">
        <v>44378</v>
      </c>
      <c r="C1180" t="s">
        <v>23</v>
      </c>
      <c r="D1180">
        <v>36</v>
      </c>
      <c r="E1180" t="s">
        <v>36</v>
      </c>
      <c r="F1180" t="s">
        <v>25</v>
      </c>
      <c r="G1180" t="s">
        <v>26</v>
      </c>
      <c r="H1180" t="s">
        <v>27</v>
      </c>
      <c r="I1180" t="s">
        <v>95</v>
      </c>
      <c r="J1180" t="s">
        <v>1637</v>
      </c>
      <c r="K1180" t="s">
        <v>29</v>
      </c>
      <c r="L1180">
        <v>150000</v>
      </c>
      <c r="M1180">
        <v>9.3000000000000007</v>
      </c>
      <c r="N1180">
        <v>9</v>
      </c>
      <c r="O1180">
        <v>4.5</v>
      </c>
      <c r="P1180">
        <v>0.7</v>
      </c>
      <c r="Q1180">
        <v>2</v>
      </c>
      <c r="R1180">
        <v>3</v>
      </c>
      <c r="S1180">
        <v>2</v>
      </c>
      <c r="T1180" t="s">
        <v>23</v>
      </c>
      <c r="U1180">
        <v>2</v>
      </c>
      <c r="W1180" t="s">
        <v>1649</v>
      </c>
      <c r="X1180" t="s">
        <v>1658</v>
      </c>
      <c r="Y1180" t="s">
        <v>1661</v>
      </c>
      <c r="Z1180">
        <v>0</v>
      </c>
    </row>
    <row r="1181" spans="1:26" x14ac:dyDescent="0.35">
      <c r="A1181" t="s">
        <v>1035</v>
      </c>
      <c r="B1181" s="6">
        <v>41883</v>
      </c>
      <c r="C1181" t="s">
        <v>30</v>
      </c>
      <c r="D1181">
        <v>50</v>
      </c>
      <c r="E1181" t="s">
        <v>36</v>
      </c>
      <c r="F1181" t="s">
        <v>25</v>
      </c>
      <c r="G1181" t="s">
        <v>58</v>
      </c>
      <c r="H1181" t="s">
        <v>38</v>
      </c>
      <c r="I1181" t="s">
        <v>52</v>
      </c>
      <c r="J1181" t="s">
        <v>1635</v>
      </c>
      <c r="K1181" t="s">
        <v>29</v>
      </c>
      <c r="L1181">
        <v>97000</v>
      </c>
      <c r="M1181">
        <v>11.9</v>
      </c>
      <c r="N1181">
        <v>16.600000000000001</v>
      </c>
      <c r="O1181">
        <v>10.9</v>
      </c>
      <c r="P1181">
        <v>2.9</v>
      </c>
      <c r="Q1181">
        <v>3</v>
      </c>
      <c r="R1181">
        <v>1</v>
      </c>
      <c r="S1181">
        <v>3</v>
      </c>
      <c r="T1181" t="s">
        <v>23</v>
      </c>
      <c r="U1181">
        <v>3</v>
      </c>
      <c r="V1181" s="7">
        <v>45856</v>
      </c>
      <c r="W1181" t="s">
        <v>1652</v>
      </c>
      <c r="X1181" t="s">
        <v>1657</v>
      </c>
      <c r="Y1181" t="s">
        <v>1663</v>
      </c>
      <c r="Z1181">
        <v>1</v>
      </c>
    </row>
    <row r="1182" spans="1:26" x14ac:dyDescent="0.35">
      <c r="A1182" t="s">
        <v>1229</v>
      </c>
      <c r="B1182" s="6">
        <v>41826</v>
      </c>
      <c r="C1182" t="s">
        <v>23</v>
      </c>
      <c r="D1182">
        <v>40</v>
      </c>
      <c r="E1182" t="s">
        <v>36</v>
      </c>
      <c r="F1182" t="s">
        <v>42</v>
      </c>
      <c r="G1182" t="s">
        <v>54</v>
      </c>
      <c r="H1182" t="s">
        <v>45</v>
      </c>
      <c r="I1182" t="s">
        <v>97</v>
      </c>
      <c r="J1182" t="s">
        <v>1635</v>
      </c>
      <c r="K1182" t="s">
        <v>40</v>
      </c>
      <c r="L1182">
        <v>77000</v>
      </c>
      <c r="M1182">
        <v>9.1</v>
      </c>
      <c r="N1182">
        <v>16.100000000000001</v>
      </c>
      <c r="O1182">
        <v>11.5</v>
      </c>
      <c r="P1182">
        <v>5.8</v>
      </c>
      <c r="Q1182">
        <v>3</v>
      </c>
      <c r="R1182">
        <v>3</v>
      </c>
      <c r="S1182">
        <v>2</v>
      </c>
      <c r="T1182" t="s">
        <v>23</v>
      </c>
      <c r="U1182">
        <v>1</v>
      </c>
      <c r="W1182" t="s">
        <v>1649</v>
      </c>
      <c r="X1182" t="s">
        <v>1659</v>
      </c>
      <c r="Y1182" t="s">
        <v>1663</v>
      </c>
      <c r="Z1182">
        <v>0</v>
      </c>
    </row>
    <row r="1183" spans="1:26" x14ac:dyDescent="0.35">
      <c r="A1183" t="s">
        <v>793</v>
      </c>
      <c r="B1183" s="6">
        <v>45226</v>
      </c>
      <c r="C1183" t="s">
        <v>23</v>
      </c>
      <c r="D1183">
        <v>32</v>
      </c>
      <c r="E1183" t="s">
        <v>36</v>
      </c>
      <c r="F1183" t="s">
        <v>25</v>
      </c>
      <c r="G1183" t="s">
        <v>58</v>
      </c>
      <c r="H1183" t="s">
        <v>68</v>
      </c>
      <c r="I1183" t="s">
        <v>69</v>
      </c>
      <c r="J1183" t="s">
        <v>1632</v>
      </c>
      <c r="K1183" t="s">
        <v>40</v>
      </c>
      <c r="L1183">
        <v>22000</v>
      </c>
      <c r="N1183">
        <v>10.1</v>
      </c>
      <c r="O1183">
        <v>2.2000000000000002</v>
      </c>
      <c r="P1183">
        <v>0.7</v>
      </c>
      <c r="Q1183">
        <v>1</v>
      </c>
      <c r="R1183">
        <v>2</v>
      </c>
      <c r="S1183">
        <v>3</v>
      </c>
      <c r="T1183" t="s">
        <v>23</v>
      </c>
      <c r="U1183">
        <v>3</v>
      </c>
      <c r="W1183" t="s">
        <v>1650</v>
      </c>
      <c r="X1183" t="s">
        <v>1655</v>
      </c>
      <c r="Y1183" t="s">
        <v>1665</v>
      </c>
      <c r="Z1183">
        <v>0</v>
      </c>
    </row>
    <row r="1184" spans="1:26" x14ac:dyDescent="0.35">
      <c r="A1184" t="s">
        <v>1394</v>
      </c>
      <c r="B1184" s="6">
        <v>43086</v>
      </c>
      <c r="C1184" t="s">
        <v>23</v>
      </c>
      <c r="D1184">
        <v>44</v>
      </c>
      <c r="E1184" t="s">
        <v>62</v>
      </c>
      <c r="F1184" t="s">
        <v>37</v>
      </c>
      <c r="G1184" t="s">
        <v>54</v>
      </c>
      <c r="H1184" t="s">
        <v>27</v>
      </c>
      <c r="I1184" t="s">
        <v>43</v>
      </c>
      <c r="J1184" t="s">
        <v>1635</v>
      </c>
      <c r="K1184" t="s">
        <v>29</v>
      </c>
      <c r="L1184">
        <v>74000</v>
      </c>
      <c r="M1184">
        <v>4.2</v>
      </c>
      <c r="N1184">
        <v>9.8000000000000007</v>
      </c>
      <c r="O1184">
        <v>8</v>
      </c>
      <c r="P1184">
        <v>2</v>
      </c>
      <c r="Q1184">
        <v>4</v>
      </c>
      <c r="R1184">
        <v>2</v>
      </c>
      <c r="S1184">
        <v>1</v>
      </c>
      <c r="T1184" t="s">
        <v>23</v>
      </c>
      <c r="U1184">
        <v>4</v>
      </c>
      <c r="W1184" t="s">
        <v>1649</v>
      </c>
      <c r="X1184" t="s">
        <v>1659</v>
      </c>
      <c r="Y1184" t="s">
        <v>1662</v>
      </c>
      <c r="Z1184">
        <v>0</v>
      </c>
    </row>
    <row r="1185" spans="1:26" x14ac:dyDescent="0.35">
      <c r="A1185" t="s">
        <v>1270</v>
      </c>
      <c r="B1185" s="6">
        <v>45404</v>
      </c>
      <c r="C1185" t="s">
        <v>23</v>
      </c>
      <c r="D1185">
        <v>26</v>
      </c>
      <c r="E1185" t="s">
        <v>36</v>
      </c>
      <c r="F1185" t="s">
        <v>42</v>
      </c>
      <c r="G1185" t="s">
        <v>54</v>
      </c>
      <c r="H1185" t="s">
        <v>38</v>
      </c>
      <c r="I1185" t="s">
        <v>39</v>
      </c>
      <c r="J1185" t="s">
        <v>1632</v>
      </c>
      <c r="K1185" t="s">
        <v>40</v>
      </c>
      <c r="L1185">
        <v>42000</v>
      </c>
      <c r="M1185">
        <v>10.199999999999999</v>
      </c>
      <c r="N1185">
        <v>5</v>
      </c>
      <c r="O1185">
        <v>1.7</v>
      </c>
      <c r="P1185">
        <v>0.4</v>
      </c>
      <c r="Q1185">
        <v>4</v>
      </c>
      <c r="R1185">
        <v>1</v>
      </c>
      <c r="S1185">
        <v>4</v>
      </c>
      <c r="T1185" t="s">
        <v>23</v>
      </c>
      <c r="U1185">
        <v>2</v>
      </c>
      <c r="W1185" t="s">
        <v>1650</v>
      </c>
      <c r="X1185" t="s">
        <v>1656</v>
      </c>
      <c r="Y1185" t="s">
        <v>1665</v>
      </c>
      <c r="Z1185">
        <v>0</v>
      </c>
    </row>
    <row r="1186" spans="1:26" x14ac:dyDescent="0.35">
      <c r="A1186" t="s">
        <v>1557</v>
      </c>
      <c r="B1186" s="6">
        <v>44405</v>
      </c>
      <c r="C1186" t="s">
        <v>23</v>
      </c>
      <c r="D1186">
        <v>27</v>
      </c>
      <c r="E1186" t="s">
        <v>62</v>
      </c>
      <c r="F1186" t="s">
        <v>42</v>
      </c>
      <c r="G1186" t="s">
        <v>58</v>
      </c>
      <c r="H1186" t="s">
        <v>1634</v>
      </c>
      <c r="I1186" t="s">
        <v>86</v>
      </c>
      <c r="J1186" t="s">
        <v>1632</v>
      </c>
      <c r="K1186" t="s">
        <v>66</v>
      </c>
      <c r="L1186">
        <v>33000</v>
      </c>
      <c r="M1186">
        <v>3.5</v>
      </c>
      <c r="N1186">
        <v>12.2</v>
      </c>
      <c r="O1186">
        <v>4.4000000000000004</v>
      </c>
      <c r="P1186">
        <v>4</v>
      </c>
      <c r="Q1186">
        <v>4</v>
      </c>
      <c r="R1186">
        <v>3</v>
      </c>
      <c r="S1186">
        <v>4</v>
      </c>
      <c r="T1186" t="s">
        <v>30</v>
      </c>
      <c r="U1186">
        <v>4</v>
      </c>
      <c r="W1186" t="s">
        <v>1650</v>
      </c>
      <c r="X1186" t="s">
        <v>1655</v>
      </c>
      <c r="Y1186" t="s">
        <v>1661</v>
      </c>
      <c r="Z1186">
        <v>0</v>
      </c>
    </row>
    <row r="1187" spans="1:26" x14ac:dyDescent="0.35">
      <c r="A1187" t="s">
        <v>1417</v>
      </c>
      <c r="B1187" s="6">
        <v>43377</v>
      </c>
      <c r="C1187" t="s">
        <v>23</v>
      </c>
      <c r="D1187">
        <v>37</v>
      </c>
      <c r="E1187" t="s">
        <v>24</v>
      </c>
      <c r="F1187" t="s">
        <v>25</v>
      </c>
      <c r="G1187" t="s">
        <v>32</v>
      </c>
      <c r="H1187" t="s">
        <v>1634</v>
      </c>
      <c r="I1187" t="s">
        <v>86</v>
      </c>
      <c r="J1187" t="s">
        <v>1632</v>
      </c>
      <c r="K1187" t="s">
        <v>34</v>
      </c>
      <c r="L1187">
        <v>37000</v>
      </c>
      <c r="M1187">
        <v>9</v>
      </c>
      <c r="N1187">
        <v>7.6</v>
      </c>
      <c r="O1187">
        <v>7.2</v>
      </c>
      <c r="P1187">
        <v>5.7</v>
      </c>
      <c r="Q1187">
        <v>3</v>
      </c>
      <c r="R1187">
        <v>2</v>
      </c>
      <c r="S1187">
        <v>3</v>
      </c>
      <c r="T1187" t="s">
        <v>23</v>
      </c>
      <c r="U1187">
        <v>5</v>
      </c>
      <c r="W1187" t="s">
        <v>1649</v>
      </c>
      <c r="X1187" t="s">
        <v>1655</v>
      </c>
      <c r="Y1187" t="s">
        <v>1662</v>
      </c>
      <c r="Z1187">
        <v>0</v>
      </c>
    </row>
    <row r="1188" spans="1:26" x14ac:dyDescent="0.35">
      <c r="A1188" t="s">
        <v>945</v>
      </c>
      <c r="B1188" s="6">
        <v>45581</v>
      </c>
      <c r="C1188" t="s">
        <v>30</v>
      </c>
      <c r="D1188">
        <v>44</v>
      </c>
      <c r="E1188" t="s">
        <v>24</v>
      </c>
      <c r="F1188" t="s">
        <v>25</v>
      </c>
      <c r="G1188" t="s">
        <v>26</v>
      </c>
      <c r="H1188" t="s">
        <v>68</v>
      </c>
      <c r="I1188" t="s">
        <v>69</v>
      </c>
      <c r="J1188" t="s">
        <v>1635</v>
      </c>
      <c r="K1188" t="s">
        <v>40</v>
      </c>
      <c r="L1188">
        <v>74000</v>
      </c>
      <c r="M1188">
        <v>9.6</v>
      </c>
      <c r="N1188">
        <v>2.1</v>
      </c>
      <c r="O1188">
        <v>1</v>
      </c>
      <c r="P1188">
        <v>0.9</v>
      </c>
      <c r="Q1188">
        <v>3</v>
      </c>
      <c r="R1188">
        <v>2</v>
      </c>
      <c r="S1188">
        <v>4</v>
      </c>
      <c r="T1188" t="s">
        <v>23</v>
      </c>
      <c r="U1188">
        <v>4</v>
      </c>
      <c r="V1188" s="7">
        <v>45963</v>
      </c>
      <c r="W1188" t="s">
        <v>1649</v>
      </c>
      <c r="X1188" t="s">
        <v>1659</v>
      </c>
      <c r="Y1188" t="s">
        <v>1665</v>
      </c>
      <c r="Z1188">
        <v>1</v>
      </c>
    </row>
    <row r="1189" spans="1:26" x14ac:dyDescent="0.35">
      <c r="A1189" t="s">
        <v>959</v>
      </c>
      <c r="B1189" s="6">
        <v>44199</v>
      </c>
      <c r="C1189" t="s">
        <v>23</v>
      </c>
      <c r="D1189">
        <v>27</v>
      </c>
      <c r="E1189" t="s">
        <v>62</v>
      </c>
      <c r="F1189" t="s">
        <v>42</v>
      </c>
      <c r="G1189" t="s">
        <v>26</v>
      </c>
      <c r="H1189" t="s">
        <v>55</v>
      </c>
      <c r="I1189" t="s">
        <v>80</v>
      </c>
      <c r="J1189" t="s">
        <v>1632</v>
      </c>
      <c r="K1189" t="s">
        <v>29</v>
      </c>
      <c r="L1189">
        <v>40000</v>
      </c>
      <c r="M1189">
        <v>13.4</v>
      </c>
      <c r="N1189">
        <v>10.3</v>
      </c>
      <c r="O1189">
        <v>5</v>
      </c>
      <c r="P1189">
        <v>0.3</v>
      </c>
      <c r="Q1189">
        <v>3</v>
      </c>
      <c r="R1189">
        <v>4</v>
      </c>
      <c r="S1189">
        <v>3</v>
      </c>
      <c r="T1189" t="s">
        <v>30</v>
      </c>
      <c r="U1189">
        <v>2</v>
      </c>
      <c r="W1189" t="s">
        <v>1650</v>
      </c>
      <c r="X1189" t="s">
        <v>1656</v>
      </c>
      <c r="Y1189" t="s">
        <v>1661</v>
      </c>
      <c r="Z1189">
        <v>0</v>
      </c>
    </row>
    <row r="1190" spans="1:26" x14ac:dyDescent="0.35">
      <c r="A1190" t="s">
        <v>1012</v>
      </c>
      <c r="B1190" s="6">
        <v>42893</v>
      </c>
      <c r="C1190" t="s">
        <v>23</v>
      </c>
      <c r="D1190">
        <v>31</v>
      </c>
      <c r="E1190" t="s">
        <v>62</v>
      </c>
      <c r="F1190" t="s">
        <v>42</v>
      </c>
      <c r="G1190" t="s">
        <v>32</v>
      </c>
      <c r="H1190" t="s">
        <v>68</v>
      </c>
      <c r="I1190" t="s">
        <v>102</v>
      </c>
      <c r="J1190" t="s">
        <v>1633</v>
      </c>
      <c r="K1190" t="s">
        <v>29</v>
      </c>
      <c r="L1190">
        <v>49000</v>
      </c>
      <c r="M1190">
        <v>6.9</v>
      </c>
      <c r="N1190">
        <v>13</v>
      </c>
      <c r="O1190">
        <v>8.6</v>
      </c>
      <c r="P1190">
        <v>0.5</v>
      </c>
      <c r="Q1190">
        <v>2</v>
      </c>
      <c r="R1190">
        <v>3</v>
      </c>
      <c r="S1190">
        <v>3</v>
      </c>
      <c r="T1190" t="s">
        <v>23</v>
      </c>
      <c r="U1190">
        <v>4</v>
      </c>
      <c r="W1190" t="s">
        <v>1650</v>
      </c>
      <c r="X1190" t="s">
        <v>1656</v>
      </c>
      <c r="Y1190" t="s">
        <v>1662</v>
      </c>
      <c r="Z1190">
        <v>0</v>
      </c>
    </row>
    <row r="1191" spans="1:26" x14ac:dyDescent="0.35">
      <c r="A1191" t="s">
        <v>1009</v>
      </c>
      <c r="B1191" s="6">
        <v>45536</v>
      </c>
      <c r="C1191" t="s">
        <v>23</v>
      </c>
      <c r="D1191">
        <v>23</v>
      </c>
      <c r="E1191" t="s">
        <v>24</v>
      </c>
      <c r="F1191" t="s">
        <v>37</v>
      </c>
      <c r="G1191" t="s">
        <v>54</v>
      </c>
      <c r="H1191" t="s">
        <v>45</v>
      </c>
      <c r="I1191" t="s">
        <v>164</v>
      </c>
      <c r="J1191" t="s">
        <v>1632</v>
      </c>
      <c r="K1191" t="s">
        <v>66</v>
      </c>
      <c r="L1191">
        <v>43000</v>
      </c>
      <c r="M1191">
        <v>6.3</v>
      </c>
      <c r="N1191">
        <v>7.5</v>
      </c>
      <c r="O1191">
        <v>1.3</v>
      </c>
      <c r="P1191">
        <v>1.2</v>
      </c>
      <c r="Q1191">
        <v>3</v>
      </c>
      <c r="R1191">
        <v>3</v>
      </c>
      <c r="S1191">
        <v>4</v>
      </c>
      <c r="T1191" t="s">
        <v>23</v>
      </c>
      <c r="U1191">
        <v>4</v>
      </c>
      <c r="W1191" t="s">
        <v>1651</v>
      </c>
      <c r="X1191" t="s">
        <v>1656</v>
      </c>
      <c r="Y1191" t="s">
        <v>1665</v>
      </c>
      <c r="Z1191">
        <v>0</v>
      </c>
    </row>
    <row r="1192" spans="1:26" x14ac:dyDescent="0.35">
      <c r="A1192" t="s">
        <v>676</v>
      </c>
      <c r="B1192" s="6">
        <v>44698</v>
      </c>
      <c r="C1192" t="s">
        <v>23</v>
      </c>
      <c r="D1192">
        <v>24</v>
      </c>
      <c r="E1192" t="s">
        <v>36</v>
      </c>
      <c r="F1192" t="s">
        <v>37</v>
      </c>
      <c r="G1192" t="s">
        <v>26</v>
      </c>
      <c r="H1192" t="s">
        <v>55</v>
      </c>
      <c r="I1192" t="s">
        <v>80</v>
      </c>
      <c r="J1192" t="s">
        <v>1632</v>
      </c>
      <c r="K1192" t="s">
        <v>50</v>
      </c>
      <c r="L1192">
        <v>45000</v>
      </c>
      <c r="M1192">
        <v>11.7</v>
      </c>
      <c r="N1192">
        <v>6.1</v>
      </c>
      <c r="O1192">
        <v>3.6</v>
      </c>
      <c r="P1192">
        <v>0.2</v>
      </c>
      <c r="Q1192">
        <v>3</v>
      </c>
      <c r="R1192">
        <v>2</v>
      </c>
      <c r="S1192">
        <v>3</v>
      </c>
      <c r="T1192" t="s">
        <v>23</v>
      </c>
      <c r="U1192">
        <v>2</v>
      </c>
      <c r="W1192" t="s">
        <v>1651</v>
      </c>
      <c r="X1192" t="s">
        <v>1656</v>
      </c>
      <c r="Y1192" t="s">
        <v>1661</v>
      </c>
      <c r="Z1192">
        <v>0</v>
      </c>
    </row>
    <row r="1193" spans="1:26" x14ac:dyDescent="0.35">
      <c r="A1193" t="s">
        <v>693</v>
      </c>
      <c r="B1193" s="6">
        <v>44632</v>
      </c>
      <c r="C1193" t="s">
        <v>23</v>
      </c>
      <c r="D1193">
        <v>26</v>
      </c>
      <c r="E1193" t="s">
        <v>36</v>
      </c>
      <c r="F1193" t="s">
        <v>42</v>
      </c>
      <c r="G1193" t="s">
        <v>32</v>
      </c>
      <c r="H1193" t="s">
        <v>55</v>
      </c>
      <c r="I1193" t="s">
        <v>179</v>
      </c>
      <c r="J1193" t="s">
        <v>1632</v>
      </c>
      <c r="K1193" t="s">
        <v>29</v>
      </c>
      <c r="L1193">
        <v>41000</v>
      </c>
      <c r="M1193">
        <v>4.3</v>
      </c>
      <c r="N1193">
        <v>5.6</v>
      </c>
      <c r="O1193">
        <v>3.8</v>
      </c>
      <c r="P1193">
        <v>2.5</v>
      </c>
      <c r="Q1193">
        <v>3</v>
      </c>
      <c r="R1193">
        <v>2</v>
      </c>
      <c r="S1193">
        <v>2</v>
      </c>
      <c r="T1193" t="s">
        <v>23</v>
      </c>
      <c r="U1193">
        <v>3</v>
      </c>
      <c r="W1193" t="s">
        <v>1650</v>
      </c>
      <c r="X1193" t="s">
        <v>1656</v>
      </c>
      <c r="Y1193" t="s">
        <v>1661</v>
      </c>
      <c r="Z1193">
        <v>0</v>
      </c>
    </row>
    <row r="1194" spans="1:26" x14ac:dyDescent="0.35">
      <c r="A1194" t="s">
        <v>1588</v>
      </c>
      <c r="B1194" s="6">
        <v>41751</v>
      </c>
      <c r="C1194" t="s">
        <v>23</v>
      </c>
      <c r="D1194">
        <v>40</v>
      </c>
      <c r="E1194" t="s">
        <v>62</v>
      </c>
      <c r="F1194" t="s">
        <v>37</v>
      </c>
      <c r="G1194" t="s">
        <v>26</v>
      </c>
      <c r="H1194" t="s">
        <v>55</v>
      </c>
      <c r="I1194" t="s">
        <v>56</v>
      </c>
      <c r="J1194" t="s">
        <v>1632</v>
      </c>
      <c r="K1194" t="s">
        <v>84</v>
      </c>
      <c r="L1194">
        <v>46000</v>
      </c>
      <c r="M1194">
        <v>9.1</v>
      </c>
      <c r="N1194">
        <v>17.3</v>
      </c>
      <c r="O1194">
        <v>11.7</v>
      </c>
      <c r="P1194">
        <v>4</v>
      </c>
      <c r="Q1194">
        <v>3</v>
      </c>
      <c r="R1194">
        <v>3</v>
      </c>
      <c r="S1194">
        <v>3</v>
      </c>
      <c r="T1194" t="s">
        <v>23</v>
      </c>
      <c r="U1194">
        <v>2</v>
      </c>
      <c r="W1194" t="s">
        <v>1649</v>
      </c>
      <c r="X1194" t="s">
        <v>1656</v>
      </c>
      <c r="Y1194" t="s">
        <v>1663</v>
      </c>
      <c r="Z1194">
        <v>0</v>
      </c>
    </row>
    <row r="1195" spans="1:26" x14ac:dyDescent="0.35">
      <c r="A1195" t="s">
        <v>657</v>
      </c>
      <c r="B1195" s="6">
        <v>45352</v>
      </c>
      <c r="C1195" t="s">
        <v>23</v>
      </c>
      <c r="D1195">
        <v>38</v>
      </c>
      <c r="E1195" t="s">
        <v>24</v>
      </c>
      <c r="F1195" t="s">
        <v>25</v>
      </c>
      <c r="G1195" t="s">
        <v>26</v>
      </c>
      <c r="H1195" t="s">
        <v>45</v>
      </c>
      <c r="I1195" t="s">
        <v>97</v>
      </c>
      <c r="J1195" t="s">
        <v>1633</v>
      </c>
      <c r="K1195" t="s">
        <v>34</v>
      </c>
      <c r="L1195">
        <v>50000</v>
      </c>
      <c r="M1195">
        <v>0</v>
      </c>
      <c r="N1195">
        <v>2.9</v>
      </c>
      <c r="O1195">
        <v>1.8</v>
      </c>
      <c r="P1195">
        <v>1.6</v>
      </c>
      <c r="Q1195">
        <v>3</v>
      </c>
      <c r="R1195">
        <v>2</v>
      </c>
      <c r="S1195">
        <v>3</v>
      </c>
      <c r="T1195" t="s">
        <v>23</v>
      </c>
      <c r="U1195">
        <v>1</v>
      </c>
      <c r="W1195" t="s">
        <v>1649</v>
      </c>
      <c r="X1195" t="s">
        <v>1656</v>
      </c>
      <c r="Y1195" t="s">
        <v>1665</v>
      </c>
      <c r="Z1195">
        <v>0</v>
      </c>
    </row>
    <row r="1196" spans="1:26" x14ac:dyDescent="0.35">
      <c r="A1196" t="s">
        <v>841</v>
      </c>
      <c r="B1196" s="6">
        <v>44221</v>
      </c>
      <c r="C1196" t="s">
        <v>30</v>
      </c>
      <c r="D1196">
        <v>33</v>
      </c>
      <c r="E1196" t="s">
        <v>24</v>
      </c>
      <c r="F1196" t="s">
        <v>25</v>
      </c>
      <c r="G1196" t="s">
        <v>32</v>
      </c>
      <c r="H1196" t="s">
        <v>68</v>
      </c>
      <c r="I1196" t="s">
        <v>102</v>
      </c>
      <c r="J1196" t="s">
        <v>1633</v>
      </c>
      <c r="K1196" t="s">
        <v>40</v>
      </c>
      <c r="L1196">
        <v>64000</v>
      </c>
      <c r="M1196">
        <v>4.5999999999999996</v>
      </c>
      <c r="N1196">
        <v>6.6</v>
      </c>
      <c r="O1196">
        <v>4.8</v>
      </c>
      <c r="P1196">
        <v>4</v>
      </c>
      <c r="Q1196">
        <v>4</v>
      </c>
      <c r="R1196">
        <v>3</v>
      </c>
      <c r="S1196">
        <v>3</v>
      </c>
      <c r="T1196" t="s">
        <v>30</v>
      </c>
      <c r="U1196">
        <v>5</v>
      </c>
      <c r="V1196" s="7">
        <v>45962</v>
      </c>
      <c r="W1196" t="s">
        <v>1650</v>
      </c>
      <c r="X1196" t="s">
        <v>1659</v>
      </c>
      <c r="Y1196" t="s">
        <v>1661</v>
      </c>
      <c r="Z1196">
        <v>1</v>
      </c>
    </row>
    <row r="1197" spans="1:26" x14ac:dyDescent="0.35">
      <c r="A1197" t="s">
        <v>954</v>
      </c>
      <c r="B1197" s="6">
        <v>43128</v>
      </c>
      <c r="C1197" t="s">
        <v>23</v>
      </c>
      <c r="D1197">
        <v>35</v>
      </c>
      <c r="E1197" t="s">
        <v>24</v>
      </c>
      <c r="F1197" t="s">
        <v>37</v>
      </c>
      <c r="G1197" t="s">
        <v>32</v>
      </c>
      <c r="H1197" t="s">
        <v>1634</v>
      </c>
      <c r="I1197" t="s">
        <v>75</v>
      </c>
      <c r="J1197" t="s">
        <v>1635</v>
      </c>
      <c r="K1197" t="s">
        <v>50</v>
      </c>
      <c r="L1197">
        <v>78000</v>
      </c>
      <c r="M1197">
        <v>2.2000000000000002</v>
      </c>
      <c r="N1197">
        <v>14.4</v>
      </c>
      <c r="O1197">
        <v>7.9</v>
      </c>
      <c r="P1197">
        <v>5.9</v>
      </c>
      <c r="Q1197">
        <v>2</v>
      </c>
      <c r="R1197">
        <v>2</v>
      </c>
      <c r="S1197">
        <v>3</v>
      </c>
      <c r="T1197" t="s">
        <v>23</v>
      </c>
      <c r="U1197">
        <v>4</v>
      </c>
      <c r="W1197" t="s">
        <v>1650</v>
      </c>
      <c r="X1197" t="s">
        <v>1659</v>
      </c>
      <c r="Y1197" t="s">
        <v>1662</v>
      </c>
      <c r="Z1197">
        <v>0</v>
      </c>
    </row>
    <row r="1198" spans="1:26" x14ac:dyDescent="0.35">
      <c r="A1198" t="s">
        <v>123</v>
      </c>
      <c r="B1198" s="6">
        <v>42314</v>
      </c>
      <c r="C1198" t="s">
        <v>30</v>
      </c>
      <c r="D1198">
        <v>52</v>
      </c>
      <c r="E1198" t="s">
        <v>36</v>
      </c>
      <c r="F1198" t="s">
        <v>42</v>
      </c>
      <c r="G1198" t="s">
        <v>26</v>
      </c>
      <c r="H1198" t="s">
        <v>1634</v>
      </c>
      <c r="I1198" t="s">
        <v>75</v>
      </c>
      <c r="J1198" t="s">
        <v>1633</v>
      </c>
      <c r="K1198" t="s">
        <v>66</v>
      </c>
      <c r="L1198">
        <v>49000</v>
      </c>
      <c r="M1198">
        <v>11.9</v>
      </c>
      <c r="N1198">
        <v>12.8</v>
      </c>
      <c r="O1198">
        <v>9.6999999999999993</v>
      </c>
      <c r="P1198">
        <v>0.9</v>
      </c>
      <c r="Q1198">
        <v>4</v>
      </c>
      <c r="R1198">
        <v>2</v>
      </c>
      <c r="S1198">
        <v>4</v>
      </c>
      <c r="T1198" t="s">
        <v>23</v>
      </c>
      <c r="U1198">
        <v>5</v>
      </c>
      <c r="V1198" s="7">
        <v>45856</v>
      </c>
      <c r="W1198" t="s">
        <v>1652</v>
      </c>
      <c r="X1198" t="s">
        <v>1656</v>
      </c>
      <c r="Y1198" t="s">
        <v>1662</v>
      </c>
      <c r="Z1198">
        <v>1</v>
      </c>
    </row>
    <row r="1199" spans="1:26" x14ac:dyDescent="0.35">
      <c r="A1199" t="s">
        <v>1010</v>
      </c>
      <c r="B1199" s="6">
        <v>45809</v>
      </c>
      <c r="C1199" t="s">
        <v>23</v>
      </c>
      <c r="D1199">
        <v>21</v>
      </c>
      <c r="E1199" t="s">
        <v>24</v>
      </c>
      <c r="F1199" t="s">
        <v>25</v>
      </c>
      <c r="G1199" t="s">
        <v>54</v>
      </c>
      <c r="H1199" t="s">
        <v>38</v>
      </c>
      <c r="I1199" t="s">
        <v>39</v>
      </c>
      <c r="J1199" t="s">
        <v>1632</v>
      </c>
      <c r="K1199" t="s">
        <v>40</v>
      </c>
      <c r="L1199">
        <v>36000</v>
      </c>
      <c r="M1199">
        <v>7.9</v>
      </c>
      <c r="N1199">
        <v>8.3000000000000007</v>
      </c>
      <c r="O1199">
        <v>0.6</v>
      </c>
      <c r="P1199">
        <v>0</v>
      </c>
      <c r="Q1199">
        <v>4</v>
      </c>
      <c r="R1199">
        <v>4</v>
      </c>
      <c r="S1199">
        <v>4</v>
      </c>
      <c r="T1199" t="s">
        <v>23</v>
      </c>
      <c r="U1199">
        <v>1</v>
      </c>
      <c r="W1199" t="s">
        <v>1651</v>
      </c>
      <c r="X1199" t="s">
        <v>1655</v>
      </c>
      <c r="Y1199" t="s">
        <v>1664</v>
      </c>
      <c r="Z1199">
        <v>0</v>
      </c>
    </row>
    <row r="1200" spans="1:26" x14ac:dyDescent="0.35">
      <c r="A1200" t="s">
        <v>1256</v>
      </c>
      <c r="B1200" s="6">
        <v>45655</v>
      </c>
      <c r="C1200" t="s">
        <v>23</v>
      </c>
      <c r="D1200">
        <v>32</v>
      </c>
      <c r="E1200" t="s">
        <v>36</v>
      </c>
      <c r="F1200" t="s">
        <v>25</v>
      </c>
      <c r="G1200" t="s">
        <v>32</v>
      </c>
      <c r="H1200" t="s">
        <v>38</v>
      </c>
      <c r="I1200" t="s">
        <v>52</v>
      </c>
      <c r="J1200" t="s">
        <v>1633</v>
      </c>
      <c r="K1200" t="s">
        <v>29</v>
      </c>
      <c r="L1200">
        <v>62000</v>
      </c>
      <c r="M1200">
        <v>8.4</v>
      </c>
      <c r="N1200">
        <v>3.4</v>
      </c>
      <c r="O1200">
        <v>1</v>
      </c>
      <c r="P1200">
        <v>0</v>
      </c>
      <c r="Q1200">
        <v>4</v>
      </c>
      <c r="R1200">
        <v>4</v>
      </c>
      <c r="S1200">
        <v>3</v>
      </c>
      <c r="T1200" t="s">
        <v>23</v>
      </c>
      <c r="U1200">
        <v>3</v>
      </c>
      <c r="W1200" t="s">
        <v>1650</v>
      </c>
      <c r="X1200" t="s">
        <v>1659</v>
      </c>
      <c r="Y1200" t="s">
        <v>1665</v>
      </c>
      <c r="Z1200">
        <v>0</v>
      </c>
    </row>
    <row r="1201" spans="1:26" x14ac:dyDescent="0.35">
      <c r="A1201" t="s">
        <v>147</v>
      </c>
      <c r="B1201" s="6">
        <v>44621</v>
      </c>
      <c r="C1201" t="s">
        <v>23</v>
      </c>
      <c r="D1201">
        <v>36</v>
      </c>
      <c r="E1201" t="s">
        <v>24</v>
      </c>
      <c r="F1201" t="s">
        <v>42</v>
      </c>
      <c r="G1201" t="s">
        <v>32</v>
      </c>
      <c r="H1201" t="s">
        <v>55</v>
      </c>
      <c r="I1201" t="s">
        <v>80</v>
      </c>
      <c r="J1201" t="s">
        <v>1633</v>
      </c>
      <c r="K1201" t="s">
        <v>34</v>
      </c>
      <c r="L1201">
        <v>44000</v>
      </c>
      <c r="M1201">
        <v>0.8</v>
      </c>
      <c r="N1201">
        <v>10.6</v>
      </c>
      <c r="O1201">
        <v>3.8</v>
      </c>
      <c r="P1201">
        <v>1.5</v>
      </c>
      <c r="Q1201">
        <v>2</v>
      </c>
      <c r="R1201">
        <v>3</v>
      </c>
      <c r="S1201">
        <v>4</v>
      </c>
      <c r="T1201" t="s">
        <v>23</v>
      </c>
      <c r="U1201">
        <v>2</v>
      </c>
      <c r="W1201" t="s">
        <v>1649</v>
      </c>
      <c r="X1201" t="s">
        <v>1656</v>
      </c>
      <c r="Y1201" t="s">
        <v>1661</v>
      </c>
      <c r="Z1201">
        <v>0</v>
      </c>
    </row>
    <row r="1202" spans="1:26" x14ac:dyDescent="0.35">
      <c r="A1202" t="s">
        <v>293</v>
      </c>
      <c r="B1202" s="6">
        <v>42756</v>
      </c>
      <c r="C1202" t="s">
        <v>23</v>
      </c>
      <c r="D1202">
        <v>37</v>
      </c>
      <c r="E1202" t="s">
        <v>24</v>
      </c>
      <c r="F1202" t="s">
        <v>25</v>
      </c>
      <c r="G1202" t="s">
        <v>54</v>
      </c>
      <c r="H1202" t="s">
        <v>45</v>
      </c>
      <c r="I1202" t="s">
        <v>97</v>
      </c>
      <c r="J1202" t="s">
        <v>1636</v>
      </c>
      <c r="K1202" t="s">
        <v>66</v>
      </c>
      <c r="L1202">
        <v>103000</v>
      </c>
      <c r="M1202">
        <v>3.4</v>
      </c>
      <c r="N1202">
        <v>14.3</v>
      </c>
      <c r="O1202">
        <v>8.9</v>
      </c>
      <c r="P1202">
        <v>0.6</v>
      </c>
      <c r="Q1202">
        <v>3</v>
      </c>
      <c r="R1202">
        <v>3</v>
      </c>
      <c r="S1202">
        <v>3</v>
      </c>
      <c r="T1202" t="s">
        <v>23</v>
      </c>
      <c r="U1202">
        <v>5</v>
      </c>
      <c r="W1202" t="s">
        <v>1649</v>
      </c>
      <c r="X1202" t="s">
        <v>1658</v>
      </c>
      <c r="Y1202" t="s">
        <v>1662</v>
      </c>
      <c r="Z1202">
        <v>0</v>
      </c>
    </row>
    <row r="1203" spans="1:26" x14ac:dyDescent="0.35">
      <c r="A1203" t="s">
        <v>597</v>
      </c>
      <c r="B1203" s="6">
        <v>42277</v>
      </c>
      <c r="C1203" t="s">
        <v>23</v>
      </c>
      <c r="D1203">
        <v>31</v>
      </c>
      <c r="E1203" t="s">
        <v>24</v>
      </c>
      <c r="F1203" t="s">
        <v>25</v>
      </c>
      <c r="G1203" t="s">
        <v>58</v>
      </c>
      <c r="H1203" t="s">
        <v>45</v>
      </c>
      <c r="I1203" t="s">
        <v>164</v>
      </c>
      <c r="J1203" t="s">
        <v>1635</v>
      </c>
      <c r="K1203" t="s">
        <v>40</v>
      </c>
      <c r="L1203">
        <v>58000</v>
      </c>
      <c r="M1203">
        <v>6</v>
      </c>
      <c r="N1203">
        <v>16.8</v>
      </c>
      <c r="O1203">
        <v>10.3</v>
      </c>
      <c r="P1203">
        <v>0.5</v>
      </c>
      <c r="Q1203">
        <v>2</v>
      </c>
      <c r="R1203">
        <v>3</v>
      </c>
      <c r="S1203">
        <v>3</v>
      </c>
      <c r="T1203" t="s">
        <v>30</v>
      </c>
      <c r="U1203">
        <v>3</v>
      </c>
      <c r="W1203" t="s">
        <v>1650</v>
      </c>
      <c r="X1203" t="s">
        <v>1656</v>
      </c>
      <c r="Y1203" t="s">
        <v>1663</v>
      </c>
      <c r="Z1203">
        <v>0</v>
      </c>
    </row>
    <row r="1204" spans="1:26" x14ac:dyDescent="0.35">
      <c r="A1204" t="s">
        <v>516</v>
      </c>
      <c r="B1204" s="6">
        <v>41750</v>
      </c>
      <c r="C1204" t="s">
        <v>30</v>
      </c>
      <c r="D1204">
        <v>43</v>
      </c>
      <c r="E1204" t="s">
        <v>62</v>
      </c>
      <c r="F1204" t="s">
        <v>37</v>
      </c>
      <c r="G1204" t="s">
        <v>26</v>
      </c>
      <c r="H1204" t="s">
        <v>55</v>
      </c>
      <c r="I1204" t="s">
        <v>88</v>
      </c>
      <c r="J1204" t="s">
        <v>1636</v>
      </c>
      <c r="K1204" t="s">
        <v>50</v>
      </c>
      <c r="L1204">
        <v>125000</v>
      </c>
      <c r="M1204">
        <v>12</v>
      </c>
      <c r="N1204">
        <v>13.3</v>
      </c>
      <c r="O1204">
        <v>11.4</v>
      </c>
      <c r="P1204">
        <v>1.5</v>
      </c>
      <c r="Q1204">
        <v>3</v>
      </c>
      <c r="R1204">
        <v>4</v>
      </c>
      <c r="S1204">
        <v>4</v>
      </c>
      <c r="T1204" t="s">
        <v>30</v>
      </c>
      <c r="U1204">
        <v>1</v>
      </c>
      <c r="V1204" s="7">
        <v>45930</v>
      </c>
      <c r="W1204" t="s">
        <v>1649</v>
      </c>
      <c r="X1204" t="s">
        <v>1658</v>
      </c>
      <c r="Y1204" t="s">
        <v>1663</v>
      </c>
      <c r="Z1204">
        <v>1</v>
      </c>
    </row>
    <row r="1205" spans="1:26" x14ac:dyDescent="0.35">
      <c r="A1205" t="s">
        <v>76</v>
      </c>
      <c r="B1205" s="6">
        <v>43652</v>
      </c>
      <c r="C1205" t="s">
        <v>23</v>
      </c>
      <c r="D1205">
        <v>38</v>
      </c>
      <c r="E1205" t="s">
        <v>36</v>
      </c>
      <c r="F1205" t="s">
        <v>42</v>
      </c>
      <c r="G1205" t="s">
        <v>58</v>
      </c>
      <c r="H1205" t="s">
        <v>45</v>
      </c>
      <c r="I1205" t="s">
        <v>77</v>
      </c>
      <c r="J1205" t="s">
        <v>1636</v>
      </c>
      <c r="K1205" t="s">
        <v>34</v>
      </c>
      <c r="L1205">
        <v>96000</v>
      </c>
      <c r="M1205">
        <v>10.199999999999999</v>
      </c>
      <c r="N1205">
        <v>9.4</v>
      </c>
      <c r="O1205">
        <v>6.5</v>
      </c>
      <c r="P1205">
        <v>2.8</v>
      </c>
      <c r="Q1205">
        <v>3</v>
      </c>
      <c r="R1205">
        <v>3</v>
      </c>
      <c r="S1205">
        <v>4</v>
      </c>
      <c r="T1205" t="s">
        <v>23</v>
      </c>
      <c r="U1205">
        <v>4</v>
      </c>
      <c r="W1205" t="s">
        <v>1649</v>
      </c>
      <c r="X1205" t="s">
        <v>1657</v>
      </c>
      <c r="Y1205" t="s">
        <v>1662</v>
      </c>
      <c r="Z1205">
        <v>0</v>
      </c>
    </row>
    <row r="1206" spans="1:26" x14ac:dyDescent="0.35">
      <c r="A1206" t="s">
        <v>510</v>
      </c>
      <c r="B1206" s="6">
        <v>41884</v>
      </c>
      <c r="C1206" t="s">
        <v>23</v>
      </c>
      <c r="D1206">
        <v>42</v>
      </c>
      <c r="E1206" t="s">
        <v>36</v>
      </c>
      <c r="F1206" t="s">
        <v>25</v>
      </c>
      <c r="G1206" t="s">
        <v>54</v>
      </c>
      <c r="H1206" t="s">
        <v>48</v>
      </c>
      <c r="I1206" t="s">
        <v>129</v>
      </c>
      <c r="J1206" t="s">
        <v>1635</v>
      </c>
      <c r="K1206" t="s">
        <v>50</v>
      </c>
      <c r="L1206">
        <v>72000</v>
      </c>
      <c r="M1206">
        <v>11.5</v>
      </c>
      <c r="N1206">
        <v>19.100000000000001</v>
      </c>
      <c r="O1206">
        <v>11.3</v>
      </c>
      <c r="P1206">
        <v>2.6</v>
      </c>
      <c r="Q1206">
        <v>3</v>
      </c>
      <c r="R1206">
        <v>3</v>
      </c>
      <c r="S1206">
        <v>4</v>
      </c>
      <c r="T1206" t="s">
        <v>23</v>
      </c>
      <c r="U1206">
        <v>3</v>
      </c>
      <c r="W1206" t="s">
        <v>1649</v>
      </c>
      <c r="X1206" t="s">
        <v>1659</v>
      </c>
      <c r="Y1206" t="s">
        <v>1663</v>
      </c>
      <c r="Z1206">
        <v>0</v>
      </c>
    </row>
    <row r="1207" spans="1:26" x14ac:dyDescent="0.35">
      <c r="A1207" t="s">
        <v>1047</v>
      </c>
      <c r="B1207" s="6">
        <v>45372</v>
      </c>
      <c r="C1207" t="s">
        <v>30</v>
      </c>
      <c r="D1207">
        <v>32</v>
      </c>
      <c r="E1207" t="s">
        <v>36</v>
      </c>
      <c r="F1207" t="s">
        <v>25</v>
      </c>
      <c r="G1207" t="s">
        <v>26</v>
      </c>
      <c r="H1207" t="s">
        <v>48</v>
      </c>
      <c r="I1207" t="s">
        <v>49</v>
      </c>
      <c r="J1207" t="s">
        <v>1636</v>
      </c>
      <c r="K1207" t="s">
        <v>84</v>
      </c>
      <c r="L1207">
        <v>113000</v>
      </c>
      <c r="M1207">
        <v>5.6</v>
      </c>
      <c r="N1207">
        <v>9</v>
      </c>
      <c r="O1207">
        <v>1.8</v>
      </c>
      <c r="P1207">
        <v>1</v>
      </c>
      <c r="Q1207">
        <v>3</v>
      </c>
      <c r="R1207">
        <v>4</v>
      </c>
      <c r="S1207">
        <v>4</v>
      </c>
      <c r="T1207" t="s">
        <v>30</v>
      </c>
      <c r="U1207">
        <v>5</v>
      </c>
      <c r="V1207" s="7">
        <v>46015</v>
      </c>
      <c r="W1207" t="s">
        <v>1650</v>
      </c>
      <c r="X1207" t="s">
        <v>1658</v>
      </c>
      <c r="Y1207" t="s">
        <v>1665</v>
      </c>
      <c r="Z1207">
        <v>1</v>
      </c>
    </row>
    <row r="1208" spans="1:26" x14ac:dyDescent="0.35">
      <c r="A1208" t="s">
        <v>1191</v>
      </c>
      <c r="B1208" s="6">
        <v>44532</v>
      </c>
      <c r="C1208" t="s">
        <v>23</v>
      </c>
      <c r="D1208">
        <v>33</v>
      </c>
      <c r="E1208" t="s">
        <v>36</v>
      </c>
      <c r="F1208" t="s">
        <v>37</v>
      </c>
      <c r="G1208" t="s">
        <v>32</v>
      </c>
      <c r="H1208" t="s">
        <v>55</v>
      </c>
      <c r="I1208" t="s">
        <v>80</v>
      </c>
      <c r="J1208" t="s">
        <v>1635</v>
      </c>
      <c r="K1208" t="s">
        <v>84</v>
      </c>
      <c r="L1208">
        <v>92000</v>
      </c>
      <c r="M1208">
        <v>9.3000000000000007</v>
      </c>
      <c r="N1208">
        <v>10.8</v>
      </c>
      <c r="O1208">
        <v>4.0999999999999996</v>
      </c>
      <c r="P1208">
        <v>0.7</v>
      </c>
      <c r="Q1208">
        <v>3</v>
      </c>
      <c r="R1208">
        <v>4</v>
      </c>
      <c r="S1208">
        <v>2</v>
      </c>
      <c r="T1208" t="s">
        <v>23</v>
      </c>
      <c r="U1208">
        <v>3</v>
      </c>
      <c r="W1208" t="s">
        <v>1650</v>
      </c>
      <c r="X1208" t="s">
        <v>1657</v>
      </c>
      <c r="Y1208" t="s">
        <v>1661</v>
      </c>
      <c r="Z1208">
        <v>0</v>
      </c>
    </row>
    <row r="1209" spans="1:26" x14ac:dyDescent="0.35">
      <c r="A1209" t="s">
        <v>472</v>
      </c>
      <c r="B1209" s="6">
        <v>44268</v>
      </c>
      <c r="C1209" t="s">
        <v>23</v>
      </c>
      <c r="D1209">
        <v>39</v>
      </c>
      <c r="E1209" t="s">
        <v>36</v>
      </c>
      <c r="F1209" t="s">
        <v>37</v>
      </c>
      <c r="G1209" t="s">
        <v>58</v>
      </c>
      <c r="H1209" t="s">
        <v>1634</v>
      </c>
      <c r="I1209" t="s">
        <v>75</v>
      </c>
      <c r="J1209" t="s">
        <v>1633</v>
      </c>
      <c r="K1209" t="s">
        <v>84</v>
      </c>
      <c r="L1209">
        <v>42000</v>
      </c>
      <c r="M1209">
        <v>12.5</v>
      </c>
      <c r="N1209">
        <v>12.4</v>
      </c>
      <c r="O1209">
        <v>4.8</v>
      </c>
      <c r="P1209">
        <v>3.1</v>
      </c>
      <c r="Q1209">
        <v>3</v>
      </c>
      <c r="R1209">
        <v>3</v>
      </c>
      <c r="S1209">
        <v>2</v>
      </c>
      <c r="T1209" t="s">
        <v>23</v>
      </c>
      <c r="U1209">
        <v>5</v>
      </c>
      <c r="W1209" t="s">
        <v>1649</v>
      </c>
      <c r="X1209" t="s">
        <v>1656</v>
      </c>
      <c r="Y1209" t="s">
        <v>1661</v>
      </c>
      <c r="Z1209">
        <v>0</v>
      </c>
    </row>
    <row r="1210" spans="1:26" x14ac:dyDescent="0.35">
      <c r="A1210" t="s">
        <v>1002</v>
      </c>
      <c r="B1210" s="6">
        <v>45674</v>
      </c>
      <c r="C1210" t="s">
        <v>23</v>
      </c>
      <c r="D1210">
        <v>37</v>
      </c>
      <c r="E1210" t="s">
        <v>62</v>
      </c>
      <c r="F1210" t="s">
        <v>25</v>
      </c>
      <c r="G1210" t="s">
        <v>26</v>
      </c>
      <c r="H1210" t="s">
        <v>68</v>
      </c>
      <c r="I1210" t="s">
        <v>109</v>
      </c>
      <c r="J1210" t="s">
        <v>1635</v>
      </c>
      <c r="K1210" t="s">
        <v>34</v>
      </c>
      <c r="L1210">
        <v>82000</v>
      </c>
      <c r="M1210">
        <v>1.4</v>
      </c>
      <c r="N1210">
        <v>2.8</v>
      </c>
      <c r="O1210">
        <v>1</v>
      </c>
      <c r="P1210">
        <v>1</v>
      </c>
      <c r="Q1210">
        <v>2</v>
      </c>
      <c r="R1210">
        <v>3</v>
      </c>
      <c r="S1210">
        <v>1</v>
      </c>
      <c r="T1210" t="s">
        <v>23</v>
      </c>
      <c r="U1210">
        <v>4</v>
      </c>
      <c r="W1210" t="s">
        <v>1649</v>
      </c>
      <c r="X1210" t="s">
        <v>1657</v>
      </c>
      <c r="Y1210" t="s">
        <v>1665</v>
      </c>
      <c r="Z1210">
        <v>0</v>
      </c>
    </row>
    <row r="1211" spans="1:26" x14ac:dyDescent="0.35">
      <c r="A1211" t="s">
        <v>1589</v>
      </c>
      <c r="B1211" s="6">
        <v>45410</v>
      </c>
      <c r="C1211" t="s">
        <v>23</v>
      </c>
      <c r="D1211">
        <v>30</v>
      </c>
      <c r="E1211" t="s">
        <v>62</v>
      </c>
      <c r="F1211" t="s">
        <v>42</v>
      </c>
      <c r="G1211" t="s">
        <v>32</v>
      </c>
      <c r="H1211" t="s">
        <v>27</v>
      </c>
      <c r="I1211" t="s">
        <v>28</v>
      </c>
      <c r="J1211" t="s">
        <v>1636</v>
      </c>
      <c r="K1211" t="s">
        <v>34</v>
      </c>
      <c r="L1211">
        <v>99000</v>
      </c>
      <c r="M1211">
        <v>14.4</v>
      </c>
      <c r="N1211">
        <v>2.4</v>
      </c>
      <c r="O1211">
        <v>1.7</v>
      </c>
      <c r="P1211">
        <v>1.6</v>
      </c>
      <c r="Q1211">
        <v>3</v>
      </c>
      <c r="R1211">
        <v>3</v>
      </c>
      <c r="S1211">
        <v>2</v>
      </c>
      <c r="T1211" t="s">
        <v>30</v>
      </c>
      <c r="U1211">
        <v>3</v>
      </c>
      <c r="W1211" t="s">
        <v>1650</v>
      </c>
      <c r="X1211" t="s">
        <v>1657</v>
      </c>
      <c r="Y1211" t="s">
        <v>1665</v>
      </c>
      <c r="Z1211">
        <v>0</v>
      </c>
    </row>
    <row r="1212" spans="1:26" x14ac:dyDescent="0.35">
      <c r="A1212" t="s">
        <v>792</v>
      </c>
      <c r="B1212" s="6">
        <v>45277</v>
      </c>
      <c r="C1212" t="s">
        <v>23</v>
      </c>
      <c r="D1212">
        <v>27</v>
      </c>
      <c r="E1212" t="s">
        <v>62</v>
      </c>
      <c r="F1212" t="s">
        <v>37</v>
      </c>
      <c r="G1212" t="s">
        <v>54</v>
      </c>
      <c r="H1212" t="s">
        <v>27</v>
      </c>
      <c r="I1212" t="s">
        <v>33</v>
      </c>
      <c r="J1212" t="s">
        <v>1632</v>
      </c>
      <c r="K1212" t="s">
        <v>84</v>
      </c>
      <c r="L1212">
        <v>33000</v>
      </c>
      <c r="M1212">
        <v>11.7</v>
      </c>
      <c r="N1212">
        <v>2.4</v>
      </c>
      <c r="O1212">
        <v>2</v>
      </c>
      <c r="P1212">
        <v>1</v>
      </c>
      <c r="Q1212">
        <v>3</v>
      </c>
      <c r="R1212">
        <v>3</v>
      </c>
      <c r="S1212">
        <v>2</v>
      </c>
      <c r="T1212" t="s">
        <v>23</v>
      </c>
      <c r="U1212">
        <v>4</v>
      </c>
      <c r="W1212" t="s">
        <v>1650</v>
      </c>
      <c r="X1212" t="s">
        <v>1655</v>
      </c>
      <c r="Y1212" t="s">
        <v>1665</v>
      </c>
      <c r="Z1212">
        <v>0</v>
      </c>
    </row>
    <row r="1213" spans="1:26" x14ac:dyDescent="0.35">
      <c r="A1213" t="s">
        <v>943</v>
      </c>
      <c r="B1213" s="6">
        <v>44012</v>
      </c>
      <c r="C1213" t="s">
        <v>23</v>
      </c>
      <c r="D1213">
        <v>41</v>
      </c>
      <c r="E1213" t="s">
        <v>62</v>
      </c>
      <c r="F1213" t="s">
        <v>37</v>
      </c>
      <c r="G1213" t="s">
        <v>58</v>
      </c>
      <c r="H1213" t="s">
        <v>45</v>
      </c>
      <c r="I1213" t="s">
        <v>97</v>
      </c>
      <c r="J1213" t="s">
        <v>1633</v>
      </c>
      <c r="K1213" t="s">
        <v>40</v>
      </c>
      <c r="L1213">
        <v>54000</v>
      </c>
      <c r="M1213">
        <v>0.3</v>
      </c>
      <c r="N1213">
        <v>8.1</v>
      </c>
      <c r="O1213">
        <v>5.5</v>
      </c>
      <c r="P1213">
        <v>1</v>
      </c>
      <c r="Q1213">
        <v>3</v>
      </c>
      <c r="R1213">
        <v>3</v>
      </c>
      <c r="S1213">
        <v>2</v>
      </c>
      <c r="T1213" t="s">
        <v>23</v>
      </c>
      <c r="U1213">
        <v>5</v>
      </c>
      <c r="W1213" t="s">
        <v>1649</v>
      </c>
      <c r="X1213" t="s">
        <v>1656</v>
      </c>
      <c r="Y1213" t="s">
        <v>1661</v>
      </c>
      <c r="Z1213">
        <v>0</v>
      </c>
    </row>
    <row r="1214" spans="1:26" x14ac:dyDescent="0.35">
      <c r="A1214" t="s">
        <v>755</v>
      </c>
      <c r="B1214" s="6">
        <v>45713</v>
      </c>
      <c r="C1214" t="s">
        <v>23</v>
      </c>
      <c r="D1214">
        <v>29</v>
      </c>
      <c r="E1214" t="s">
        <v>24</v>
      </c>
      <c r="F1214" t="s">
        <v>25</v>
      </c>
      <c r="G1214" t="s">
        <v>32</v>
      </c>
      <c r="H1214" t="s">
        <v>1634</v>
      </c>
      <c r="I1214" t="s">
        <v>60</v>
      </c>
      <c r="J1214" t="s">
        <v>1636</v>
      </c>
      <c r="K1214" t="s">
        <v>50</v>
      </c>
      <c r="L1214">
        <v>112000</v>
      </c>
      <c r="M1214">
        <v>0</v>
      </c>
      <c r="N1214">
        <v>6.1</v>
      </c>
      <c r="O1214">
        <v>0.8</v>
      </c>
      <c r="P1214">
        <v>0</v>
      </c>
      <c r="Q1214">
        <v>3</v>
      </c>
      <c r="R1214">
        <v>1</v>
      </c>
      <c r="S1214">
        <v>2</v>
      </c>
      <c r="T1214" t="s">
        <v>23</v>
      </c>
      <c r="U1214">
        <v>4</v>
      </c>
      <c r="W1214" t="s">
        <v>1650</v>
      </c>
      <c r="X1214" t="s">
        <v>1658</v>
      </c>
      <c r="Y1214" t="s">
        <v>1664</v>
      </c>
      <c r="Z1214">
        <v>0</v>
      </c>
    </row>
    <row r="1215" spans="1:26" x14ac:dyDescent="0.35">
      <c r="A1215" t="s">
        <v>802</v>
      </c>
      <c r="B1215" s="6">
        <v>43081</v>
      </c>
      <c r="C1215" t="s">
        <v>30</v>
      </c>
      <c r="D1215">
        <v>37</v>
      </c>
      <c r="E1215" t="s">
        <v>36</v>
      </c>
      <c r="F1215" t="s">
        <v>25</v>
      </c>
      <c r="G1215" t="s">
        <v>26</v>
      </c>
      <c r="H1215" t="s">
        <v>68</v>
      </c>
      <c r="I1215" t="s">
        <v>109</v>
      </c>
      <c r="J1215" t="s">
        <v>1633</v>
      </c>
      <c r="K1215" t="s">
        <v>34</v>
      </c>
      <c r="L1215">
        <v>54000</v>
      </c>
      <c r="M1215">
        <v>13.7</v>
      </c>
      <c r="N1215">
        <v>9.3000000000000007</v>
      </c>
      <c r="O1215">
        <v>7.5</v>
      </c>
      <c r="P1215">
        <v>3.4</v>
      </c>
      <c r="Q1215">
        <v>2</v>
      </c>
      <c r="R1215">
        <v>4</v>
      </c>
      <c r="S1215">
        <v>4</v>
      </c>
      <c r="T1215" t="s">
        <v>23</v>
      </c>
      <c r="U1215">
        <v>3</v>
      </c>
      <c r="V1215" s="7">
        <v>45812</v>
      </c>
      <c r="W1215" t="s">
        <v>1649</v>
      </c>
      <c r="X1215" t="s">
        <v>1656</v>
      </c>
      <c r="Y1215" t="s">
        <v>1662</v>
      </c>
      <c r="Z1215">
        <v>1</v>
      </c>
    </row>
    <row r="1216" spans="1:26" x14ac:dyDescent="0.35">
      <c r="A1216" t="s">
        <v>738</v>
      </c>
      <c r="B1216" s="6">
        <v>45066</v>
      </c>
      <c r="C1216" t="s">
        <v>23</v>
      </c>
      <c r="D1216">
        <v>39</v>
      </c>
      <c r="E1216" t="s">
        <v>62</v>
      </c>
      <c r="F1216" t="s">
        <v>25</v>
      </c>
      <c r="G1216" t="s">
        <v>54</v>
      </c>
      <c r="H1216" t="s">
        <v>55</v>
      </c>
      <c r="I1216" t="s">
        <v>56</v>
      </c>
      <c r="J1216" t="s">
        <v>1633</v>
      </c>
      <c r="K1216" t="s">
        <v>40</v>
      </c>
      <c r="L1216">
        <v>70000</v>
      </c>
      <c r="M1216">
        <v>9.5</v>
      </c>
      <c r="N1216">
        <v>8.8000000000000007</v>
      </c>
      <c r="O1216">
        <v>2.6</v>
      </c>
      <c r="P1216">
        <v>0.5</v>
      </c>
      <c r="Q1216">
        <v>3</v>
      </c>
      <c r="R1216">
        <v>3</v>
      </c>
      <c r="S1216">
        <v>3</v>
      </c>
      <c r="T1216" t="s">
        <v>23</v>
      </c>
      <c r="U1216">
        <v>3</v>
      </c>
      <c r="W1216" t="s">
        <v>1649</v>
      </c>
      <c r="X1216" t="s">
        <v>1659</v>
      </c>
      <c r="Y1216" t="s">
        <v>1665</v>
      </c>
      <c r="Z1216">
        <v>0</v>
      </c>
    </row>
    <row r="1217" spans="1:26" x14ac:dyDescent="0.35">
      <c r="A1217" t="s">
        <v>398</v>
      </c>
      <c r="B1217" s="6">
        <v>42489</v>
      </c>
      <c r="C1217" t="s">
        <v>23</v>
      </c>
      <c r="D1217">
        <v>30</v>
      </c>
      <c r="E1217" t="s">
        <v>36</v>
      </c>
      <c r="F1217" t="s">
        <v>37</v>
      </c>
      <c r="G1217" t="s">
        <v>32</v>
      </c>
      <c r="H1217" t="s">
        <v>68</v>
      </c>
      <c r="I1217" t="s">
        <v>109</v>
      </c>
      <c r="J1217" t="s">
        <v>1635</v>
      </c>
      <c r="K1217" t="s">
        <v>66</v>
      </c>
      <c r="L1217">
        <v>69000</v>
      </c>
      <c r="M1217">
        <v>6.3</v>
      </c>
      <c r="N1217">
        <v>11.4</v>
      </c>
      <c r="O1217">
        <v>9.6999999999999993</v>
      </c>
      <c r="P1217">
        <v>1.4</v>
      </c>
      <c r="Q1217">
        <v>4</v>
      </c>
      <c r="R1217">
        <v>2</v>
      </c>
      <c r="S1217">
        <v>3</v>
      </c>
      <c r="T1217" t="s">
        <v>23</v>
      </c>
      <c r="U1217">
        <v>4</v>
      </c>
      <c r="W1217" t="s">
        <v>1650</v>
      </c>
      <c r="X1217" t="s">
        <v>1659</v>
      </c>
      <c r="Y1217" t="s">
        <v>1662</v>
      </c>
      <c r="Z1217">
        <v>0</v>
      </c>
    </row>
    <row r="1218" spans="1:26" x14ac:dyDescent="0.35">
      <c r="A1218" t="s">
        <v>861</v>
      </c>
      <c r="B1218" s="6">
        <v>44359</v>
      </c>
      <c r="C1218" t="s">
        <v>23</v>
      </c>
      <c r="D1218">
        <v>32</v>
      </c>
      <c r="E1218" t="s">
        <v>62</v>
      </c>
      <c r="F1218" t="s">
        <v>42</v>
      </c>
      <c r="G1218" t="s">
        <v>26</v>
      </c>
      <c r="H1218" t="s">
        <v>27</v>
      </c>
      <c r="I1218" t="s">
        <v>95</v>
      </c>
      <c r="J1218" t="s">
        <v>1632</v>
      </c>
      <c r="K1218" t="s">
        <v>34</v>
      </c>
      <c r="L1218">
        <v>22000</v>
      </c>
      <c r="M1218">
        <v>9.8000000000000007</v>
      </c>
      <c r="N1218">
        <v>11.2</v>
      </c>
      <c r="O1218">
        <v>4.5999999999999996</v>
      </c>
      <c r="P1218">
        <v>3.6</v>
      </c>
      <c r="Q1218">
        <v>3</v>
      </c>
      <c r="R1218">
        <v>2</v>
      </c>
      <c r="S1218">
        <v>2</v>
      </c>
      <c r="T1218" t="s">
        <v>23</v>
      </c>
      <c r="U1218">
        <v>3</v>
      </c>
      <c r="W1218" t="s">
        <v>1650</v>
      </c>
      <c r="X1218" t="s">
        <v>1655</v>
      </c>
      <c r="Y1218" t="s">
        <v>1661</v>
      </c>
      <c r="Z1218">
        <v>0</v>
      </c>
    </row>
    <row r="1219" spans="1:26" x14ac:dyDescent="0.35">
      <c r="A1219" t="s">
        <v>1362</v>
      </c>
      <c r="B1219" s="6">
        <v>43557</v>
      </c>
      <c r="C1219" t="s">
        <v>23</v>
      </c>
      <c r="D1219">
        <v>34</v>
      </c>
      <c r="E1219" t="s">
        <v>24</v>
      </c>
      <c r="F1219" t="s">
        <v>42</v>
      </c>
      <c r="G1219" t="s">
        <v>26</v>
      </c>
      <c r="H1219" t="s">
        <v>48</v>
      </c>
      <c r="I1219" t="s">
        <v>63</v>
      </c>
      <c r="J1219" t="s">
        <v>1636</v>
      </c>
      <c r="K1219" t="s">
        <v>50</v>
      </c>
      <c r="L1219">
        <v>110000</v>
      </c>
      <c r="M1219">
        <v>21.3</v>
      </c>
      <c r="N1219">
        <v>10.7</v>
      </c>
      <c r="O1219">
        <v>6.7</v>
      </c>
      <c r="P1219">
        <v>5.8</v>
      </c>
      <c r="Q1219">
        <v>3</v>
      </c>
      <c r="R1219">
        <v>4</v>
      </c>
      <c r="S1219">
        <v>4</v>
      </c>
      <c r="T1219" t="s">
        <v>23</v>
      </c>
      <c r="U1219">
        <v>4</v>
      </c>
      <c r="W1219" t="s">
        <v>1650</v>
      </c>
      <c r="X1219" t="s">
        <v>1658</v>
      </c>
      <c r="Y1219" t="s">
        <v>1662</v>
      </c>
      <c r="Z1219">
        <v>0</v>
      </c>
    </row>
    <row r="1220" spans="1:26" x14ac:dyDescent="0.35">
      <c r="A1220" t="s">
        <v>658</v>
      </c>
      <c r="B1220" s="6">
        <v>45744</v>
      </c>
      <c r="C1220" t="s">
        <v>23</v>
      </c>
      <c r="D1220">
        <v>24</v>
      </c>
      <c r="E1220" t="s">
        <v>24</v>
      </c>
      <c r="F1220" t="s">
        <v>25</v>
      </c>
      <c r="G1220" t="s">
        <v>26</v>
      </c>
      <c r="H1220" t="s">
        <v>38</v>
      </c>
      <c r="I1220" t="s">
        <v>52</v>
      </c>
      <c r="J1220" t="s">
        <v>1632</v>
      </c>
      <c r="K1220" t="s">
        <v>34</v>
      </c>
      <c r="L1220">
        <v>40000</v>
      </c>
      <c r="M1220">
        <v>6.6</v>
      </c>
      <c r="N1220">
        <v>7.4</v>
      </c>
      <c r="O1220">
        <v>0.8</v>
      </c>
      <c r="P1220">
        <v>0</v>
      </c>
      <c r="Q1220">
        <v>3</v>
      </c>
      <c r="R1220">
        <v>4</v>
      </c>
      <c r="S1220">
        <v>3</v>
      </c>
      <c r="T1220" t="s">
        <v>23</v>
      </c>
      <c r="U1220">
        <v>4</v>
      </c>
      <c r="W1220" t="s">
        <v>1651</v>
      </c>
      <c r="X1220" t="s">
        <v>1656</v>
      </c>
      <c r="Y1220" t="s">
        <v>1664</v>
      </c>
      <c r="Z1220">
        <v>0</v>
      </c>
    </row>
    <row r="1221" spans="1:26" x14ac:dyDescent="0.35">
      <c r="A1221" t="s">
        <v>947</v>
      </c>
      <c r="B1221" s="6">
        <v>44666</v>
      </c>
      <c r="C1221" t="s">
        <v>23</v>
      </c>
      <c r="D1221">
        <v>24</v>
      </c>
      <c r="E1221" t="s">
        <v>24</v>
      </c>
      <c r="F1221" t="s">
        <v>25</v>
      </c>
      <c r="G1221" t="s">
        <v>32</v>
      </c>
      <c r="H1221" t="s">
        <v>45</v>
      </c>
      <c r="I1221" t="s">
        <v>46</v>
      </c>
      <c r="J1221" t="s">
        <v>1632</v>
      </c>
      <c r="K1221" t="s">
        <v>40</v>
      </c>
      <c r="L1221">
        <v>35000</v>
      </c>
      <c r="M1221">
        <v>6.3</v>
      </c>
      <c r="N1221">
        <v>6.9</v>
      </c>
      <c r="O1221">
        <v>3.7</v>
      </c>
      <c r="P1221">
        <v>0.7</v>
      </c>
      <c r="Q1221">
        <v>3</v>
      </c>
      <c r="R1221">
        <v>3</v>
      </c>
      <c r="S1221">
        <v>3</v>
      </c>
      <c r="T1221" t="s">
        <v>23</v>
      </c>
      <c r="U1221">
        <v>2</v>
      </c>
      <c r="W1221" t="s">
        <v>1651</v>
      </c>
      <c r="X1221" t="s">
        <v>1655</v>
      </c>
      <c r="Y1221" t="s">
        <v>1661</v>
      </c>
      <c r="Z1221">
        <v>0</v>
      </c>
    </row>
    <row r="1222" spans="1:26" x14ac:dyDescent="0.35">
      <c r="A1222" t="s">
        <v>1383</v>
      </c>
      <c r="B1222" s="6">
        <v>42689</v>
      </c>
      <c r="C1222" t="s">
        <v>23</v>
      </c>
      <c r="D1222">
        <v>40</v>
      </c>
      <c r="E1222" t="s">
        <v>62</v>
      </c>
      <c r="F1222" t="s">
        <v>25</v>
      </c>
      <c r="G1222" t="s">
        <v>32</v>
      </c>
      <c r="H1222" t="s">
        <v>55</v>
      </c>
      <c r="I1222" t="s">
        <v>56</v>
      </c>
      <c r="J1222" t="s">
        <v>1635</v>
      </c>
      <c r="K1222" t="s">
        <v>40</v>
      </c>
      <c r="L1222">
        <v>102000</v>
      </c>
      <c r="M1222">
        <v>5.6</v>
      </c>
      <c r="N1222">
        <v>17</v>
      </c>
      <c r="O1222">
        <v>9.1</v>
      </c>
      <c r="P1222">
        <v>5.0999999999999996</v>
      </c>
      <c r="Q1222">
        <v>4</v>
      </c>
      <c r="R1222">
        <v>3</v>
      </c>
      <c r="S1222">
        <v>3</v>
      </c>
      <c r="T1222" t="s">
        <v>23</v>
      </c>
      <c r="U1222">
        <v>4</v>
      </c>
      <c r="W1222" t="s">
        <v>1649</v>
      </c>
      <c r="X1222" t="s">
        <v>1658</v>
      </c>
      <c r="Y1222" t="s">
        <v>1662</v>
      </c>
      <c r="Z1222">
        <v>0</v>
      </c>
    </row>
    <row r="1223" spans="1:26" x14ac:dyDescent="0.35">
      <c r="A1223" t="s">
        <v>1586</v>
      </c>
      <c r="B1223" s="6">
        <v>44302</v>
      </c>
      <c r="C1223" t="s">
        <v>23</v>
      </c>
      <c r="D1223">
        <v>37</v>
      </c>
      <c r="E1223" t="s">
        <v>62</v>
      </c>
      <c r="F1223" t="s">
        <v>42</v>
      </c>
      <c r="G1223" t="s">
        <v>32</v>
      </c>
      <c r="H1223" t="s">
        <v>45</v>
      </c>
      <c r="I1223" t="s">
        <v>77</v>
      </c>
      <c r="J1223" t="s">
        <v>1633</v>
      </c>
      <c r="K1223" t="s">
        <v>50</v>
      </c>
      <c r="L1223">
        <v>45000</v>
      </c>
      <c r="M1223">
        <v>5.9</v>
      </c>
      <c r="N1223">
        <v>6.4</v>
      </c>
      <c r="O1223">
        <v>4.7</v>
      </c>
      <c r="P1223">
        <v>3.1</v>
      </c>
      <c r="Q1223">
        <v>3</v>
      </c>
      <c r="R1223">
        <v>4</v>
      </c>
      <c r="S1223">
        <v>2</v>
      </c>
      <c r="T1223" t="s">
        <v>23</v>
      </c>
      <c r="U1223">
        <v>5</v>
      </c>
      <c r="W1223" t="s">
        <v>1649</v>
      </c>
      <c r="X1223" t="s">
        <v>1656</v>
      </c>
      <c r="Y1223" t="s">
        <v>1661</v>
      </c>
      <c r="Z1223">
        <v>0</v>
      </c>
    </row>
    <row r="1224" spans="1:26" x14ac:dyDescent="0.35">
      <c r="A1224" t="s">
        <v>1446</v>
      </c>
      <c r="B1224" s="6">
        <v>44752</v>
      </c>
      <c r="C1224" t="s">
        <v>30</v>
      </c>
      <c r="D1224">
        <v>35</v>
      </c>
      <c r="E1224" t="s">
        <v>24</v>
      </c>
      <c r="F1224" t="s">
        <v>25</v>
      </c>
      <c r="G1224" t="s">
        <v>58</v>
      </c>
      <c r="H1224" t="s">
        <v>1634</v>
      </c>
      <c r="I1224" t="s">
        <v>75</v>
      </c>
      <c r="J1224" t="s">
        <v>1635</v>
      </c>
      <c r="K1224" t="s">
        <v>40</v>
      </c>
      <c r="L1224">
        <v>81000</v>
      </c>
      <c r="M1224">
        <v>5.7</v>
      </c>
      <c r="N1224">
        <v>2.9</v>
      </c>
      <c r="O1224">
        <v>2.8</v>
      </c>
      <c r="P1224">
        <v>1.9</v>
      </c>
      <c r="Q1224">
        <v>3</v>
      </c>
      <c r="R1224">
        <v>2</v>
      </c>
      <c r="S1224">
        <v>3</v>
      </c>
      <c r="T1224" t="s">
        <v>23</v>
      </c>
      <c r="U1224">
        <v>3</v>
      </c>
      <c r="V1224" s="7">
        <v>45778</v>
      </c>
      <c r="W1224" t="s">
        <v>1650</v>
      </c>
      <c r="X1224" t="s">
        <v>1657</v>
      </c>
      <c r="Y1224" t="s">
        <v>1665</v>
      </c>
      <c r="Z1224">
        <v>1</v>
      </c>
    </row>
    <row r="1225" spans="1:26" x14ac:dyDescent="0.35">
      <c r="A1225" t="s">
        <v>1043</v>
      </c>
      <c r="B1225" s="6">
        <v>44688</v>
      </c>
      <c r="C1225" t="s">
        <v>23</v>
      </c>
      <c r="D1225">
        <v>29</v>
      </c>
      <c r="E1225" t="s">
        <v>24</v>
      </c>
      <c r="F1225" t="s">
        <v>42</v>
      </c>
      <c r="G1225" t="s">
        <v>58</v>
      </c>
      <c r="H1225" t="s">
        <v>38</v>
      </c>
      <c r="I1225" t="s">
        <v>118</v>
      </c>
      <c r="J1225" t="s">
        <v>1633</v>
      </c>
      <c r="K1225" t="s">
        <v>34</v>
      </c>
      <c r="L1225">
        <v>58000</v>
      </c>
      <c r="M1225">
        <v>4.7</v>
      </c>
      <c r="N1225">
        <v>9</v>
      </c>
      <c r="O1225">
        <v>3.7</v>
      </c>
      <c r="P1225">
        <v>0.8</v>
      </c>
      <c r="Q1225">
        <v>1</v>
      </c>
      <c r="R1225">
        <v>4</v>
      </c>
      <c r="S1225">
        <v>3</v>
      </c>
      <c r="T1225" t="s">
        <v>23</v>
      </c>
      <c r="U1225">
        <v>3</v>
      </c>
      <c r="W1225" t="s">
        <v>1650</v>
      </c>
      <c r="X1225" t="s">
        <v>1656</v>
      </c>
      <c r="Y1225" t="s">
        <v>1661</v>
      </c>
      <c r="Z1225">
        <v>0</v>
      </c>
    </row>
    <row r="1226" spans="1:26" x14ac:dyDescent="0.35">
      <c r="A1226" t="s">
        <v>143</v>
      </c>
      <c r="B1226" s="6">
        <v>45832</v>
      </c>
      <c r="C1226" t="s">
        <v>23</v>
      </c>
      <c r="D1226">
        <v>21</v>
      </c>
      <c r="E1226" t="s">
        <v>62</v>
      </c>
      <c r="F1226" t="s">
        <v>25</v>
      </c>
      <c r="G1226" t="s">
        <v>58</v>
      </c>
      <c r="H1226" t="s">
        <v>38</v>
      </c>
      <c r="I1226" t="s">
        <v>39</v>
      </c>
      <c r="J1226" t="s">
        <v>1632</v>
      </c>
      <c r="K1226" t="s">
        <v>84</v>
      </c>
      <c r="L1226">
        <v>28000</v>
      </c>
      <c r="M1226">
        <v>11.7</v>
      </c>
      <c r="N1226">
        <v>5.8</v>
      </c>
      <c r="O1226">
        <v>0.5</v>
      </c>
      <c r="P1226">
        <v>0</v>
      </c>
      <c r="Q1226">
        <v>4</v>
      </c>
      <c r="R1226">
        <v>3</v>
      </c>
      <c r="S1226">
        <v>3</v>
      </c>
      <c r="T1226" t="s">
        <v>23</v>
      </c>
      <c r="U1226">
        <v>2</v>
      </c>
      <c r="W1226" t="s">
        <v>1651</v>
      </c>
      <c r="X1226" t="s">
        <v>1655</v>
      </c>
      <c r="Y1226" t="s">
        <v>1664</v>
      </c>
      <c r="Z1226">
        <v>0</v>
      </c>
    </row>
    <row r="1227" spans="1:26" x14ac:dyDescent="0.35">
      <c r="A1227" t="s">
        <v>1359</v>
      </c>
      <c r="B1227" s="6">
        <v>42606</v>
      </c>
      <c r="C1227" t="s">
        <v>23</v>
      </c>
      <c r="D1227">
        <v>30</v>
      </c>
      <c r="E1227" t="s">
        <v>36</v>
      </c>
      <c r="F1227" t="s">
        <v>37</v>
      </c>
      <c r="G1227" t="s">
        <v>32</v>
      </c>
      <c r="H1227" t="s">
        <v>48</v>
      </c>
      <c r="I1227" t="s">
        <v>129</v>
      </c>
      <c r="J1227" t="s">
        <v>1632</v>
      </c>
      <c r="K1227" t="s">
        <v>50</v>
      </c>
      <c r="L1227">
        <v>26000</v>
      </c>
      <c r="M1227">
        <v>4.9000000000000004</v>
      </c>
      <c r="N1227">
        <v>11</v>
      </c>
      <c r="O1227">
        <v>9.4</v>
      </c>
      <c r="P1227">
        <v>1.9</v>
      </c>
      <c r="Q1227">
        <v>3</v>
      </c>
      <c r="R1227">
        <v>3</v>
      </c>
      <c r="S1227">
        <v>3</v>
      </c>
      <c r="T1227" t="s">
        <v>30</v>
      </c>
      <c r="U1227">
        <v>3</v>
      </c>
      <c r="W1227" t="s">
        <v>1650</v>
      </c>
      <c r="X1227" t="s">
        <v>1655</v>
      </c>
      <c r="Y1227" t="s">
        <v>1662</v>
      </c>
      <c r="Z1227">
        <v>0</v>
      </c>
    </row>
    <row r="1228" spans="1:26" x14ac:dyDescent="0.35">
      <c r="A1228" t="s">
        <v>921</v>
      </c>
      <c r="B1228" s="6">
        <v>45236</v>
      </c>
      <c r="C1228" t="s">
        <v>23</v>
      </c>
      <c r="D1228">
        <v>38</v>
      </c>
      <c r="E1228" t="s">
        <v>62</v>
      </c>
      <c r="F1228" t="s">
        <v>37</v>
      </c>
      <c r="G1228" t="s">
        <v>54</v>
      </c>
      <c r="H1228" t="s">
        <v>68</v>
      </c>
      <c r="I1228" t="s">
        <v>109</v>
      </c>
      <c r="J1228" t="s">
        <v>1633</v>
      </c>
      <c r="K1228" t="s">
        <v>66</v>
      </c>
      <c r="L1228">
        <v>61000</v>
      </c>
      <c r="M1228">
        <v>7</v>
      </c>
      <c r="N1228">
        <v>2.9</v>
      </c>
      <c r="O1228">
        <v>2.2000000000000002</v>
      </c>
      <c r="P1228">
        <v>1.6</v>
      </c>
      <c r="Q1228">
        <v>3</v>
      </c>
      <c r="R1228">
        <v>2</v>
      </c>
      <c r="S1228">
        <v>3</v>
      </c>
      <c r="T1228" t="s">
        <v>30</v>
      </c>
      <c r="U1228">
        <v>5</v>
      </c>
      <c r="W1228" t="s">
        <v>1649</v>
      </c>
      <c r="X1228" t="s">
        <v>1659</v>
      </c>
      <c r="Y1228" t="s">
        <v>1665</v>
      </c>
      <c r="Z1228">
        <v>0</v>
      </c>
    </row>
    <row r="1229" spans="1:26" x14ac:dyDescent="0.35">
      <c r="A1229" t="s">
        <v>1449</v>
      </c>
      <c r="B1229" s="6">
        <v>43147</v>
      </c>
      <c r="C1229" t="s">
        <v>23</v>
      </c>
      <c r="D1229">
        <v>35</v>
      </c>
      <c r="E1229" t="s">
        <v>62</v>
      </c>
      <c r="F1229" t="s">
        <v>37</v>
      </c>
      <c r="G1229" t="s">
        <v>32</v>
      </c>
      <c r="H1229" t="s">
        <v>48</v>
      </c>
      <c r="I1229" t="s">
        <v>201</v>
      </c>
      <c r="J1229" t="s">
        <v>1635</v>
      </c>
      <c r="K1229" t="s">
        <v>34</v>
      </c>
      <c r="L1229">
        <v>73000</v>
      </c>
      <c r="M1229">
        <v>6.9</v>
      </c>
      <c r="N1229">
        <v>9.6</v>
      </c>
      <c r="O1229">
        <v>7.9</v>
      </c>
      <c r="P1229">
        <v>1</v>
      </c>
      <c r="Q1229">
        <v>3</v>
      </c>
      <c r="R1229">
        <v>3</v>
      </c>
      <c r="S1229">
        <v>3</v>
      </c>
      <c r="T1229" t="s">
        <v>23</v>
      </c>
      <c r="U1229">
        <v>2</v>
      </c>
      <c r="W1229" t="s">
        <v>1650</v>
      </c>
      <c r="X1229" t="s">
        <v>1659</v>
      </c>
      <c r="Y1229" t="s">
        <v>1662</v>
      </c>
      <c r="Z1229">
        <v>0</v>
      </c>
    </row>
    <row r="1230" spans="1:26" x14ac:dyDescent="0.35">
      <c r="A1230" t="s">
        <v>720</v>
      </c>
      <c r="B1230" s="6">
        <v>45792</v>
      </c>
      <c r="C1230" t="s">
        <v>23</v>
      </c>
      <c r="D1230">
        <v>39</v>
      </c>
      <c r="E1230" t="s">
        <v>24</v>
      </c>
      <c r="F1230" t="s">
        <v>25</v>
      </c>
      <c r="G1230" t="s">
        <v>58</v>
      </c>
      <c r="H1230" t="s">
        <v>45</v>
      </c>
      <c r="I1230" t="s">
        <v>46</v>
      </c>
      <c r="J1230" t="s">
        <v>1635</v>
      </c>
      <c r="K1230" t="s">
        <v>40</v>
      </c>
      <c r="L1230">
        <v>73000</v>
      </c>
      <c r="M1230">
        <v>3.9</v>
      </c>
      <c r="N1230">
        <v>4.9000000000000004</v>
      </c>
      <c r="O1230">
        <v>0.6</v>
      </c>
      <c r="P1230">
        <v>0</v>
      </c>
      <c r="Q1230">
        <v>3</v>
      </c>
      <c r="R1230">
        <v>3</v>
      </c>
      <c r="S1230">
        <v>3</v>
      </c>
      <c r="T1230" t="s">
        <v>23</v>
      </c>
      <c r="U1230">
        <v>4</v>
      </c>
      <c r="W1230" t="s">
        <v>1649</v>
      </c>
      <c r="X1230" t="s">
        <v>1659</v>
      </c>
      <c r="Y1230" t="s">
        <v>1664</v>
      </c>
      <c r="Z1230">
        <v>0</v>
      </c>
    </row>
    <row r="1231" spans="1:26" x14ac:dyDescent="0.35">
      <c r="A1231" t="s">
        <v>1348</v>
      </c>
      <c r="B1231" s="6">
        <v>44279</v>
      </c>
      <c r="C1231" t="s">
        <v>23</v>
      </c>
      <c r="D1231">
        <v>40</v>
      </c>
      <c r="E1231" t="s">
        <v>24</v>
      </c>
      <c r="F1231" t="s">
        <v>37</v>
      </c>
      <c r="G1231" t="s">
        <v>26</v>
      </c>
      <c r="H1231" t="s">
        <v>38</v>
      </c>
      <c r="I1231" t="s">
        <v>118</v>
      </c>
      <c r="J1231" t="s">
        <v>1635</v>
      </c>
      <c r="K1231" t="s">
        <v>84</v>
      </c>
      <c r="L1231">
        <v>83000</v>
      </c>
      <c r="M1231">
        <v>14.4</v>
      </c>
      <c r="N1231">
        <v>10.6</v>
      </c>
      <c r="O1231">
        <v>4.8</v>
      </c>
      <c r="P1231">
        <v>2.8</v>
      </c>
      <c r="Q1231">
        <v>1</v>
      </c>
      <c r="R1231">
        <v>3</v>
      </c>
      <c r="S1231">
        <v>2</v>
      </c>
      <c r="T1231" t="s">
        <v>23</v>
      </c>
      <c r="U1231">
        <v>2</v>
      </c>
      <c r="W1231" t="s">
        <v>1649</v>
      </c>
      <c r="X1231" t="s">
        <v>1657</v>
      </c>
      <c r="Y1231" t="s">
        <v>1661</v>
      </c>
      <c r="Z1231">
        <v>0</v>
      </c>
    </row>
    <row r="1232" spans="1:26" x14ac:dyDescent="0.35">
      <c r="A1232" t="s">
        <v>988</v>
      </c>
      <c r="B1232" s="6">
        <v>43835</v>
      </c>
      <c r="C1232" t="s">
        <v>23</v>
      </c>
      <c r="D1232">
        <v>45</v>
      </c>
      <c r="E1232" t="s">
        <v>36</v>
      </c>
      <c r="F1232" t="s">
        <v>25</v>
      </c>
      <c r="G1232" t="s">
        <v>54</v>
      </c>
      <c r="H1232" t="s">
        <v>1634</v>
      </c>
      <c r="I1232" t="s">
        <v>75</v>
      </c>
      <c r="J1232" t="s">
        <v>1635</v>
      </c>
      <c r="K1232" t="s">
        <v>34</v>
      </c>
      <c r="L1232">
        <v>78000</v>
      </c>
      <c r="M1232">
        <v>11.3</v>
      </c>
      <c r="N1232">
        <v>9.6</v>
      </c>
      <c r="O1232">
        <v>6</v>
      </c>
      <c r="P1232">
        <v>5.5</v>
      </c>
      <c r="Q1232">
        <v>4</v>
      </c>
      <c r="R1232">
        <v>3</v>
      </c>
      <c r="S1232">
        <v>3</v>
      </c>
      <c r="T1232" t="s">
        <v>23</v>
      </c>
      <c r="U1232">
        <v>1</v>
      </c>
      <c r="W1232" t="s">
        <v>1649</v>
      </c>
      <c r="X1232" t="s">
        <v>1659</v>
      </c>
      <c r="Y1232" t="s">
        <v>1661</v>
      </c>
      <c r="Z1232">
        <v>0</v>
      </c>
    </row>
    <row r="1233" spans="1:26" x14ac:dyDescent="0.35">
      <c r="A1233" t="s">
        <v>1427</v>
      </c>
      <c r="B1233" s="6">
        <v>42654</v>
      </c>
      <c r="C1233" t="s">
        <v>23</v>
      </c>
      <c r="D1233">
        <v>36</v>
      </c>
      <c r="E1233" t="s">
        <v>36</v>
      </c>
      <c r="F1233" t="s">
        <v>42</v>
      </c>
      <c r="G1233" t="s">
        <v>26</v>
      </c>
      <c r="H1233" t="s">
        <v>68</v>
      </c>
      <c r="I1233" t="s">
        <v>69</v>
      </c>
      <c r="J1233" t="s">
        <v>1635</v>
      </c>
      <c r="K1233" t="s">
        <v>84</v>
      </c>
      <c r="L1233">
        <v>72000</v>
      </c>
      <c r="M1233">
        <v>7.2</v>
      </c>
      <c r="N1233">
        <v>12.8</v>
      </c>
      <c r="O1233">
        <v>9.1999999999999993</v>
      </c>
      <c r="P1233">
        <v>1.9</v>
      </c>
      <c r="Q1233">
        <v>3</v>
      </c>
      <c r="R1233">
        <v>4</v>
      </c>
      <c r="S1233">
        <v>3</v>
      </c>
      <c r="T1233" t="s">
        <v>23</v>
      </c>
      <c r="U1233">
        <v>3</v>
      </c>
      <c r="W1233" t="s">
        <v>1649</v>
      </c>
      <c r="X1233" t="s">
        <v>1659</v>
      </c>
      <c r="Y1233" t="s">
        <v>1662</v>
      </c>
      <c r="Z1233">
        <v>0</v>
      </c>
    </row>
    <row r="1234" spans="1:26" x14ac:dyDescent="0.35">
      <c r="A1234" t="s">
        <v>1055</v>
      </c>
      <c r="B1234" s="6">
        <v>45868</v>
      </c>
      <c r="C1234" t="s">
        <v>23</v>
      </c>
      <c r="D1234">
        <v>24</v>
      </c>
      <c r="E1234" t="s">
        <v>62</v>
      </c>
      <c r="F1234" t="s">
        <v>37</v>
      </c>
      <c r="G1234" t="s">
        <v>54</v>
      </c>
      <c r="H1234" t="s">
        <v>1634</v>
      </c>
      <c r="I1234" t="s">
        <v>150</v>
      </c>
      <c r="J1234" t="s">
        <v>1632</v>
      </c>
      <c r="K1234" t="s">
        <v>34</v>
      </c>
      <c r="L1234">
        <v>32000</v>
      </c>
      <c r="M1234">
        <v>13.4</v>
      </c>
      <c r="N1234">
        <v>4.2</v>
      </c>
      <c r="O1234">
        <v>0.4</v>
      </c>
      <c r="P1234">
        <v>0</v>
      </c>
      <c r="Q1234">
        <v>3</v>
      </c>
      <c r="R1234">
        <v>3</v>
      </c>
      <c r="S1234">
        <v>4</v>
      </c>
      <c r="T1234" t="s">
        <v>23</v>
      </c>
      <c r="U1234">
        <v>4</v>
      </c>
      <c r="W1234" t="s">
        <v>1651</v>
      </c>
      <c r="X1234" t="s">
        <v>1655</v>
      </c>
      <c r="Y1234" t="s">
        <v>1664</v>
      </c>
      <c r="Z1234">
        <v>0</v>
      </c>
    </row>
    <row r="1235" spans="1:26" x14ac:dyDescent="0.35">
      <c r="A1235" t="s">
        <v>1278</v>
      </c>
      <c r="B1235" s="6">
        <v>43497</v>
      </c>
      <c r="C1235" t="s">
        <v>23</v>
      </c>
      <c r="D1235">
        <v>44</v>
      </c>
      <c r="E1235" t="s">
        <v>36</v>
      </c>
      <c r="F1235" t="s">
        <v>42</v>
      </c>
      <c r="G1235" t="s">
        <v>26</v>
      </c>
      <c r="H1235" t="s">
        <v>38</v>
      </c>
      <c r="I1235" t="s">
        <v>118</v>
      </c>
      <c r="J1235" t="s">
        <v>1636</v>
      </c>
      <c r="K1235" t="s">
        <v>40</v>
      </c>
      <c r="L1235">
        <v>134000</v>
      </c>
      <c r="M1235">
        <v>7.2</v>
      </c>
      <c r="N1235">
        <v>9.5</v>
      </c>
      <c r="O1235">
        <v>6.9</v>
      </c>
      <c r="P1235">
        <v>0.3</v>
      </c>
      <c r="Q1235">
        <v>3</v>
      </c>
      <c r="R1235">
        <v>3</v>
      </c>
      <c r="S1235">
        <v>3</v>
      </c>
      <c r="T1235" t="s">
        <v>23</v>
      </c>
      <c r="U1235">
        <v>1</v>
      </c>
      <c r="W1235" t="s">
        <v>1649</v>
      </c>
      <c r="X1235" t="s">
        <v>1658</v>
      </c>
      <c r="Y1235" t="s">
        <v>1662</v>
      </c>
      <c r="Z1235">
        <v>0</v>
      </c>
    </row>
    <row r="1236" spans="1:26" x14ac:dyDescent="0.35">
      <c r="A1236" t="s">
        <v>443</v>
      </c>
      <c r="B1236" s="6">
        <v>43031</v>
      </c>
      <c r="C1236" t="s">
        <v>30</v>
      </c>
      <c r="D1236">
        <v>33</v>
      </c>
      <c r="E1236" t="s">
        <v>36</v>
      </c>
      <c r="F1236" t="s">
        <v>25</v>
      </c>
      <c r="G1236" t="s">
        <v>54</v>
      </c>
      <c r="H1236" t="s">
        <v>27</v>
      </c>
      <c r="I1236" t="s">
        <v>95</v>
      </c>
      <c r="J1236" t="s">
        <v>1635</v>
      </c>
      <c r="K1236" t="s">
        <v>84</v>
      </c>
      <c r="L1236">
        <v>85000</v>
      </c>
      <c r="M1236">
        <v>12.9</v>
      </c>
      <c r="N1236">
        <v>12.5</v>
      </c>
      <c r="O1236">
        <v>7.6</v>
      </c>
      <c r="P1236">
        <v>5.5</v>
      </c>
      <c r="Q1236">
        <v>2</v>
      </c>
      <c r="R1236">
        <v>3</v>
      </c>
      <c r="S1236">
        <v>3</v>
      </c>
      <c r="T1236" t="s">
        <v>23</v>
      </c>
      <c r="U1236">
        <v>4</v>
      </c>
      <c r="V1236" s="7">
        <v>45818</v>
      </c>
      <c r="W1236" t="s">
        <v>1650</v>
      </c>
      <c r="X1236" t="s">
        <v>1657</v>
      </c>
      <c r="Y1236" t="s">
        <v>1662</v>
      </c>
      <c r="Z1236">
        <v>1</v>
      </c>
    </row>
    <row r="1237" spans="1:26" x14ac:dyDescent="0.35">
      <c r="A1237" t="s">
        <v>223</v>
      </c>
      <c r="B1237" s="6">
        <v>44853</v>
      </c>
      <c r="C1237" t="s">
        <v>23</v>
      </c>
      <c r="D1237">
        <v>37</v>
      </c>
      <c r="E1237" t="s">
        <v>36</v>
      </c>
      <c r="F1237" t="s">
        <v>25</v>
      </c>
      <c r="G1237" t="s">
        <v>26</v>
      </c>
      <c r="H1237" t="s">
        <v>68</v>
      </c>
      <c r="I1237" t="s">
        <v>121</v>
      </c>
      <c r="J1237" t="s">
        <v>1635</v>
      </c>
      <c r="K1237" t="s">
        <v>34</v>
      </c>
      <c r="L1237">
        <v>75000</v>
      </c>
      <c r="M1237">
        <v>9.3000000000000007</v>
      </c>
      <c r="N1237">
        <v>10.7</v>
      </c>
      <c r="O1237">
        <v>3.2</v>
      </c>
      <c r="P1237">
        <v>0.9</v>
      </c>
      <c r="Q1237">
        <v>4</v>
      </c>
      <c r="R1237">
        <v>2</v>
      </c>
      <c r="S1237">
        <v>3</v>
      </c>
      <c r="T1237" t="s">
        <v>23</v>
      </c>
      <c r="U1237">
        <v>4</v>
      </c>
      <c r="W1237" t="s">
        <v>1649</v>
      </c>
      <c r="X1237" t="s">
        <v>1659</v>
      </c>
      <c r="Y1237" t="s">
        <v>1661</v>
      </c>
      <c r="Z1237">
        <v>0</v>
      </c>
    </row>
    <row r="1238" spans="1:26" x14ac:dyDescent="0.35">
      <c r="A1238" t="s">
        <v>315</v>
      </c>
      <c r="B1238" s="6">
        <v>44877</v>
      </c>
      <c r="C1238" t="s">
        <v>23</v>
      </c>
      <c r="D1238">
        <v>45</v>
      </c>
      <c r="E1238" t="s">
        <v>62</v>
      </c>
      <c r="F1238" t="s">
        <v>25</v>
      </c>
      <c r="G1238" t="s">
        <v>32</v>
      </c>
      <c r="H1238" t="s">
        <v>27</v>
      </c>
      <c r="I1238" t="s">
        <v>95</v>
      </c>
      <c r="J1238" t="s">
        <v>1635</v>
      </c>
      <c r="K1238" t="s">
        <v>40</v>
      </c>
      <c r="L1238">
        <v>83000</v>
      </c>
      <c r="M1238">
        <v>6</v>
      </c>
      <c r="N1238">
        <v>6.7</v>
      </c>
      <c r="O1238">
        <v>3.1</v>
      </c>
      <c r="P1238">
        <v>0.7</v>
      </c>
      <c r="Q1238">
        <v>4</v>
      </c>
      <c r="R1238">
        <v>4</v>
      </c>
      <c r="S1238">
        <v>4</v>
      </c>
      <c r="T1238" t="s">
        <v>23</v>
      </c>
      <c r="U1238">
        <v>3</v>
      </c>
      <c r="W1238" t="s">
        <v>1649</v>
      </c>
      <c r="X1238" t="s">
        <v>1657</v>
      </c>
      <c r="Y1238" t="s">
        <v>1661</v>
      </c>
      <c r="Z1238">
        <v>0</v>
      </c>
    </row>
    <row r="1239" spans="1:26" x14ac:dyDescent="0.35">
      <c r="A1239" t="s">
        <v>839</v>
      </c>
      <c r="B1239" s="6">
        <v>44140</v>
      </c>
      <c r="C1239" t="s">
        <v>23</v>
      </c>
      <c r="D1239">
        <v>30</v>
      </c>
      <c r="E1239" t="s">
        <v>62</v>
      </c>
      <c r="F1239" t="s">
        <v>42</v>
      </c>
      <c r="G1239" t="s">
        <v>26</v>
      </c>
      <c r="H1239" t="s">
        <v>55</v>
      </c>
      <c r="I1239" t="s">
        <v>56</v>
      </c>
      <c r="J1239" t="s">
        <v>1635</v>
      </c>
      <c r="K1239" t="s">
        <v>40</v>
      </c>
      <c r="L1239">
        <v>94000</v>
      </c>
      <c r="M1239">
        <v>10</v>
      </c>
      <c r="N1239">
        <v>6.9</v>
      </c>
      <c r="O1239">
        <v>5.2</v>
      </c>
      <c r="P1239">
        <v>3</v>
      </c>
      <c r="Q1239">
        <v>3</v>
      </c>
      <c r="R1239">
        <v>4</v>
      </c>
      <c r="S1239">
        <v>3</v>
      </c>
      <c r="T1239" t="s">
        <v>30</v>
      </c>
      <c r="U1239">
        <v>5</v>
      </c>
      <c r="W1239" t="s">
        <v>1650</v>
      </c>
      <c r="X1239" t="s">
        <v>1657</v>
      </c>
      <c r="Y1239" t="s">
        <v>1661</v>
      </c>
      <c r="Z1239">
        <v>0</v>
      </c>
    </row>
    <row r="1240" spans="1:26" x14ac:dyDescent="0.35">
      <c r="A1240" t="s">
        <v>1207</v>
      </c>
      <c r="B1240" s="6">
        <v>41649</v>
      </c>
      <c r="C1240" t="s">
        <v>30</v>
      </c>
      <c r="D1240">
        <v>39</v>
      </c>
      <c r="E1240" t="s">
        <v>62</v>
      </c>
      <c r="F1240" t="s">
        <v>42</v>
      </c>
      <c r="G1240" t="s">
        <v>32</v>
      </c>
      <c r="H1240" t="s">
        <v>55</v>
      </c>
      <c r="I1240" t="s">
        <v>56</v>
      </c>
      <c r="J1240" t="s">
        <v>1637</v>
      </c>
      <c r="K1240" t="s">
        <v>84</v>
      </c>
      <c r="L1240">
        <v>188000</v>
      </c>
      <c r="M1240">
        <v>10.3</v>
      </c>
      <c r="N1240">
        <v>12.1</v>
      </c>
      <c r="O1240">
        <v>11.2</v>
      </c>
      <c r="P1240">
        <v>2.9</v>
      </c>
      <c r="Q1240">
        <v>3</v>
      </c>
      <c r="R1240">
        <v>1</v>
      </c>
      <c r="S1240">
        <v>3</v>
      </c>
      <c r="T1240" t="s">
        <v>23</v>
      </c>
      <c r="U1240">
        <v>5</v>
      </c>
      <c r="V1240" s="7">
        <v>45746</v>
      </c>
      <c r="W1240" t="s">
        <v>1649</v>
      </c>
      <c r="X1240" t="s">
        <v>1658</v>
      </c>
      <c r="Y1240" t="s">
        <v>1663</v>
      </c>
      <c r="Z1240">
        <v>1</v>
      </c>
    </row>
    <row r="1241" spans="1:26" x14ac:dyDescent="0.35">
      <c r="A1241" t="s">
        <v>1575</v>
      </c>
      <c r="B1241" s="6">
        <v>43893</v>
      </c>
      <c r="C1241" t="s">
        <v>23</v>
      </c>
      <c r="D1241">
        <v>32</v>
      </c>
      <c r="E1241" t="s">
        <v>24</v>
      </c>
      <c r="F1241" t="s">
        <v>37</v>
      </c>
      <c r="G1241" t="s">
        <v>32</v>
      </c>
      <c r="H1241" t="s">
        <v>45</v>
      </c>
      <c r="I1241" t="s">
        <v>46</v>
      </c>
      <c r="J1241" t="s">
        <v>1633</v>
      </c>
      <c r="K1241" t="s">
        <v>66</v>
      </c>
      <c r="L1241">
        <v>59000</v>
      </c>
      <c r="M1241">
        <v>8.8000000000000007</v>
      </c>
      <c r="N1241">
        <v>7.8</v>
      </c>
      <c r="O1241">
        <v>5.8</v>
      </c>
      <c r="P1241">
        <v>0.2</v>
      </c>
      <c r="Q1241">
        <v>4</v>
      </c>
      <c r="R1241">
        <v>3</v>
      </c>
      <c r="S1241">
        <v>3</v>
      </c>
      <c r="T1241" t="s">
        <v>23</v>
      </c>
      <c r="U1241">
        <v>3</v>
      </c>
      <c r="W1241" t="s">
        <v>1650</v>
      </c>
      <c r="X1241" t="s">
        <v>1656</v>
      </c>
      <c r="Y1241" t="s">
        <v>1661</v>
      </c>
      <c r="Z1241">
        <v>0</v>
      </c>
    </row>
    <row r="1242" spans="1:26" x14ac:dyDescent="0.35">
      <c r="A1242" t="s">
        <v>152</v>
      </c>
      <c r="B1242" s="6">
        <v>43031</v>
      </c>
      <c r="C1242" t="s">
        <v>30</v>
      </c>
      <c r="D1242">
        <v>31</v>
      </c>
      <c r="E1242" t="s">
        <v>36</v>
      </c>
      <c r="F1242" t="s">
        <v>25</v>
      </c>
      <c r="G1242" t="s">
        <v>58</v>
      </c>
      <c r="H1242" t="s">
        <v>38</v>
      </c>
      <c r="I1242" t="s">
        <v>118</v>
      </c>
      <c r="J1242" t="s">
        <v>1633</v>
      </c>
      <c r="K1242" t="s">
        <v>29</v>
      </c>
      <c r="L1242">
        <v>50000</v>
      </c>
      <c r="M1242">
        <v>8.5</v>
      </c>
      <c r="N1242">
        <v>10.5</v>
      </c>
      <c r="O1242">
        <v>7.8</v>
      </c>
      <c r="P1242">
        <v>2.4</v>
      </c>
      <c r="Q1242">
        <v>2</v>
      </c>
      <c r="R1242">
        <v>3</v>
      </c>
      <c r="S1242">
        <v>3</v>
      </c>
      <c r="T1242" t="s">
        <v>23</v>
      </c>
      <c r="U1242">
        <v>3</v>
      </c>
      <c r="V1242" s="7">
        <v>45894</v>
      </c>
      <c r="W1242" t="s">
        <v>1650</v>
      </c>
      <c r="X1242" t="s">
        <v>1656</v>
      </c>
      <c r="Y1242" t="s">
        <v>1662</v>
      </c>
      <c r="Z1242">
        <v>1</v>
      </c>
    </row>
    <row r="1243" spans="1:26" x14ac:dyDescent="0.35">
      <c r="A1243" t="s">
        <v>847</v>
      </c>
      <c r="B1243" s="6">
        <v>44351</v>
      </c>
      <c r="C1243" t="s">
        <v>23</v>
      </c>
      <c r="D1243">
        <v>28</v>
      </c>
      <c r="E1243" t="s">
        <v>36</v>
      </c>
      <c r="F1243" t="s">
        <v>25</v>
      </c>
      <c r="G1243" t="s">
        <v>58</v>
      </c>
      <c r="H1243" t="s">
        <v>45</v>
      </c>
      <c r="I1243" t="s">
        <v>46</v>
      </c>
      <c r="J1243" t="s">
        <v>1637</v>
      </c>
      <c r="K1243" t="s">
        <v>34</v>
      </c>
      <c r="L1243">
        <v>142000</v>
      </c>
      <c r="M1243">
        <v>5.2</v>
      </c>
      <c r="N1243">
        <v>9.5</v>
      </c>
      <c r="O1243">
        <v>4.5999999999999996</v>
      </c>
      <c r="P1243">
        <v>4.3</v>
      </c>
      <c r="Q1243">
        <v>4</v>
      </c>
      <c r="R1243">
        <v>3</v>
      </c>
      <c r="S1243">
        <v>3</v>
      </c>
      <c r="T1243" t="s">
        <v>23</v>
      </c>
      <c r="U1243">
        <v>3</v>
      </c>
      <c r="W1243" t="s">
        <v>1650</v>
      </c>
      <c r="X1243" t="s">
        <v>1658</v>
      </c>
      <c r="Y1243" t="s">
        <v>1661</v>
      </c>
      <c r="Z1243">
        <v>0</v>
      </c>
    </row>
    <row r="1244" spans="1:26" x14ac:dyDescent="0.35">
      <c r="A1244" t="s">
        <v>1456</v>
      </c>
      <c r="B1244" s="6">
        <v>45042</v>
      </c>
      <c r="C1244" t="s">
        <v>23</v>
      </c>
      <c r="D1244">
        <v>31</v>
      </c>
      <c r="E1244" t="s">
        <v>24</v>
      </c>
      <c r="F1244" t="s">
        <v>37</v>
      </c>
      <c r="G1244" t="s">
        <v>32</v>
      </c>
      <c r="H1244" t="s">
        <v>48</v>
      </c>
      <c r="I1244" t="s">
        <v>49</v>
      </c>
      <c r="J1244" t="s">
        <v>1632</v>
      </c>
      <c r="K1244" t="s">
        <v>40</v>
      </c>
      <c r="L1244">
        <v>48000</v>
      </c>
      <c r="M1244">
        <v>15.1</v>
      </c>
      <c r="N1244">
        <v>5.0999999999999996</v>
      </c>
      <c r="O1244">
        <v>2.7</v>
      </c>
      <c r="P1244">
        <v>0.5</v>
      </c>
      <c r="Q1244">
        <v>3</v>
      </c>
      <c r="R1244">
        <v>4</v>
      </c>
      <c r="S1244">
        <v>2</v>
      </c>
      <c r="T1244" t="s">
        <v>23</v>
      </c>
      <c r="U1244">
        <v>4</v>
      </c>
      <c r="W1244" t="s">
        <v>1650</v>
      </c>
      <c r="X1244" t="s">
        <v>1656</v>
      </c>
      <c r="Y1244" t="s">
        <v>1665</v>
      </c>
      <c r="Z1244">
        <v>0</v>
      </c>
    </row>
    <row r="1245" spans="1:26" x14ac:dyDescent="0.35">
      <c r="A1245" t="s">
        <v>477</v>
      </c>
      <c r="B1245" s="6">
        <v>45303</v>
      </c>
      <c r="C1245" t="s">
        <v>30</v>
      </c>
      <c r="D1245">
        <v>26</v>
      </c>
      <c r="E1245" t="s">
        <v>62</v>
      </c>
      <c r="F1245" t="s">
        <v>42</v>
      </c>
      <c r="G1245" t="s">
        <v>26</v>
      </c>
      <c r="H1245" t="s">
        <v>68</v>
      </c>
      <c r="I1245" t="s">
        <v>121</v>
      </c>
      <c r="J1245" t="s">
        <v>1632</v>
      </c>
      <c r="K1245" t="s">
        <v>50</v>
      </c>
      <c r="L1245">
        <v>22000</v>
      </c>
      <c r="M1245">
        <v>3.1</v>
      </c>
      <c r="N1245">
        <v>3.2</v>
      </c>
      <c r="O1245">
        <v>1.4</v>
      </c>
      <c r="P1245">
        <v>0.6</v>
      </c>
      <c r="Q1245">
        <v>2</v>
      </c>
      <c r="R1245">
        <v>3</v>
      </c>
      <c r="S1245">
        <v>3</v>
      </c>
      <c r="T1245" t="s">
        <v>30</v>
      </c>
      <c r="U1245">
        <v>4</v>
      </c>
      <c r="V1245" s="7">
        <v>45812</v>
      </c>
      <c r="W1245" t="s">
        <v>1650</v>
      </c>
      <c r="X1245" t="s">
        <v>1655</v>
      </c>
      <c r="Y1245" t="s">
        <v>1665</v>
      </c>
      <c r="Z1245">
        <v>1</v>
      </c>
    </row>
    <row r="1246" spans="1:26" x14ac:dyDescent="0.35">
      <c r="A1246" t="s">
        <v>466</v>
      </c>
      <c r="B1246" s="6">
        <v>42079</v>
      </c>
      <c r="C1246" t="s">
        <v>23</v>
      </c>
      <c r="D1246">
        <v>43</v>
      </c>
      <c r="E1246" t="s">
        <v>36</v>
      </c>
      <c r="F1246" t="s">
        <v>42</v>
      </c>
      <c r="G1246" t="s">
        <v>58</v>
      </c>
      <c r="H1246" t="s">
        <v>27</v>
      </c>
      <c r="I1246" t="s">
        <v>28</v>
      </c>
      <c r="J1246" t="s">
        <v>1635</v>
      </c>
      <c r="K1246" t="s">
        <v>50</v>
      </c>
      <c r="L1246">
        <v>75000</v>
      </c>
      <c r="M1246">
        <v>10.6</v>
      </c>
      <c r="N1246">
        <v>18.5</v>
      </c>
      <c r="O1246">
        <v>10.8</v>
      </c>
      <c r="P1246">
        <v>0.9</v>
      </c>
      <c r="Q1246">
        <v>3</v>
      </c>
      <c r="R1246">
        <v>4</v>
      </c>
      <c r="S1246">
        <v>2</v>
      </c>
      <c r="T1246" t="s">
        <v>23</v>
      </c>
      <c r="U1246">
        <v>4</v>
      </c>
      <c r="W1246" t="s">
        <v>1649</v>
      </c>
      <c r="X1246" t="s">
        <v>1659</v>
      </c>
      <c r="Y1246" t="s">
        <v>1663</v>
      </c>
      <c r="Z1246">
        <v>0</v>
      </c>
    </row>
    <row r="1247" spans="1:26" x14ac:dyDescent="0.35">
      <c r="A1247" t="s">
        <v>1579</v>
      </c>
      <c r="B1247" s="6">
        <v>45590</v>
      </c>
      <c r="C1247" t="s">
        <v>23</v>
      </c>
      <c r="D1247">
        <v>25</v>
      </c>
      <c r="E1247" t="s">
        <v>24</v>
      </c>
      <c r="F1247" t="s">
        <v>25</v>
      </c>
      <c r="G1247" t="s">
        <v>58</v>
      </c>
      <c r="H1247" t="s">
        <v>48</v>
      </c>
      <c r="I1247" t="s">
        <v>129</v>
      </c>
      <c r="J1247" t="s">
        <v>1632</v>
      </c>
      <c r="K1247" t="s">
        <v>34</v>
      </c>
      <c r="L1247">
        <v>43000</v>
      </c>
      <c r="M1247">
        <v>10.1</v>
      </c>
      <c r="N1247">
        <v>2.4</v>
      </c>
      <c r="O1247">
        <v>1.2</v>
      </c>
      <c r="P1247">
        <v>0.6</v>
      </c>
      <c r="Q1247">
        <v>2</v>
      </c>
      <c r="R1247">
        <v>4</v>
      </c>
      <c r="S1247">
        <v>3</v>
      </c>
      <c r="T1247" t="s">
        <v>30</v>
      </c>
      <c r="U1247">
        <v>1</v>
      </c>
      <c r="W1247" t="s">
        <v>1651</v>
      </c>
      <c r="X1247" t="s">
        <v>1656</v>
      </c>
      <c r="Y1247" t="s">
        <v>1665</v>
      </c>
      <c r="Z1247">
        <v>0</v>
      </c>
    </row>
    <row r="1248" spans="1:26" x14ac:dyDescent="0.35">
      <c r="A1248" t="s">
        <v>645</v>
      </c>
      <c r="B1248" s="6">
        <v>42701</v>
      </c>
      <c r="C1248" t="s">
        <v>23</v>
      </c>
      <c r="D1248">
        <v>37</v>
      </c>
      <c r="E1248" t="s">
        <v>24</v>
      </c>
      <c r="F1248" t="s">
        <v>37</v>
      </c>
      <c r="G1248" t="s">
        <v>32</v>
      </c>
      <c r="H1248" t="s">
        <v>48</v>
      </c>
      <c r="I1248" t="s">
        <v>129</v>
      </c>
      <c r="J1248" t="s">
        <v>1633</v>
      </c>
      <c r="K1248" t="s">
        <v>84</v>
      </c>
      <c r="L1248">
        <v>70000</v>
      </c>
      <c r="M1248">
        <v>8.1</v>
      </c>
      <c r="N1248">
        <v>10.7</v>
      </c>
      <c r="O1248">
        <v>9.1</v>
      </c>
      <c r="P1248">
        <v>0.8</v>
      </c>
      <c r="Q1248">
        <v>4</v>
      </c>
      <c r="R1248">
        <v>4</v>
      </c>
      <c r="S1248">
        <v>3</v>
      </c>
      <c r="T1248" t="s">
        <v>23</v>
      </c>
      <c r="U1248">
        <v>3</v>
      </c>
      <c r="W1248" t="s">
        <v>1649</v>
      </c>
      <c r="X1248" t="s">
        <v>1659</v>
      </c>
      <c r="Y1248" t="s">
        <v>1662</v>
      </c>
      <c r="Z1248">
        <v>0</v>
      </c>
    </row>
    <row r="1249" spans="1:26" x14ac:dyDescent="0.35">
      <c r="A1249" t="s">
        <v>1451</v>
      </c>
      <c r="B1249" s="6">
        <v>42162</v>
      </c>
      <c r="C1249" t="s">
        <v>23</v>
      </c>
      <c r="D1249">
        <v>34</v>
      </c>
      <c r="E1249" t="s">
        <v>36</v>
      </c>
      <c r="F1249" t="s">
        <v>42</v>
      </c>
      <c r="G1249" t="s">
        <v>26</v>
      </c>
      <c r="H1249" t="s">
        <v>48</v>
      </c>
      <c r="I1249" t="s">
        <v>63</v>
      </c>
      <c r="J1249" t="s">
        <v>1633</v>
      </c>
      <c r="K1249" t="s">
        <v>34</v>
      </c>
      <c r="L1249">
        <v>77000</v>
      </c>
      <c r="M1249">
        <v>0.6</v>
      </c>
      <c r="N1249">
        <v>14.3</v>
      </c>
      <c r="O1249">
        <v>10.6</v>
      </c>
      <c r="P1249">
        <v>0.4</v>
      </c>
      <c r="Q1249">
        <v>2</v>
      </c>
      <c r="R1249">
        <v>3</v>
      </c>
      <c r="S1249">
        <v>3</v>
      </c>
      <c r="T1249" t="s">
        <v>30</v>
      </c>
      <c r="U1249">
        <v>3</v>
      </c>
      <c r="W1249" t="s">
        <v>1650</v>
      </c>
      <c r="X1249" t="s">
        <v>1659</v>
      </c>
      <c r="Y1249" t="s">
        <v>1663</v>
      </c>
      <c r="Z1249">
        <v>0</v>
      </c>
    </row>
    <row r="1250" spans="1:26" x14ac:dyDescent="0.35">
      <c r="A1250" t="s">
        <v>974</v>
      </c>
      <c r="B1250" s="6">
        <v>43869</v>
      </c>
      <c r="C1250" t="s">
        <v>23</v>
      </c>
      <c r="D1250">
        <v>32</v>
      </c>
      <c r="E1250" t="s">
        <v>24</v>
      </c>
      <c r="F1250" t="s">
        <v>37</v>
      </c>
      <c r="G1250" t="s">
        <v>58</v>
      </c>
      <c r="H1250" t="s">
        <v>1634</v>
      </c>
      <c r="I1250" t="s">
        <v>60</v>
      </c>
      <c r="J1250" t="s">
        <v>1633</v>
      </c>
      <c r="K1250" t="s">
        <v>34</v>
      </c>
      <c r="L1250">
        <v>57000</v>
      </c>
      <c r="M1250">
        <v>6.4</v>
      </c>
      <c r="N1250">
        <v>13.1</v>
      </c>
      <c r="O1250">
        <v>5.9</v>
      </c>
      <c r="P1250">
        <v>0.3</v>
      </c>
      <c r="Q1250">
        <v>4</v>
      </c>
      <c r="R1250">
        <v>3</v>
      </c>
      <c r="S1250">
        <v>3</v>
      </c>
      <c r="T1250" t="s">
        <v>23</v>
      </c>
      <c r="U1250">
        <v>2</v>
      </c>
      <c r="W1250" t="s">
        <v>1650</v>
      </c>
      <c r="X1250" t="s">
        <v>1656</v>
      </c>
      <c r="Y1250" t="s">
        <v>1661</v>
      </c>
      <c r="Z1250">
        <v>0</v>
      </c>
    </row>
    <row r="1251" spans="1:26" x14ac:dyDescent="0.35">
      <c r="A1251" t="s">
        <v>1164</v>
      </c>
      <c r="B1251" s="6">
        <v>44755</v>
      </c>
      <c r="C1251" t="s">
        <v>30</v>
      </c>
      <c r="D1251">
        <v>38</v>
      </c>
      <c r="E1251" t="s">
        <v>24</v>
      </c>
      <c r="F1251" t="s">
        <v>37</v>
      </c>
      <c r="G1251" t="s">
        <v>54</v>
      </c>
      <c r="H1251" t="s">
        <v>55</v>
      </c>
      <c r="I1251" t="s">
        <v>179</v>
      </c>
      <c r="J1251" t="s">
        <v>1632</v>
      </c>
      <c r="K1251" t="s">
        <v>29</v>
      </c>
      <c r="L1251">
        <v>67000</v>
      </c>
      <c r="M1251">
        <v>12.2</v>
      </c>
      <c r="N1251">
        <v>5.6</v>
      </c>
      <c r="O1251">
        <v>3.2</v>
      </c>
      <c r="P1251">
        <v>0.2</v>
      </c>
      <c r="Q1251">
        <v>4</v>
      </c>
      <c r="R1251">
        <v>4</v>
      </c>
      <c r="S1251">
        <v>3</v>
      </c>
      <c r="T1251" t="s">
        <v>23</v>
      </c>
      <c r="U1251">
        <v>4</v>
      </c>
      <c r="V1251" s="7">
        <v>45934</v>
      </c>
      <c r="W1251" t="s">
        <v>1649</v>
      </c>
      <c r="X1251" t="s">
        <v>1659</v>
      </c>
      <c r="Y1251" t="s">
        <v>1661</v>
      </c>
      <c r="Z1251">
        <v>1</v>
      </c>
    </row>
    <row r="1252" spans="1:26" x14ac:dyDescent="0.35">
      <c r="A1252" t="s">
        <v>1308</v>
      </c>
      <c r="B1252" s="6">
        <v>45444</v>
      </c>
      <c r="C1252" t="s">
        <v>23</v>
      </c>
      <c r="D1252">
        <v>30</v>
      </c>
      <c r="E1252" t="s">
        <v>62</v>
      </c>
      <c r="F1252" t="s">
        <v>37</v>
      </c>
      <c r="G1252" t="s">
        <v>54</v>
      </c>
      <c r="H1252" t="s">
        <v>55</v>
      </c>
      <c r="I1252" t="s">
        <v>179</v>
      </c>
      <c r="J1252" t="s">
        <v>1635</v>
      </c>
      <c r="K1252" t="s">
        <v>29</v>
      </c>
      <c r="L1252">
        <v>86000</v>
      </c>
      <c r="M1252">
        <v>1.8</v>
      </c>
      <c r="N1252">
        <v>8.6</v>
      </c>
      <c r="O1252">
        <v>1.6</v>
      </c>
      <c r="P1252">
        <v>0.7</v>
      </c>
      <c r="Q1252">
        <v>3</v>
      </c>
      <c r="R1252">
        <v>4</v>
      </c>
      <c r="S1252">
        <v>3</v>
      </c>
      <c r="T1252" t="s">
        <v>30</v>
      </c>
      <c r="U1252">
        <v>4</v>
      </c>
      <c r="W1252" t="s">
        <v>1650</v>
      </c>
      <c r="X1252" t="s">
        <v>1657</v>
      </c>
      <c r="Y1252" t="s">
        <v>1665</v>
      </c>
      <c r="Z1252">
        <v>0</v>
      </c>
    </row>
    <row r="1253" spans="1:26" x14ac:dyDescent="0.35">
      <c r="A1253" t="s">
        <v>932</v>
      </c>
      <c r="B1253" s="6">
        <v>44800</v>
      </c>
      <c r="C1253" t="s">
        <v>23</v>
      </c>
      <c r="D1253">
        <v>38</v>
      </c>
      <c r="E1253" t="s">
        <v>62</v>
      </c>
      <c r="F1253" t="s">
        <v>42</v>
      </c>
      <c r="G1253" t="s">
        <v>32</v>
      </c>
      <c r="H1253" t="s">
        <v>45</v>
      </c>
      <c r="I1253" t="s">
        <v>46</v>
      </c>
      <c r="J1253" t="s">
        <v>1633</v>
      </c>
      <c r="K1253" t="s">
        <v>29</v>
      </c>
      <c r="L1253">
        <v>38000</v>
      </c>
      <c r="M1253">
        <v>13.2</v>
      </c>
      <c r="N1253">
        <v>10.199999999999999</v>
      </c>
      <c r="O1253">
        <v>3.3</v>
      </c>
      <c r="P1253">
        <v>3.1</v>
      </c>
      <c r="Q1253">
        <v>4</v>
      </c>
      <c r="R1253">
        <v>1</v>
      </c>
      <c r="S1253">
        <v>3</v>
      </c>
      <c r="T1253" t="s">
        <v>30</v>
      </c>
      <c r="U1253">
        <v>4</v>
      </c>
      <c r="W1253" t="s">
        <v>1649</v>
      </c>
      <c r="X1253" t="s">
        <v>1655</v>
      </c>
      <c r="Y1253" t="s">
        <v>1661</v>
      </c>
      <c r="Z1253">
        <v>0</v>
      </c>
    </row>
    <row r="1254" spans="1:26" x14ac:dyDescent="0.35">
      <c r="A1254" t="s">
        <v>644</v>
      </c>
      <c r="B1254" s="6">
        <v>43460</v>
      </c>
      <c r="C1254" t="s">
        <v>23</v>
      </c>
      <c r="D1254">
        <v>28</v>
      </c>
      <c r="E1254" t="s">
        <v>36</v>
      </c>
      <c r="F1254" t="s">
        <v>25</v>
      </c>
      <c r="G1254" t="s">
        <v>58</v>
      </c>
      <c r="H1254" t="s">
        <v>48</v>
      </c>
      <c r="I1254" t="s">
        <v>49</v>
      </c>
      <c r="J1254" t="s">
        <v>1633</v>
      </c>
      <c r="K1254" t="s">
        <v>66</v>
      </c>
      <c r="L1254">
        <v>54000</v>
      </c>
      <c r="M1254">
        <v>15.4</v>
      </c>
      <c r="N1254">
        <v>13.4</v>
      </c>
      <c r="O1254">
        <v>7</v>
      </c>
      <c r="P1254">
        <v>3.5</v>
      </c>
      <c r="Q1254">
        <v>2</v>
      </c>
      <c r="R1254">
        <v>3</v>
      </c>
      <c r="S1254">
        <v>3</v>
      </c>
      <c r="T1254" t="s">
        <v>30</v>
      </c>
      <c r="U1254">
        <v>4</v>
      </c>
      <c r="W1254" t="s">
        <v>1650</v>
      </c>
      <c r="X1254" t="s">
        <v>1656</v>
      </c>
      <c r="Y1254" t="s">
        <v>1662</v>
      </c>
      <c r="Z1254">
        <v>0</v>
      </c>
    </row>
    <row r="1255" spans="1:26" x14ac:dyDescent="0.35">
      <c r="A1255" t="s">
        <v>578</v>
      </c>
      <c r="B1255" s="6">
        <v>43838</v>
      </c>
      <c r="C1255" t="s">
        <v>23</v>
      </c>
      <c r="D1255">
        <v>33</v>
      </c>
      <c r="E1255" t="s">
        <v>62</v>
      </c>
      <c r="F1255" t="s">
        <v>42</v>
      </c>
      <c r="G1255" t="s">
        <v>26</v>
      </c>
      <c r="H1255" t="s">
        <v>45</v>
      </c>
      <c r="I1255" t="s">
        <v>97</v>
      </c>
      <c r="J1255" t="s">
        <v>1636</v>
      </c>
      <c r="K1255" t="s">
        <v>40</v>
      </c>
      <c r="L1255">
        <v>101000</v>
      </c>
      <c r="M1255">
        <v>9.3000000000000007</v>
      </c>
      <c r="N1255">
        <v>6.6</v>
      </c>
      <c r="O1255">
        <v>6</v>
      </c>
      <c r="P1255">
        <v>1.1000000000000001</v>
      </c>
      <c r="Q1255">
        <v>3</v>
      </c>
      <c r="R1255">
        <v>2</v>
      </c>
      <c r="S1255">
        <v>2</v>
      </c>
      <c r="T1255" t="s">
        <v>23</v>
      </c>
      <c r="U1255">
        <v>1</v>
      </c>
      <c r="W1255" t="s">
        <v>1650</v>
      </c>
      <c r="X1255" t="s">
        <v>1658</v>
      </c>
      <c r="Y1255" t="s">
        <v>1661</v>
      </c>
      <c r="Z1255">
        <v>0</v>
      </c>
    </row>
    <row r="1256" spans="1:26" x14ac:dyDescent="0.35">
      <c r="A1256" t="s">
        <v>542</v>
      </c>
      <c r="B1256" s="6">
        <v>45662</v>
      </c>
      <c r="C1256" t="s">
        <v>23</v>
      </c>
      <c r="D1256">
        <v>21</v>
      </c>
      <c r="E1256" t="s">
        <v>36</v>
      </c>
      <c r="F1256" t="s">
        <v>42</v>
      </c>
      <c r="G1256" t="s">
        <v>26</v>
      </c>
      <c r="H1256" t="s">
        <v>45</v>
      </c>
      <c r="I1256" t="s">
        <v>77</v>
      </c>
      <c r="J1256" t="s">
        <v>1632</v>
      </c>
      <c r="K1256" t="s">
        <v>29</v>
      </c>
      <c r="L1256">
        <v>50000</v>
      </c>
      <c r="M1256">
        <v>9.6</v>
      </c>
      <c r="N1256">
        <v>1.4</v>
      </c>
      <c r="O1256">
        <v>1</v>
      </c>
      <c r="P1256">
        <v>0.9</v>
      </c>
      <c r="Q1256">
        <v>4</v>
      </c>
      <c r="R1256">
        <v>4</v>
      </c>
      <c r="S1256">
        <v>2</v>
      </c>
      <c r="T1256" t="s">
        <v>23</v>
      </c>
      <c r="U1256">
        <v>4</v>
      </c>
      <c r="W1256" t="s">
        <v>1651</v>
      </c>
      <c r="X1256" t="s">
        <v>1656</v>
      </c>
      <c r="Y1256" t="s">
        <v>1665</v>
      </c>
      <c r="Z1256">
        <v>0</v>
      </c>
    </row>
    <row r="1257" spans="1:26" x14ac:dyDescent="0.35">
      <c r="A1257" t="s">
        <v>994</v>
      </c>
      <c r="B1257" s="6">
        <v>43401</v>
      </c>
      <c r="C1257" t="s">
        <v>23</v>
      </c>
      <c r="D1257">
        <v>33</v>
      </c>
      <c r="E1257" t="s">
        <v>24</v>
      </c>
      <c r="F1257" t="s">
        <v>37</v>
      </c>
      <c r="G1257" t="s">
        <v>54</v>
      </c>
      <c r="H1257" t="s">
        <v>55</v>
      </c>
      <c r="I1257" t="s">
        <v>179</v>
      </c>
      <c r="J1257" t="s">
        <v>1633</v>
      </c>
      <c r="K1257" t="s">
        <v>34</v>
      </c>
      <c r="L1257">
        <v>55000</v>
      </c>
      <c r="M1257">
        <v>8.3000000000000007</v>
      </c>
      <c r="N1257">
        <v>12</v>
      </c>
      <c r="O1257">
        <v>7.2</v>
      </c>
      <c r="P1257">
        <v>4.4000000000000004</v>
      </c>
      <c r="Q1257">
        <v>3</v>
      </c>
      <c r="R1257">
        <v>4</v>
      </c>
      <c r="S1257">
        <v>2</v>
      </c>
      <c r="T1257" t="s">
        <v>23</v>
      </c>
      <c r="U1257">
        <v>2</v>
      </c>
      <c r="W1257" t="s">
        <v>1650</v>
      </c>
      <c r="X1257" t="s">
        <v>1656</v>
      </c>
      <c r="Y1257" t="s">
        <v>1662</v>
      </c>
      <c r="Z1257">
        <v>0</v>
      </c>
    </row>
    <row r="1258" spans="1:26" x14ac:dyDescent="0.35">
      <c r="A1258" t="s">
        <v>151</v>
      </c>
      <c r="B1258" s="6">
        <v>43530</v>
      </c>
      <c r="C1258" t="s">
        <v>23</v>
      </c>
      <c r="D1258">
        <v>49</v>
      </c>
      <c r="E1258" t="s">
        <v>36</v>
      </c>
      <c r="F1258" t="s">
        <v>25</v>
      </c>
      <c r="G1258" t="s">
        <v>54</v>
      </c>
      <c r="H1258" t="s">
        <v>45</v>
      </c>
      <c r="I1258" t="s">
        <v>77</v>
      </c>
      <c r="J1258" t="s">
        <v>1633</v>
      </c>
      <c r="K1258" t="s">
        <v>40</v>
      </c>
      <c r="L1258">
        <v>38000</v>
      </c>
      <c r="M1258">
        <v>4.9000000000000004</v>
      </c>
      <c r="N1258">
        <v>8</v>
      </c>
      <c r="O1258">
        <v>6.8</v>
      </c>
      <c r="P1258">
        <v>0.7</v>
      </c>
      <c r="Q1258">
        <v>1</v>
      </c>
      <c r="R1258">
        <v>2</v>
      </c>
      <c r="S1258">
        <v>3</v>
      </c>
      <c r="T1258" t="s">
        <v>30</v>
      </c>
      <c r="U1258">
        <v>4</v>
      </c>
      <c r="W1258" t="s">
        <v>1652</v>
      </c>
      <c r="X1258" t="s">
        <v>1655</v>
      </c>
      <c r="Y1258" t="s">
        <v>1662</v>
      </c>
      <c r="Z1258">
        <v>0</v>
      </c>
    </row>
    <row r="1259" spans="1:26" x14ac:dyDescent="0.35">
      <c r="A1259" t="s">
        <v>284</v>
      </c>
      <c r="B1259" s="6">
        <v>42424</v>
      </c>
      <c r="C1259" t="s">
        <v>23</v>
      </c>
      <c r="D1259">
        <v>42</v>
      </c>
      <c r="E1259" t="s">
        <v>62</v>
      </c>
      <c r="F1259" t="s">
        <v>25</v>
      </c>
      <c r="G1259" t="s">
        <v>58</v>
      </c>
      <c r="H1259" t="s">
        <v>55</v>
      </c>
      <c r="I1259" t="s">
        <v>56</v>
      </c>
      <c r="J1259" t="s">
        <v>1635</v>
      </c>
      <c r="K1259" t="s">
        <v>50</v>
      </c>
      <c r="L1259">
        <v>90000</v>
      </c>
      <c r="M1259">
        <v>4.0999999999999996</v>
      </c>
      <c r="N1259">
        <v>16.899999999999999</v>
      </c>
      <c r="O1259">
        <v>9.9</v>
      </c>
      <c r="P1259">
        <v>5</v>
      </c>
      <c r="Q1259">
        <v>3</v>
      </c>
      <c r="R1259">
        <v>3</v>
      </c>
      <c r="S1259">
        <v>4</v>
      </c>
      <c r="T1259" t="s">
        <v>30</v>
      </c>
      <c r="U1259">
        <v>3</v>
      </c>
      <c r="W1259" t="s">
        <v>1649</v>
      </c>
      <c r="X1259" t="s">
        <v>1657</v>
      </c>
      <c r="Y1259" t="s">
        <v>1662</v>
      </c>
      <c r="Z1259">
        <v>0</v>
      </c>
    </row>
    <row r="1260" spans="1:26" x14ac:dyDescent="0.35">
      <c r="A1260" t="s">
        <v>770</v>
      </c>
      <c r="B1260" s="6">
        <v>45203</v>
      </c>
      <c r="C1260" t="s">
        <v>23</v>
      </c>
      <c r="D1260">
        <v>38</v>
      </c>
      <c r="E1260" t="s">
        <v>62</v>
      </c>
      <c r="F1260" t="s">
        <v>42</v>
      </c>
      <c r="G1260" t="s">
        <v>54</v>
      </c>
      <c r="H1260" t="s">
        <v>68</v>
      </c>
      <c r="I1260" t="s">
        <v>121</v>
      </c>
      <c r="J1260" t="s">
        <v>1632</v>
      </c>
      <c r="K1260" t="s">
        <v>84</v>
      </c>
      <c r="L1260">
        <v>38000</v>
      </c>
      <c r="M1260">
        <v>11.9</v>
      </c>
      <c r="N1260">
        <v>6.3</v>
      </c>
      <c r="O1260">
        <v>2.2000000000000002</v>
      </c>
      <c r="P1260">
        <v>0.8</v>
      </c>
      <c r="Q1260">
        <v>3</v>
      </c>
      <c r="R1260">
        <v>3</v>
      </c>
      <c r="S1260">
        <v>4</v>
      </c>
      <c r="T1260" t="s">
        <v>23</v>
      </c>
      <c r="U1260">
        <v>3</v>
      </c>
      <c r="W1260" t="s">
        <v>1649</v>
      </c>
      <c r="X1260" t="s">
        <v>1655</v>
      </c>
      <c r="Y1260" t="s">
        <v>1665</v>
      </c>
      <c r="Z1260">
        <v>0</v>
      </c>
    </row>
    <row r="1261" spans="1:26" x14ac:dyDescent="0.35">
      <c r="A1261" t="s">
        <v>1310</v>
      </c>
      <c r="B1261" s="6">
        <v>43201</v>
      </c>
      <c r="C1261" t="s">
        <v>23</v>
      </c>
      <c r="D1261">
        <v>48</v>
      </c>
      <c r="E1261" t="s">
        <v>24</v>
      </c>
      <c r="F1261" t="s">
        <v>37</v>
      </c>
      <c r="G1261" t="s">
        <v>58</v>
      </c>
      <c r="H1261" t="s">
        <v>27</v>
      </c>
      <c r="I1261" t="s">
        <v>95</v>
      </c>
      <c r="J1261" t="s">
        <v>1633</v>
      </c>
      <c r="K1261" t="s">
        <v>66</v>
      </c>
      <c r="L1261">
        <v>44000</v>
      </c>
      <c r="M1261">
        <v>15.5</v>
      </c>
      <c r="N1261">
        <v>10.3</v>
      </c>
      <c r="O1261">
        <v>7.7</v>
      </c>
      <c r="P1261">
        <v>1.4</v>
      </c>
      <c r="Q1261">
        <v>4</v>
      </c>
      <c r="R1261">
        <v>2</v>
      </c>
      <c r="S1261">
        <v>4</v>
      </c>
      <c r="T1261" t="s">
        <v>30</v>
      </c>
      <c r="U1261">
        <v>3</v>
      </c>
      <c r="W1261" t="s">
        <v>1652</v>
      </c>
      <c r="X1261" t="s">
        <v>1656</v>
      </c>
      <c r="Y1261" t="s">
        <v>1662</v>
      </c>
      <c r="Z1261">
        <v>0</v>
      </c>
    </row>
    <row r="1262" spans="1:26" x14ac:dyDescent="0.35">
      <c r="A1262" t="s">
        <v>1293</v>
      </c>
      <c r="B1262" s="6">
        <v>42127</v>
      </c>
      <c r="C1262" t="s">
        <v>23</v>
      </c>
      <c r="D1262">
        <v>36</v>
      </c>
      <c r="E1262" t="s">
        <v>36</v>
      </c>
      <c r="F1262" t="s">
        <v>37</v>
      </c>
      <c r="G1262" t="s">
        <v>26</v>
      </c>
      <c r="H1262" t="s">
        <v>55</v>
      </c>
      <c r="I1262" t="s">
        <v>56</v>
      </c>
      <c r="J1262" t="s">
        <v>1633</v>
      </c>
      <c r="K1262" t="s">
        <v>84</v>
      </c>
      <c r="L1262">
        <v>46000</v>
      </c>
      <c r="M1262">
        <v>8.3000000000000007</v>
      </c>
      <c r="N1262">
        <v>11.7</v>
      </c>
      <c r="O1262">
        <v>10.7</v>
      </c>
      <c r="P1262">
        <v>3.9</v>
      </c>
      <c r="Q1262">
        <v>2</v>
      </c>
      <c r="R1262">
        <v>3</v>
      </c>
      <c r="S1262">
        <v>4</v>
      </c>
      <c r="T1262" t="s">
        <v>23</v>
      </c>
      <c r="U1262">
        <v>2</v>
      </c>
      <c r="W1262" t="s">
        <v>1649</v>
      </c>
      <c r="X1262" t="s">
        <v>1656</v>
      </c>
      <c r="Y1262" t="s">
        <v>1663</v>
      </c>
      <c r="Z1262">
        <v>0</v>
      </c>
    </row>
    <row r="1263" spans="1:26" x14ac:dyDescent="0.35">
      <c r="A1263" t="s">
        <v>436</v>
      </c>
      <c r="B1263" s="6">
        <v>45265</v>
      </c>
      <c r="C1263" t="s">
        <v>23</v>
      </c>
      <c r="D1263">
        <v>39</v>
      </c>
      <c r="E1263" t="s">
        <v>36</v>
      </c>
      <c r="F1263" t="s">
        <v>37</v>
      </c>
      <c r="G1263" t="s">
        <v>58</v>
      </c>
      <c r="H1263" t="s">
        <v>1634</v>
      </c>
      <c r="I1263" t="s">
        <v>60</v>
      </c>
      <c r="J1263" t="s">
        <v>1633</v>
      </c>
      <c r="K1263" t="s">
        <v>29</v>
      </c>
      <c r="L1263">
        <v>61000</v>
      </c>
      <c r="M1263">
        <v>0.7</v>
      </c>
      <c r="N1263">
        <v>5.3</v>
      </c>
      <c r="O1263">
        <v>2.1</v>
      </c>
      <c r="P1263">
        <v>0.9</v>
      </c>
      <c r="Q1263">
        <v>4</v>
      </c>
      <c r="R1263">
        <v>3</v>
      </c>
      <c r="S1263">
        <v>3</v>
      </c>
      <c r="T1263" t="s">
        <v>23</v>
      </c>
      <c r="U1263">
        <v>2</v>
      </c>
      <c r="W1263" t="s">
        <v>1649</v>
      </c>
      <c r="X1263" t="s">
        <v>1659</v>
      </c>
      <c r="Y1263" t="s">
        <v>1665</v>
      </c>
      <c r="Z1263">
        <v>0</v>
      </c>
    </row>
    <row r="1264" spans="1:26" x14ac:dyDescent="0.35">
      <c r="A1264" t="s">
        <v>550</v>
      </c>
      <c r="B1264" s="6">
        <v>44302</v>
      </c>
      <c r="C1264" t="s">
        <v>23</v>
      </c>
      <c r="D1264">
        <v>41</v>
      </c>
      <c r="E1264" t="s">
        <v>62</v>
      </c>
      <c r="F1264" t="s">
        <v>25</v>
      </c>
      <c r="G1264" t="s">
        <v>26</v>
      </c>
      <c r="H1264" t="s">
        <v>1634</v>
      </c>
      <c r="I1264" t="s">
        <v>86</v>
      </c>
      <c r="J1264" t="s">
        <v>1632</v>
      </c>
      <c r="K1264" t="s">
        <v>50</v>
      </c>
      <c r="L1264">
        <v>31000</v>
      </c>
      <c r="M1264">
        <v>11.9</v>
      </c>
      <c r="N1264">
        <v>9.9</v>
      </c>
      <c r="O1264">
        <v>4.7</v>
      </c>
      <c r="P1264">
        <v>2.6</v>
      </c>
      <c r="Q1264">
        <v>3</v>
      </c>
      <c r="R1264">
        <v>2</v>
      </c>
      <c r="S1264">
        <v>2</v>
      </c>
      <c r="T1264" t="s">
        <v>23</v>
      </c>
      <c r="U1264">
        <v>2</v>
      </c>
      <c r="W1264" t="s">
        <v>1649</v>
      </c>
      <c r="X1264" t="s">
        <v>1655</v>
      </c>
      <c r="Y1264" t="s">
        <v>1661</v>
      </c>
      <c r="Z1264">
        <v>0</v>
      </c>
    </row>
    <row r="1265" spans="1:26" x14ac:dyDescent="0.35">
      <c r="A1265" t="s">
        <v>161</v>
      </c>
      <c r="B1265" s="6">
        <v>45242</v>
      </c>
      <c r="C1265" t="s">
        <v>23</v>
      </c>
      <c r="D1265">
        <v>35</v>
      </c>
      <c r="E1265" t="s">
        <v>62</v>
      </c>
      <c r="F1265" t="s">
        <v>37</v>
      </c>
      <c r="G1265" t="s">
        <v>58</v>
      </c>
      <c r="H1265" t="s">
        <v>68</v>
      </c>
      <c r="I1265" t="s">
        <v>109</v>
      </c>
      <c r="J1265" t="s">
        <v>1635</v>
      </c>
      <c r="K1265" t="s">
        <v>66</v>
      </c>
      <c r="L1265">
        <v>74000</v>
      </c>
      <c r="M1265">
        <v>4.0999999999999996</v>
      </c>
      <c r="N1265">
        <v>2.9</v>
      </c>
      <c r="O1265">
        <v>2.1</v>
      </c>
      <c r="P1265">
        <v>1.7</v>
      </c>
      <c r="Q1265">
        <v>2</v>
      </c>
      <c r="R1265">
        <v>4</v>
      </c>
      <c r="S1265">
        <v>3</v>
      </c>
      <c r="T1265" t="s">
        <v>23</v>
      </c>
      <c r="U1265">
        <v>3</v>
      </c>
      <c r="W1265" t="s">
        <v>1650</v>
      </c>
      <c r="X1265" t="s">
        <v>1659</v>
      </c>
      <c r="Y1265" t="s">
        <v>1665</v>
      </c>
      <c r="Z1265">
        <v>0</v>
      </c>
    </row>
    <row r="1266" spans="1:26" x14ac:dyDescent="0.35">
      <c r="A1266" t="s">
        <v>1437</v>
      </c>
      <c r="B1266" s="6">
        <v>43623</v>
      </c>
      <c r="C1266" t="s">
        <v>30</v>
      </c>
      <c r="D1266">
        <v>38</v>
      </c>
      <c r="E1266" t="s">
        <v>36</v>
      </c>
      <c r="F1266" t="s">
        <v>37</v>
      </c>
      <c r="G1266" t="s">
        <v>26</v>
      </c>
      <c r="H1266" t="s">
        <v>55</v>
      </c>
      <c r="I1266" t="s">
        <v>80</v>
      </c>
      <c r="J1266" t="s">
        <v>1635</v>
      </c>
      <c r="K1266" t="s">
        <v>50</v>
      </c>
      <c r="L1266">
        <v>90000</v>
      </c>
      <c r="M1266">
        <v>8.4</v>
      </c>
      <c r="N1266">
        <v>7.3</v>
      </c>
      <c r="O1266">
        <v>6.4</v>
      </c>
      <c r="P1266">
        <v>2</v>
      </c>
      <c r="Q1266">
        <v>3</v>
      </c>
      <c r="R1266">
        <v>3</v>
      </c>
      <c r="S1266">
        <v>1</v>
      </c>
      <c r="T1266" t="s">
        <v>23</v>
      </c>
      <c r="U1266">
        <v>3</v>
      </c>
      <c r="V1266" s="7">
        <v>45956</v>
      </c>
      <c r="W1266" t="s">
        <v>1649</v>
      </c>
      <c r="X1266" t="s">
        <v>1657</v>
      </c>
      <c r="Y1266" t="s">
        <v>1662</v>
      </c>
      <c r="Z1266">
        <v>1</v>
      </c>
    </row>
    <row r="1267" spans="1:26" x14ac:dyDescent="0.35">
      <c r="A1267" t="s">
        <v>1353</v>
      </c>
      <c r="B1267" s="6">
        <v>42286</v>
      </c>
      <c r="C1267" t="s">
        <v>23</v>
      </c>
      <c r="D1267">
        <v>31</v>
      </c>
      <c r="E1267" t="s">
        <v>62</v>
      </c>
      <c r="F1267" t="s">
        <v>42</v>
      </c>
      <c r="G1267" t="s">
        <v>58</v>
      </c>
      <c r="H1267" t="s">
        <v>1634</v>
      </c>
      <c r="I1267" t="s">
        <v>60</v>
      </c>
      <c r="J1267" t="s">
        <v>1633</v>
      </c>
      <c r="K1267" t="s">
        <v>34</v>
      </c>
      <c r="L1267">
        <v>61000</v>
      </c>
      <c r="M1267">
        <v>7.7</v>
      </c>
      <c r="N1267">
        <v>14.1</v>
      </c>
      <c r="O1267">
        <v>10.199999999999999</v>
      </c>
      <c r="P1267">
        <v>5</v>
      </c>
      <c r="Q1267">
        <v>3</v>
      </c>
      <c r="R1267">
        <v>3</v>
      </c>
      <c r="S1267">
        <v>4</v>
      </c>
      <c r="T1267" t="s">
        <v>23</v>
      </c>
      <c r="U1267">
        <v>5</v>
      </c>
      <c r="W1267" t="s">
        <v>1650</v>
      </c>
      <c r="X1267" t="s">
        <v>1659</v>
      </c>
      <c r="Y1267" t="s">
        <v>1663</v>
      </c>
      <c r="Z1267">
        <v>0</v>
      </c>
    </row>
    <row r="1268" spans="1:26" x14ac:dyDescent="0.35">
      <c r="A1268" t="s">
        <v>354</v>
      </c>
      <c r="B1268" s="6">
        <v>45405</v>
      </c>
      <c r="C1268" t="s">
        <v>23</v>
      </c>
      <c r="D1268">
        <v>38</v>
      </c>
      <c r="E1268" t="s">
        <v>24</v>
      </c>
      <c r="F1268" t="s">
        <v>37</v>
      </c>
      <c r="G1268" t="s">
        <v>32</v>
      </c>
      <c r="H1268" t="s">
        <v>45</v>
      </c>
      <c r="I1268" t="s">
        <v>77</v>
      </c>
      <c r="J1268" t="s">
        <v>1635</v>
      </c>
      <c r="K1268" t="s">
        <v>50</v>
      </c>
      <c r="L1268">
        <v>70000</v>
      </c>
      <c r="M1268">
        <v>9.1</v>
      </c>
      <c r="N1268">
        <v>3.1</v>
      </c>
      <c r="O1268">
        <v>1.7</v>
      </c>
      <c r="P1268">
        <v>1</v>
      </c>
      <c r="Q1268">
        <v>2</v>
      </c>
      <c r="R1268">
        <v>3</v>
      </c>
      <c r="S1268">
        <v>3</v>
      </c>
      <c r="T1268" t="s">
        <v>23</v>
      </c>
      <c r="U1268">
        <v>2</v>
      </c>
      <c r="W1268" t="s">
        <v>1649</v>
      </c>
      <c r="X1268" t="s">
        <v>1659</v>
      </c>
      <c r="Y1268" t="s">
        <v>1665</v>
      </c>
      <c r="Z1268">
        <v>0</v>
      </c>
    </row>
    <row r="1269" spans="1:26" x14ac:dyDescent="0.35">
      <c r="A1269" t="s">
        <v>1102</v>
      </c>
      <c r="B1269" s="6">
        <v>45216</v>
      </c>
      <c r="C1269" t="s">
        <v>23</v>
      </c>
      <c r="D1269">
        <v>33</v>
      </c>
      <c r="E1269" t="s">
        <v>62</v>
      </c>
      <c r="F1269" t="s">
        <v>37</v>
      </c>
      <c r="G1269" t="s">
        <v>26</v>
      </c>
      <c r="H1269" t="s">
        <v>68</v>
      </c>
      <c r="I1269" t="s">
        <v>102</v>
      </c>
      <c r="J1269" t="s">
        <v>1632</v>
      </c>
      <c r="K1269" t="s">
        <v>34</v>
      </c>
      <c r="L1269">
        <v>36000</v>
      </c>
      <c r="M1269">
        <v>4.3</v>
      </c>
      <c r="N1269">
        <v>4.5</v>
      </c>
      <c r="O1269">
        <v>2.2000000000000002</v>
      </c>
      <c r="P1269">
        <v>1.1000000000000001</v>
      </c>
      <c r="Q1269">
        <v>2</v>
      </c>
      <c r="R1269">
        <v>3</v>
      </c>
      <c r="S1269">
        <v>4</v>
      </c>
      <c r="T1269" t="s">
        <v>30</v>
      </c>
      <c r="U1269">
        <v>4</v>
      </c>
      <c r="W1269" t="s">
        <v>1650</v>
      </c>
      <c r="X1269" t="s">
        <v>1655</v>
      </c>
      <c r="Y1269" t="s">
        <v>1665</v>
      </c>
      <c r="Z1269">
        <v>0</v>
      </c>
    </row>
    <row r="1270" spans="1:26" x14ac:dyDescent="0.35">
      <c r="A1270" t="s">
        <v>390</v>
      </c>
      <c r="B1270" s="6">
        <v>42664</v>
      </c>
      <c r="C1270" t="s">
        <v>23</v>
      </c>
      <c r="D1270">
        <v>37</v>
      </c>
      <c r="E1270" t="s">
        <v>62</v>
      </c>
      <c r="F1270" t="s">
        <v>25</v>
      </c>
      <c r="G1270" t="s">
        <v>26</v>
      </c>
      <c r="H1270" t="s">
        <v>1634</v>
      </c>
      <c r="I1270" t="s">
        <v>60</v>
      </c>
      <c r="J1270" t="s">
        <v>1633</v>
      </c>
      <c r="K1270" t="s">
        <v>50</v>
      </c>
      <c r="L1270">
        <v>38000</v>
      </c>
      <c r="M1270">
        <v>9.8000000000000007</v>
      </c>
      <c r="N1270">
        <v>13.8</v>
      </c>
      <c r="O1270">
        <v>9.1999999999999993</v>
      </c>
      <c r="P1270">
        <v>3.2</v>
      </c>
      <c r="Q1270">
        <v>3</v>
      </c>
      <c r="R1270">
        <v>3</v>
      </c>
      <c r="S1270">
        <v>3</v>
      </c>
      <c r="T1270" t="s">
        <v>23</v>
      </c>
      <c r="U1270">
        <v>3</v>
      </c>
      <c r="W1270" t="s">
        <v>1649</v>
      </c>
      <c r="X1270" t="s">
        <v>1655</v>
      </c>
      <c r="Y1270" t="s">
        <v>1662</v>
      </c>
      <c r="Z1270">
        <v>0</v>
      </c>
    </row>
    <row r="1271" spans="1:26" x14ac:dyDescent="0.35">
      <c r="A1271" t="s">
        <v>970</v>
      </c>
      <c r="B1271" s="6">
        <v>45823</v>
      </c>
      <c r="C1271" t="s">
        <v>30</v>
      </c>
      <c r="D1271">
        <v>33</v>
      </c>
      <c r="E1271" t="s">
        <v>24</v>
      </c>
      <c r="F1271" t="s">
        <v>37</v>
      </c>
      <c r="G1271" t="s">
        <v>26</v>
      </c>
      <c r="H1271" t="s">
        <v>55</v>
      </c>
      <c r="I1271" t="s">
        <v>80</v>
      </c>
      <c r="J1271" t="s">
        <v>1633</v>
      </c>
      <c r="K1271" t="s">
        <v>84</v>
      </c>
      <c r="L1271">
        <v>71000</v>
      </c>
      <c r="M1271">
        <v>10.3</v>
      </c>
      <c r="N1271">
        <v>2.9</v>
      </c>
      <c r="O1271">
        <v>0.2</v>
      </c>
      <c r="P1271">
        <v>0</v>
      </c>
      <c r="Q1271">
        <v>2</v>
      </c>
      <c r="R1271">
        <v>2</v>
      </c>
      <c r="S1271">
        <v>3</v>
      </c>
      <c r="T1271" t="s">
        <v>23</v>
      </c>
      <c r="U1271">
        <v>4</v>
      </c>
      <c r="V1271" s="7">
        <v>45884</v>
      </c>
      <c r="W1271" t="s">
        <v>1650</v>
      </c>
      <c r="X1271" t="s">
        <v>1659</v>
      </c>
      <c r="Y1271" t="s">
        <v>1664</v>
      </c>
      <c r="Z1271">
        <v>1</v>
      </c>
    </row>
    <row r="1272" spans="1:26" x14ac:dyDescent="0.35">
      <c r="A1272" t="s">
        <v>1083</v>
      </c>
      <c r="B1272" s="6">
        <v>45233</v>
      </c>
      <c r="C1272" t="s">
        <v>23</v>
      </c>
      <c r="D1272">
        <v>26</v>
      </c>
      <c r="E1272" t="s">
        <v>36</v>
      </c>
      <c r="F1272" t="s">
        <v>25</v>
      </c>
      <c r="G1272" t="s">
        <v>32</v>
      </c>
      <c r="H1272" t="s">
        <v>45</v>
      </c>
      <c r="I1272" t="s">
        <v>164</v>
      </c>
      <c r="J1272" t="s">
        <v>1632</v>
      </c>
      <c r="K1272" t="s">
        <v>29</v>
      </c>
      <c r="L1272">
        <v>33000</v>
      </c>
      <c r="M1272">
        <v>9.3000000000000007</v>
      </c>
      <c r="N1272">
        <v>4</v>
      </c>
      <c r="O1272">
        <v>2.2000000000000002</v>
      </c>
      <c r="P1272">
        <v>1.6</v>
      </c>
      <c r="Q1272">
        <v>2</v>
      </c>
      <c r="R1272">
        <v>4</v>
      </c>
      <c r="S1272">
        <v>3</v>
      </c>
      <c r="T1272" t="s">
        <v>30</v>
      </c>
      <c r="U1272">
        <v>2</v>
      </c>
      <c r="W1272" t="s">
        <v>1650</v>
      </c>
      <c r="X1272" t="s">
        <v>1655</v>
      </c>
      <c r="Y1272" t="s">
        <v>1665</v>
      </c>
      <c r="Z1272">
        <v>0</v>
      </c>
    </row>
    <row r="1273" spans="1:26" x14ac:dyDescent="0.35">
      <c r="A1273" t="s">
        <v>583</v>
      </c>
      <c r="B1273" s="6">
        <v>44212</v>
      </c>
      <c r="C1273" t="s">
        <v>23</v>
      </c>
      <c r="D1273">
        <v>40</v>
      </c>
      <c r="E1273" t="s">
        <v>24</v>
      </c>
      <c r="F1273" t="s">
        <v>25</v>
      </c>
      <c r="G1273" t="s">
        <v>54</v>
      </c>
      <c r="H1273" t="s">
        <v>1634</v>
      </c>
      <c r="I1273" t="s">
        <v>75</v>
      </c>
      <c r="J1273" t="s">
        <v>1632</v>
      </c>
      <c r="K1273" t="s">
        <v>29</v>
      </c>
      <c r="L1273">
        <v>54000</v>
      </c>
      <c r="M1273">
        <v>8.9</v>
      </c>
      <c r="N1273">
        <v>8.4</v>
      </c>
      <c r="O1273">
        <v>5</v>
      </c>
      <c r="P1273">
        <v>1.2</v>
      </c>
      <c r="Q1273">
        <v>2</v>
      </c>
      <c r="R1273">
        <v>2</v>
      </c>
      <c r="S1273">
        <v>4</v>
      </c>
      <c r="T1273" t="s">
        <v>23</v>
      </c>
      <c r="U1273">
        <v>5</v>
      </c>
      <c r="W1273" t="s">
        <v>1649</v>
      </c>
      <c r="X1273" t="s">
        <v>1656</v>
      </c>
      <c r="Y1273" t="s">
        <v>1661</v>
      </c>
      <c r="Z1273">
        <v>0</v>
      </c>
    </row>
    <row r="1274" spans="1:26" x14ac:dyDescent="0.35">
      <c r="A1274" t="s">
        <v>1421</v>
      </c>
      <c r="B1274" s="6">
        <v>43846</v>
      </c>
      <c r="C1274" t="s">
        <v>23</v>
      </c>
      <c r="D1274">
        <v>34</v>
      </c>
      <c r="E1274" t="s">
        <v>36</v>
      </c>
      <c r="F1274" t="s">
        <v>37</v>
      </c>
      <c r="G1274" t="s">
        <v>54</v>
      </c>
      <c r="H1274" t="s">
        <v>1634</v>
      </c>
      <c r="I1274" t="s">
        <v>86</v>
      </c>
      <c r="J1274" t="s">
        <v>1633</v>
      </c>
      <c r="K1274" t="s">
        <v>34</v>
      </c>
      <c r="L1274">
        <v>45000</v>
      </c>
      <c r="M1274">
        <v>1.7</v>
      </c>
      <c r="N1274">
        <v>6.9</v>
      </c>
      <c r="O1274">
        <v>6</v>
      </c>
      <c r="P1274">
        <v>3.8</v>
      </c>
      <c r="Q1274">
        <v>2</v>
      </c>
      <c r="R1274">
        <v>3</v>
      </c>
      <c r="S1274">
        <v>4</v>
      </c>
      <c r="T1274" t="s">
        <v>23</v>
      </c>
      <c r="U1274">
        <v>4</v>
      </c>
      <c r="W1274" t="s">
        <v>1650</v>
      </c>
      <c r="X1274" t="s">
        <v>1656</v>
      </c>
      <c r="Y1274" t="s">
        <v>1661</v>
      </c>
      <c r="Z1274">
        <v>0</v>
      </c>
    </row>
    <row r="1275" spans="1:26" x14ac:dyDescent="0.35">
      <c r="A1275" t="s">
        <v>1038</v>
      </c>
      <c r="B1275" s="6">
        <v>45485</v>
      </c>
      <c r="C1275" t="s">
        <v>30</v>
      </c>
      <c r="D1275">
        <v>23</v>
      </c>
      <c r="E1275" t="s">
        <v>62</v>
      </c>
      <c r="F1275" t="s">
        <v>37</v>
      </c>
      <c r="G1275" t="s">
        <v>26</v>
      </c>
      <c r="H1275" t="s">
        <v>38</v>
      </c>
      <c r="I1275" t="s">
        <v>139</v>
      </c>
      <c r="J1275" t="s">
        <v>1632</v>
      </c>
      <c r="K1275" t="s">
        <v>29</v>
      </c>
      <c r="L1275">
        <v>53000</v>
      </c>
      <c r="M1275">
        <v>8.5</v>
      </c>
      <c r="N1275">
        <v>2.1</v>
      </c>
      <c r="O1275">
        <v>0.6</v>
      </c>
      <c r="P1275">
        <v>0</v>
      </c>
      <c r="Q1275">
        <v>4</v>
      </c>
      <c r="R1275">
        <v>4</v>
      </c>
      <c r="S1275">
        <v>2</v>
      </c>
      <c r="T1275" t="s">
        <v>23</v>
      </c>
      <c r="U1275">
        <v>3</v>
      </c>
      <c r="V1275" s="7">
        <v>45696</v>
      </c>
      <c r="W1275" t="s">
        <v>1651</v>
      </c>
      <c r="X1275" t="s">
        <v>1656</v>
      </c>
      <c r="Y1275" t="s">
        <v>1664</v>
      </c>
      <c r="Z1275">
        <v>1</v>
      </c>
    </row>
    <row r="1276" spans="1:26" x14ac:dyDescent="0.35">
      <c r="A1276" t="s">
        <v>153</v>
      </c>
      <c r="B1276" s="6">
        <v>45114</v>
      </c>
      <c r="C1276" t="s">
        <v>30</v>
      </c>
      <c r="D1276">
        <v>39</v>
      </c>
      <c r="E1276" t="s">
        <v>36</v>
      </c>
      <c r="F1276" t="s">
        <v>42</v>
      </c>
      <c r="G1276" t="s">
        <v>54</v>
      </c>
      <c r="H1276" t="s">
        <v>27</v>
      </c>
      <c r="I1276" t="s">
        <v>95</v>
      </c>
      <c r="J1276" t="s">
        <v>1633</v>
      </c>
      <c r="K1276" t="s">
        <v>50</v>
      </c>
      <c r="L1276">
        <v>41000</v>
      </c>
      <c r="M1276">
        <v>5.9</v>
      </c>
      <c r="N1276">
        <v>4.8</v>
      </c>
      <c r="O1276">
        <v>2.2000000000000002</v>
      </c>
      <c r="P1276">
        <v>2.1</v>
      </c>
      <c r="Q1276">
        <v>3</v>
      </c>
      <c r="R1276">
        <v>3</v>
      </c>
      <c r="S1276">
        <v>3</v>
      </c>
      <c r="T1276" t="s">
        <v>23</v>
      </c>
      <c r="U1276">
        <v>3</v>
      </c>
      <c r="V1276" s="7">
        <v>45902</v>
      </c>
      <c r="W1276" t="s">
        <v>1649</v>
      </c>
      <c r="X1276" t="s">
        <v>1656</v>
      </c>
      <c r="Y1276" t="s">
        <v>1665</v>
      </c>
      <c r="Z1276">
        <v>1</v>
      </c>
    </row>
    <row r="1277" spans="1:26" x14ac:dyDescent="0.35">
      <c r="A1277" t="s">
        <v>318</v>
      </c>
      <c r="B1277" s="6">
        <v>43224</v>
      </c>
      <c r="C1277" t="s">
        <v>30</v>
      </c>
      <c r="D1277">
        <v>40</v>
      </c>
      <c r="E1277" t="s">
        <v>24</v>
      </c>
      <c r="F1277" t="s">
        <v>42</v>
      </c>
      <c r="G1277" t="s">
        <v>54</v>
      </c>
      <c r="H1277" t="s">
        <v>45</v>
      </c>
      <c r="I1277" t="s">
        <v>164</v>
      </c>
      <c r="J1277" t="s">
        <v>1633</v>
      </c>
      <c r="K1277" t="s">
        <v>34</v>
      </c>
      <c r="L1277">
        <v>54000</v>
      </c>
      <c r="M1277">
        <v>10</v>
      </c>
      <c r="N1277">
        <v>11.6</v>
      </c>
      <c r="O1277">
        <v>7.4</v>
      </c>
      <c r="P1277">
        <v>5.0999999999999996</v>
      </c>
      <c r="Q1277">
        <v>3</v>
      </c>
      <c r="R1277">
        <v>4</v>
      </c>
      <c r="S1277">
        <v>2</v>
      </c>
      <c r="T1277" t="s">
        <v>23</v>
      </c>
      <c r="U1277">
        <v>2</v>
      </c>
      <c r="V1277" s="7">
        <v>45933</v>
      </c>
      <c r="W1277" t="s">
        <v>1649</v>
      </c>
      <c r="X1277" t="s">
        <v>1656</v>
      </c>
      <c r="Y1277" t="s">
        <v>1662</v>
      </c>
      <c r="Z1277">
        <v>1</v>
      </c>
    </row>
    <row r="1278" spans="1:26" x14ac:dyDescent="0.35">
      <c r="A1278" t="s">
        <v>382</v>
      </c>
      <c r="B1278" s="6">
        <v>42944</v>
      </c>
      <c r="C1278" t="s">
        <v>23</v>
      </c>
      <c r="D1278">
        <v>36</v>
      </c>
      <c r="E1278" t="s">
        <v>62</v>
      </c>
      <c r="F1278" t="s">
        <v>1638</v>
      </c>
      <c r="G1278" t="s">
        <v>26</v>
      </c>
      <c r="H1278" t="s">
        <v>38</v>
      </c>
      <c r="I1278" t="s">
        <v>52</v>
      </c>
      <c r="J1278" t="s">
        <v>1636</v>
      </c>
      <c r="K1278" t="s">
        <v>29</v>
      </c>
      <c r="L1278">
        <v>126000</v>
      </c>
      <c r="M1278">
        <v>4.9000000000000004</v>
      </c>
      <c r="N1278">
        <v>12.7</v>
      </c>
      <c r="O1278">
        <v>8.4</v>
      </c>
      <c r="P1278">
        <v>1.5</v>
      </c>
      <c r="Q1278">
        <v>3</v>
      </c>
      <c r="R1278">
        <v>3</v>
      </c>
      <c r="S1278">
        <v>3</v>
      </c>
      <c r="T1278" t="s">
        <v>23</v>
      </c>
      <c r="U1278">
        <v>3</v>
      </c>
      <c r="W1278" t="s">
        <v>1649</v>
      </c>
      <c r="X1278" t="s">
        <v>1658</v>
      </c>
      <c r="Y1278" t="s">
        <v>1662</v>
      </c>
      <c r="Z1278">
        <v>0</v>
      </c>
    </row>
    <row r="1279" spans="1:26" x14ac:dyDescent="0.35">
      <c r="A1279" t="s">
        <v>624</v>
      </c>
      <c r="B1279" s="6">
        <v>44709</v>
      </c>
      <c r="C1279" t="s">
        <v>23</v>
      </c>
      <c r="D1279">
        <v>25</v>
      </c>
      <c r="E1279" t="s">
        <v>24</v>
      </c>
      <c r="F1279" t="s">
        <v>42</v>
      </c>
      <c r="G1279" t="s">
        <v>54</v>
      </c>
      <c r="H1279" t="s">
        <v>1634</v>
      </c>
      <c r="I1279" t="s">
        <v>86</v>
      </c>
      <c r="J1279" t="s">
        <v>1632</v>
      </c>
      <c r="K1279" t="s">
        <v>40</v>
      </c>
      <c r="L1279">
        <v>34000</v>
      </c>
      <c r="M1279">
        <v>7.1</v>
      </c>
      <c r="N1279">
        <v>7.9</v>
      </c>
      <c r="O1279">
        <v>3.6</v>
      </c>
      <c r="P1279">
        <v>2.7</v>
      </c>
      <c r="Q1279">
        <v>3</v>
      </c>
      <c r="R1279">
        <v>3</v>
      </c>
      <c r="S1279">
        <v>3</v>
      </c>
      <c r="T1279" t="s">
        <v>23</v>
      </c>
      <c r="U1279">
        <v>4</v>
      </c>
      <c r="W1279" t="s">
        <v>1651</v>
      </c>
      <c r="X1279" t="s">
        <v>1655</v>
      </c>
      <c r="Y1279" t="s">
        <v>1661</v>
      </c>
      <c r="Z1279">
        <v>0</v>
      </c>
    </row>
    <row r="1280" spans="1:26" x14ac:dyDescent="0.35">
      <c r="A1280" t="s">
        <v>1583</v>
      </c>
      <c r="B1280" s="6">
        <v>44958</v>
      </c>
      <c r="C1280" t="s">
        <v>23</v>
      </c>
      <c r="D1280">
        <v>33</v>
      </c>
      <c r="E1280" t="s">
        <v>36</v>
      </c>
      <c r="F1280" t="s">
        <v>42</v>
      </c>
      <c r="G1280" t="s">
        <v>54</v>
      </c>
      <c r="H1280" t="s">
        <v>68</v>
      </c>
      <c r="I1280" t="s">
        <v>109</v>
      </c>
      <c r="J1280" t="s">
        <v>1633</v>
      </c>
      <c r="K1280" t="s">
        <v>1638</v>
      </c>
      <c r="L1280">
        <v>40000</v>
      </c>
      <c r="M1280">
        <v>8.5</v>
      </c>
      <c r="N1280">
        <v>9</v>
      </c>
      <c r="O1280">
        <v>2.9</v>
      </c>
      <c r="P1280">
        <v>2.1</v>
      </c>
      <c r="Q1280">
        <v>3</v>
      </c>
      <c r="R1280">
        <v>4</v>
      </c>
      <c r="S1280">
        <v>3</v>
      </c>
      <c r="T1280" t="s">
        <v>30</v>
      </c>
      <c r="U1280">
        <v>4</v>
      </c>
      <c r="W1280" t="s">
        <v>1650</v>
      </c>
      <c r="X1280" t="s">
        <v>1656</v>
      </c>
      <c r="Y1280" t="s">
        <v>1665</v>
      </c>
      <c r="Z1280">
        <v>0</v>
      </c>
    </row>
    <row r="1281" spans="1:26" x14ac:dyDescent="0.35">
      <c r="A1281" t="s">
        <v>1459</v>
      </c>
      <c r="B1281" s="6">
        <v>41689</v>
      </c>
      <c r="C1281" t="s">
        <v>23</v>
      </c>
      <c r="D1281">
        <v>45</v>
      </c>
      <c r="E1281" t="s">
        <v>62</v>
      </c>
      <c r="F1281" t="s">
        <v>25</v>
      </c>
      <c r="G1281" t="s">
        <v>54</v>
      </c>
      <c r="H1281" t="s">
        <v>1634</v>
      </c>
      <c r="I1281" t="s">
        <v>60</v>
      </c>
      <c r="J1281" t="s">
        <v>1633</v>
      </c>
      <c r="K1281" t="s">
        <v>84</v>
      </c>
      <c r="L1281">
        <v>46000</v>
      </c>
      <c r="M1281">
        <v>2.7</v>
      </c>
      <c r="N1281">
        <v>15</v>
      </c>
      <c r="O1281">
        <v>11.9</v>
      </c>
      <c r="P1281">
        <v>0.1</v>
      </c>
      <c r="Q1281">
        <v>4</v>
      </c>
      <c r="R1281">
        <v>1</v>
      </c>
      <c r="S1281">
        <v>4</v>
      </c>
      <c r="T1281" t="s">
        <v>23</v>
      </c>
      <c r="U1281">
        <v>3</v>
      </c>
      <c r="W1281" t="s">
        <v>1649</v>
      </c>
      <c r="X1281" t="s">
        <v>1656</v>
      </c>
      <c r="Y1281" t="s">
        <v>1663</v>
      </c>
      <c r="Z1281">
        <v>0</v>
      </c>
    </row>
    <row r="1282" spans="1:26" x14ac:dyDescent="0.35">
      <c r="A1282" t="s">
        <v>1409</v>
      </c>
      <c r="B1282" s="6">
        <v>45237</v>
      </c>
      <c r="C1282" t="s">
        <v>23</v>
      </c>
      <c r="D1282">
        <v>23</v>
      </c>
      <c r="E1282" t="s">
        <v>36</v>
      </c>
      <c r="F1282" t="s">
        <v>42</v>
      </c>
      <c r="G1282" t="s">
        <v>32</v>
      </c>
      <c r="H1282" t="s">
        <v>27</v>
      </c>
      <c r="I1282" t="s">
        <v>28</v>
      </c>
      <c r="J1282" t="s">
        <v>1632</v>
      </c>
      <c r="K1282" t="s">
        <v>84</v>
      </c>
      <c r="L1282">
        <v>28000</v>
      </c>
      <c r="M1282">
        <v>8</v>
      </c>
      <c r="N1282">
        <v>9.8000000000000007</v>
      </c>
      <c r="O1282">
        <v>2.1</v>
      </c>
      <c r="P1282">
        <v>0.4</v>
      </c>
      <c r="Q1282">
        <v>3</v>
      </c>
      <c r="R1282">
        <v>3</v>
      </c>
      <c r="S1282">
        <v>3</v>
      </c>
      <c r="T1282" t="s">
        <v>23</v>
      </c>
      <c r="U1282">
        <v>3</v>
      </c>
      <c r="W1282" t="s">
        <v>1651</v>
      </c>
      <c r="X1282" t="s">
        <v>1655</v>
      </c>
      <c r="Y1282" t="s">
        <v>1665</v>
      </c>
      <c r="Z1282">
        <v>0</v>
      </c>
    </row>
    <row r="1283" spans="1:26" x14ac:dyDescent="0.35">
      <c r="A1283" t="s">
        <v>1546</v>
      </c>
      <c r="B1283" s="6">
        <v>43221</v>
      </c>
      <c r="C1283" t="s">
        <v>23</v>
      </c>
      <c r="D1283">
        <v>38</v>
      </c>
      <c r="E1283" t="s">
        <v>36</v>
      </c>
      <c r="F1283" t="s">
        <v>42</v>
      </c>
      <c r="G1283" t="s">
        <v>26</v>
      </c>
      <c r="H1283" t="s">
        <v>1634</v>
      </c>
      <c r="I1283" t="s">
        <v>60</v>
      </c>
      <c r="J1283" t="s">
        <v>1635</v>
      </c>
      <c r="K1283" t="s">
        <v>66</v>
      </c>
      <c r="L1283">
        <v>69000</v>
      </c>
      <c r="M1283">
        <v>7.9</v>
      </c>
      <c r="N1283">
        <v>11.9</v>
      </c>
      <c r="O1283">
        <v>7.7</v>
      </c>
      <c r="P1283">
        <v>6</v>
      </c>
      <c r="Q1283">
        <v>4</v>
      </c>
      <c r="R1283">
        <v>3</v>
      </c>
      <c r="S1283">
        <v>3</v>
      </c>
      <c r="T1283" t="s">
        <v>30</v>
      </c>
      <c r="U1283">
        <v>1</v>
      </c>
      <c r="W1283" t="s">
        <v>1649</v>
      </c>
      <c r="X1283" t="s">
        <v>1659</v>
      </c>
      <c r="Y1283" t="s">
        <v>1662</v>
      </c>
      <c r="Z1283">
        <v>0</v>
      </c>
    </row>
    <row r="1284" spans="1:26" x14ac:dyDescent="0.35">
      <c r="A1284" t="s">
        <v>762</v>
      </c>
      <c r="B1284" s="6">
        <v>44517</v>
      </c>
      <c r="C1284" t="s">
        <v>23</v>
      </c>
      <c r="D1284">
        <v>34</v>
      </c>
      <c r="E1284" t="s">
        <v>62</v>
      </c>
      <c r="F1284" t="s">
        <v>37</v>
      </c>
      <c r="G1284" t="s">
        <v>26</v>
      </c>
      <c r="H1284" t="s">
        <v>55</v>
      </c>
      <c r="I1284" t="s">
        <v>80</v>
      </c>
      <c r="J1284" t="s">
        <v>1636</v>
      </c>
      <c r="K1284" t="s">
        <v>66</v>
      </c>
      <c r="L1284">
        <v>130000</v>
      </c>
      <c r="M1284">
        <v>10.7</v>
      </c>
      <c r="N1284">
        <v>5.4</v>
      </c>
      <c r="O1284">
        <v>4.0999999999999996</v>
      </c>
      <c r="P1284">
        <v>0.6</v>
      </c>
      <c r="Q1284">
        <v>4</v>
      </c>
      <c r="R1284">
        <v>3</v>
      </c>
      <c r="S1284">
        <v>3</v>
      </c>
      <c r="T1284" t="s">
        <v>30</v>
      </c>
      <c r="U1284">
        <v>3</v>
      </c>
      <c r="W1284" t="s">
        <v>1650</v>
      </c>
      <c r="X1284" t="s">
        <v>1658</v>
      </c>
      <c r="Y1284" t="s">
        <v>1661</v>
      </c>
      <c r="Z1284">
        <v>0</v>
      </c>
    </row>
    <row r="1285" spans="1:26" x14ac:dyDescent="0.35">
      <c r="A1285" t="s">
        <v>195</v>
      </c>
      <c r="B1285" s="6">
        <v>44833</v>
      </c>
      <c r="C1285" t="s">
        <v>30</v>
      </c>
      <c r="D1285">
        <v>36</v>
      </c>
      <c r="E1285" t="s">
        <v>62</v>
      </c>
      <c r="F1285" t="s">
        <v>25</v>
      </c>
      <c r="G1285" t="s">
        <v>32</v>
      </c>
      <c r="H1285" t="s">
        <v>55</v>
      </c>
      <c r="I1285" t="s">
        <v>88</v>
      </c>
      <c r="J1285" t="s">
        <v>1635</v>
      </c>
      <c r="K1285" t="s">
        <v>66</v>
      </c>
      <c r="L1285">
        <v>94000</v>
      </c>
      <c r="M1285">
        <v>2.7</v>
      </c>
      <c r="N1285">
        <v>7.6</v>
      </c>
      <c r="O1285">
        <v>3</v>
      </c>
      <c r="P1285">
        <v>0.6</v>
      </c>
      <c r="Q1285">
        <v>4</v>
      </c>
      <c r="R1285">
        <v>3</v>
      </c>
      <c r="S1285">
        <v>1</v>
      </c>
      <c r="T1285" t="s">
        <v>23</v>
      </c>
      <c r="U1285">
        <v>3</v>
      </c>
      <c r="V1285" s="7">
        <v>45934</v>
      </c>
      <c r="W1285" t="s">
        <v>1649</v>
      </c>
      <c r="X1285" t="s">
        <v>1657</v>
      </c>
      <c r="Y1285" t="s">
        <v>1665</v>
      </c>
      <c r="Z1285">
        <v>1</v>
      </c>
    </row>
    <row r="1286" spans="1:26" x14ac:dyDescent="0.35">
      <c r="A1286" t="s">
        <v>903</v>
      </c>
      <c r="B1286" s="6">
        <v>42261</v>
      </c>
      <c r="C1286" t="s">
        <v>23</v>
      </c>
      <c r="D1286">
        <v>36</v>
      </c>
      <c r="E1286" t="s">
        <v>24</v>
      </c>
      <c r="F1286" t="s">
        <v>37</v>
      </c>
      <c r="G1286" t="s">
        <v>26</v>
      </c>
      <c r="H1286" t="s">
        <v>27</v>
      </c>
      <c r="I1286" t="s">
        <v>33</v>
      </c>
      <c r="J1286" t="s">
        <v>1633</v>
      </c>
      <c r="K1286" t="s">
        <v>40</v>
      </c>
      <c r="L1286">
        <v>57000</v>
      </c>
      <c r="M1286">
        <v>6.2</v>
      </c>
      <c r="N1286">
        <v>17.2</v>
      </c>
      <c r="O1286">
        <v>10.3</v>
      </c>
      <c r="P1286">
        <v>0.1</v>
      </c>
      <c r="Q1286">
        <v>3</v>
      </c>
      <c r="R1286">
        <v>4</v>
      </c>
      <c r="S1286">
        <v>3</v>
      </c>
      <c r="T1286" t="s">
        <v>23</v>
      </c>
      <c r="U1286">
        <v>3</v>
      </c>
      <c r="W1286" t="s">
        <v>1649</v>
      </c>
      <c r="X1286" t="s">
        <v>1656</v>
      </c>
      <c r="Y1286" t="s">
        <v>1663</v>
      </c>
      <c r="Z1286">
        <v>0</v>
      </c>
    </row>
    <row r="1287" spans="1:26" x14ac:dyDescent="0.35">
      <c r="A1287" t="s">
        <v>1285</v>
      </c>
      <c r="B1287" s="6">
        <v>43499</v>
      </c>
      <c r="C1287" t="s">
        <v>23</v>
      </c>
      <c r="D1287">
        <v>29</v>
      </c>
      <c r="E1287" t="s">
        <v>36</v>
      </c>
      <c r="F1287" t="s">
        <v>37</v>
      </c>
      <c r="G1287" t="s">
        <v>58</v>
      </c>
      <c r="H1287" t="s">
        <v>38</v>
      </c>
      <c r="I1287" t="s">
        <v>39</v>
      </c>
      <c r="J1287" t="s">
        <v>1635</v>
      </c>
      <c r="K1287" t="s">
        <v>66</v>
      </c>
      <c r="L1287">
        <v>91000</v>
      </c>
      <c r="M1287">
        <v>13.1</v>
      </c>
      <c r="N1287">
        <v>11.7</v>
      </c>
      <c r="O1287">
        <v>6.9</v>
      </c>
      <c r="P1287">
        <v>3.9</v>
      </c>
      <c r="Q1287">
        <v>3</v>
      </c>
      <c r="R1287">
        <v>1</v>
      </c>
      <c r="S1287">
        <v>4</v>
      </c>
      <c r="T1287" t="s">
        <v>23</v>
      </c>
      <c r="U1287">
        <v>3</v>
      </c>
      <c r="W1287" t="s">
        <v>1650</v>
      </c>
      <c r="X1287" t="s">
        <v>1657</v>
      </c>
      <c r="Y1287" t="s">
        <v>1662</v>
      </c>
      <c r="Z1287">
        <v>0</v>
      </c>
    </row>
    <row r="1288" spans="1:26" x14ac:dyDescent="0.35">
      <c r="A1288" t="s">
        <v>1222</v>
      </c>
      <c r="B1288" s="6">
        <v>43071</v>
      </c>
      <c r="C1288" t="s">
        <v>23</v>
      </c>
      <c r="D1288">
        <v>39</v>
      </c>
      <c r="E1288" t="s">
        <v>62</v>
      </c>
      <c r="F1288" t="s">
        <v>42</v>
      </c>
      <c r="G1288" t="s">
        <v>32</v>
      </c>
      <c r="H1288" t="s">
        <v>55</v>
      </c>
      <c r="I1288" t="s">
        <v>80</v>
      </c>
      <c r="J1288" t="s">
        <v>1637</v>
      </c>
      <c r="K1288" t="s">
        <v>34</v>
      </c>
      <c r="L1288">
        <v>180000</v>
      </c>
      <c r="M1288">
        <v>8.5</v>
      </c>
      <c r="N1288">
        <v>8.5</v>
      </c>
      <c r="O1288">
        <v>8.1</v>
      </c>
      <c r="P1288">
        <v>4.5999999999999996</v>
      </c>
      <c r="Q1288">
        <v>3</v>
      </c>
      <c r="R1288">
        <v>4</v>
      </c>
      <c r="S1288">
        <v>4</v>
      </c>
      <c r="T1288" t="s">
        <v>23</v>
      </c>
      <c r="U1288">
        <v>4</v>
      </c>
      <c r="W1288" t="s">
        <v>1649</v>
      </c>
      <c r="X1288" t="s">
        <v>1658</v>
      </c>
      <c r="Y1288" t="s">
        <v>1662</v>
      </c>
      <c r="Z1288">
        <v>0</v>
      </c>
    </row>
    <row r="1289" spans="1:26" x14ac:dyDescent="0.35">
      <c r="A1289" t="s">
        <v>1052</v>
      </c>
      <c r="B1289" s="6">
        <v>43216</v>
      </c>
      <c r="C1289" t="s">
        <v>23</v>
      </c>
      <c r="D1289">
        <v>38</v>
      </c>
      <c r="E1289" t="s">
        <v>62</v>
      </c>
      <c r="F1289" t="s">
        <v>25</v>
      </c>
      <c r="G1289" t="s">
        <v>26</v>
      </c>
      <c r="H1289" t="s">
        <v>45</v>
      </c>
      <c r="I1289" t="s">
        <v>164</v>
      </c>
      <c r="J1289" t="s">
        <v>1632</v>
      </c>
      <c r="K1289" t="s">
        <v>34</v>
      </c>
      <c r="L1289">
        <v>34000</v>
      </c>
      <c r="M1289">
        <v>18.100000000000001</v>
      </c>
      <c r="N1289">
        <v>8.1</v>
      </c>
      <c r="O1289">
        <v>7.7</v>
      </c>
      <c r="P1289">
        <v>1.6</v>
      </c>
      <c r="Q1289">
        <v>3</v>
      </c>
      <c r="R1289">
        <v>3</v>
      </c>
      <c r="S1289">
        <v>4</v>
      </c>
      <c r="T1289" t="s">
        <v>30</v>
      </c>
      <c r="U1289">
        <v>3</v>
      </c>
      <c r="W1289" t="s">
        <v>1649</v>
      </c>
      <c r="X1289" t="s">
        <v>1655</v>
      </c>
      <c r="Y1289" t="s">
        <v>1662</v>
      </c>
      <c r="Z1289">
        <v>0</v>
      </c>
    </row>
    <row r="1290" spans="1:26" x14ac:dyDescent="0.35">
      <c r="A1290" t="s">
        <v>140</v>
      </c>
      <c r="B1290" s="6">
        <v>41833</v>
      </c>
      <c r="C1290" t="s">
        <v>23</v>
      </c>
      <c r="D1290">
        <v>37</v>
      </c>
      <c r="E1290" t="s">
        <v>24</v>
      </c>
      <c r="F1290" t="s">
        <v>42</v>
      </c>
      <c r="G1290" t="s">
        <v>58</v>
      </c>
      <c r="H1290" t="s">
        <v>48</v>
      </c>
      <c r="I1290" t="s">
        <v>129</v>
      </c>
      <c r="J1290" t="s">
        <v>1635</v>
      </c>
      <c r="K1290" t="s">
        <v>66</v>
      </c>
      <c r="L1290">
        <v>75000</v>
      </c>
      <c r="M1290">
        <v>5.5</v>
      </c>
      <c r="N1290">
        <v>14.5</v>
      </c>
      <c r="O1290">
        <v>11.5</v>
      </c>
      <c r="P1290">
        <v>1.8</v>
      </c>
      <c r="Q1290">
        <v>4</v>
      </c>
      <c r="R1290">
        <v>1</v>
      </c>
      <c r="S1290">
        <v>2</v>
      </c>
      <c r="T1290" t="s">
        <v>23</v>
      </c>
      <c r="U1290">
        <v>4</v>
      </c>
      <c r="W1290" t="s">
        <v>1649</v>
      </c>
      <c r="X1290" t="s">
        <v>1659</v>
      </c>
      <c r="Y1290" t="s">
        <v>1663</v>
      </c>
      <c r="Z1290">
        <v>0</v>
      </c>
    </row>
    <row r="1291" spans="1:26" x14ac:dyDescent="0.35">
      <c r="A1291" t="s">
        <v>1296</v>
      </c>
      <c r="B1291" s="6">
        <v>45328</v>
      </c>
      <c r="C1291" t="s">
        <v>23</v>
      </c>
      <c r="D1291">
        <v>34</v>
      </c>
      <c r="E1291" t="s">
        <v>62</v>
      </c>
      <c r="F1291" t="s">
        <v>25</v>
      </c>
      <c r="G1291" t="s">
        <v>58</v>
      </c>
      <c r="H1291" t="s">
        <v>27</v>
      </c>
      <c r="I1291" t="s">
        <v>33</v>
      </c>
      <c r="J1291" t="s">
        <v>1636</v>
      </c>
      <c r="K1291" t="s">
        <v>34</v>
      </c>
      <c r="L1291">
        <v>132000</v>
      </c>
      <c r="M1291">
        <v>8.3000000000000007</v>
      </c>
      <c r="N1291">
        <v>8.6999999999999993</v>
      </c>
      <c r="O1291">
        <v>1.9</v>
      </c>
      <c r="P1291">
        <v>0.2</v>
      </c>
      <c r="Q1291">
        <v>4</v>
      </c>
      <c r="R1291">
        <v>1</v>
      </c>
      <c r="S1291">
        <v>2</v>
      </c>
      <c r="T1291" t="s">
        <v>23</v>
      </c>
      <c r="U1291">
        <v>5</v>
      </c>
      <c r="W1291" t="s">
        <v>1650</v>
      </c>
      <c r="X1291" t="s">
        <v>1658</v>
      </c>
      <c r="Y1291" t="s">
        <v>1665</v>
      </c>
      <c r="Z1291">
        <v>0</v>
      </c>
    </row>
    <row r="1292" spans="1:26" x14ac:dyDescent="0.35">
      <c r="A1292" t="s">
        <v>530</v>
      </c>
      <c r="B1292" s="6">
        <v>44600</v>
      </c>
      <c r="C1292" t="s">
        <v>23</v>
      </c>
      <c r="D1292">
        <v>35</v>
      </c>
      <c r="E1292" t="s">
        <v>24</v>
      </c>
      <c r="F1292" t="s">
        <v>25</v>
      </c>
      <c r="G1292" t="s">
        <v>32</v>
      </c>
      <c r="H1292" t="s">
        <v>1634</v>
      </c>
      <c r="I1292" t="s">
        <v>75</v>
      </c>
      <c r="J1292" t="s">
        <v>1633</v>
      </c>
      <c r="K1292" t="s">
        <v>84</v>
      </c>
      <c r="L1292">
        <v>33000</v>
      </c>
      <c r="M1292">
        <v>8.6</v>
      </c>
      <c r="N1292">
        <v>10.199999999999999</v>
      </c>
      <c r="O1292">
        <v>3.9</v>
      </c>
      <c r="P1292">
        <v>1.5</v>
      </c>
      <c r="Q1292">
        <v>3</v>
      </c>
      <c r="R1292">
        <v>2</v>
      </c>
      <c r="S1292">
        <v>3</v>
      </c>
      <c r="T1292" t="s">
        <v>23</v>
      </c>
      <c r="U1292">
        <v>3</v>
      </c>
      <c r="W1292" t="s">
        <v>1650</v>
      </c>
      <c r="X1292" t="s">
        <v>1655</v>
      </c>
      <c r="Y1292" t="s">
        <v>1661</v>
      </c>
      <c r="Z1292">
        <v>0</v>
      </c>
    </row>
    <row r="1293" spans="1:26" x14ac:dyDescent="0.35">
      <c r="A1293" t="s">
        <v>262</v>
      </c>
      <c r="B1293" s="6">
        <v>41770</v>
      </c>
      <c r="C1293" t="s">
        <v>23</v>
      </c>
      <c r="D1293">
        <v>39</v>
      </c>
      <c r="E1293" t="s">
        <v>36</v>
      </c>
      <c r="F1293" t="s">
        <v>37</v>
      </c>
      <c r="G1293" t="s">
        <v>32</v>
      </c>
      <c r="H1293" t="s">
        <v>38</v>
      </c>
      <c r="I1293" t="s">
        <v>52</v>
      </c>
      <c r="J1293" t="s">
        <v>1636</v>
      </c>
      <c r="K1293" t="s">
        <v>50</v>
      </c>
      <c r="L1293">
        <v>133000</v>
      </c>
      <c r="M1293">
        <v>7</v>
      </c>
      <c r="N1293">
        <v>13</v>
      </c>
      <c r="O1293">
        <v>11.6</v>
      </c>
      <c r="P1293">
        <v>5</v>
      </c>
      <c r="Q1293">
        <v>3</v>
      </c>
      <c r="R1293">
        <v>4</v>
      </c>
      <c r="S1293">
        <v>1</v>
      </c>
      <c r="T1293" t="s">
        <v>23</v>
      </c>
      <c r="U1293">
        <v>4</v>
      </c>
      <c r="W1293" t="s">
        <v>1649</v>
      </c>
      <c r="X1293" t="s">
        <v>1658</v>
      </c>
      <c r="Y1293" t="s">
        <v>1663</v>
      </c>
      <c r="Z1293">
        <v>0</v>
      </c>
    </row>
    <row r="1294" spans="1:26" x14ac:dyDescent="0.35">
      <c r="A1294" t="s">
        <v>688</v>
      </c>
      <c r="B1294" s="6">
        <v>43722</v>
      </c>
      <c r="C1294" t="s">
        <v>30</v>
      </c>
      <c r="D1294">
        <v>28</v>
      </c>
      <c r="E1294" t="s">
        <v>62</v>
      </c>
      <c r="F1294" t="s">
        <v>42</v>
      </c>
      <c r="G1294" t="s">
        <v>58</v>
      </c>
      <c r="H1294" t="s">
        <v>1634</v>
      </c>
      <c r="I1294" t="s">
        <v>75</v>
      </c>
      <c r="J1294" t="s">
        <v>1636</v>
      </c>
      <c r="K1294" t="s">
        <v>29</v>
      </c>
      <c r="L1294">
        <v>98000</v>
      </c>
      <c r="N1294">
        <v>9.9</v>
      </c>
      <c r="O1294">
        <v>5.9</v>
      </c>
      <c r="P1294">
        <v>2.5</v>
      </c>
      <c r="Q1294">
        <v>4</v>
      </c>
      <c r="R1294">
        <v>3</v>
      </c>
      <c r="S1294">
        <v>3</v>
      </c>
      <c r="T1294" t="s">
        <v>30</v>
      </c>
      <c r="U1294">
        <v>4</v>
      </c>
      <c r="V1294" s="7">
        <v>45895</v>
      </c>
      <c r="W1294" t="s">
        <v>1650</v>
      </c>
      <c r="X1294" t="s">
        <v>1657</v>
      </c>
      <c r="Y1294" t="s">
        <v>1661</v>
      </c>
      <c r="Z1294">
        <v>1</v>
      </c>
    </row>
    <row r="1295" spans="1:26" x14ac:dyDescent="0.35">
      <c r="A1295" t="s">
        <v>1169</v>
      </c>
      <c r="B1295" s="6">
        <v>45307</v>
      </c>
      <c r="C1295" t="s">
        <v>23</v>
      </c>
      <c r="D1295">
        <v>30</v>
      </c>
      <c r="E1295" t="s">
        <v>36</v>
      </c>
      <c r="F1295" t="s">
        <v>42</v>
      </c>
      <c r="G1295" t="s">
        <v>58</v>
      </c>
      <c r="H1295" t="s">
        <v>45</v>
      </c>
      <c r="I1295" t="s">
        <v>77</v>
      </c>
      <c r="J1295" t="s">
        <v>1635</v>
      </c>
      <c r="K1295" t="s">
        <v>66</v>
      </c>
      <c r="L1295">
        <v>63000</v>
      </c>
      <c r="M1295">
        <v>11.2</v>
      </c>
      <c r="N1295">
        <v>4.7</v>
      </c>
      <c r="O1295">
        <v>2</v>
      </c>
      <c r="P1295">
        <v>1.4</v>
      </c>
      <c r="Q1295">
        <v>3</v>
      </c>
      <c r="R1295">
        <v>3</v>
      </c>
      <c r="S1295">
        <v>3</v>
      </c>
      <c r="T1295" t="s">
        <v>23</v>
      </c>
      <c r="U1295">
        <v>5</v>
      </c>
      <c r="W1295" t="s">
        <v>1650</v>
      </c>
      <c r="X1295" t="s">
        <v>1659</v>
      </c>
      <c r="Y1295" t="s">
        <v>1665</v>
      </c>
      <c r="Z1295">
        <v>0</v>
      </c>
    </row>
    <row r="1296" spans="1:26" x14ac:dyDescent="0.35">
      <c r="A1296" t="s">
        <v>1017</v>
      </c>
      <c r="B1296" s="6">
        <v>45823</v>
      </c>
      <c r="C1296" t="s">
        <v>23</v>
      </c>
      <c r="D1296">
        <v>24</v>
      </c>
      <c r="E1296" t="s">
        <v>36</v>
      </c>
      <c r="F1296" t="s">
        <v>37</v>
      </c>
      <c r="G1296" t="s">
        <v>58</v>
      </c>
      <c r="H1296" t="s">
        <v>38</v>
      </c>
      <c r="I1296" t="s">
        <v>52</v>
      </c>
      <c r="J1296" t="s">
        <v>1632</v>
      </c>
      <c r="K1296" t="s">
        <v>29</v>
      </c>
      <c r="L1296">
        <v>22000</v>
      </c>
      <c r="M1296">
        <v>8.5</v>
      </c>
      <c r="N1296">
        <v>0.9</v>
      </c>
      <c r="O1296">
        <v>0.5</v>
      </c>
      <c r="P1296">
        <v>0</v>
      </c>
      <c r="Q1296">
        <v>1</v>
      </c>
      <c r="R1296">
        <v>2</v>
      </c>
      <c r="S1296">
        <v>3</v>
      </c>
      <c r="T1296" t="s">
        <v>23</v>
      </c>
      <c r="U1296">
        <v>3</v>
      </c>
      <c r="W1296" t="s">
        <v>1651</v>
      </c>
      <c r="X1296" t="s">
        <v>1655</v>
      </c>
      <c r="Y1296" t="s">
        <v>1664</v>
      </c>
      <c r="Z1296">
        <v>0</v>
      </c>
    </row>
    <row r="1297" spans="1:26" x14ac:dyDescent="0.35">
      <c r="A1297" t="s">
        <v>734</v>
      </c>
      <c r="B1297" s="6">
        <v>44641</v>
      </c>
      <c r="C1297" t="s">
        <v>23</v>
      </c>
      <c r="D1297">
        <v>35</v>
      </c>
      <c r="E1297" t="s">
        <v>62</v>
      </c>
      <c r="F1297" t="s">
        <v>25</v>
      </c>
      <c r="G1297" t="s">
        <v>54</v>
      </c>
      <c r="H1297" t="s">
        <v>55</v>
      </c>
      <c r="I1297" t="s">
        <v>88</v>
      </c>
      <c r="J1297" t="s">
        <v>1635</v>
      </c>
      <c r="K1297" t="s">
        <v>40</v>
      </c>
      <c r="L1297">
        <v>86000</v>
      </c>
      <c r="M1297">
        <v>8.1999999999999993</v>
      </c>
      <c r="N1297">
        <v>6.1</v>
      </c>
      <c r="O1297">
        <v>3.8</v>
      </c>
      <c r="P1297">
        <v>3.2</v>
      </c>
      <c r="Q1297">
        <v>4</v>
      </c>
      <c r="R1297">
        <v>4</v>
      </c>
      <c r="S1297">
        <v>2</v>
      </c>
      <c r="T1297" t="s">
        <v>23</v>
      </c>
      <c r="U1297">
        <v>4</v>
      </c>
      <c r="W1297" t="s">
        <v>1650</v>
      </c>
      <c r="X1297" t="s">
        <v>1657</v>
      </c>
      <c r="Y1297" t="s">
        <v>1661</v>
      </c>
      <c r="Z1297">
        <v>0</v>
      </c>
    </row>
    <row r="1298" spans="1:26" x14ac:dyDescent="0.35">
      <c r="A1298" t="s">
        <v>196</v>
      </c>
      <c r="B1298" s="6">
        <v>43336</v>
      </c>
      <c r="C1298" t="s">
        <v>23</v>
      </c>
      <c r="D1298">
        <v>40</v>
      </c>
      <c r="E1298" t="s">
        <v>24</v>
      </c>
      <c r="F1298" t="s">
        <v>25</v>
      </c>
      <c r="G1298" t="s">
        <v>32</v>
      </c>
      <c r="H1298" t="s">
        <v>68</v>
      </c>
      <c r="I1298" t="s">
        <v>69</v>
      </c>
      <c r="J1298" t="s">
        <v>1636</v>
      </c>
      <c r="K1298" t="s">
        <v>40</v>
      </c>
      <c r="L1298">
        <v>93000</v>
      </c>
      <c r="M1298">
        <v>7.5</v>
      </c>
      <c r="N1298">
        <v>7.6</v>
      </c>
      <c r="O1298">
        <v>7.4</v>
      </c>
      <c r="P1298">
        <v>1.2</v>
      </c>
      <c r="Q1298">
        <v>2</v>
      </c>
      <c r="R1298">
        <v>3</v>
      </c>
      <c r="S1298">
        <v>3</v>
      </c>
      <c r="T1298" t="s">
        <v>30</v>
      </c>
      <c r="U1298">
        <v>5</v>
      </c>
      <c r="W1298" t="s">
        <v>1649</v>
      </c>
      <c r="X1298" t="s">
        <v>1657</v>
      </c>
      <c r="Y1298" t="s">
        <v>1662</v>
      </c>
      <c r="Z1298">
        <v>0</v>
      </c>
    </row>
    <row r="1299" spans="1:26" x14ac:dyDescent="0.35">
      <c r="A1299" t="s">
        <v>1237</v>
      </c>
      <c r="B1299" s="6">
        <v>44868</v>
      </c>
      <c r="C1299" t="s">
        <v>23</v>
      </c>
      <c r="D1299">
        <v>27</v>
      </c>
      <c r="E1299" t="s">
        <v>36</v>
      </c>
      <c r="F1299" t="s">
        <v>37</v>
      </c>
      <c r="G1299" t="s">
        <v>26</v>
      </c>
      <c r="H1299" t="s">
        <v>1634</v>
      </c>
      <c r="I1299" t="s">
        <v>86</v>
      </c>
      <c r="J1299" t="s">
        <v>1632</v>
      </c>
      <c r="K1299" t="s">
        <v>84</v>
      </c>
      <c r="L1299">
        <v>48000</v>
      </c>
      <c r="M1299">
        <v>6.5</v>
      </c>
      <c r="N1299">
        <v>4.5999999999999996</v>
      </c>
      <c r="O1299">
        <v>3.2</v>
      </c>
      <c r="P1299">
        <v>2.9</v>
      </c>
      <c r="Q1299">
        <v>3</v>
      </c>
      <c r="R1299">
        <v>1</v>
      </c>
      <c r="S1299">
        <v>4</v>
      </c>
      <c r="T1299" t="s">
        <v>30</v>
      </c>
      <c r="U1299">
        <v>3</v>
      </c>
      <c r="W1299" t="s">
        <v>1650</v>
      </c>
      <c r="X1299" t="s">
        <v>1656</v>
      </c>
      <c r="Y1299" t="s">
        <v>1661</v>
      </c>
      <c r="Z1299">
        <v>0</v>
      </c>
    </row>
    <row r="1300" spans="1:26" x14ac:dyDescent="0.35">
      <c r="A1300" t="s">
        <v>1249</v>
      </c>
      <c r="B1300" s="6">
        <v>42989</v>
      </c>
      <c r="C1300" t="s">
        <v>23</v>
      </c>
      <c r="D1300">
        <v>37</v>
      </c>
      <c r="E1300" t="s">
        <v>62</v>
      </c>
      <c r="F1300" t="s">
        <v>37</v>
      </c>
      <c r="G1300" t="s">
        <v>26</v>
      </c>
      <c r="H1300" t="s">
        <v>1634</v>
      </c>
      <c r="I1300" t="s">
        <v>60</v>
      </c>
      <c r="J1300" t="s">
        <v>1633</v>
      </c>
      <c r="K1300" t="s">
        <v>66</v>
      </c>
      <c r="L1300">
        <v>46000</v>
      </c>
      <c r="M1300">
        <v>1.6</v>
      </c>
      <c r="N1300">
        <v>11.6</v>
      </c>
      <c r="O1300">
        <v>8.3000000000000007</v>
      </c>
      <c r="P1300">
        <v>5</v>
      </c>
      <c r="Q1300">
        <v>2</v>
      </c>
      <c r="R1300">
        <v>2</v>
      </c>
      <c r="S1300">
        <v>3</v>
      </c>
      <c r="T1300" t="s">
        <v>23</v>
      </c>
      <c r="U1300">
        <v>3</v>
      </c>
      <c r="W1300" t="s">
        <v>1649</v>
      </c>
      <c r="X1300" t="s">
        <v>1656</v>
      </c>
      <c r="Y1300" t="s">
        <v>1662</v>
      </c>
      <c r="Z1300">
        <v>0</v>
      </c>
    </row>
    <row r="1301" spans="1:26" x14ac:dyDescent="0.35">
      <c r="A1301" t="s">
        <v>758</v>
      </c>
      <c r="B1301" s="6">
        <v>42983</v>
      </c>
      <c r="C1301" t="s">
        <v>23</v>
      </c>
      <c r="D1301">
        <v>40</v>
      </c>
      <c r="E1301" t="s">
        <v>36</v>
      </c>
      <c r="F1301" t="s">
        <v>25</v>
      </c>
      <c r="G1301" t="s">
        <v>26</v>
      </c>
      <c r="H1301" t="s">
        <v>27</v>
      </c>
      <c r="I1301" t="s">
        <v>43</v>
      </c>
      <c r="J1301" t="s">
        <v>1633</v>
      </c>
      <c r="K1301" t="s">
        <v>84</v>
      </c>
      <c r="L1301">
        <v>48000</v>
      </c>
      <c r="M1301">
        <v>5.6</v>
      </c>
      <c r="N1301">
        <v>9</v>
      </c>
      <c r="O1301">
        <v>8.3000000000000007</v>
      </c>
      <c r="P1301">
        <v>2.9</v>
      </c>
      <c r="Q1301">
        <v>3</v>
      </c>
      <c r="R1301">
        <v>4</v>
      </c>
      <c r="S1301">
        <v>4</v>
      </c>
      <c r="T1301" t="s">
        <v>30</v>
      </c>
      <c r="U1301">
        <v>4</v>
      </c>
      <c r="W1301" t="s">
        <v>1649</v>
      </c>
      <c r="X1301" t="s">
        <v>1656</v>
      </c>
      <c r="Y1301" t="s">
        <v>1662</v>
      </c>
      <c r="Z1301">
        <v>0</v>
      </c>
    </row>
    <row r="1302" spans="1:26" x14ac:dyDescent="0.35">
      <c r="A1302" t="s">
        <v>1255</v>
      </c>
      <c r="B1302" s="6">
        <v>45379</v>
      </c>
      <c r="C1302" t="s">
        <v>23</v>
      </c>
      <c r="D1302">
        <v>31</v>
      </c>
      <c r="E1302" t="s">
        <v>62</v>
      </c>
      <c r="F1302" t="s">
        <v>37</v>
      </c>
      <c r="G1302" t="s">
        <v>26</v>
      </c>
      <c r="H1302" t="s">
        <v>55</v>
      </c>
      <c r="I1302" t="s">
        <v>179</v>
      </c>
      <c r="J1302" t="s">
        <v>1636</v>
      </c>
      <c r="K1302" t="s">
        <v>50</v>
      </c>
      <c r="L1302">
        <v>124000</v>
      </c>
      <c r="M1302">
        <v>9.6</v>
      </c>
      <c r="N1302">
        <v>8.1</v>
      </c>
      <c r="O1302">
        <v>1.8</v>
      </c>
      <c r="P1302">
        <v>0.5</v>
      </c>
      <c r="Q1302">
        <v>3</v>
      </c>
      <c r="R1302">
        <v>4</v>
      </c>
      <c r="S1302">
        <v>1</v>
      </c>
      <c r="T1302" t="s">
        <v>23</v>
      </c>
      <c r="U1302">
        <v>4</v>
      </c>
      <c r="W1302" t="s">
        <v>1650</v>
      </c>
      <c r="X1302" t="s">
        <v>1658</v>
      </c>
      <c r="Y1302" t="s">
        <v>1665</v>
      </c>
      <c r="Z1302">
        <v>0</v>
      </c>
    </row>
    <row r="1303" spans="1:26" x14ac:dyDescent="0.35">
      <c r="A1303" t="s">
        <v>1556</v>
      </c>
      <c r="B1303" s="6">
        <v>43445</v>
      </c>
      <c r="C1303" t="s">
        <v>23</v>
      </c>
      <c r="D1303">
        <v>50</v>
      </c>
      <c r="E1303" t="s">
        <v>62</v>
      </c>
      <c r="F1303" t="s">
        <v>42</v>
      </c>
      <c r="G1303" t="s">
        <v>58</v>
      </c>
      <c r="H1303" t="s">
        <v>38</v>
      </c>
      <c r="I1303" t="s">
        <v>39</v>
      </c>
      <c r="J1303" t="s">
        <v>1635</v>
      </c>
      <c r="K1303" t="s">
        <v>40</v>
      </c>
      <c r="L1303">
        <v>94000</v>
      </c>
      <c r="M1303">
        <v>13.6</v>
      </c>
      <c r="N1303">
        <v>12.7</v>
      </c>
      <c r="O1303">
        <v>7.1</v>
      </c>
      <c r="P1303">
        <v>1</v>
      </c>
      <c r="Q1303">
        <v>2</v>
      </c>
      <c r="R1303">
        <v>3</v>
      </c>
      <c r="S1303">
        <v>3</v>
      </c>
      <c r="T1303" t="s">
        <v>23</v>
      </c>
      <c r="U1303">
        <v>3</v>
      </c>
      <c r="W1303" t="s">
        <v>1652</v>
      </c>
      <c r="X1303" t="s">
        <v>1657</v>
      </c>
      <c r="Y1303" t="s">
        <v>1662</v>
      </c>
      <c r="Z1303">
        <v>0</v>
      </c>
    </row>
    <row r="1304" spans="1:26" x14ac:dyDescent="0.35">
      <c r="A1304" t="s">
        <v>184</v>
      </c>
      <c r="B1304" s="6">
        <v>45101</v>
      </c>
      <c r="C1304" t="s">
        <v>23</v>
      </c>
      <c r="D1304">
        <v>26</v>
      </c>
      <c r="E1304" t="s">
        <v>36</v>
      </c>
      <c r="F1304" t="s">
        <v>42</v>
      </c>
      <c r="G1304" t="s">
        <v>32</v>
      </c>
      <c r="H1304" t="s">
        <v>45</v>
      </c>
      <c r="I1304" t="s">
        <v>77</v>
      </c>
      <c r="J1304" t="s">
        <v>1632</v>
      </c>
      <c r="K1304" t="s">
        <v>66</v>
      </c>
      <c r="L1304">
        <v>32000</v>
      </c>
      <c r="M1304">
        <v>9.4</v>
      </c>
      <c r="N1304">
        <v>7.5</v>
      </c>
      <c r="O1304">
        <v>2.5</v>
      </c>
      <c r="P1304">
        <v>2.2999999999999998</v>
      </c>
      <c r="Q1304">
        <v>3</v>
      </c>
      <c r="R1304">
        <v>4</v>
      </c>
      <c r="S1304">
        <v>3</v>
      </c>
      <c r="T1304" t="s">
        <v>23</v>
      </c>
      <c r="U1304">
        <v>3</v>
      </c>
      <c r="W1304" t="s">
        <v>1650</v>
      </c>
      <c r="X1304" t="s">
        <v>1655</v>
      </c>
      <c r="Y1304" t="s">
        <v>1665</v>
      </c>
      <c r="Z1304">
        <v>0</v>
      </c>
    </row>
    <row r="1305" spans="1:26" x14ac:dyDescent="0.35">
      <c r="A1305" t="s">
        <v>614</v>
      </c>
      <c r="B1305" s="6">
        <v>42879</v>
      </c>
      <c r="C1305" t="s">
        <v>23</v>
      </c>
      <c r="D1305">
        <v>32</v>
      </c>
      <c r="E1305" t="s">
        <v>62</v>
      </c>
      <c r="F1305" t="s">
        <v>42</v>
      </c>
      <c r="G1305" t="s">
        <v>26</v>
      </c>
      <c r="H1305" t="s">
        <v>68</v>
      </c>
      <c r="I1305" t="s">
        <v>121</v>
      </c>
      <c r="J1305" t="s">
        <v>1633</v>
      </c>
      <c r="K1305" t="s">
        <v>40</v>
      </c>
      <c r="L1305">
        <v>56000</v>
      </c>
      <c r="M1305">
        <v>10.4</v>
      </c>
      <c r="N1305">
        <v>14.5</v>
      </c>
      <c r="O1305">
        <v>8.6</v>
      </c>
      <c r="P1305">
        <v>5.0999999999999996</v>
      </c>
      <c r="Q1305">
        <v>3</v>
      </c>
      <c r="R1305">
        <v>1</v>
      </c>
      <c r="S1305">
        <v>2</v>
      </c>
      <c r="T1305" t="s">
        <v>23</v>
      </c>
      <c r="U1305">
        <v>3</v>
      </c>
      <c r="W1305" t="s">
        <v>1650</v>
      </c>
      <c r="X1305" t="s">
        <v>1656</v>
      </c>
      <c r="Y1305" t="s">
        <v>1662</v>
      </c>
      <c r="Z1305">
        <v>0</v>
      </c>
    </row>
    <row r="1306" spans="1:26" x14ac:dyDescent="0.35">
      <c r="A1306" t="s">
        <v>745</v>
      </c>
      <c r="B1306" s="6">
        <v>42036</v>
      </c>
      <c r="C1306" t="s">
        <v>30</v>
      </c>
      <c r="D1306">
        <v>35</v>
      </c>
      <c r="E1306" t="s">
        <v>24</v>
      </c>
      <c r="F1306" t="s">
        <v>42</v>
      </c>
      <c r="G1306" t="s">
        <v>32</v>
      </c>
      <c r="H1306" t="s">
        <v>68</v>
      </c>
      <c r="I1306" t="s">
        <v>109</v>
      </c>
      <c r="J1306" t="s">
        <v>1635</v>
      </c>
      <c r="K1306" t="s">
        <v>34</v>
      </c>
      <c r="L1306">
        <v>72000</v>
      </c>
      <c r="M1306">
        <v>6.9</v>
      </c>
      <c r="N1306">
        <v>16.399999999999999</v>
      </c>
      <c r="O1306">
        <v>10.4</v>
      </c>
      <c r="P1306">
        <v>3.2</v>
      </c>
      <c r="Q1306">
        <v>2</v>
      </c>
      <c r="R1306">
        <v>4</v>
      </c>
      <c r="S1306">
        <v>3</v>
      </c>
      <c r="T1306" t="s">
        <v>23</v>
      </c>
      <c r="U1306">
        <v>3</v>
      </c>
      <c r="V1306" s="7">
        <v>45826</v>
      </c>
      <c r="W1306" t="s">
        <v>1650</v>
      </c>
      <c r="X1306" t="s">
        <v>1659</v>
      </c>
      <c r="Y1306" t="s">
        <v>1663</v>
      </c>
      <c r="Z1306">
        <v>1</v>
      </c>
    </row>
    <row r="1307" spans="1:26" x14ac:dyDescent="0.35">
      <c r="A1307" t="s">
        <v>215</v>
      </c>
      <c r="B1307" s="6">
        <v>44241</v>
      </c>
      <c r="C1307" t="s">
        <v>23</v>
      </c>
      <c r="D1307">
        <v>45</v>
      </c>
      <c r="E1307" t="s">
        <v>24</v>
      </c>
      <c r="F1307" t="s">
        <v>37</v>
      </c>
      <c r="G1307" t="s">
        <v>32</v>
      </c>
      <c r="H1307" t="s">
        <v>48</v>
      </c>
      <c r="I1307" t="s">
        <v>49</v>
      </c>
      <c r="J1307" t="s">
        <v>1635</v>
      </c>
      <c r="K1307" t="s">
        <v>66</v>
      </c>
      <c r="L1307">
        <v>80000</v>
      </c>
      <c r="M1307">
        <v>8.1</v>
      </c>
      <c r="N1307">
        <v>10</v>
      </c>
      <c r="O1307">
        <v>4.9000000000000004</v>
      </c>
      <c r="P1307">
        <v>1</v>
      </c>
      <c r="Q1307">
        <v>2</v>
      </c>
      <c r="R1307">
        <v>3</v>
      </c>
      <c r="S1307">
        <v>3</v>
      </c>
      <c r="T1307" t="s">
        <v>23</v>
      </c>
      <c r="U1307">
        <v>4</v>
      </c>
      <c r="W1307" t="s">
        <v>1649</v>
      </c>
      <c r="X1307" t="s">
        <v>1657</v>
      </c>
      <c r="Y1307" t="s">
        <v>1661</v>
      </c>
      <c r="Z1307">
        <v>0</v>
      </c>
    </row>
    <row r="1308" spans="1:26" x14ac:dyDescent="0.35">
      <c r="A1308" t="s">
        <v>696</v>
      </c>
      <c r="B1308" s="6">
        <v>41997</v>
      </c>
      <c r="C1308" t="s">
        <v>30</v>
      </c>
      <c r="D1308">
        <v>54</v>
      </c>
      <c r="E1308" t="s">
        <v>24</v>
      </c>
      <c r="F1308" t="s">
        <v>42</v>
      </c>
      <c r="G1308" t="s">
        <v>54</v>
      </c>
      <c r="H1308" t="s">
        <v>48</v>
      </c>
      <c r="I1308" t="s">
        <v>63</v>
      </c>
      <c r="J1308" t="s">
        <v>1633</v>
      </c>
      <c r="K1308" t="s">
        <v>66</v>
      </c>
      <c r="L1308">
        <v>45000</v>
      </c>
      <c r="M1308">
        <v>7.3</v>
      </c>
      <c r="N1308">
        <v>16.100000000000001</v>
      </c>
      <c r="O1308">
        <v>10.9</v>
      </c>
      <c r="P1308">
        <v>5.2</v>
      </c>
      <c r="Q1308">
        <v>4</v>
      </c>
      <c r="R1308">
        <v>4</v>
      </c>
      <c r="S1308">
        <v>3</v>
      </c>
      <c r="T1308" t="s">
        <v>23</v>
      </c>
      <c r="U1308">
        <v>4</v>
      </c>
      <c r="V1308" s="7">
        <v>45974</v>
      </c>
      <c r="W1308" t="s">
        <v>1652</v>
      </c>
      <c r="X1308" t="s">
        <v>1656</v>
      </c>
      <c r="Y1308" t="s">
        <v>1663</v>
      </c>
      <c r="Z1308">
        <v>1</v>
      </c>
    </row>
    <row r="1309" spans="1:26" x14ac:dyDescent="0.35">
      <c r="A1309" t="s">
        <v>925</v>
      </c>
      <c r="B1309" s="6">
        <v>43519</v>
      </c>
      <c r="C1309" t="s">
        <v>23</v>
      </c>
      <c r="D1309">
        <v>37</v>
      </c>
      <c r="E1309" t="s">
        <v>62</v>
      </c>
      <c r="F1309" t="s">
        <v>37</v>
      </c>
      <c r="G1309" t="s">
        <v>54</v>
      </c>
      <c r="H1309" t="s">
        <v>38</v>
      </c>
      <c r="I1309" t="s">
        <v>39</v>
      </c>
      <c r="J1309" t="s">
        <v>1633</v>
      </c>
      <c r="K1309" t="s">
        <v>29</v>
      </c>
      <c r="L1309">
        <v>68000</v>
      </c>
      <c r="M1309">
        <v>16.2</v>
      </c>
      <c r="N1309">
        <v>13.4</v>
      </c>
      <c r="O1309">
        <v>6.9</v>
      </c>
      <c r="P1309">
        <v>2.2000000000000002</v>
      </c>
      <c r="Q1309">
        <v>3</v>
      </c>
      <c r="R1309">
        <v>3</v>
      </c>
      <c r="S1309">
        <v>3</v>
      </c>
      <c r="T1309" t="s">
        <v>23</v>
      </c>
      <c r="U1309">
        <v>4</v>
      </c>
      <c r="W1309" t="s">
        <v>1649</v>
      </c>
      <c r="X1309" t="s">
        <v>1659</v>
      </c>
      <c r="Y1309" t="s">
        <v>1662</v>
      </c>
      <c r="Z1309">
        <v>0</v>
      </c>
    </row>
    <row r="1310" spans="1:26" x14ac:dyDescent="0.35">
      <c r="A1310" t="s">
        <v>1294</v>
      </c>
      <c r="B1310" s="6">
        <v>45507</v>
      </c>
      <c r="C1310" t="s">
        <v>23</v>
      </c>
      <c r="D1310">
        <v>26</v>
      </c>
      <c r="E1310" t="s">
        <v>62</v>
      </c>
      <c r="F1310" t="s">
        <v>37</v>
      </c>
      <c r="G1310" t="s">
        <v>54</v>
      </c>
      <c r="H1310" t="s">
        <v>38</v>
      </c>
      <c r="I1310" t="s">
        <v>39</v>
      </c>
      <c r="J1310" t="s">
        <v>1632</v>
      </c>
      <c r="K1310" t="s">
        <v>84</v>
      </c>
      <c r="L1310">
        <v>35000</v>
      </c>
      <c r="M1310">
        <v>10.199999999999999</v>
      </c>
      <c r="N1310">
        <v>2.4</v>
      </c>
      <c r="O1310">
        <v>1.4</v>
      </c>
      <c r="P1310">
        <v>0.3</v>
      </c>
      <c r="Q1310">
        <v>1</v>
      </c>
      <c r="R1310">
        <v>3</v>
      </c>
      <c r="S1310">
        <v>1</v>
      </c>
      <c r="T1310" t="s">
        <v>23</v>
      </c>
      <c r="U1310">
        <v>5</v>
      </c>
      <c r="W1310" t="s">
        <v>1650</v>
      </c>
      <c r="X1310" t="s">
        <v>1655</v>
      </c>
      <c r="Y1310" t="s">
        <v>1665</v>
      </c>
      <c r="Z1310">
        <v>0</v>
      </c>
    </row>
    <row r="1311" spans="1:26" x14ac:dyDescent="0.35">
      <c r="A1311" t="s">
        <v>363</v>
      </c>
      <c r="B1311" s="6">
        <v>45568</v>
      </c>
      <c r="C1311" t="s">
        <v>23</v>
      </c>
      <c r="D1311">
        <v>23</v>
      </c>
      <c r="E1311" t="s">
        <v>24</v>
      </c>
      <c r="F1311" t="s">
        <v>37</v>
      </c>
      <c r="G1311" t="s">
        <v>58</v>
      </c>
      <c r="H1311" t="s">
        <v>55</v>
      </c>
      <c r="I1311" t="s">
        <v>88</v>
      </c>
      <c r="J1311" t="s">
        <v>1632</v>
      </c>
      <c r="K1311" t="s">
        <v>84</v>
      </c>
      <c r="L1311">
        <v>50000</v>
      </c>
      <c r="M1311">
        <v>9.6999999999999993</v>
      </c>
      <c r="N1311">
        <v>6.8</v>
      </c>
      <c r="O1311">
        <v>1.2</v>
      </c>
      <c r="P1311">
        <v>0.4</v>
      </c>
      <c r="Q1311">
        <v>3</v>
      </c>
      <c r="R1311">
        <v>3</v>
      </c>
      <c r="S1311">
        <v>2</v>
      </c>
      <c r="T1311" t="s">
        <v>30</v>
      </c>
      <c r="U1311">
        <v>3</v>
      </c>
      <c r="W1311" t="s">
        <v>1651</v>
      </c>
      <c r="X1311" t="s">
        <v>1656</v>
      </c>
      <c r="Y1311" t="s">
        <v>1665</v>
      </c>
      <c r="Z1311">
        <v>0</v>
      </c>
    </row>
    <row r="1312" spans="1:26" x14ac:dyDescent="0.35">
      <c r="A1312" t="s">
        <v>1221</v>
      </c>
      <c r="B1312" s="6">
        <v>42859</v>
      </c>
      <c r="C1312" t="s">
        <v>23</v>
      </c>
      <c r="D1312">
        <v>32</v>
      </c>
      <c r="E1312" t="s">
        <v>36</v>
      </c>
      <c r="F1312" t="s">
        <v>37</v>
      </c>
      <c r="G1312" t="s">
        <v>32</v>
      </c>
      <c r="H1312" t="s">
        <v>38</v>
      </c>
      <c r="I1312" t="s">
        <v>139</v>
      </c>
      <c r="J1312" t="s">
        <v>1633</v>
      </c>
      <c r="K1312" t="s">
        <v>29</v>
      </c>
      <c r="L1312">
        <v>52000</v>
      </c>
      <c r="M1312">
        <v>12</v>
      </c>
      <c r="N1312">
        <v>14.2</v>
      </c>
      <c r="O1312">
        <v>8.6999999999999993</v>
      </c>
      <c r="P1312">
        <v>4.7</v>
      </c>
      <c r="Q1312">
        <v>1</v>
      </c>
      <c r="R1312">
        <v>3</v>
      </c>
      <c r="S1312">
        <v>3</v>
      </c>
      <c r="T1312" t="s">
        <v>30</v>
      </c>
      <c r="U1312">
        <v>3</v>
      </c>
      <c r="W1312" t="s">
        <v>1650</v>
      </c>
      <c r="X1312" t="s">
        <v>1656</v>
      </c>
      <c r="Y1312" t="s">
        <v>1662</v>
      </c>
      <c r="Z1312">
        <v>0</v>
      </c>
    </row>
    <row r="1313" spans="1:26" x14ac:dyDescent="0.35">
      <c r="A1313" t="s">
        <v>637</v>
      </c>
      <c r="B1313" s="6">
        <v>45020</v>
      </c>
      <c r="C1313" t="s">
        <v>23</v>
      </c>
      <c r="D1313">
        <v>40</v>
      </c>
      <c r="E1313" t="s">
        <v>36</v>
      </c>
      <c r="F1313" t="s">
        <v>37</v>
      </c>
      <c r="G1313" t="s">
        <v>58</v>
      </c>
      <c r="H1313" t="s">
        <v>68</v>
      </c>
      <c r="I1313" t="s">
        <v>121</v>
      </c>
      <c r="J1313" t="s">
        <v>1635</v>
      </c>
      <c r="K1313" t="s">
        <v>29</v>
      </c>
      <c r="L1313">
        <v>77000</v>
      </c>
      <c r="M1313">
        <v>6.6</v>
      </c>
      <c r="N1313">
        <v>7.8</v>
      </c>
      <c r="O1313">
        <v>2.7</v>
      </c>
      <c r="P1313">
        <v>1.5</v>
      </c>
      <c r="Q1313">
        <v>3</v>
      </c>
      <c r="R1313">
        <v>4</v>
      </c>
      <c r="S1313">
        <v>4</v>
      </c>
      <c r="T1313" t="s">
        <v>30</v>
      </c>
      <c r="U1313">
        <v>4</v>
      </c>
      <c r="W1313" t="s">
        <v>1649</v>
      </c>
      <c r="X1313" t="s">
        <v>1659</v>
      </c>
      <c r="Y1313" t="s">
        <v>1665</v>
      </c>
      <c r="Z1313">
        <v>0</v>
      </c>
    </row>
    <row r="1314" spans="1:26" x14ac:dyDescent="0.35">
      <c r="A1314" t="s">
        <v>1279</v>
      </c>
      <c r="B1314" s="6">
        <v>45546</v>
      </c>
      <c r="C1314" t="s">
        <v>23</v>
      </c>
      <c r="D1314">
        <v>39</v>
      </c>
      <c r="E1314" t="s">
        <v>36</v>
      </c>
      <c r="F1314" t="s">
        <v>42</v>
      </c>
      <c r="G1314" t="s">
        <v>32</v>
      </c>
      <c r="H1314" t="s">
        <v>68</v>
      </c>
      <c r="I1314" t="s">
        <v>121</v>
      </c>
      <c r="J1314" t="s">
        <v>1635</v>
      </c>
      <c r="K1314" t="s">
        <v>34</v>
      </c>
      <c r="L1314">
        <v>81000</v>
      </c>
      <c r="M1314">
        <v>5.0999999999999996</v>
      </c>
      <c r="N1314">
        <v>6</v>
      </c>
      <c r="O1314">
        <v>1.3</v>
      </c>
      <c r="P1314">
        <v>0.7</v>
      </c>
      <c r="Q1314">
        <v>3</v>
      </c>
      <c r="R1314">
        <v>3</v>
      </c>
      <c r="S1314">
        <v>4</v>
      </c>
      <c r="T1314" t="s">
        <v>23</v>
      </c>
      <c r="U1314">
        <v>2</v>
      </c>
      <c r="W1314" t="s">
        <v>1649</v>
      </c>
      <c r="X1314" t="s">
        <v>1657</v>
      </c>
      <c r="Y1314" t="s">
        <v>1665</v>
      </c>
      <c r="Z1314">
        <v>0</v>
      </c>
    </row>
    <row r="1315" spans="1:26" x14ac:dyDescent="0.35">
      <c r="A1315" t="s">
        <v>1391</v>
      </c>
      <c r="B1315" s="6">
        <v>42943</v>
      </c>
      <c r="C1315" t="s">
        <v>23</v>
      </c>
      <c r="D1315">
        <v>30</v>
      </c>
      <c r="E1315" t="s">
        <v>36</v>
      </c>
      <c r="F1315" t="s">
        <v>37</v>
      </c>
      <c r="G1315" t="s">
        <v>58</v>
      </c>
      <c r="H1315" t="s">
        <v>45</v>
      </c>
      <c r="I1315" t="s">
        <v>164</v>
      </c>
      <c r="J1315" t="s">
        <v>1635</v>
      </c>
      <c r="K1315" t="s">
        <v>40</v>
      </c>
      <c r="L1315">
        <v>59000</v>
      </c>
      <c r="M1315">
        <v>5.7</v>
      </c>
      <c r="N1315">
        <v>8.6999999999999993</v>
      </c>
      <c r="O1315">
        <v>8.4</v>
      </c>
      <c r="P1315">
        <v>1</v>
      </c>
      <c r="Q1315">
        <v>3</v>
      </c>
      <c r="R1315">
        <v>3</v>
      </c>
      <c r="S1315">
        <v>4</v>
      </c>
      <c r="T1315" t="s">
        <v>23</v>
      </c>
      <c r="U1315">
        <v>4</v>
      </c>
      <c r="W1315" t="s">
        <v>1650</v>
      </c>
      <c r="X1315" t="s">
        <v>1656</v>
      </c>
      <c r="Y1315" t="s">
        <v>1662</v>
      </c>
      <c r="Z1315">
        <v>0</v>
      </c>
    </row>
    <row r="1316" spans="1:26" x14ac:dyDescent="0.35">
      <c r="A1316" t="s">
        <v>380</v>
      </c>
      <c r="B1316" s="6">
        <v>44575</v>
      </c>
      <c r="C1316" t="s">
        <v>23</v>
      </c>
      <c r="D1316">
        <v>30</v>
      </c>
      <c r="E1316" t="s">
        <v>36</v>
      </c>
      <c r="F1316" t="s">
        <v>25</v>
      </c>
      <c r="G1316" t="s">
        <v>32</v>
      </c>
      <c r="H1316" t="s">
        <v>68</v>
      </c>
      <c r="I1316" t="s">
        <v>109</v>
      </c>
      <c r="J1316" t="s">
        <v>1635</v>
      </c>
      <c r="K1316" t="s">
        <v>84</v>
      </c>
      <c r="L1316">
        <v>70000</v>
      </c>
      <c r="M1316">
        <v>2.5</v>
      </c>
      <c r="N1316">
        <v>7.3</v>
      </c>
      <c r="O1316">
        <v>4</v>
      </c>
      <c r="P1316">
        <v>0.1</v>
      </c>
      <c r="Q1316">
        <v>1</v>
      </c>
      <c r="R1316">
        <v>2</v>
      </c>
      <c r="S1316">
        <v>4</v>
      </c>
      <c r="T1316" t="s">
        <v>30</v>
      </c>
      <c r="U1316">
        <v>3</v>
      </c>
      <c r="W1316" t="s">
        <v>1650</v>
      </c>
      <c r="X1316" t="s">
        <v>1659</v>
      </c>
      <c r="Y1316" t="s">
        <v>1661</v>
      </c>
      <c r="Z1316">
        <v>0</v>
      </c>
    </row>
    <row r="1317" spans="1:26" x14ac:dyDescent="0.35">
      <c r="A1317" t="s">
        <v>251</v>
      </c>
      <c r="B1317" s="6">
        <v>44778</v>
      </c>
      <c r="C1317" t="s">
        <v>30</v>
      </c>
      <c r="D1317">
        <v>42</v>
      </c>
      <c r="E1317" t="s">
        <v>36</v>
      </c>
      <c r="F1317" t="s">
        <v>42</v>
      </c>
      <c r="G1317" t="s">
        <v>32</v>
      </c>
      <c r="H1317" t="s">
        <v>27</v>
      </c>
      <c r="I1317" t="s">
        <v>28</v>
      </c>
      <c r="J1317" t="s">
        <v>1633</v>
      </c>
      <c r="K1317" t="s">
        <v>34</v>
      </c>
      <c r="L1317">
        <v>44000</v>
      </c>
      <c r="M1317">
        <v>10.1</v>
      </c>
      <c r="N1317">
        <v>7.8</v>
      </c>
      <c r="O1317">
        <v>3.3</v>
      </c>
      <c r="P1317">
        <v>0</v>
      </c>
      <c r="Q1317">
        <v>4</v>
      </c>
      <c r="R1317">
        <v>3</v>
      </c>
      <c r="S1317">
        <v>2</v>
      </c>
      <c r="T1317" t="s">
        <v>23</v>
      </c>
      <c r="U1317">
        <v>3</v>
      </c>
      <c r="V1317" s="7">
        <v>46000</v>
      </c>
      <c r="W1317" t="s">
        <v>1649</v>
      </c>
      <c r="X1317" t="s">
        <v>1656</v>
      </c>
      <c r="Y1317" t="s">
        <v>1661</v>
      </c>
      <c r="Z1317">
        <v>1</v>
      </c>
    </row>
    <row r="1318" spans="1:26" x14ac:dyDescent="0.35">
      <c r="A1318" t="s">
        <v>1275</v>
      </c>
      <c r="B1318" s="6">
        <v>44805</v>
      </c>
      <c r="C1318" t="s">
        <v>23</v>
      </c>
      <c r="D1318">
        <v>41</v>
      </c>
      <c r="E1318" t="s">
        <v>24</v>
      </c>
      <c r="F1318" t="s">
        <v>42</v>
      </c>
      <c r="G1318" t="s">
        <v>54</v>
      </c>
      <c r="H1318" t="s">
        <v>55</v>
      </c>
      <c r="I1318" t="s">
        <v>56</v>
      </c>
      <c r="J1318" t="s">
        <v>1633</v>
      </c>
      <c r="K1318" t="s">
        <v>34</v>
      </c>
      <c r="L1318">
        <v>54000</v>
      </c>
      <c r="M1318">
        <v>13.4</v>
      </c>
      <c r="N1318">
        <v>5.2</v>
      </c>
      <c r="O1318">
        <v>3.3</v>
      </c>
      <c r="P1318">
        <v>1</v>
      </c>
      <c r="Q1318">
        <v>2</v>
      </c>
      <c r="R1318">
        <v>2</v>
      </c>
      <c r="S1318">
        <v>1</v>
      </c>
      <c r="T1318" t="s">
        <v>30</v>
      </c>
      <c r="U1318">
        <v>3</v>
      </c>
      <c r="W1318" t="s">
        <v>1649</v>
      </c>
      <c r="X1318" t="s">
        <v>1656</v>
      </c>
      <c r="Y1318" t="s">
        <v>1661</v>
      </c>
      <c r="Z1318">
        <v>0</v>
      </c>
    </row>
    <row r="1319" spans="1:26" x14ac:dyDescent="0.35">
      <c r="A1319" t="s">
        <v>1336</v>
      </c>
      <c r="B1319" s="6">
        <v>45143</v>
      </c>
      <c r="C1319" t="s">
        <v>23</v>
      </c>
      <c r="D1319">
        <v>24</v>
      </c>
      <c r="E1319" t="s">
        <v>36</v>
      </c>
      <c r="F1319" t="s">
        <v>37</v>
      </c>
      <c r="G1319" t="s">
        <v>32</v>
      </c>
      <c r="H1319" t="s">
        <v>68</v>
      </c>
      <c r="I1319" t="s">
        <v>102</v>
      </c>
      <c r="J1319" t="s">
        <v>1632</v>
      </c>
      <c r="K1319" t="s">
        <v>84</v>
      </c>
      <c r="L1319">
        <v>40000</v>
      </c>
      <c r="M1319">
        <v>14.2</v>
      </c>
      <c r="N1319">
        <v>9.9</v>
      </c>
      <c r="O1319">
        <v>2.4</v>
      </c>
      <c r="P1319">
        <v>1.2</v>
      </c>
      <c r="Q1319">
        <v>3</v>
      </c>
      <c r="R1319">
        <v>4</v>
      </c>
      <c r="S1319">
        <v>4</v>
      </c>
      <c r="T1319" t="s">
        <v>30</v>
      </c>
      <c r="U1319">
        <v>4</v>
      </c>
      <c r="W1319" t="s">
        <v>1651</v>
      </c>
      <c r="X1319" t="s">
        <v>1656</v>
      </c>
      <c r="Y1319" t="s">
        <v>1665</v>
      </c>
      <c r="Z1319">
        <v>0</v>
      </c>
    </row>
    <row r="1320" spans="1:26" x14ac:dyDescent="0.35">
      <c r="A1320" t="s">
        <v>706</v>
      </c>
      <c r="B1320" s="6">
        <v>45680</v>
      </c>
      <c r="C1320" t="s">
        <v>23</v>
      </c>
      <c r="D1320">
        <v>25</v>
      </c>
      <c r="E1320" t="s">
        <v>24</v>
      </c>
      <c r="F1320" t="s">
        <v>42</v>
      </c>
      <c r="G1320" t="s">
        <v>58</v>
      </c>
      <c r="H1320" t="s">
        <v>27</v>
      </c>
      <c r="I1320" t="s">
        <v>33</v>
      </c>
      <c r="J1320" t="s">
        <v>1632</v>
      </c>
      <c r="K1320" t="s">
        <v>29</v>
      </c>
      <c r="L1320">
        <v>38000</v>
      </c>
      <c r="M1320">
        <v>7.4</v>
      </c>
      <c r="N1320">
        <v>1.1000000000000001</v>
      </c>
      <c r="O1320">
        <v>0.9</v>
      </c>
      <c r="P1320">
        <v>0</v>
      </c>
      <c r="Q1320">
        <v>3</v>
      </c>
      <c r="R1320">
        <v>4</v>
      </c>
      <c r="S1320">
        <v>4</v>
      </c>
      <c r="T1320" t="s">
        <v>23</v>
      </c>
      <c r="U1320">
        <v>5</v>
      </c>
      <c r="W1320" t="s">
        <v>1651</v>
      </c>
      <c r="X1320" t="s">
        <v>1655</v>
      </c>
      <c r="Y1320" t="s">
        <v>1664</v>
      </c>
      <c r="Z1320">
        <v>0</v>
      </c>
    </row>
    <row r="1321" spans="1:26" x14ac:dyDescent="0.35">
      <c r="A1321" t="s">
        <v>350</v>
      </c>
      <c r="B1321" s="6">
        <v>45713</v>
      </c>
      <c r="C1321" t="s">
        <v>23</v>
      </c>
      <c r="D1321">
        <v>23</v>
      </c>
      <c r="E1321" t="s">
        <v>36</v>
      </c>
      <c r="F1321" t="s">
        <v>25</v>
      </c>
      <c r="G1321" t="s">
        <v>32</v>
      </c>
      <c r="H1321" t="s">
        <v>1634</v>
      </c>
      <c r="I1321" t="s">
        <v>75</v>
      </c>
      <c r="J1321" t="s">
        <v>1632</v>
      </c>
      <c r="K1321" t="s">
        <v>29</v>
      </c>
      <c r="L1321">
        <v>22000</v>
      </c>
      <c r="M1321">
        <v>5.9</v>
      </c>
      <c r="N1321">
        <v>8.1</v>
      </c>
      <c r="O1321">
        <v>0.8</v>
      </c>
      <c r="P1321">
        <v>0</v>
      </c>
      <c r="Q1321">
        <v>3</v>
      </c>
      <c r="R1321">
        <v>2</v>
      </c>
      <c r="S1321">
        <v>3</v>
      </c>
      <c r="T1321" t="s">
        <v>23</v>
      </c>
      <c r="U1321">
        <v>4</v>
      </c>
      <c r="W1321" t="s">
        <v>1651</v>
      </c>
      <c r="X1321" t="s">
        <v>1655</v>
      </c>
      <c r="Y1321" t="s">
        <v>1664</v>
      </c>
      <c r="Z1321">
        <v>0</v>
      </c>
    </row>
    <row r="1322" spans="1:26" x14ac:dyDescent="0.35">
      <c r="A1322" t="s">
        <v>1075</v>
      </c>
      <c r="B1322" s="6">
        <v>43495</v>
      </c>
      <c r="C1322" t="s">
        <v>30</v>
      </c>
      <c r="D1322">
        <v>29</v>
      </c>
      <c r="E1322" t="s">
        <v>62</v>
      </c>
      <c r="F1322" t="s">
        <v>42</v>
      </c>
      <c r="G1322" t="s">
        <v>26</v>
      </c>
      <c r="H1322" t="s">
        <v>55</v>
      </c>
      <c r="I1322" t="s">
        <v>179</v>
      </c>
      <c r="J1322" t="s">
        <v>1633</v>
      </c>
      <c r="K1322" t="s">
        <v>40</v>
      </c>
      <c r="L1322">
        <v>68000</v>
      </c>
      <c r="M1322">
        <v>13.1</v>
      </c>
      <c r="N1322">
        <v>10.8</v>
      </c>
      <c r="O1322">
        <v>5.9</v>
      </c>
      <c r="P1322">
        <v>3.7</v>
      </c>
      <c r="Q1322">
        <v>4</v>
      </c>
      <c r="R1322">
        <v>2</v>
      </c>
      <c r="S1322">
        <v>4</v>
      </c>
      <c r="T1322" t="s">
        <v>23</v>
      </c>
      <c r="U1322">
        <v>3</v>
      </c>
      <c r="V1322" s="7">
        <v>45662</v>
      </c>
      <c r="W1322" t="s">
        <v>1650</v>
      </c>
      <c r="X1322" t="s">
        <v>1659</v>
      </c>
      <c r="Y1322" t="s">
        <v>1661</v>
      </c>
      <c r="Z1322">
        <v>1</v>
      </c>
    </row>
    <row r="1323" spans="1:26" x14ac:dyDescent="0.35">
      <c r="A1323" t="s">
        <v>1540</v>
      </c>
      <c r="B1323" s="6">
        <v>44423</v>
      </c>
      <c r="C1323" t="s">
        <v>23</v>
      </c>
      <c r="D1323">
        <v>44</v>
      </c>
      <c r="E1323" t="s">
        <v>24</v>
      </c>
      <c r="F1323" t="s">
        <v>25</v>
      </c>
      <c r="G1323" t="s">
        <v>58</v>
      </c>
      <c r="H1323" t="s">
        <v>27</v>
      </c>
      <c r="I1323" t="s">
        <v>95</v>
      </c>
      <c r="J1323" t="s">
        <v>1633</v>
      </c>
      <c r="K1323" t="s">
        <v>34</v>
      </c>
      <c r="L1323">
        <v>54000</v>
      </c>
      <c r="M1323">
        <v>4.0999999999999996</v>
      </c>
      <c r="N1323">
        <v>4.9000000000000004</v>
      </c>
      <c r="O1323">
        <v>4.4000000000000004</v>
      </c>
      <c r="P1323">
        <v>3.7</v>
      </c>
      <c r="Q1323">
        <v>4</v>
      </c>
      <c r="R1323">
        <v>4</v>
      </c>
      <c r="S1323">
        <v>2</v>
      </c>
      <c r="T1323" t="s">
        <v>23</v>
      </c>
      <c r="U1323">
        <v>2</v>
      </c>
      <c r="W1323" t="s">
        <v>1649</v>
      </c>
      <c r="X1323" t="s">
        <v>1656</v>
      </c>
      <c r="Y1323" t="s">
        <v>1661</v>
      </c>
      <c r="Z1323">
        <v>0</v>
      </c>
    </row>
    <row r="1324" spans="1:26" x14ac:dyDescent="0.35">
      <c r="A1324" t="s">
        <v>47</v>
      </c>
      <c r="B1324" s="6">
        <v>43504</v>
      </c>
      <c r="C1324" t="s">
        <v>23</v>
      </c>
      <c r="D1324">
        <v>29</v>
      </c>
      <c r="E1324" t="s">
        <v>36</v>
      </c>
      <c r="F1324" t="s">
        <v>37</v>
      </c>
      <c r="G1324" t="s">
        <v>26</v>
      </c>
      <c r="H1324" t="s">
        <v>48</v>
      </c>
      <c r="I1324" t="s">
        <v>49</v>
      </c>
      <c r="J1324" t="s">
        <v>1632</v>
      </c>
      <c r="K1324" t="s">
        <v>50</v>
      </c>
      <c r="L1324">
        <v>43000</v>
      </c>
      <c r="M1324">
        <v>15.3</v>
      </c>
      <c r="N1324">
        <v>12.4</v>
      </c>
      <c r="O1324">
        <v>6.9</v>
      </c>
      <c r="P1324">
        <v>5</v>
      </c>
      <c r="Q1324">
        <v>1</v>
      </c>
      <c r="R1324">
        <v>3</v>
      </c>
      <c r="S1324">
        <v>3</v>
      </c>
      <c r="T1324" t="s">
        <v>30</v>
      </c>
      <c r="U1324">
        <v>2</v>
      </c>
      <c r="W1324" t="s">
        <v>1650</v>
      </c>
      <c r="X1324" t="s">
        <v>1656</v>
      </c>
      <c r="Y1324" t="s">
        <v>1662</v>
      </c>
      <c r="Z1324">
        <v>0</v>
      </c>
    </row>
    <row r="1325" spans="1:26" x14ac:dyDescent="0.35">
      <c r="A1325" t="s">
        <v>253</v>
      </c>
      <c r="B1325" s="6">
        <v>45208</v>
      </c>
      <c r="C1325" t="s">
        <v>23</v>
      </c>
      <c r="D1325">
        <v>23</v>
      </c>
      <c r="E1325" t="s">
        <v>62</v>
      </c>
      <c r="F1325" t="s">
        <v>42</v>
      </c>
      <c r="G1325" t="s">
        <v>32</v>
      </c>
      <c r="H1325" t="s">
        <v>27</v>
      </c>
      <c r="I1325" t="s">
        <v>33</v>
      </c>
      <c r="J1325" t="s">
        <v>1632</v>
      </c>
      <c r="K1325" t="s">
        <v>29</v>
      </c>
      <c r="L1325">
        <v>24000</v>
      </c>
      <c r="M1325">
        <v>14.3</v>
      </c>
      <c r="N1325">
        <v>3.4</v>
      </c>
      <c r="O1325">
        <v>2.2000000000000002</v>
      </c>
      <c r="P1325">
        <v>0.6</v>
      </c>
      <c r="Q1325">
        <v>4</v>
      </c>
      <c r="R1325">
        <v>4</v>
      </c>
      <c r="S1325">
        <v>1</v>
      </c>
      <c r="T1325" t="s">
        <v>23</v>
      </c>
      <c r="U1325">
        <v>4</v>
      </c>
      <c r="W1325" t="s">
        <v>1651</v>
      </c>
      <c r="X1325" t="s">
        <v>1655</v>
      </c>
      <c r="Y1325" t="s">
        <v>1665</v>
      </c>
      <c r="Z1325">
        <v>0</v>
      </c>
    </row>
    <row r="1326" spans="1:26" x14ac:dyDescent="0.35">
      <c r="A1326" t="s">
        <v>1223</v>
      </c>
      <c r="B1326" s="6">
        <v>43459</v>
      </c>
      <c r="C1326" t="s">
        <v>30</v>
      </c>
      <c r="D1326">
        <v>34</v>
      </c>
      <c r="E1326" t="s">
        <v>62</v>
      </c>
      <c r="F1326" t="s">
        <v>25</v>
      </c>
      <c r="G1326" t="s">
        <v>32</v>
      </c>
      <c r="H1326" t="s">
        <v>48</v>
      </c>
      <c r="I1326" t="s">
        <v>129</v>
      </c>
      <c r="J1326" t="s">
        <v>1636</v>
      </c>
      <c r="K1326" t="s">
        <v>40</v>
      </c>
      <c r="L1326">
        <v>122000</v>
      </c>
      <c r="M1326">
        <v>11.8</v>
      </c>
      <c r="N1326">
        <v>13.4</v>
      </c>
      <c r="O1326">
        <v>6.7</v>
      </c>
      <c r="P1326">
        <v>4.8</v>
      </c>
      <c r="Q1326">
        <v>2</v>
      </c>
      <c r="R1326">
        <v>2</v>
      </c>
      <c r="S1326">
        <v>1</v>
      </c>
      <c r="T1326" t="s">
        <v>30</v>
      </c>
      <c r="U1326">
        <v>4</v>
      </c>
      <c r="V1326" s="7">
        <v>45911</v>
      </c>
      <c r="W1326" t="s">
        <v>1650</v>
      </c>
      <c r="X1326" t="s">
        <v>1658</v>
      </c>
      <c r="Y1326" t="s">
        <v>1662</v>
      </c>
      <c r="Z1326">
        <v>1</v>
      </c>
    </row>
    <row r="1327" spans="1:26" x14ac:dyDescent="0.35">
      <c r="A1327" t="s">
        <v>1079</v>
      </c>
      <c r="B1327" s="6">
        <v>42373</v>
      </c>
      <c r="C1327" t="s">
        <v>23</v>
      </c>
      <c r="D1327">
        <v>32</v>
      </c>
      <c r="E1327" t="s">
        <v>36</v>
      </c>
      <c r="F1327" t="s">
        <v>42</v>
      </c>
      <c r="G1327" t="s">
        <v>32</v>
      </c>
      <c r="H1327" t="s">
        <v>48</v>
      </c>
      <c r="I1327" t="s">
        <v>63</v>
      </c>
      <c r="J1327" t="s">
        <v>1633</v>
      </c>
      <c r="K1327" t="s">
        <v>50</v>
      </c>
      <c r="L1327">
        <v>52000</v>
      </c>
      <c r="M1327">
        <v>12.4</v>
      </c>
      <c r="N1327">
        <v>13.4</v>
      </c>
      <c r="O1327">
        <v>10</v>
      </c>
      <c r="P1327">
        <v>4.0999999999999996</v>
      </c>
      <c r="Q1327">
        <v>2</v>
      </c>
      <c r="R1327">
        <v>2</v>
      </c>
      <c r="S1327">
        <v>3</v>
      </c>
      <c r="T1327" t="s">
        <v>30</v>
      </c>
      <c r="U1327">
        <v>2</v>
      </c>
      <c r="W1327" t="s">
        <v>1650</v>
      </c>
      <c r="X1327" t="s">
        <v>1656</v>
      </c>
      <c r="Y1327" t="s">
        <v>1662</v>
      </c>
      <c r="Z1327">
        <v>0</v>
      </c>
    </row>
    <row r="1328" spans="1:26" x14ac:dyDescent="0.35">
      <c r="A1328" t="s">
        <v>125</v>
      </c>
      <c r="B1328" s="6">
        <v>44603</v>
      </c>
      <c r="C1328" t="s">
        <v>23</v>
      </c>
      <c r="D1328">
        <v>31</v>
      </c>
      <c r="E1328" t="s">
        <v>24</v>
      </c>
      <c r="F1328" t="s">
        <v>37</v>
      </c>
      <c r="G1328" t="s">
        <v>58</v>
      </c>
      <c r="H1328" t="s">
        <v>55</v>
      </c>
      <c r="I1328" t="s">
        <v>56</v>
      </c>
      <c r="J1328" t="s">
        <v>1632</v>
      </c>
      <c r="K1328" t="s">
        <v>34</v>
      </c>
      <c r="L1328">
        <v>49000</v>
      </c>
      <c r="M1328">
        <v>8.5</v>
      </c>
      <c r="N1328">
        <v>9.6999999999999993</v>
      </c>
      <c r="O1328">
        <v>3.9</v>
      </c>
      <c r="P1328">
        <v>0.3</v>
      </c>
      <c r="Q1328">
        <v>3</v>
      </c>
      <c r="R1328">
        <v>3</v>
      </c>
      <c r="S1328">
        <v>3</v>
      </c>
      <c r="T1328" t="s">
        <v>23</v>
      </c>
      <c r="U1328">
        <v>4</v>
      </c>
      <c r="W1328" t="s">
        <v>1650</v>
      </c>
      <c r="X1328" t="s">
        <v>1656</v>
      </c>
      <c r="Y1328" t="s">
        <v>1661</v>
      </c>
      <c r="Z1328">
        <v>0</v>
      </c>
    </row>
    <row r="1329" spans="1:26" x14ac:dyDescent="0.35">
      <c r="A1329" t="s">
        <v>250</v>
      </c>
      <c r="B1329" s="6">
        <v>45644</v>
      </c>
      <c r="C1329" t="s">
        <v>23</v>
      </c>
      <c r="D1329">
        <v>28</v>
      </c>
      <c r="E1329" t="s">
        <v>24</v>
      </c>
      <c r="F1329" t="s">
        <v>25</v>
      </c>
      <c r="G1329" t="s">
        <v>54</v>
      </c>
      <c r="H1329" t="s">
        <v>48</v>
      </c>
      <c r="I1329" t="s">
        <v>129</v>
      </c>
      <c r="J1329" t="s">
        <v>1632</v>
      </c>
      <c r="K1329" t="s">
        <v>40</v>
      </c>
      <c r="L1329">
        <v>26000</v>
      </c>
      <c r="M1329">
        <v>7.9</v>
      </c>
      <c r="N1329">
        <v>8.8000000000000007</v>
      </c>
      <c r="O1329">
        <v>1</v>
      </c>
      <c r="P1329">
        <v>0</v>
      </c>
      <c r="Q1329">
        <v>3</v>
      </c>
      <c r="R1329">
        <v>3</v>
      </c>
      <c r="S1329">
        <v>3</v>
      </c>
      <c r="T1329" t="s">
        <v>30</v>
      </c>
      <c r="U1329">
        <v>2</v>
      </c>
      <c r="W1329" t="s">
        <v>1650</v>
      </c>
      <c r="X1329" t="s">
        <v>1655</v>
      </c>
      <c r="Y1329" t="s">
        <v>1665</v>
      </c>
      <c r="Z1329">
        <v>0</v>
      </c>
    </row>
    <row r="1330" spans="1:26" x14ac:dyDescent="0.35">
      <c r="A1330" t="s">
        <v>419</v>
      </c>
      <c r="B1330" s="6">
        <v>45646</v>
      </c>
      <c r="C1330" t="s">
        <v>30</v>
      </c>
      <c r="D1330">
        <v>27</v>
      </c>
      <c r="E1330" t="s">
        <v>36</v>
      </c>
      <c r="F1330" t="s">
        <v>42</v>
      </c>
      <c r="G1330" t="s">
        <v>58</v>
      </c>
      <c r="H1330" t="s">
        <v>55</v>
      </c>
      <c r="I1330" t="s">
        <v>56</v>
      </c>
      <c r="J1330" t="s">
        <v>1632</v>
      </c>
      <c r="K1330" t="s">
        <v>29</v>
      </c>
      <c r="L1330">
        <v>41000</v>
      </c>
      <c r="M1330">
        <v>6.4</v>
      </c>
      <c r="N1330">
        <v>4.7</v>
      </c>
      <c r="O1330">
        <v>0.9</v>
      </c>
      <c r="P1330">
        <v>0</v>
      </c>
      <c r="Q1330">
        <v>3</v>
      </c>
      <c r="R1330">
        <v>3</v>
      </c>
      <c r="S1330">
        <v>2</v>
      </c>
      <c r="T1330" t="s">
        <v>23</v>
      </c>
      <c r="U1330">
        <v>2</v>
      </c>
      <c r="V1330" s="7">
        <v>45966</v>
      </c>
      <c r="W1330" t="s">
        <v>1650</v>
      </c>
      <c r="X1330" t="s">
        <v>1656</v>
      </c>
      <c r="Y1330" t="s">
        <v>1664</v>
      </c>
      <c r="Z1330">
        <v>1</v>
      </c>
    </row>
    <row r="1331" spans="1:26" x14ac:dyDescent="0.35">
      <c r="A1331" t="s">
        <v>1390</v>
      </c>
      <c r="B1331" s="6">
        <v>45293</v>
      </c>
      <c r="C1331" t="s">
        <v>23</v>
      </c>
      <c r="D1331">
        <v>22</v>
      </c>
      <c r="E1331" t="s">
        <v>24</v>
      </c>
      <c r="F1331" t="s">
        <v>37</v>
      </c>
      <c r="G1331" t="s">
        <v>32</v>
      </c>
      <c r="H1331" t="s">
        <v>48</v>
      </c>
      <c r="I1331" t="s">
        <v>63</v>
      </c>
      <c r="J1331" t="s">
        <v>1632</v>
      </c>
      <c r="K1331" t="s">
        <v>84</v>
      </c>
      <c r="L1331">
        <v>33000</v>
      </c>
      <c r="M1331">
        <v>8.1999999999999993</v>
      </c>
      <c r="N1331">
        <v>9.6999999999999993</v>
      </c>
      <c r="O1331">
        <v>2</v>
      </c>
      <c r="P1331">
        <v>0.9</v>
      </c>
      <c r="Q1331">
        <v>2</v>
      </c>
      <c r="R1331">
        <v>1</v>
      </c>
      <c r="S1331">
        <v>2</v>
      </c>
      <c r="T1331" t="s">
        <v>30</v>
      </c>
      <c r="U1331">
        <v>3</v>
      </c>
      <c r="W1331" t="s">
        <v>1651</v>
      </c>
      <c r="X1331" t="s">
        <v>1655</v>
      </c>
      <c r="Y1331" t="s">
        <v>1665</v>
      </c>
      <c r="Z1331">
        <v>0</v>
      </c>
    </row>
    <row r="1332" spans="1:26" x14ac:dyDescent="0.35">
      <c r="A1332" t="s">
        <v>540</v>
      </c>
      <c r="B1332" s="6">
        <v>45297</v>
      </c>
      <c r="C1332" t="s">
        <v>23</v>
      </c>
      <c r="D1332">
        <v>35</v>
      </c>
      <c r="E1332" t="s">
        <v>62</v>
      </c>
      <c r="F1332" t="s">
        <v>25</v>
      </c>
      <c r="G1332" t="s">
        <v>26</v>
      </c>
      <c r="H1332" t="s">
        <v>68</v>
      </c>
      <c r="I1332" t="s">
        <v>109</v>
      </c>
      <c r="J1332" t="s">
        <v>1633</v>
      </c>
      <c r="K1332" t="s">
        <v>66</v>
      </c>
      <c r="L1332">
        <v>42000</v>
      </c>
      <c r="M1332">
        <v>13.3</v>
      </c>
      <c r="N1332">
        <v>3.7</v>
      </c>
      <c r="O1332">
        <v>2</v>
      </c>
      <c r="P1332">
        <v>1.2</v>
      </c>
      <c r="Q1332">
        <v>1</v>
      </c>
      <c r="R1332">
        <v>4</v>
      </c>
      <c r="S1332">
        <v>2</v>
      </c>
      <c r="T1332" t="s">
        <v>23</v>
      </c>
      <c r="U1332">
        <v>4</v>
      </c>
      <c r="W1332" t="s">
        <v>1650</v>
      </c>
      <c r="X1332" t="s">
        <v>1656</v>
      </c>
      <c r="Y1332" t="s">
        <v>1665</v>
      </c>
      <c r="Z1332">
        <v>0</v>
      </c>
    </row>
    <row r="1333" spans="1:26" x14ac:dyDescent="0.35">
      <c r="A1333" t="s">
        <v>276</v>
      </c>
      <c r="B1333" s="6">
        <v>44007</v>
      </c>
      <c r="C1333" t="s">
        <v>23</v>
      </c>
      <c r="D1333">
        <v>34</v>
      </c>
      <c r="E1333" t="s">
        <v>24</v>
      </c>
      <c r="F1333" t="s">
        <v>37</v>
      </c>
      <c r="G1333" t="s">
        <v>54</v>
      </c>
      <c r="H1333" t="s">
        <v>68</v>
      </c>
      <c r="I1333" t="s">
        <v>69</v>
      </c>
      <c r="J1333" t="s">
        <v>1635</v>
      </c>
      <c r="K1333" t="s">
        <v>34</v>
      </c>
      <c r="L1333">
        <v>77000</v>
      </c>
      <c r="M1333">
        <v>6.9</v>
      </c>
      <c r="N1333">
        <v>5.7</v>
      </c>
      <c r="O1333">
        <v>5.5</v>
      </c>
      <c r="P1333">
        <v>3.7</v>
      </c>
      <c r="Q1333">
        <v>4</v>
      </c>
      <c r="R1333">
        <v>3</v>
      </c>
      <c r="S1333">
        <v>3</v>
      </c>
      <c r="T1333" t="s">
        <v>23</v>
      </c>
      <c r="U1333">
        <v>3</v>
      </c>
      <c r="W1333" t="s">
        <v>1650</v>
      </c>
      <c r="X1333" t="s">
        <v>1659</v>
      </c>
      <c r="Y1333" t="s">
        <v>1661</v>
      </c>
      <c r="Z1333">
        <v>0</v>
      </c>
    </row>
    <row r="1334" spans="1:26" x14ac:dyDescent="0.35">
      <c r="A1334" t="s">
        <v>1192</v>
      </c>
      <c r="B1334" s="6">
        <v>44630</v>
      </c>
      <c r="C1334" t="s">
        <v>23</v>
      </c>
      <c r="D1334">
        <v>36</v>
      </c>
      <c r="E1334" t="s">
        <v>36</v>
      </c>
      <c r="F1334" t="s">
        <v>37</v>
      </c>
      <c r="G1334" t="s">
        <v>32</v>
      </c>
      <c r="H1334" t="s">
        <v>38</v>
      </c>
      <c r="I1334" t="s">
        <v>52</v>
      </c>
      <c r="J1334" t="s">
        <v>1635</v>
      </c>
      <c r="K1334" t="s">
        <v>50</v>
      </c>
      <c r="L1334">
        <v>71000</v>
      </c>
      <c r="M1334">
        <v>6.8</v>
      </c>
      <c r="N1334">
        <v>6</v>
      </c>
      <c r="O1334">
        <v>3.8</v>
      </c>
      <c r="P1334">
        <v>1.3</v>
      </c>
      <c r="Q1334">
        <v>4</v>
      </c>
      <c r="R1334">
        <v>3</v>
      </c>
      <c r="S1334">
        <v>3</v>
      </c>
      <c r="T1334" t="s">
        <v>23</v>
      </c>
      <c r="U1334">
        <v>3</v>
      </c>
      <c r="W1334" t="s">
        <v>1649</v>
      </c>
      <c r="X1334" t="s">
        <v>1659</v>
      </c>
      <c r="Y1334" t="s">
        <v>1661</v>
      </c>
      <c r="Z1334">
        <v>0</v>
      </c>
    </row>
    <row r="1335" spans="1:26" x14ac:dyDescent="0.35">
      <c r="A1335" t="s">
        <v>807</v>
      </c>
      <c r="B1335" s="6">
        <v>41938</v>
      </c>
      <c r="C1335" t="s">
        <v>23</v>
      </c>
      <c r="D1335">
        <v>35</v>
      </c>
      <c r="E1335" t="s">
        <v>62</v>
      </c>
      <c r="F1335" t="s">
        <v>42</v>
      </c>
      <c r="G1335" t="s">
        <v>58</v>
      </c>
      <c r="H1335" t="s">
        <v>38</v>
      </c>
      <c r="I1335" t="s">
        <v>118</v>
      </c>
      <c r="J1335" t="s">
        <v>1633</v>
      </c>
      <c r="K1335" t="s">
        <v>34</v>
      </c>
      <c r="L1335">
        <v>70000</v>
      </c>
      <c r="M1335">
        <v>5.9</v>
      </c>
      <c r="N1335">
        <v>14.6</v>
      </c>
      <c r="O1335">
        <v>11.2</v>
      </c>
      <c r="P1335">
        <v>5.3</v>
      </c>
      <c r="Q1335">
        <v>4</v>
      </c>
      <c r="R1335">
        <v>4</v>
      </c>
      <c r="S1335">
        <v>3</v>
      </c>
      <c r="T1335" t="s">
        <v>23</v>
      </c>
      <c r="U1335">
        <v>4</v>
      </c>
      <c r="W1335" t="s">
        <v>1650</v>
      </c>
      <c r="X1335" t="s">
        <v>1659</v>
      </c>
      <c r="Y1335" t="s">
        <v>1663</v>
      </c>
      <c r="Z1335">
        <v>0</v>
      </c>
    </row>
    <row r="1336" spans="1:26" x14ac:dyDescent="0.35">
      <c r="A1336" t="s">
        <v>914</v>
      </c>
      <c r="B1336" s="6">
        <v>43027</v>
      </c>
      <c r="C1336" t="s">
        <v>23</v>
      </c>
      <c r="D1336">
        <v>29</v>
      </c>
      <c r="E1336" t="s">
        <v>36</v>
      </c>
      <c r="F1336" t="s">
        <v>37</v>
      </c>
      <c r="G1336" t="s">
        <v>32</v>
      </c>
      <c r="H1336" t="s">
        <v>27</v>
      </c>
      <c r="I1336" t="s">
        <v>33</v>
      </c>
      <c r="J1336" t="s">
        <v>1635</v>
      </c>
      <c r="K1336" t="s">
        <v>34</v>
      </c>
      <c r="L1336">
        <v>66000</v>
      </c>
      <c r="M1336">
        <v>7.6</v>
      </c>
      <c r="N1336">
        <v>11.2</v>
      </c>
      <c r="O1336">
        <v>8.1999999999999993</v>
      </c>
      <c r="P1336">
        <v>0.4</v>
      </c>
      <c r="Q1336">
        <v>3</v>
      </c>
      <c r="R1336">
        <v>1</v>
      </c>
      <c r="S1336">
        <v>3</v>
      </c>
      <c r="T1336" t="s">
        <v>23</v>
      </c>
      <c r="U1336">
        <v>3</v>
      </c>
      <c r="W1336" t="s">
        <v>1650</v>
      </c>
      <c r="X1336" t="s">
        <v>1659</v>
      </c>
      <c r="Y1336" t="s">
        <v>1662</v>
      </c>
      <c r="Z1336">
        <v>0</v>
      </c>
    </row>
    <row r="1337" spans="1:26" x14ac:dyDescent="0.35">
      <c r="A1337" t="s">
        <v>523</v>
      </c>
      <c r="B1337" s="6">
        <v>43879</v>
      </c>
      <c r="C1337" t="s">
        <v>23</v>
      </c>
      <c r="D1337">
        <v>26</v>
      </c>
      <c r="E1337" t="s">
        <v>62</v>
      </c>
      <c r="F1337" t="s">
        <v>25</v>
      </c>
      <c r="G1337" t="s">
        <v>32</v>
      </c>
      <c r="H1337" t="s">
        <v>1634</v>
      </c>
      <c r="I1337" t="s">
        <v>75</v>
      </c>
      <c r="J1337" t="s">
        <v>1632</v>
      </c>
      <c r="K1337" t="s">
        <v>34</v>
      </c>
      <c r="L1337">
        <v>37000</v>
      </c>
      <c r="M1337">
        <v>2.2000000000000002</v>
      </c>
      <c r="N1337">
        <v>12.6</v>
      </c>
      <c r="O1337">
        <v>5.9</v>
      </c>
      <c r="P1337">
        <v>0.8</v>
      </c>
      <c r="Q1337">
        <v>1</v>
      </c>
      <c r="R1337">
        <v>3</v>
      </c>
      <c r="S1337">
        <v>1</v>
      </c>
      <c r="T1337" t="s">
        <v>30</v>
      </c>
      <c r="U1337">
        <v>3</v>
      </c>
      <c r="W1337" t="s">
        <v>1650</v>
      </c>
      <c r="X1337" t="s">
        <v>1655</v>
      </c>
      <c r="Y1337" t="s">
        <v>1661</v>
      </c>
      <c r="Z1337">
        <v>0</v>
      </c>
    </row>
    <row r="1338" spans="1:26" x14ac:dyDescent="0.35">
      <c r="A1338" t="s">
        <v>94</v>
      </c>
      <c r="B1338" s="6">
        <v>42843</v>
      </c>
      <c r="C1338" t="s">
        <v>23</v>
      </c>
      <c r="D1338">
        <v>31</v>
      </c>
      <c r="E1338" t="s">
        <v>62</v>
      </c>
      <c r="F1338" t="s">
        <v>25</v>
      </c>
      <c r="G1338" t="s">
        <v>54</v>
      </c>
      <c r="H1338" t="s">
        <v>27</v>
      </c>
      <c r="I1338" t="s">
        <v>95</v>
      </c>
      <c r="J1338" t="s">
        <v>1636</v>
      </c>
      <c r="K1338" t="s">
        <v>84</v>
      </c>
      <c r="L1338">
        <v>121000</v>
      </c>
      <c r="M1338">
        <v>7.9</v>
      </c>
      <c r="N1338">
        <v>12.2</v>
      </c>
      <c r="O1338">
        <v>8.6999999999999993</v>
      </c>
      <c r="P1338">
        <v>2.7</v>
      </c>
      <c r="Q1338">
        <v>3</v>
      </c>
      <c r="R1338">
        <v>4</v>
      </c>
      <c r="S1338">
        <v>3</v>
      </c>
      <c r="T1338" t="s">
        <v>23</v>
      </c>
      <c r="U1338">
        <v>2</v>
      </c>
      <c r="W1338" t="s">
        <v>1650</v>
      </c>
      <c r="X1338" t="s">
        <v>1658</v>
      </c>
      <c r="Y1338" t="s">
        <v>1662</v>
      </c>
      <c r="Z1338">
        <v>0</v>
      </c>
    </row>
    <row r="1339" spans="1:26" x14ac:dyDescent="0.35">
      <c r="A1339" t="s">
        <v>1289</v>
      </c>
      <c r="B1339" s="6">
        <v>45865</v>
      </c>
      <c r="C1339" t="s">
        <v>30</v>
      </c>
      <c r="D1339">
        <v>21</v>
      </c>
      <c r="E1339" t="s">
        <v>36</v>
      </c>
      <c r="F1339" t="s">
        <v>42</v>
      </c>
      <c r="G1339" t="s">
        <v>26</v>
      </c>
      <c r="H1339" t="s">
        <v>68</v>
      </c>
      <c r="I1339" t="s">
        <v>121</v>
      </c>
      <c r="J1339" t="s">
        <v>1632</v>
      </c>
      <c r="K1339" t="s">
        <v>40</v>
      </c>
      <c r="L1339">
        <v>34000</v>
      </c>
      <c r="M1339">
        <v>11.5</v>
      </c>
      <c r="N1339">
        <v>1.8</v>
      </c>
      <c r="O1339">
        <v>0.2</v>
      </c>
      <c r="P1339">
        <v>0</v>
      </c>
      <c r="Q1339">
        <v>1</v>
      </c>
      <c r="R1339">
        <v>3</v>
      </c>
      <c r="S1339">
        <v>3</v>
      </c>
      <c r="T1339" t="s">
        <v>23</v>
      </c>
      <c r="U1339">
        <v>4</v>
      </c>
      <c r="V1339" s="7">
        <v>45946</v>
      </c>
      <c r="W1339" t="s">
        <v>1651</v>
      </c>
      <c r="X1339" t="s">
        <v>1655</v>
      </c>
      <c r="Y1339" t="s">
        <v>1664</v>
      </c>
      <c r="Z1339">
        <v>1</v>
      </c>
    </row>
    <row r="1340" spans="1:26" x14ac:dyDescent="0.35">
      <c r="A1340" t="s">
        <v>1482</v>
      </c>
      <c r="B1340" s="6">
        <v>45825</v>
      </c>
      <c r="C1340" t="s">
        <v>23</v>
      </c>
      <c r="D1340">
        <v>34</v>
      </c>
      <c r="E1340" t="s">
        <v>24</v>
      </c>
      <c r="F1340" t="s">
        <v>25</v>
      </c>
      <c r="G1340" t="s">
        <v>26</v>
      </c>
      <c r="H1340" t="s">
        <v>1634</v>
      </c>
      <c r="I1340" t="s">
        <v>86</v>
      </c>
      <c r="J1340" t="s">
        <v>1632</v>
      </c>
      <c r="K1340" t="s">
        <v>50</v>
      </c>
      <c r="L1340">
        <v>43000</v>
      </c>
      <c r="M1340">
        <v>6.8</v>
      </c>
      <c r="N1340">
        <v>6.5</v>
      </c>
      <c r="O1340">
        <v>0.5</v>
      </c>
      <c r="P1340">
        <v>0</v>
      </c>
      <c r="Q1340">
        <v>3</v>
      </c>
      <c r="R1340">
        <v>3</v>
      </c>
      <c r="S1340">
        <v>3</v>
      </c>
      <c r="T1340" t="s">
        <v>23</v>
      </c>
      <c r="U1340">
        <v>4</v>
      </c>
      <c r="W1340" t="s">
        <v>1650</v>
      </c>
      <c r="X1340" t="s">
        <v>1656</v>
      </c>
      <c r="Y1340" t="s">
        <v>1664</v>
      </c>
      <c r="Z1340">
        <v>0</v>
      </c>
    </row>
    <row r="1341" spans="1:26" x14ac:dyDescent="0.35">
      <c r="A1341" t="s">
        <v>724</v>
      </c>
      <c r="B1341" s="6">
        <v>45661</v>
      </c>
      <c r="C1341" t="s">
        <v>23</v>
      </c>
      <c r="D1341">
        <v>22</v>
      </c>
      <c r="E1341" t="s">
        <v>62</v>
      </c>
      <c r="F1341" t="s">
        <v>42</v>
      </c>
      <c r="G1341" t="s">
        <v>32</v>
      </c>
      <c r="H1341" t="s">
        <v>68</v>
      </c>
      <c r="I1341" t="s">
        <v>102</v>
      </c>
      <c r="J1341" t="s">
        <v>1632</v>
      </c>
      <c r="K1341" t="s">
        <v>34</v>
      </c>
      <c r="L1341">
        <v>25000</v>
      </c>
      <c r="M1341">
        <v>1.8</v>
      </c>
      <c r="N1341">
        <v>1.7</v>
      </c>
      <c r="O1341">
        <v>1</v>
      </c>
      <c r="P1341">
        <v>0.6</v>
      </c>
      <c r="Q1341">
        <v>3</v>
      </c>
      <c r="R1341">
        <v>4</v>
      </c>
      <c r="S1341">
        <v>2</v>
      </c>
      <c r="T1341" t="s">
        <v>30</v>
      </c>
      <c r="U1341">
        <v>3</v>
      </c>
      <c r="W1341" t="s">
        <v>1651</v>
      </c>
      <c r="X1341" t="s">
        <v>1655</v>
      </c>
      <c r="Y1341" t="s">
        <v>1665</v>
      </c>
      <c r="Z1341">
        <v>0</v>
      </c>
    </row>
    <row r="1342" spans="1:26" x14ac:dyDescent="0.35">
      <c r="A1342" t="s">
        <v>155</v>
      </c>
      <c r="B1342" s="6">
        <v>43273</v>
      </c>
      <c r="C1342" t="s">
        <v>23</v>
      </c>
      <c r="D1342">
        <v>33</v>
      </c>
      <c r="E1342" t="s">
        <v>62</v>
      </c>
      <c r="F1342" t="s">
        <v>42</v>
      </c>
      <c r="G1342" t="s">
        <v>54</v>
      </c>
      <c r="H1342" t="s">
        <v>45</v>
      </c>
      <c r="I1342" t="s">
        <v>46</v>
      </c>
      <c r="J1342" t="s">
        <v>1635</v>
      </c>
      <c r="K1342" t="s">
        <v>84</v>
      </c>
      <c r="L1342">
        <v>73000</v>
      </c>
      <c r="M1342">
        <v>9.1999999999999993</v>
      </c>
      <c r="N1342">
        <v>9.9</v>
      </c>
      <c r="O1342">
        <v>7.5</v>
      </c>
      <c r="P1342">
        <v>5.9</v>
      </c>
      <c r="Q1342">
        <v>3</v>
      </c>
      <c r="R1342">
        <v>4</v>
      </c>
      <c r="S1342">
        <v>4</v>
      </c>
      <c r="T1342" t="s">
        <v>23</v>
      </c>
      <c r="U1342">
        <v>4</v>
      </c>
      <c r="W1342" t="s">
        <v>1650</v>
      </c>
      <c r="X1342" t="s">
        <v>1659</v>
      </c>
      <c r="Y1342" t="s">
        <v>1662</v>
      </c>
      <c r="Z1342">
        <v>0</v>
      </c>
    </row>
    <row r="1343" spans="1:26" x14ac:dyDescent="0.35">
      <c r="A1343" t="s">
        <v>1363</v>
      </c>
      <c r="B1343" s="6">
        <v>45814</v>
      </c>
      <c r="C1343" t="s">
        <v>23</v>
      </c>
      <c r="D1343">
        <v>32</v>
      </c>
      <c r="E1343" t="s">
        <v>24</v>
      </c>
      <c r="F1343" t="s">
        <v>42</v>
      </c>
      <c r="G1343" t="s">
        <v>26</v>
      </c>
      <c r="H1343" t="s">
        <v>48</v>
      </c>
      <c r="I1343" t="s">
        <v>49</v>
      </c>
      <c r="J1343" t="s">
        <v>1632</v>
      </c>
      <c r="K1343" t="s">
        <v>50</v>
      </c>
      <c r="L1343">
        <v>22000</v>
      </c>
      <c r="M1343">
        <v>14.5</v>
      </c>
      <c r="N1343">
        <v>2.8</v>
      </c>
      <c r="O1343">
        <v>0.6</v>
      </c>
      <c r="P1343">
        <v>0</v>
      </c>
      <c r="Q1343">
        <v>4</v>
      </c>
      <c r="R1343">
        <v>3</v>
      </c>
      <c r="S1343">
        <v>4</v>
      </c>
      <c r="T1343" t="s">
        <v>23</v>
      </c>
      <c r="U1343">
        <v>4</v>
      </c>
      <c r="W1343" t="s">
        <v>1650</v>
      </c>
      <c r="X1343" t="s">
        <v>1655</v>
      </c>
      <c r="Y1343" t="s">
        <v>1664</v>
      </c>
      <c r="Z1343">
        <v>0</v>
      </c>
    </row>
    <row r="1344" spans="1:26" x14ac:dyDescent="0.35">
      <c r="A1344" t="s">
        <v>463</v>
      </c>
      <c r="B1344" s="6">
        <v>43567</v>
      </c>
      <c r="C1344" t="s">
        <v>23</v>
      </c>
      <c r="D1344">
        <v>30</v>
      </c>
      <c r="E1344" t="s">
        <v>24</v>
      </c>
      <c r="F1344" t="s">
        <v>25</v>
      </c>
      <c r="G1344" t="s">
        <v>58</v>
      </c>
      <c r="H1344" t="s">
        <v>27</v>
      </c>
      <c r="I1344" t="s">
        <v>43</v>
      </c>
      <c r="J1344" t="s">
        <v>1633</v>
      </c>
      <c r="K1344" t="s">
        <v>29</v>
      </c>
      <c r="L1344">
        <v>65000</v>
      </c>
      <c r="M1344">
        <v>4</v>
      </c>
      <c r="N1344">
        <v>10.7</v>
      </c>
      <c r="O1344">
        <v>6.7</v>
      </c>
      <c r="P1344">
        <v>4.5999999999999996</v>
      </c>
      <c r="Q1344">
        <v>3</v>
      </c>
      <c r="R1344">
        <v>4</v>
      </c>
      <c r="S1344">
        <v>3</v>
      </c>
      <c r="T1344" t="s">
        <v>23</v>
      </c>
      <c r="U1344">
        <v>5</v>
      </c>
      <c r="W1344" t="s">
        <v>1650</v>
      </c>
      <c r="X1344" t="s">
        <v>1659</v>
      </c>
      <c r="Y1344" t="s">
        <v>1662</v>
      </c>
      <c r="Z1344">
        <v>0</v>
      </c>
    </row>
    <row r="1345" spans="1:26" x14ac:dyDescent="0.35">
      <c r="A1345" t="s">
        <v>915</v>
      </c>
      <c r="B1345" s="6">
        <v>45290</v>
      </c>
      <c r="C1345" t="s">
        <v>23</v>
      </c>
      <c r="D1345">
        <v>25</v>
      </c>
      <c r="E1345" t="s">
        <v>62</v>
      </c>
      <c r="F1345" t="s">
        <v>25</v>
      </c>
      <c r="G1345" t="s">
        <v>58</v>
      </c>
      <c r="H1345" t="s">
        <v>38</v>
      </c>
      <c r="I1345" t="s">
        <v>118</v>
      </c>
      <c r="J1345" t="s">
        <v>1632</v>
      </c>
      <c r="K1345" t="s">
        <v>34</v>
      </c>
      <c r="L1345">
        <v>37000</v>
      </c>
      <c r="M1345">
        <v>10.7</v>
      </c>
      <c r="N1345">
        <v>2.2000000000000002</v>
      </c>
      <c r="O1345">
        <v>2</v>
      </c>
      <c r="P1345">
        <v>0.6</v>
      </c>
      <c r="Q1345">
        <v>2</v>
      </c>
      <c r="R1345">
        <v>4</v>
      </c>
      <c r="S1345">
        <v>3</v>
      </c>
      <c r="T1345" t="s">
        <v>23</v>
      </c>
      <c r="U1345">
        <v>3</v>
      </c>
      <c r="W1345" t="s">
        <v>1651</v>
      </c>
      <c r="X1345" t="s">
        <v>1655</v>
      </c>
      <c r="Y1345" t="s">
        <v>1665</v>
      </c>
      <c r="Z1345">
        <v>0</v>
      </c>
    </row>
    <row r="1346" spans="1:26" x14ac:dyDescent="0.35">
      <c r="A1346" t="s">
        <v>1484</v>
      </c>
      <c r="B1346" s="6">
        <v>45684</v>
      </c>
      <c r="C1346" t="s">
        <v>23</v>
      </c>
      <c r="D1346">
        <v>51</v>
      </c>
      <c r="E1346" t="s">
        <v>62</v>
      </c>
      <c r="F1346" t="s">
        <v>37</v>
      </c>
      <c r="G1346" t="s">
        <v>32</v>
      </c>
      <c r="H1346" t="s">
        <v>48</v>
      </c>
      <c r="I1346" t="s">
        <v>201</v>
      </c>
      <c r="J1346" t="s">
        <v>1633</v>
      </c>
      <c r="K1346" t="s">
        <v>29</v>
      </c>
      <c r="L1346">
        <v>35000</v>
      </c>
      <c r="M1346">
        <v>11.4</v>
      </c>
      <c r="N1346">
        <v>6.7</v>
      </c>
      <c r="O1346">
        <v>0.9</v>
      </c>
      <c r="P1346">
        <v>0</v>
      </c>
      <c r="Q1346">
        <v>2</v>
      </c>
      <c r="R1346">
        <v>3</v>
      </c>
      <c r="S1346">
        <v>3</v>
      </c>
      <c r="T1346" t="s">
        <v>30</v>
      </c>
      <c r="U1346">
        <v>2</v>
      </c>
      <c r="W1346" t="s">
        <v>1652</v>
      </c>
      <c r="X1346" t="s">
        <v>1655</v>
      </c>
      <c r="Y1346" t="s">
        <v>1664</v>
      </c>
      <c r="Z1346">
        <v>0</v>
      </c>
    </row>
    <row r="1347" spans="1:26" x14ac:dyDescent="0.35">
      <c r="A1347" t="s">
        <v>110</v>
      </c>
      <c r="B1347" s="6">
        <v>43475</v>
      </c>
      <c r="C1347" t="s">
        <v>23</v>
      </c>
      <c r="D1347">
        <v>29</v>
      </c>
      <c r="E1347" t="s">
        <v>36</v>
      </c>
      <c r="F1347" t="s">
        <v>37</v>
      </c>
      <c r="G1347" t="s">
        <v>54</v>
      </c>
      <c r="H1347" t="s">
        <v>55</v>
      </c>
      <c r="I1347" t="s">
        <v>80</v>
      </c>
      <c r="J1347" t="s">
        <v>1635</v>
      </c>
      <c r="K1347" t="s">
        <v>40</v>
      </c>
      <c r="L1347">
        <v>84000</v>
      </c>
      <c r="M1347">
        <v>5.4</v>
      </c>
      <c r="N1347">
        <v>8.1</v>
      </c>
      <c r="O1347">
        <v>7</v>
      </c>
      <c r="P1347">
        <v>3.2</v>
      </c>
      <c r="Q1347">
        <v>2</v>
      </c>
      <c r="R1347">
        <v>3</v>
      </c>
      <c r="S1347">
        <v>2</v>
      </c>
      <c r="T1347" t="s">
        <v>23</v>
      </c>
      <c r="U1347">
        <v>3</v>
      </c>
      <c r="W1347" t="s">
        <v>1650</v>
      </c>
      <c r="X1347" t="s">
        <v>1657</v>
      </c>
      <c r="Y1347" t="s">
        <v>1662</v>
      </c>
      <c r="Z1347">
        <v>0</v>
      </c>
    </row>
    <row r="1348" spans="1:26" x14ac:dyDescent="0.35">
      <c r="A1348" t="s">
        <v>243</v>
      </c>
      <c r="B1348" s="6">
        <v>45090</v>
      </c>
      <c r="C1348" t="s">
        <v>23</v>
      </c>
      <c r="D1348">
        <v>39</v>
      </c>
      <c r="E1348" t="s">
        <v>62</v>
      </c>
      <c r="F1348" t="s">
        <v>37</v>
      </c>
      <c r="G1348" t="s">
        <v>58</v>
      </c>
      <c r="H1348" t="s">
        <v>1634</v>
      </c>
      <c r="I1348" t="s">
        <v>150</v>
      </c>
      <c r="J1348" t="s">
        <v>1635</v>
      </c>
      <c r="K1348" t="s">
        <v>50</v>
      </c>
      <c r="L1348">
        <v>75000</v>
      </c>
      <c r="M1348">
        <v>14.4</v>
      </c>
      <c r="N1348">
        <v>10.5</v>
      </c>
      <c r="O1348">
        <v>2.6</v>
      </c>
      <c r="P1348">
        <v>0</v>
      </c>
      <c r="Q1348">
        <v>4</v>
      </c>
      <c r="R1348">
        <v>3</v>
      </c>
      <c r="S1348">
        <v>2</v>
      </c>
      <c r="T1348" t="s">
        <v>23</v>
      </c>
      <c r="U1348">
        <v>2</v>
      </c>
      <c r="W1348" t="s">
        <v>1649</v>
      </c>
      <c r="X1348" t="s">
        <v>1659</v>
      </c>
      <c r="Y1348" t="s">
        <v>1665</v>
      </c>
      <c r="Z1348">
        <v>0</v>
      </c>
    </row>
    <row r="1349" spans="1:26" x14ac:dyDescent="0.35">
      <c r="A1349" t="s">
        <v>890</v>
      </c>
      <c r="B1349" s="6">
        <v>44985</v>
      </c>
      <c r="C1349" t="s">
        <v>23</v>
      </c>
      <c r="D1349">
        <v>24</v>
      </c>
      <c r="E1349" t="s">
        <v>24</v>
      </c>
      <c r="F1349" t="s">
        <v>37</v>
      </c>
      <c r="G1349" t="s">
        <v>26</v>
      </c>
      <c r="H1349" t="s">
        <v>27</v>
      </c>
      <c r="I1349" t="s">
        <v>43</v>
      </c>
      <c r="J1349" t="s">
        <v>1632</v>
      </c>
      <c r="K1349" t="s">
        <v>34</v>
      </c>
      <c r="L1349">
        <v>22000</v>
      </c>
      <c r="M1349">
        <v>6.2</v>
      </c>
      <c r="N1349">
        <v>10.6</v>
      </c>
      <c r="O1349">
        <v>2.8</v>
      </c>
      <c r="P1349">
        <v>1</v>
      </c>
      <c r="Q1349">
        <v>3</v>
      </c>
      <c r="R1349">
        <v>1</v>
      </c>
      <c r="S1349">
        <v>3</v>
      </c>
      <c r="T1349" t="s">
        <v>23</v>
      </c>
      <c r="U1349">
        <v>5</v>
      </c>
      <c r="W1349" t="s">
        <v>1651</v>
      </c>
      <c r="X1349" t="s">
        <v>1655</v>
      </c>
      <c r="Y1349" t="s">
        <v>1665</v>
      </c>
      <c r="Z1349">
        <v>0</v>
      </c>
    </row>
    <row r="1350" spans="1:26" x14ac:dyDescent="0.35">
      <c r="A1350" t="s">
        <v>721</v>
      </c>
      <c r="B1350" s="6">
        <v>44783</v>
      </c>
      <c r="C1350" t="s">
        <v>30</v>
      </c>
      <c r="D1350">
        <v>34</v>
      </c>
      <c r="E1350" t="s">
        <v>24</v>
      </c>
      <c r="F1350" t="s">
        <v>37</v>
      </c>
      <c r="G1350" t="s">
        <v>32</v>
      </c>
      <c r="H1350" t="s">
        <v>27</v>
      </c>
      <c r="I1350" t="s">
        <v>95</v>
      </c>
      <c r="J1350" t="s">
        <v>1633</v>
      </c>
      <c r="K1350" t="s">
        <v>66</v>
      </c>
      <c r="L1350">
        <v>52000</v>
      </c>
      <c r="M1350">
        <v>3.4</v>
      </c>
      <c r="N1350">
        <v>6.9</v>
      </c>
      <c r="O1350">
        <v>2.7</v>
      </c>
      <c r="P1350">
        <v>1.2</v>
      </c>
      <c r="Q1350">
        <v>1</v>
      </c>
      <c r="R1350">
        <v>1</v>
      </c>
      <c r="S1350">
        <v>3</v>
      </c>
      <c r="T1350" t="s">
        <v>23</v>
      </c>
      <c r="U1350">
        <v>4</v>
      </c>
      <c r="V1350" s="7">
        <v>45782</v>
      </c>
      <c r="W1350" t="s">
        <v>1650</v>
      </c>
      <c r="X1350" t="s">
        <v>1656</v>
      </c>
      <c r="Y1350" t="s">
        <v>1665</v>
      </c>
      <c r="Z1350">
        <v>1</v>
      </c>
    </row>
    <row r="1351" spans="1:26" x14ac:dyDescent="0.35">
      <c r="A1351" t="s">
        <v>1494</v>
      </c>
      <c r="B1351" s="6">
        <v>45530</v>
      </c>
      <c r="C1351" t="s">
        <v>23</v>
      </c>
      <c r="D1351">
        <v>35</v>
      </c>
      <c r="E1351" t="s">
        <v>62</v>
      </c>
      <c r="F1351" t="s">
        <v>1638</v>
      </c>
      <c r="G1351" t="s">
        <v>58</v>
      </c>
      <c r="H1351" t="s">
        <v>45</v>
      </c>
      <c r="I1351" t="s">
        <v>46</v>
      </c>
      <c r="J1351" t="s">
        <v>1632</v>
      </c>
      <c r="K1351" t="s">
        <v>34</v>
      </c>
      <c r="L1351">
        <v>38000</v>
      </c>
      <c r="M1351">
        <v>1.4</v>
      </c>
      <c r="N1351">
        <v>7.1</v>
      </c>
      <c r="O1351">
        <v>1.3</v>
      </c>
      <c r="P1351">
        <v>0</v>
      </c>
      <c r="Q1351">
        <v>4</v>
      </c>
      <c r="R1351">
        <v>3</v>
      </c>
      <c r="S1351">
        <v>3</v>
      </c>
      <c r="T1351" t="s">
        <v>30</v>
      </c>
      <c r="U1351">
        <v>3</v>
      </c>
      <c r="W1351" t="s">
        <v>1650</v>
      </c>
      <c r="X1351" t="s">
        <v>1655</v>
      </c>
      <c r="Y1351" t="s">
        <v>1665</v>
      </c>
      <c r="Z1351">
        <v>0</v>
      </c>
    </row>
    <row r="1352" spans="1:26" x14ac:dyDescent="0.35">
      <c r="A1352" t="s">
        <v>303</v>
      </c>
      <c r="B1352" s="6">
        <v>44247</v>
      </c>
      <c r="C1352" t="s">
        <v>30</v>
      </c>
      <c r="D1352">
        <v>25</v>
      </c>
      <c r="E1352" t="s">
        <v>24</v>
      </c>
      <c r="F1352" t="s">
        <v>25</v>
      </c>
      <c r="G1352" t="s">
        <v>26</v>
      </c>
      <c r="H1352" t="s">
        <v>45</v>
      </c>
      <c r="I1352" t="s">
        <v>164</v>
      </c>
      <c r="J1352" t="s">
        <v>1632</v>
      </c>
      <c r="K1352" t="s">
        <v>84</v>
      </c>
      <c r="L1352">
        <v>28000</v>
      </c>
      <c r="M1352">
        <v>11.1</v>
      </c>
      <c r="N1352">
        <v>7.8</v>
      </c>
      <c r="O1352">
        <v>4.5</v>
      </c>
      <c r="P1352">
        <v>1</v>
      </c>
      <c r="Q1352">
        <v>2</v>
      </c>
      <c r="R1352">
        <v>3</v>
      </c>
      <c r="S1352">
        <v>3</v>
      </c>
      <c r="T1352" t="s">
        <v>23</v>
      </c>
      <c r="U1352">
        <v>5</v>
      </c>
      <c r="V1352" s="7">
        <v>45883</v>
      </c>
      <c r="W1352" t="s">
        <v>1651</v>
      </c>
      <c r="X1352" t="s">
        <v>1655</v>
      </c>
      <c r="Y1352" t="s">
        <v>1661</v>
      </c>
      <c r="Z1352">
        <v>1</v>
      </c>
    </row>
    <row r="1353" spans="1:26" x14ac:dyDescent="0.35">
      <c r="A1353" t="s">
        <v>423</v>
      </c>
      <c r="B1353" s="6">
        <v>45017</v>
      </c>
      <c r="C1353" t="s">
        <v>23</v>
      </c>
      <c r="D1353">
        <v>27</v>
      </c>
      <c r="E1353" t="s">
        <v>36</v>
      </c>
      <c r="F1353" t="s">
        <v>37</v>
      </c>
      <c r="G1353" t="s">
        <v>54</v>
      </c>
      <c r="H1353" t="s">
        <v>55</v>
      </c>
      <c r="I1353" t="s">
        <v>56</v>
      </c>
      <c r="J1353" t="s">
        <v>1632</v>
      </c>
      <c r="K1353" t="s">
        <v>34</v>
      </c>
      <c r="L1353">
        <v>39000</v>
      </c>
      <c r="M1353">
        <v>2.9</v>
      </c>
      <c r="N1353">
        <v>10.5</v>
      </c>
      <c r="O1353">
        <v>2.8</v>
      </c>
      <c r="P1353">
        <v>0.9</v>
      </c>
      <c r="Q1353">
        <v>4</v>
      </c>
      <c r="R1353">
        <v>4</v>
      </c>
      <c r="S1353">
        <v>2</v>
      </c>
      <c r="T1353" t="s">
        <v>23</v>
      </c>
      <c r="U1353">
        <v>3</v>
      </c>
      <c r="W1353" t="s">
        <v>1650</v>
      </c>
      <c r="X1353" t="s">
        <v>1655</v>
      </c>
      <c r="Y1353" t="s">
        <v>1665</v>
      </c>
      <c r="Z1353">
        <v>0</v>
      </c>
    </row>
    <row r="1354" spans="1:26" x14ac:dyDescent="0.35">
      <c r="A1354" t="s">
        <v>665</v>
      </c>
      <c r="B1354" s="6">
        <v>44555</v>
      </c>
      <c r="C1354" t="s">
        <v>23</v>
      </c>
      <c r="D1354">
        <v>32</v>
      </c>
      <c r="E1354" t="s">
        <v>36</v>
      </c>
      <c r="F1354" t="s">
        <v>25</v>
      </c>
      <c r="G1354" t="s">
        <v>54</v>
      </c>
      <c r="H1354" t="s">
        <v>27</v>
      </c>
      <c r="I1354" t="s">
        <v>95</v>
      </c>
      <c r="J1354" t="s">
        <v>1633</v>
      </c>
      <c r="K1354" t="s">
        <v>84</v>
      </c>
      <c r="L1354">
        <v>61000</v>
      </c>
      <c r="M1354">
        <v>6.9</v>
      </c>
      <c r="N1354">
        <v>9.4</v>
      </c>
      <c r="O1354">
        <v>4</v>
      </c>
      <c r="P1354">
        <v>0.7</v>
      </c>
      <c r="Q1354">
        <v>3</v>
      </c>
      <c r="R1354">
        <v>3</v>
      </c>
      <c r="S1354">
        <v>1</v>
      </c>
      <c r="T1354" t="s">
        <v>30</v>
      </c>
      <c r="U1354">
        <v>3</v>
      </c>
      <c r="W1354" t="s">
        <v>1650</v>
      </c>
      <c r="X1354" t="s">
        <v>1659</v>
      </c>
      <c r="Y1354" t="s">
        <v>1661</v>
      </c>
      <c r="Z1354">
        <v>0</v>
      </c>
    </row>
    <row r="1355" spans="1:26" x14ac:dyDescent="0.35">
      <c r="A1355" t="s">
        <v>1375</v>
      </c>
      <c r="B1355" s="6">
        <v>43506</v>
      </c>
      <c r="C1355" t="s">
        <v>23</v>
      </c>
      <c r="D1355">
        <v>28</v>
      </c>
      <c r="E1355" t="s">
        <v>36</v>
      </c>
      <c r="F1355" t="s">
        <v>25</v>
      </c>
      <c r="G1355" t="s">
        <v>58</v>
      </c>
      <c r="H1355" t="s">
        <v>45</v>
      </c>
      <c r="I1355" t="s">
        <v>46</v>
      </c>
      <c r="J1355" t="s">
        <v>1637</v>
      </c>
      <c r="K1355" t="s">
        <v>34</v>
      </c>
      <c r="L1355">
        <v>152000</v>
      </c>
      <c r="M1355">
        <v>6.2</v>
      </c>
      <c r="N1355">
        <v>13.9</v>
      </c>
      <c r="O1355">
        <v>6.9</v>
      </c>
      <c r="P1355">
        <v>5.3</v>
      </c>
      <c r="Q1355">
        <v>1</v>
      </c>
      <c r="R1355">
        <v>3</v>
      </c>
      <c r="S1355">
        <v>3</v>
      </c>
      <c r="T1355" t="s">
        <v>30</v>
      </c>
      <c r="U1355">
        <v>3</v>
      </c>
      <c r="W1355" t="s">
        <v>1650</v>
      </c>
      <c r="X1355" t="s">
        <v>1658</v>
      </c>
      <c r="Y1355" t="s">
        <v>1662</v>
      </c>
      <c r="Z1355">
        <v>0</v>
      </c>
    </row>
    <row r="1356" spans="1:26" x14ac:dyDescent="0.35">
      <c r="A1356" t="s">
        <v>236</v>
      </c>
      <c r="B1356" s="6">
        <v>43864</v>
      </c>
      <c r="C1356" t="s">
        <v>30</v>
      </c>
      <c r="D1356">
        <v>30</v>
      </c>
      <c r="E1356" t="s">
        <v>24</v>
      </c>
      <c r="F1356" t="s">
        <v>37</v>
      </c>
      <c r="G1356" t="s">
        <v>58</v>
      </c>
      <c r="H1356" t="s">
        <v>48</v>
      </c>
      <c r="I1356" t="s">
        <v>63</v>
      </c>
      <c r="J1356" t="s">
        <v>1635</v>
      </c>
      <c r="K1356" t="s">
        <v>84</v>
      </c>
      <c r="L1356">
        <v>62000</v>
      </c>
      <c r="M1356">
        <v>6.7</v>
      </c>
      <c r="N1356">
        <v>11.5</v>
      </c>
      <c r="O1356">
        <v>5.0999999999999996</v>
      </c>
      <c r="P1356">
        <v>1.5</v>
      </c>
      <c r="Q1356">
        <v>3</v>
      </c>
      <c r="R1356">
        <v>3</v>
      </c>
      <c r="S1356">
        <v>4</v>
      </c>
      <c r="T1356" t="s">
        <v>23</v>
      </c>
      <c r="U1356">
        <v>5</v>
      </c>
      <c r="V1356" s="7">
        <v>45713</v>
      </c>
      <c r="W1356" t="s">
        <v>1650</v>
      </c>
      <c r="X1356" t="s">
        <v>1659</v>
      </c>
      <c r="Y1356" t="s">
        <v>1661</v>
      </c>
      <c r="Z1356">
        <v>1</v>
      </c>
    </row>
    <row r="1357" spans="1:26" x14ac:dyDescent="0.35">
      <c r="A1357" t="s">
        <v>619</v>
      </c>
      <c r="B1357" s="6">
        <v>44600</v>
      </c>
      <c r="C1357" t="s">
        <v>23</v>
      </c>
      <c r="D1357">
        <v>33</v>
      </c>
      <c r="E1357" t="s">
        <v>36</v>
      </c>
      <c r="F1357" t="s">
        <v>25</v>
      </c>
      <c r="G1357" t="s">
        <v>58</v>
      </c>
      <c r="H1357" t="s">
        <v>1634</v>
      </c>
      <c r="I1357" t="s">
        <v>86</v>
      </c>
      <c r="J1357" t="s">
        <v>1633</v>
      </c>
      <c r="K1357" t="s">
        <v>40</v>
      </c>
      <c r="L1357">
        <v>41000</v>
      </c>
      <c r="M1357">
        <v>12.7</v>
      </c>
      <c r="N1357">
        <v>5.0999999999999996</v>
      </c>
      <c r="O1357">
        <v>3.9</v>
      </c>
      <c r="P1357">
        <v>0.4</v>
      </c>
      <c r="Q1357">
        <v>4</v>
      </c>
      <c r="R1357">
        <v>2</v>
      </c>
      <c r="S1357">
        <v>4</v>
      </c>
      <c r="T1357" t="s">
        <v>23</v>
      </c>
      <c r="U1357">
        <v>3</v>
      </c>
      <c r="W1357" t="s">
        <v>1650</v>
      </c>
      <c r="X1357" t="s">
        <v>1656</v>
      </c>
      <c r="Y1357" t="s">
        <v>1661</v>
      </c>
      <c r="Z1357">
        <v>0</v>
      </c>
    </row>
    <row r="1358" spans="1:26" x14ac:dyDescent="0.35">
      <c r="A1358" t="s">
        <v>1372</v>
      </c>
      <c r="B1358" s="6">
        <v>45178</v>
      </c>
      <c r="C1358" t="s">
        <v>23</v>
      </c>
      <c r="D1358">
        <v>32</v>
      </c>
      <c r="E1358" t="s">
        <v>36</v>
      </c>
      <c r="F1358" t="s">
        <v>37</v>
      </c>
      <c r="G1358" t="s">
        <v>26</v>
      </c>
      <c r="H1358" t="s">
        <v>68</v>
      </c>
      <c r="I1358" t="s">
        <v>69</v>
      </c>
      <c r="J1358" t="s">
        <v>1635</v>
      </c>
      <c r="K1358" t="s">
        <v>66</v>
      </c>
      <c r="L1358">
        <v>83000</v>
      </c>
      <c r="M1358">
        <v>12.9</v>
      </c>
      <c r="N1358">
        <v>4.5999999999999996</v>
      </c>
      <c r="O1358">
        <v>2.2999999999999998</v>
      </c>
      <c r="P1358">
        <v>1.9</v>
      </c>
      <c r="Q1358">
        <v>3</v>
      </c>
      <c r="R1358">
        <v>4</v>
      </c>
      <c r="S1358">
        <v>2</v>
      </c>
      <c r="T1358" t="s">
        <v>23</v>
      </c>
      <c r="U1358">
        <v>4</v>
      </c>
      <c r="W1358" t="s">
        <v>1650</v>
      </c>
      <c r="X1358" t="s">
        <v>1657</v>
      </c>
      <c r="Y1358" t="s">
        <v>1665</v>
      </c>
      <c r="Z1358">
        <v>0</v>
      </c>
    </row>
    <row r="1359" spans="1:26" x14ac:dyDescent="0.35">
      <c r="A1359" t="s">
        <v>966</v>
      </c>
      <c r="B1359" s="6">
        <v>43502</v>
      </c>
      <c r="C1359" t="s">
        <v>23</v>
      </c>
      <c r="D1359">
        <v>28</v>
      </c>
      <c r="E1359" t="s">
        <v>24</v>
      </c>
      <c r="F1359" t="s">
        <v>25</v>
      </c>
      <c r="G1359" t="s">
        <v>58</v>
      </c>
      <c r="H1359" t="s">
        <v>55</v>
      </c>
      <c r="I1359" t="s">
        <v>80</v>
      </c>
      <c r="J1359" t="s">
        <v>1633</v>
      </c>
      <c r="K1359" t="s">
        <v>66</v>
      </c>
      <c r="L1359">
        <v>46000</v>
      </c>
      <c r="M1359">
        <v>6.3</v>
      </c>
      <c r="N1359">
        <v>11.6</v>
      </c>
      <c r="O1359">
        <v>6.9</v>
      </c>
      <c r="P1359">
        <v>1.7</v>
      </c>
      <c r="Q1359">
        <v>3</v>
      </c>
      <c r="R1359">
        <v>4</v>
      </c>
      <c r="S1359">
        <v>3</v>
      </c>
      <c r="T1359" t="s">
        <v>23</v>
      </c>
      <c r="U1359">
        <v>3</v>
      </c>
      <c r="W1359" t="s">
        <v>1650</v>
      </c>
      <c r="X1359" t="s">
        <v>1656</v>
      </c>
      <c r="Y1359" t="s">
        <v>1662</v>
      </c>
      <c r="Z1359">
        <v>0</v>
      </c>
    </row>
    <row r="1360" spans="1:26" x14ac:dyDescent="0.35">
      <c r="A1360" t="s">
        <v>955</v>
      </c>
      <c r="B1360" s="6">
        <v>41669</v>
      </c>
      <c r="C1360" t="s">
        <v>30</v>
      </c>
      <c r="D1360">
        <v>34</v>
      </c>
      <c r="E1360" t="s">
        <v>36</v>
      </c>
      <c r="F1360" t="s">
        <v>37</v>
      </c>
      <c r="G1360" t="s">
        <v>58</v>
      </c>
      <c r="H1360" t="s">
        <v>1634</v>
      </c>
      <c r="I1360" t="s">
        <v>60</v>
      </c>
      <c r="J1360" t="s">
        <v>1635</v>
      </c>
      <c r="K1360" t="s">
        <v>50</v>
      </c>
      <c r="L1360">
        <v>72000</v>
      </c>
      <c r="M1360">
        <v>11.8</v>
      </c>
      <c r="N1360">
        <v>17.600000000000001</v>
      </c>
      <c r="O1360">
        <v>11.1</v>
      </c>
      <c r="P1360">
        <v>6</v>
      </c>
      <c r="Q1360">
        <v>4</v>
      </c>
      <c r="R1360">
        <v>2</v>
      </c>
      <c r="S1360">
        <v>2</v>
      </c>
      <c r="T1360" t="s">
        <v>23</v>
      </c>
      <c r="U1360">
        <v>5</v>
      </c>
      <c r="V1360" s="7">
        <v>45708</v>
      </c>
      <c r="W1360" t="s">
        <v>1650</v>
      </c>
      <c r="X1360" t="s">
        <v>1659</v>
      </c>
      <c r="Y1360" t="s">
        <v>1663</v>
      </c>
      <c r="Z1360">
        <v>1</v>
      </c>
    </row>
    <row r="1361" spans="1:26" x14ac:dyDescent="0.35">
      <c r="A1361" t="s">
        <v>437</v>
      </c>
      <c r="B1361" s="6">
        <v>45788</v>
      </c>
      <c r="C1361" t="s">
        <v>23</v>
      </c>
      <c r="D1361">
        <v>33</v>
      </c>
      <c r="E1361" t="s">
        <v>62</v>
      </c>
      <c r="F1361" t="s">
        <v>25</v>
      </c>
      <c r="G1361" t="s">
        <v>54</v>
      </c>
      <c r="H1361" t="s">
        <v>1634</v>
      </c>
      <c r="I1361" t="s">
        <v>86</v>
      </c>
      <c r="J1361" t="s">
        <v>1633</v>
      </c>
      <c r="K1361" t="s">
        <v>50</v>
      </c>
      <c r="L1361">
        <v>62000</v>
      </c>
      <c r="M1361">
        <v>10.4</v>
      </c>
      <c r="N1361">
        <v>8.1999999999999993</v>
      </c>
      <c r="O1361">
        <v>0.6</v>
      </c>
      <c r="P1361">
        <v>0</v>
      </c>
      <c r="Q1361">
        <v>1</v>
      </c>
      <c r="R1361">
        <v>4</v>
      </c>
      <c r="S1361">
        <v>2</v>
      </c>
      <c r="T1361" t="s">
        <v>23</v>
      </c>
      <c r="U1361">
        <v>2</v>
      </c>
      <c r="W1361" t="s">
        <v>1650</v>
      </c>
      <c r="X1361" t="s">
        <v>1659</v>
      </c>
      <c r="Y1361" t="s">
        <v>1664</v>
      </c>
      <c r="Z1361">
        <v>0</v>
      </c>
    </row>
    <row r="1362" spans="1:26" x14ac:dyDescent="0.35">
      <c r="A1362" t="s">
        <v>912</v>
      </c>
      <c r="B1362" s="6">
        <v>42737</v>
      </c>
      <c r="C1362" t="s">
        <v>23</v>
      </c>
      <c r="D1362">
        <v>29</v>
      </c>
      <c r="E1362" t="s">
        <v>24</v>
      </c>
      <c r="F1362" t="s">
        <v>37</v>
      </c>
      <c r="G1362" t="s">
        <v>32</v>
      </c>
      <c r="H1362" t="s">
        <v>38</v>
      </c>
      <c r="I1362" t="s">
        <v>139</v>
      </c>
      <c r="J1362" t="s">
        <v>1633</v>
      </c>
      <c r="K1362" t="s">
        <v>84</v>
      </c>
      <c r="L1362">
        <v>54000</v>
      </c>
      <c r="M1362">
        <v>5.6</v>
      </c>
      <c r="N1362">
        <v>13.7</v>
      </c>
      <c r="O1362">
        <v>9</v>
      </c>
      <c r="P1362">
        <v>3.6</v>
      </c>
      <c r="Q1362">
        <v>3</v>
      </c>
      <c r="R1362">
        <v>4</v>
      </c>
      <c r="S1362">
        <v>2</v>
      </c>
      <c r="T1362" t="s">
        <v>30</v>
      </c>
      <c r="U1362">
        <v>4</v>
      </c>
      <c r="W1362" t="s">
        <v>1650</v>
      </c>
      <c r="X1362" t="s">
        <v>1656</v>
      </c>
      <c r="Y1362" t="s">
        <v>1662</v>
      </c>
      <c r="Z1362">
        <v>0</v>
      </c>
    </row>
    <row r="1363" spans="1:26" x14ac:dyDescent="0.35">
      <c r="A1363" t="s">
        <v>193</v>
      </c>
      <c r="B1363" s="6">
        <v>42707</v>
      </c>
      <c r="C1363" t="s">
        <v>23</v>
      </c>
      <c r="D1363">
        <v>38</v>
      </c>
      <c r="E1363" t="s">
        <v>36</v>
      </c>
      <c r="F1363" t="s">
        <v>37</v>
      </c>
      <c r="G1363" t="s">
        <v>58</v>
      </c>
      <c r="H1363" t="s">
        <v>48</v>
      </c>
      <c r="I1363" t="s">
        <v>63</v>
      </c>
      <c r="J1363" t="s">
        <v>1633</v>
      </c>
      <c r="K1363" t="s">
        <v>29</v>
      </c>
      <c r="L1363">
        <v>53000</v>
      </c>
      <c r="M1363">
        <v>3.6</v>
      </c>
      <c r="N1363">
        <v>15.2</v>
      </c>
      <c r="O1363">
        <v>9.1</v>
      </c>
      <c r="P1363">
        <v>3.3</v>
      </c>
      <c r="Q1363">
        <v>2</v>
      </c>
      <c r="R1363">
        <v>1</v>
      </c>
      <c r="S1363">
        <v>3</v>
      </c>
      <c r="T1363" t="s">
        <v>23</v>
      </c>
      <c r="U1363">
        <v>5</v>
      </c>
      <c r="W1363" t="s">
        <v>1649</v>
      </c>
      <c r="X1363" t="s">
        <v>1656</v>
      </c>
      <c r="Y1363" t="s">
        <v>1662</v>
      </c>
      <c r="Z1363">
        <v>0</v>
      </c>
    </row>
    <row r="1364" spans="1:26" x14ac:dyDescent="0.35">
      <c r="A1364" t="s">
        <v>844</v>
      </c>
      <c r="B1364" s="6">
        <v>44809</v>
      </c>
      <c r="C1364" t="s">
        <v>23</v>
      </c>
      <c r="D1364">
        <v>35</v>
      </c>
      <c r="E1364" t="s">
        <v>24</v>
      </c>
      <c r="F1364" t="s">
        <v>37</v>
      </c>
      <c r="G1364" t="s">
        <v>54</v>
      </c>
      <c r="H1364" t="s">
        <v>45</v>
      </c>
      <c r="I1364" t="s">
        <v>164</v>
      </c>
      <c r="J1364" t="s">
        <v>1635</v>
      </c>
      <c r="K1364" t="s">
        <v>84</v>
      </c>
      <c r="L1364">
        <v>59000</v>
      </c>
      <c r="M1364">
        <v>7.2</v>
      </c>
      <c r="N1364">
        <v>7.1</v>
      </c>
      <c r="O1364">
        <v>3.3</v>
      </c>
      <c r="P1364">
        <v>1.7</v>
      </c>
      <c r="Q1364">
        <v>3</v>
      </c>
      <c r="R1364">
        <v>4</v>
      </c>
      <c r="S1364">
        <v>4</v>
      </c>
      <c r="T1364" t="s">
        <v>23</v>
      </c>
      <c r="U1364">
        <v>4</v>
      </c>
      <c r="W1364" t="s">
        <v>1650</v>
      </c>
      <c r="X1364" t="s">
        <v>1656</v>
      </c>
      <c r="Y1364" t="s">
        <v>1661</v>
      </c>
      <c r="Z1364">
        <v>0</v>
      </c>
    </row>
    <row r="1365" spans="1:26" x14ac:dyDescent="0.35">
      <c r="A1365" t="s">
        <v>116</v>
      </c>
      <c r="B1365" s="6">
        <v>42895</v>
      </c>
      <c r="C1365" t="s">
        <v>23</v>
      </c>
      <c r="D1365">
        <v>45</v>
      </c>
      <c r="E1365" t="s">
        <v>36</v>
      </c>
      <c r="F1365" t="s">
        <v>25</v>
      </c>
      <c r="G1365" t="s">
        <v>26</v>
      </c>
      <c r="H1365" t="s">
        <v>55</v>
      </c>
      <c r="I1365" t="s">
        <v>88</v>
      </c>
      <c r="J1365" t="s">
        <v>1635</v>
      </c>
      <c r="K1365" t="s">
        <v>29</v>
      </c>
      <c r="L1365">
        <v>80000</v>
      </c>
      <c r="M1365">
        <v>12.9</v>
      </c>
      <c r="N1365">
        <v>14</v>
      </c>
      <c r="O1365">
        <v>8.6</v>
      </c>
      <c r="P1365">
        <v>5</v>
      </c>
      <c r="Q1365">
        <v>4</v>
      </c>
      <c r="R1365">
        <v>3</v>
      </c>
      <c r="S1365">
        <v>1</v>
      </c>
      <c r="T1365" t="s">
        <v>30</v>
      </c>
      <c r="U1365">
        <v>2</v>
      </c>
      <c r="W1365" t="s">
        <v>1649</v>
      </c>
      <c r="X1365" t="s">
        <v>1657</v>
      </c>
      <c r="Y1365" t="s">
        <v>1662</v>
      </c>
      <c r="Z1365">
        <v>0</v>
      </c>
    </row>
    <row r="1366" spans="1:26" x14ac:dyDescent="0.35">
      <c r="A1366" t="s">
        <v>1143</v>
      </c>
      <c r="B1366" s="6">
        <v>44593</v>
      </c>
      <c r="C1366" t="s">
        <v>23</v>
      </c>
      <c r="D1366">
        <v>29</v>
      </c>
      <c r="E1366" t="s">
        <v>62</v>
      </c>
      <c r="F1366" t="s">
        <v>25</v>
      </c>
      <c r="G1366" t="s">
        <v>54</v>
      </c>
      <c r="H1366" t="s">
        <v>55</v>
      </c>
      <c r="I1366" t="s">
        <v>80</v>
      </c>
      <c r="J1366" t="s">
        <v>1633</v>
      </c>
      <c r="K1366" t="s">
        <v>84</v>
      </c>
      <c r="L1366">
        <v>59000</v>
      </c>
      <c r="M1366">
        <v>4.9000000000000004</v>
      </c>
      <c r="N1366">
        <v>10.1</v>
      </c>
      <c r="O1366">
        <v>3.9</v>
      </c>
      <c r="P1366">
        <v>1.8</v>
      </c>
      <c r="Q1366">
        <v>3</v>
      </c>
      <c r="R1366">
        <v>4</v>
      </c>
      <c r="S1366">
        <v>2</v>
      </c>
      <c r="T1366" t="s">
        <v>23</v>
      </c>
      <c r="U1366">
        <v>3</v>
      </c>
      <c r="W1366" t="s">
        <v>1650</v>
      </c>
      <c r="X1366" t="s">
        <v>1656</v>
      </c>
      <c r="Y1366" t="s">
        <v>1661</v>
      </c>
      <c r="Z1366">
        <v>0</v>
      </c>
    </row>
    <row r="1367" spans="1:26" x14ac:dyDescent="0.35">
      <c r="A1367" t="s">
        <v>838</v>
      </c>
      <c r="B1367" s="6">
        <v>43625</v>
      </c>
      <c r="C1367" t="s">
        <v>30</v>
      </c>
      <c r="D1367">
        <v>33</v>
      </c>
      <c r="E1367" t="s">
        <v>24</v>
      </c>
      <c r="F1367" t="s">
        <v>25</v>
      </c>
      <c r="G1367" t="s">
        <v>58</v>
      </c>
      <c r="H1367" t="s">
        <v>48</v>
      </c>
      <c r="I1367" t="s">
        <v>201</v>
      </c>
      <c r="J1367" t="s">
        <v>1635</v>
      </c>
      <c r="K1367" t="s">
        <v>84</v>
      </c>
      <c r="L1367">
        <v>86000</v>
      </c>
      <c r="M1367">
        <v>13.4</v>
      </c>
      <c r="N1367">
        <v>10.6</v>
      </c>
      <c r="O1367">
        <v>6.2</v>
      </c>
      <c r="P1367">
        <v>0.6</v>
      </c>
      <c r="Q1367">
        <v>4</v>
      </c>
      <c r="R1367">
        <v>4</v>
      </c>
      <c r="S1367">
        <v>2</v>
      </c>
      <c r="T1367" t="s">
        <v>23</v>
      </c>
      <c r="U1367">
        <v>3</v>
      </c>
      <c r="V1367" s="7">
        <v>45872</v>
      </c>
      <c r="W1367" t="s">
        <v>1650</v>
      </c>
      <c r="X1367" t="s">
        <v>1657</v>
      </c>
      <c r="Y1367" t="s">
        <v>1662</v>
      </c>
      <c r="Z1367">
        <v>1</v>
      </c>
    </row>
    <row r="1368" spans="1:26" x14ac:dyDescent="0.35">
      <c r="A1368" t="s">
        <v>357</v>
      </c>
      <c r="B1368" s="6">
        <v>45909</v>
      </c>
      <c r="C1368" t="s">
        <v>23</v>
      </c>
      <c r="D1368">
        <v>21</v>
      </c>
      <c r="E1368" t="s">
        <v>24</v>
      </c>
      <c r="F1368" t="s">
        <v>42</v>
      </c>
      <c r="G1368" t="s">
        <v>26</v>
      </c>
      <c r="H1368" t="s">
        <v>48</v>
      </c>
      <c r="I1368" t="s">
        <v>63</v>
      </c>
      <c r="J1368" t="s">
        <v>1632</v>
      </c>
      <c r="K1368" t="s">
        <v>34</v>
      </c>
      <c r="L1368">
        <v>35000</v>
      </c>
      <c r="M1368">
        <v>10.199999999999999</v>
      </c>
      <c r="N1368">
        <v>6.7</v>
      </c>
      <c r="O1368">
        <v>0.3</v>
      </c>
      <c r="P1368">
        <v>0</v>
      </c>
      <c r="Q1368">
        <v>3</v>
      </c>
      <c r="R1368">
        <v>4</v>
      </c>
      <c r="S1368">
        <v>4</v>
      </c>
      <c r="T1368" t="s">
        <v>23</v>
      </c>
      <c r="U1368">
        <v>2</v>
      </c>
      <c r="W1368" t="s">
        <v>1651</v>
      </c>
      <c r="X1368" t="s">
        <v>1655</v>
      </c>
      <c r="Y1368" t="s">
        <v>1664</v>
      </c>
      <c r="Z1368">
        <v>0</v>
      </c>
    </row>
    <row r="1369" spans="1:26" x14ac:dyDescent="0.35">
      <c r="A1369" t="s">
        <v>134</v>
      </c>
      <c r="B1369" s="6">
        <v>42603</v>
      </c>
      <c r="C1369" t="s">
        <v>30</v>
      </c>
      <c r="D1369">
        <v>31</v>
      </c>
      <c r="E1369" t="s">
        <v>36</v>
      </c>
      <c r="F1369" t="s">
        <v>25</v>
      </c>
      <c r="G1369" t="s">
        <v>32</v>
      </c>
      <c r="H1369" t="s">
        <v>27</v>
      </c>
      <c r="I1369" t="s">
        <v>33</v>
      </c>
      <c r="J1369" t="s">
        <v>1635</v>
      </c>
      <c r="K1369" t="s">
        <v>50</v>
      </c>
      <c r="L1369">
        <v>75000</v>
      </c>
      <c r="M1369">
        <v>15.1</v>
      </c>
      <c r="N1369">
        <v>14.4</v>
      </c>
      <c r="O1369">
        <v>9</v>
      </c>
      <c r="P1369">
        <v>2.1</v>
      </c>
      <c r="Q1369">
        <v>3</v>
      </c>
      <c r="R1369">
        <v>3</v>
      </c>
      <c r="S1369">
        <v>3</v>
      </c>
      <c r="T1369" t="s">
        <v>30</v>
      </c>
      <c r="U1369">
        <v>3</v>
      </c>
      <c r="V1369" s="7">
        <v>45884</v>
      </c>
      <c r="W1369" t="s">
        <v>1650</v>
      </c>
      <c r="X1369" t="s">
        <v>1659</v>
      </c>
      <c r="Y1369" t="s">
        <v>1662</v>
      </c>
      <c r="Z1369">
        <v>1</v>
      </c>
    </row>
    <row r="1370" spans="1:26" x14ac:dyDescent="0.35">
      <c r="A1370" t="s">
        <v>780</v>
      </c>
      <c r="B1370" s="6">
        <v>42941</v>
      </c>
      <c r="C1370" t="s">
        <v>23</v>
      </c>
      <c r="D1370">
        <v>30</v>
      </c>
      <c r="E1370" t="s">
        <v>62</v>
      </c>
      <c r="F1370" t="s">
        <v>25</v>
      </c>
      <c r="G1370" t="s">
        <v>58</v>
      </c>
      <c r="H1370" t="s">
        <v>68</v>
      </c>
      <c r="I1370" t="s">
        <v>102</v>
      </c>
      <c r="J1370" t="s">
        <v>1635</v>
      </c>
      <c r="K1370" t="s">
        <v>40</v>
      </c>
      <c r="L1370">
        <v>72000</v>
      </c>
      <c r="M1370">
        <v>8.3000000000000007</v>
      </c>
      <c r="N1370">
        <v>8.5</v>
      </c>
      <c r="O1370">
        <v>8.4</v>
      </c>
      <c r="P1370">
        <v>5.6</v>
      </c>
      <c r="Q1370">
        <v>4</v>
      </c>
      <c r="R1370">
        <v>2</v>
      </c>
      <c r="S1370">
        <v>3</v>
      </c>
      <c r="T1370" t="s">
        <v>23</v>
      </c>
      <c r="U1370">
        <v>5</v>
      </c>
      <c r="W1370" t="s">
        <v>1650</v>
      </c>
      <c r="X1370" t="s">
        <v>1659</v>
      </c>
      <c r="Y1370" t="s">
        <v>1662</v>
      </c>
      <c r="Z1370">
        <v>0</v>
      </c>
    </row>
    <row r="1371" spans="1:26" x14ac:dyDescent="0.35">
      <c r="A1371" t="s">
        <v>543</v>
      </c>
      <c r="B1371" s="6">
        <v>42944</v>
      </c>
      <c r="C1371" t="s">
        <v>23</v>
      </c>
      <c r="D1371">
        <v>32</v>
      </c>
      <c r="E1371" t="s">
        <v>24</v>
      </c>
      <c r="F1371" t="s">
        <v>25</v>
      </c>
      <c r="G1371" t="s">
        <v>54</v>
      </c>
      <c r="H1371" t="s">
        <v>68</v>
      </c>
      <c r="I1371" t="s">
        <v>109</v>
      </c>
      <c r="J1371" t="s">
        <v>1635</v>
      </c>
      <c r="K1371" t="s">
        <v>66</v>
      </c>
      <c r="L1371">
        <v>77000</v>
      </c>
      <c r="M1371">
        <v>7.1</v>
      </c>
      <c r="N1371">
        <v>10.7</v>
      </c>
      <c r="O1371">
        <v>8.4</v>
      </c>
      <c r="P1371">
        <v>5.0999999999999996</v>
      </c>
      <c r="Q1371">
        <v>4</v>
      </c>
      <c r="R1371">
        <v>3</v>
      </c>
      <c r="S1371">
        <v>2</v>
      </c>
      <c r="T1371" t="s">
        <v>23</v>
      </c>
      <c r="U1371">
        <v>1</v>
      </c>
      <c r="W1371" t="s">
        <v>1650</v>
      </c>
      <c r="X1371" t="s">
        <v>1659</v>
      </c>
      <c r="Y1371" t="s">
        <v>1662</v>
      </c>
      <c r="Z1371">
        <v>0</v>
      </c>
    </row>
    <row r="1372" spans="1:26" x14ac:dyDescent="0.35">
      <c r="A1372" t="s">
        <v>977</v>
      </c>
      <c r="B1372" s="6">
        <v>44561</v>
      </c>
      <c r="C1372" t="s">
        <v>23</v>
      </c>
      <c r="D1372">
        <v>47</v>
      </c>
      <c r="E1372" t="s">
        <v>36</v>
      </c>
      <c r="F1372" t="s">
        <v>25</v>
      </c>
      <c r="G1372" t="s">
        <v>58</v>
      </c>
      <c r="H1372" t="s">
        <v>1634</v>
      </c>
      <c r="I1372" t="s">
        <v>75</v>
      </c>
      <c r="J1372" t="s">
        <v>1636</v>
      </c>
      <c r="K1372" t="s">
        <v>34</v>
      </c>
      <c r="L1372">
        <v>112000</v>
      </c>
      <c r="M1372">
        <v>9.3000000000000007</v>
      </c>
      <c r="N1372">
        <v>4.5999999999999996</v>
      </c>
      <c r="O1372">
        <v>4</v>
      </c>
      <c r="P1372">
        <v>1.9</v>
      </c>
      <c r="Q1372">
        <v>2</v>
      </c>
      <c r="R1372">
        <v>3</v>
      </c>
      <c r="S1372">
        <v>4</v>
      </c>
      <c r="T1372" t="s">
        <v>30</v>
      </c>
      <c r="U1372">
        <v>4</v>
      </c>
      <c r="W1372" t="s">
        <v>1652</v>
      </c>
      <c r="X1372" t="s">
        <v>1658</v>
      </c>
      <c r="Y1372" t="s">
        <v>1661</v>
      </c>
      <c r="Z1372">
        <v>0</v>
      </c>
    </row>
    <row r="1373" spans="1:26" x14ac:dyDescent="0.35">
      <c r="A1373" t="s">
        <v>173</v>
      </c>
      <c r="B1373" s="6">
        <v>45854</v>
      </c>
      <c r="C1373" t="s">
        <v>23</v>
      </c>
      <c r="D1373">
        <v>21</v>
      </c>
      <c r="E1373" t="s">
        <v>36</v>
      </c>
      <c r="F1373" t="s">
        <v>42</v>
      </c>
      <c r="G1373" t="s">
        <v>54</v>
      </c>
      <c r="H1373" t="s">
        <v>45</v>
      </c>
      <c r="I1373" t="s">
        <v>97</v>
      </c>
      <c r="J1373" t="s">
        <v>1632</v>
      </c>
      <c r="K1373" t="s">
        <v>84</v>
      </c>
      <c r="L1373">
        <v>38000</v>
      </c>
      <c r="M1373">
        <v>9.5</v>
      </c>
      <c r="N1373">
        <v>2.9</v>
      </c>
      <c r="O1373">
        <v>0.5</v>
      </c>
      <c r="P1373">
        <v>0</v>
      </c>
      <c r="Q1373">
        <v>3</v>
      </c>
      <c r="R1373">
        <v>1</v>
      </c>
      <c r="S1373">
        <v>1</v>
      </c>
      <c r="T1373" t="s">
        <v>23</v>
      </c>
      <c r="U1373">
        <v>2</v>
      </c>
      <c r="W1373" t="s">
        <v>1651</v>
      </c>
      <c r="X1373" t="s">
        <v>1655</v>
      </c>
      <c r="Y1373" t="s">
        <v>1664</v>
      </c>
      <c r="Z1373">
        <v>0</v>
      </c>
    </row>
    <row r="1374" spans="1:26" x14ac:dyDescent="0.35">
      <c r="A1374" t="s">
        <v>1252</v>
      </c>
      <c r="B1374" s="6">
        <v>43606</v>
      </c>
      <c r="C1374" t="s">
        <v>23</v>
      </c>
      <c r="D1374">
        <v>28</v>
      </c>
      <c r="E1374" t="s">
        <v>24</v>
      </c>
      <c r="F1374" t="s">
        <v>37</v>
      </c>
      <c r="G1374" t="s">
        <v>26</v>
      </c>
      <c r="H1374" t="s">
        <v>1634</v>
      </c>
      <c r="I1374" t="s">
        <v>86</v>
      </c>
      <c r="J1374" t="s">
        <v>1635</v>
      </c>
      <c r="K1374" t="s">
        <v>34</v>
      </c>
      <c r="L1374">
        <v>72000</v>
      </c>
      <c r="M1374">
        <v>7.4</v>
      </c>
      <c r="N1374">
        <v>9.1999999999999993</v>
      </c>
      <c r="O1374">
        <v>6.6</v>
      </c>
      <c r="P1374">
        <v>1.5</v>
      </c>
      <c r="Q1374">
        <v>3</v>
      </c>
      <c r="R1374">
        <v>3</v>
      </c>
      <c r="S1374">
        <v>3</v>
      </c>
      <c r="T1374" t="s">
        <v>23</v>
      </c>
      <c r="U1374">
        <v>5</v>
      </c>
      <c r="W1374" t="s">
        <v>1650</v>
      </c>
      <c r="X1374" t="s">
        <v>1659</v>
      </c>
      <c r="Y1374" t="s">
        <v>1662</v>
      </c>
      <c r="Z1374">
        <v>0</v>
      </c>
    </row>
    <row r="1375" spans="1:26" x14ac:dyDescent="0.35">
      <c r="A1375" t="s">
        <v>502</v>
      </c>
      <c r="B1375" s="6">
        <v>45438</v>
      </c>
      <c r="C1375" t="s">
        <v>23</v>
      </c>
      <c r="D1375">
        <v>30</v>
      </c>
      <c r="E1375" t="s">
        <v>62</v>
      </c>
      <c r="F1375" t="s">
        <v>25</v>
      </c>
      <c r="G1375" t="s">
        <v>54</v>
      </c>
      <c r="H1375" t="s">
        <v>48</v>
      </c>
      <c r="I1375" t="s">
        <v>129</v>
      </c>
      <c r="J1375" t="s">
        <v>1636</v>
      </c>
      <c r="K1375" t="s">
        <v>40</v>
      </c>
      <c r="L1375">
        <v>134000</v>
      </c>
      <c r="M1375">
        <v>10.7</v>
      </c>
      <c r="N1375">
        <v>2.4</v>
      </c>
      <c r="O1375">
        <v>1.6</v>
      </c>
      <c r="P1375">
        <v>0.6</v>
      </c>
      <c r="Q1375">
        <v>4</v>
      </c>
      <c r="R1375">
        <v>2</v>
      </c>
      <c r="S1375">
        <v>4</v>
      </c>
      <c r="T1375" t="s">
        <v>23</v>
      </c>
      <c r="U1375">
        <v>4</v>
      </c>
      <c r="W1375" t="s">
        <v>1650</v>
      </c>
      <c r="X1375" t="s">
        <v>1658</v>
      </c>
      <c r="Y1375" t="s">
        <v>1665</v>
      </c>
      <c r="Z1375">
        <v>0</v>
      </c>
    </row>
    <row r="1376" spans="1:26" x14ac:dyDescent="0.35">
      <c r="A1376" t="s">
        <v>579</v>
      </c>
      <c r="B1376" s="6">
        <v>44650</v>
      </c>
      <c r="C1376" t="s">
        <v>23</v>
      </c>
      <c r="D1376">
        <v>32</v>
      </c>
      <c r="E1376" t="s">
        <v>24</v>
      </c>
      <c r="F1376" t="s">
        <v>42</v>
      </c>
      <c r="G1376" t="s">
        <v>26</v>
      </c>
      <c r="H1376" t="s">
        <v>55</v>
      </c>
      <c r="I1376" t="s">
        <v>80</v>
      </c>
      <c r="J1376" t="s">
        <v>1632</v>
      </c>
      <c r="K1376" t="s">
        <v>50</v>
      </c>
      <c r="L1376">
        <v>33000</v>
      </c>
      <c r="M1376">
        <v>0.2</v>
      </c>
      <c r="N1376">
        <v>6.7</v>
      </c>
      <c r="O1376">
        <v>3.8</v>
      </c>
      <c r="P1376">
        <v>1.1000000000000001</v>
      </c>
      <c r="Q1376">
        <v>4</v>
      </c>
      <c r="R1376">
        <v>4</v>
      </c>
      <c r="S1376">
        <v>3</v>
      </c>
      <c r="T1376" t="s">
        <v>23</v>
      </c>
      <c r="U1376">
        <v>1</v>
      </c>
      <c r="W1376" t="s">
        <v>1650</v>
      </c>
      <c r="X1376" t="s">
        <v>1655</v>
      </c>
      <c r="Y1376" t="s">
        <v>1661</v>
      </c>
      <c r="Z1376">
        <v>0</v>
      </c>
    </row>
    <row r="1377" spans="1:26" x14ac:dyDescent="0.35">
      <c r="A1377" t="s">
        <v>1318</v>
      </c>
      <c r="B1377" s="6">
        <v>43776</v>
      </c>
      <c r="C1377" t="s">
        <v>23</v>
      </c>
      <c r="D1377">
        <v>38</v>
      </c>
      <c r="E1377" t="s">
        <v>24</v>
      </c>
      <c r="F1377" t="s">
        <v>37</v>
      </c>
      <c r="G1377" t="s">
        <v>26</v>
      </c>
      <c r="H1377" t="s">
        <v>48</v>
      </c>
      <c r="I1377" t="s">
        <v>49</v>
      </c>
      <c r="J1377" t="s">
        <v>1632</v>
      </c>
      <c r="K1377" t="s">
        <v>34</v>
      </c>
      <c r="L1377">
        <v>40000</v>
      </c>
      <c r="M1377">
        <v>9.6999999999999993</v>
      </c>
      <c r="N1377">
        <v>11.4</v>
      </c>
      <c r="O1377">
        <v>6.1</v>
      </c>
      <c r="P1377">
        <v>3.2</v>
      </c>
      <c r="Q1377">
        <v>3</v>
      </c>
      <c r="R1377">
        <v>3</v>
      </c>
      <c r="S1377">
        <v>2</v>
      </c>
      <c r="T1377" t="s">
        <v>30</v>
      </c>
      <c r="U1377">
        <v>4</v>
      </c>
      <c r="W1377" t="s">
        <v>1649</v>
      </c>
      <c r="X1377" t="s">
        <v>1656</v>
      </c>
      <c r="Y1377" t="s">
        <v>1662</v>
      </c>
      <c r="Z1377">
        <v>0</v>
      </c>
    </row>
    <row r="1378" spans="1:26" x14ac:dyDescent="0.35">
      <c r="A1378" t="s">
        <v>1302</v>
      </c>
      <c r="B1378" s="6">
        <v>44035</v>
      </c>
      <c r="C1378" t="s">
        <v>23</v>
      </c>
      <c r="D1378">
        <v>30</v>
      </c>
      <c r="E1378" t="s">
        <v>36</v>
      </c>
      <c r="F1378" t="s">
        <v>37</v>
      </c>
      <c r="G1378" t="s">
        <v>32</v>
      </c>
      <c r="H1378" t="s">
        <v>68</v>
      </c>
      <c r="I1378" t="s">
        <v>69</v>
      </c>
      <c r="J1378" t="s">
        <v>1637</v>
      </c>
      <c r="K1378" t="s">
        <v>66</v>
      </c>
      <c r="L1378">
        <v>161000</v>
      </c>
      <c r="M1378">
        <v>4.8</v>
      </c>
      <c r="N1378">
        <v>6</v>
      </c>
      <c r="O1378">
        <v>5.4</v>
      </c>
      <c r="P1378">
        <v>1.6</v>
      </c>
      <c r="Q1378">
        <v>4</v>
      </c>
      <c r="R1378">
        <v>4</v>
      </c>
      <c r="S1378">
        <v>3</v>
      </c>
      <c r="T1378" t="s">
        <v>23</v>
      </c>
      <c r="U1378">
        <v>4</v>
      </c>
      <c r="W1378" t="s">
        <v>1650</v>
      </c>
      <c r="X1378" t="s">
        <v>1658</v>
      </c>
      <c r="Y1378" t="s">
        <v>1661</v>
      </c>
      <c r="Z1378">
        <v>0</v>
      </c>
    </row>
    <row r="1379" spans="1:26" x14ac:dyDescent="0.35">
      <c r="A1379" t="s">
        <v>1469</v>
      </c>
      <c r="B1379" s="6">
        <v>42975</v>
      </c>
      <c r="C1379" t="s">
        <v>23</v>
      </c>
      <c r="D1379">
        <v>31</v>
      </c>
      <c r="E1379" t="s">
        <v>36</v>
      </c>
      <c r="F1379" t="s">
        <v>42</v>
      </c>
      <c r="G1379" t="s">
        <v>32</v>
      </c>
      <c r="H1379" t="s">
        <v>55</v>
      </c>
      <c r="I1379" t="s">
        <v>88</v>
      </c>
      <c r="J1379" t="s">
        <v>1633</v>
      </c>
      <c r="K1379" t="s">
        <v>50</v>
      </c>
      <c r="L1379">
        <v>60000</v>
      </c>
      <c r="M1379">
        <v>9.5</v>
      </c>
      <c r="N1379">
        <v>11.9</v>
      </c>
      <c r="O1379">
        <v>8.3000000000000007</v>
      </c>
      <c r="P1379">
        <v>3.3</v>
      </c>
      <c r="Q1379">
        <v>3</v>
      </c>
      <c r="R1379">
        <v>4</v>
      </c>
      <c r="S1379">
        <v>4</v>
      </c>
      <c r="T1379" t="s">
        <v>23</v>
      </c>
      <c r="U1379">
        <v>3</v>
      </c>
      <c r="W1379" t="s">
        <v>1650</v>
      </c>
      <c r="X1379" t="s">
        <v>1659</v>
      </c>
      <c r="Y1379" t="s">
        <v>1662</v>
      </c>
      <c r="Z1379">
        <v>0</v>
      </c>
    </row>
    <row r="1380" spans="1:26" x14ac:dyDescent="0.35">
      <c r="A1380" t="s">
        <v>709</v>
      </c>
      <c r="B1380" s="6">
        <v>45298</v>
      </c>
      <c r="C1380" t="s">
        <v>23</v>
      </c>
      <c r="D1380">
        <v>37</v>
      </c>
      <c r="E1380" t="s">
        <v>62</v>
      </c>
      <c r="F1380" t="s">
        <v>37</v>
      </c>
      <c r="G1380" t="s">
        <v>58</v>
      </c>
      <c r="H1380" t="s">
        <v>48</v>
      </c>
      <c r="I1380" t="s">
        <v>201</v>
      </c>
      <c r="J1380" t="s">
        <v>1635</v>
      </c>
      <c r="K1380" t="s">
        <v>66</v>
      </c>
      <c r="L1380">
        <v>82000</v>
      </c>
      <c r="M1380">
        <v>13.8</v>
      </c>
      <c r="N1380">
        <v>9.5</v>
      </c>
      <c r="O1380">
        <v>2</v>
      </c>
      <c r="P1380">
        <v>0.4</v>
      </c>
      <c r="Q1380">
        <v>4</v>
      </c>
      <c r="R1380">
        <v>3</v>
      </c>
      <c r="S1380">
        <v>4</v>
      </c>
      <c r="T1380" t="s">
        <v>23</v>
      </c>
      <c r="U1380">
        <v>3</v>
      </c>
      <c r="W1380" t="s">
        <v>1649</v>
      </c>
      <c r="X1380" t="s">
        <v>1657</v>
      </c>
      <c r="Y1380" t="s">
        <v>1665</v>
      </c>
      <c r="Z1380">
        <v>0</v>
      </c>
    </row>
    <row r="1381" spans="1:26" x14ac:dyDescent="0.35">
      <c r="A1381" t="s">
        <v>1341</v>
      </c>
      <c r="B1381" s="6">
        <v>44070</v>
      </c>
      <c r="C1381" t="s">
        <v>30</v>
      </c>
      <c r="D1381">
        <v>37</v>
      </c>
      <c r="E1381" t="s">
        <v>62</v>
      </c>
      <c r="F1381" t="s">
        <v>25</v>
      </c>
      <c r="G1381" t="s">
        <v>32</v>
      </c>
      <c r="H1381" t="s">
        <v>55</v>
      </c>
      <c r="I1381" t="s">
        <v>179</v>
      </c>
      <c r="J1381" t="s">
        <v>1636</v>
      </c>
      <c r="K1381" t="s">
        <v>40</v>
      </c>
      <c r="L1381">
        <v>134000</v>
      </c>
      <c r="M1381">
        <v>4</v>
      </c>
      <c r="N1381">
        <v>10.8</v>
      </c>
      <c r="O1381">
        <v>5.3</v>
      </c>
      <c r="P1381">
        <v>4.2</v>
      </c>
      <c r="Q1381">
        <v>3</v>
      </c>
      <c r="R1381">
        <v>3</v>
      </c>
      <c r="S1381">
        <v>4</v>
      </c>
      <c r="T1381" t="s">
        <v>23</v>
      </c>
      <c r="U1381">
        <v>5</v>
      </c>
      <c r="V1381" s="7">
        <v>46001</v>
      </c>
      <c r="W1381" t="s">
        <v>1649</v>
      </c>
      <c r="X1381" t="s">
        <v>1658</v>
      </c>
      <c r="Y1381" t="s">
        <v>1661</v>
      </c>
      <c r="Z1381">
        <v>1</v>
      </c>
    </row>
    <row r="1382" spans="1:26" x14ac:dyDescent="0.35">
      <c r="A1382" t="s">
        <v>82</v>
      </c>
      <c r="B1382" s="6">
        <v>43726</v>
      </c>
      <c r="C1382" t="s">
        <v>30</v>
      </c>
      <c r="D1382">
        <v>28</v>
      </c>
      <c r="E1382" t="s">
        <v>24</v>
      </c>
      <c r="F1382" t="s">
        <v>42</v>
      </c>
      <c r="G1382" t="s">
        <v>54</v>
      </c>
      <c r="H1382" t="s">
        <v>38</v>
      </c>
      <c r="I1382" t="s">
        <v>39</v>
      </c>
      <c r="J1382" t="s">
        <v>1635</v>
      </c>
      <c r="K1382" t="s">
        <v>34</v>
      </c>
      <c r="L1382">
        <v>80000</v>
      </c>
      <c r="M1382">
        <v>12</v>
      </c>
      <c r="N1382">
        <v>13.6</v>
      </c>
      <c r="O1382">
        <v>6</v>
      </c>
      <c r="P1382">
        <v>3.6</v>
      </c>
      <c r="Q1382">
        <v>3</v>
      </c>
      <c r="R1382">
        <v>2</v>
      </c>
      <c r="S1382">
        <v>2</v>
      </c>
      <c r="T1382" t="s">
        <v>30</v>
      </c>
      <c r="U1382">
        <v>3</v>
      </c>
      <c r="V1382" s="7">
        <v>45926</v>
      </c>
      <c r="W1382" t="s">
        <v>1650</v>
      </c>
      <c r="X1382" t="s">
        <v>1657</v>
      </c>
      <c r="Y1382" t="s">
        <v>1661</v>
      </c>
      <c r="Z1382">
        <v>1</v>
      </c>
    </row>
    <row r="1383" spans="1:26" x14ac:dyDescent="0.35">
      <c r="A1383" t="s">
        <v>593</v>
      </c>
      <c r="B1383" s="6">
        <v>45144</v>
      </c>
      <c r="C1383" t="s">
        <v>23</v>
      </c>
      <c r="D1383">
        <v>27</v>
      </c>
      <c r="E1383" t="s">
        <v>36</v>
      </c>
      <c r="F1383" t="s">
        <v>42</v>
      </c>
      <c r="G1383" t="s">
        <v>32</v>
      </c>
      <c r="H1383" t="s">
        <v>68</v>
      </c>
      <c r="I1383" t="s">
        <v>102</v>
      </c>
      <c r="J1383" t="s">
        <v>1632</v>
      </c>
      <c r="K1383" t="s">
        <v>34</v>
      </c>
      <c r="L1383">
        <v>28000</v>
      </c>
      <c r="M1383">
        <v>13.5</v>
      </c>
      <c r="N1383">
        <v>2.9</v>
      </c>
      <c r="O1383">
        <v>2.4</v>
      </c>
      <c r="P1383">
        <v>1.1000000000000001</v>
      </c>
      <c r="Q1383">
        <v>4</v>
      </c>
      <c r="R1383">
        <v>3</v>
      </c>
      <c r="S1383">
        <v>3</v>
      </c>
      <c r="T1383" t="s">
        <v>23</v>
      </c>
      <c r="U1383">
        <v>4</v>
      </c>
      <c r="W1383" t="s">
        <v>1650</v>
      </c>
      <c r="X1383" t="s">
        <v>1655</v>
      </c>
      <c r="Y1383" t="s">
        <v>1665</v>
      </c>
      <c r="Z1383">
        <v>0</v>
      </c>
    </row>
    <row r="1384" spans="1:26" x14ac:dyDescent="0.35">
      <c r="A1384" t="s">
        <v>207</v>
      </c>
      <c r="B1384" s="6">
        <v>42226</v>
      </c>
      <c r="C1384" t="s">
        <v>23</v>
      </c>
      <c r="D1384">
        <v>32</v>
      </c>
      <c r="E1384" t="s">
        <v>62</v>
      </c>
      <c r="F1384" t="s">
        <v>37</v>
      </c>
      <c r="G1384" t="s">
        <v>32</v>
      </c>
      <c r="H1384" t="s">
        <v>1634</v>
      </c>
      <c r="I1384" t="s">
        <v>75</v>
      </c>
      <c r="J1384" t="s">
        <v>1635</v>
      </c>
      <c r="K1384" t="s">
        <v>50</v>
      </c>
      <c r="L1384">
        <v>74000</v>
      </c>
      <c r="M1384">
        <v>14.2</v>
      </c>
      <c r="N1384">
        <v>17.2</v>
      </c>
      <c r="O1384">
        <v>10.4</v>
      </c>
      <c r="P1384">
        <v>2.9</v>
      </c>
      <c r="Q1384">
        <v>4</v>
      </c>
      <c r="R1384">
        <v>4</v>
      </c>
      <c r="S1384">
        <v>3</v>
      </c>
      <c r="T1384" t="s">
        <v>30</v>
      </c>
      <c r="U1384">
        <v>2</v>
      </c>
      <c r="W1384" t="s">
        <v>1650</v>
      </c>
      <c r="X1384" t="s">
        <v>1659</v>
      </c>
      <c r="Y1384" t="s">
        <v>1663</v>
      </c>
      <c r="Z1384">
        <v>0</v>
      </c>
    </row>
    <row r="1385" spans="1:26" x14ac:dyDescent="0.35">
      <c r="A1385" t="s">
        <v>1241</v>
      </c>
      <c r="B1385" s="6">
        <v>43163</v>
      </c>
      <c r="C1385" t="s">
        <v>30</v>
      </c>
      <c r="D1385">
        <v>42</v>
      </c>
      <c r="E1385" t="s">
        <v>24</v>
      </c>
      <c r="F1385" t="s">
        <v>42</v>
      </c>
      <c r="G1385" t="s">
        <v>32</v>
      </c>
      <c r="H1385" t="s">
        <v>45</v>
      </c>
      <c r="I1385" t="s">
        <v>97</v>
      </c>
      <c r="J1385" t="s">
        <v>1633</v>
      </c>
      <c r="K1385" t="s">
        <v>50</v>
      </c>
      <c r="L1385">
        <v>51000</v>
      </c>
      <c r="M1385">
        <v>8.4</v>
      </c>
      <c r="N1385">
        <v>14.1</v>
      </c>
      <c r="O1385">
        <v>7.5</v>
      </c>
      <c r="P1385">
        <v>3.9</v>
      </c>
      <c r="Q1385">
        <v>2</v>
      </c>
      <c r="R1385">
        <v>3</v>
      </c>
      <c r="S1385">
        <v>3</v>
      </c>
      <c r="T1385" t="s">
        <v>23</v>
      </c>
      <c r="U1385">
        <v>5</v>
      </c>
      <c r="V1385" s="7">
        <v>45895</v>
      </c>
      <c r="W1385" t="s">
        <v>1649</v>
      </c>
      <c r="X1385" t="s">
        <v>1656</v>
      </c>
      <c r="Y1385" t="s">
        <v>1662</v>
      </c>
      <c r="Z1385">
        <v>1</v>
      </c>
    </row>
    <row r="1386" spans="1:26" x14ac:dyDescent="0.35">
      <c r="A1386" t="s">
        <v>746</v>
      </c>
      <c r="B1386" s="6">
        <v>45585</v>
      </c>
      <c r="C1386" t="s">
        <v>23</v>
      </c>
      <c r="D1386">
        <v>26</v>
      </c>
      <c r="E1386" t="s">
        <v>24</v>
      </c>
      <c r="F1386" t="s">
        <v>42</v>
      </c>
      <c r="G1386" t="s">
        <v>26</v>
      </c>
      <c r="H1386" t="s">
        <v>1634</v>
      </c>
      <c r="I1386" t="s">
        <v>150</v>
      </c>
      <c r="J1386" t="s">
        <v>1632</v>
      </c>
      <c r="K1386" t="s">
        <v>40</v>
      </c>
      <c r="L1386">
        <v>30000</v>
      </c>
      <c r="M1386">
        <v>4.0999999999999996</v>
      </c>
      <c r="N1386">
        <v>7.9</v>
      </c>
      <c r="O1386">
        <v>1.2</v>
      </c>
      <c r="P1386">
        <v>0.5</v>
      </c>
      <c r="Q1386">
        <v>3</v>
      </c>
      <c r="R1386">
        <v>3</v>
      </c>
      <c r="S1386">
        <v>1</v>
      </c>
      <c r="T1386" t="s">
        <v>23</v>
      </c>
      <c r="U1386">
        <v>3</v>
      </c>
      <c r="W1386" t="s">
        <v>1650</v>
      </c>
      <c r="X1386" t="s">
        <v>1655</v>
      </c>
      <c r="Y1386" t="s">
        <v>1665</v>
      </c>
      <c r="Z1386">
        <v>0</v>
      </c>
    </row>
    <row r="1387" spans="1:26" x14ac:dyDescent="0.35">
      <c r="A1387" t="s">
        <v>1483</v>
      </c>
      <c r="B1387" s="6">
        <v>42073</v>
      </c>
      <c r="C1387" t="s">
        <v>23</v>
      </c>
      <c r="D1387">
        <v>45</v>
      </c>
      <c r="E1387" t="s">
        <v>36</v>
      </c>
      <c r="F1387" t="s">
        <v>42</v>
      </c>
      <c r="G1387" t="s">
        <v>54</v>
      </c>
      <c r="H1387" t="s">
        <v>27</v>
      </c>
      <c r="I1387" t="s">
        <v>95</v>
      </c>
      <c r="J1387" t="s">
        <v>1633</v>
      </c>
      <c r="K1387" t="s">
        <v>50</v>
      </c>
      <c r="L1387">
        <v>66000</v>
      </c>
      <c r="M1387">
        <v>13.9</v>
      </c>
      <c r="N1387">
        <v>17.2</v>
      </c>
      <c r="O1387">
        <v>10.8</v>
      </c>
      <c r="P1387">
        <v>0.1</v>
      </c>
      <c r="Q1387">
        <v>4</v>
      </c>
      <c r="R1387">
        <v>4</v>
      </c>
      <c r="S1387">
        <v>4</v>
      </c>
      <c r="T1387" t="s">
        <v>23</v>
      </c>
      <c r="U1387">
        <v>3</v>
      </c>
      <c r="W1387" t="s">
        <v>1649</v>
      </c>
      <c r="X1387" t="s">
        <v>1659</v>
      </c>
      <c r="Y1387" t="s">
        <v>1663</v>
      </c>
      <c r="Z1387">
        <v>0</v>
      </c>
    </row>
    <row r="1388" spans="1:26" x14ac:dyDescent="0.35">
      <c r="A1388" t="s">
        <v>317</v>
      </c>
      <c r="B1388" s="6">
        <v>42836</v>
      </c>
      <c r="C1388" t="s">
        <v>23</v>
      </c>
      <c r="D1388">
        <v>30</v>
      </c>
      <c r="E1388" t="s">
        <v>24</v>
      </c>
      <c r="F1388" t="s">
        <v>42</v>
      </c>
      <c r="G1388" t="s">
        <v>26</v>
      </c>
      <c r="H1388" t="s">
        <v>38</v>
      </c>
      <c r="I1388" t="s">
        <v>52</v>
      </c>
      <c r="J1388" t="s">
        <v>1635</v>
      </c>
      <c r="K1388" t="s">
        <v>50</v>
      </c>
      <c r="L1388">
        <v>71000</v>
      </c>
      <c r="M1388">
        <v>17.100000000000001</v>
      </c>
      <c r="N1388">
        <v>16.100000000000001</v>
      </c>
      <c r="O1388">
        <v>8.6999999999999993</v>
      </c>
      <c r="P1388">
        <v>4.8</v>
      </c>
      <c r="Q1388">
        <v>4</v>
      </c>
      <c r="R1388">
        <v>2</v>
      </c>
      <c r="S1388">
        <v>4</v>
      </c>
      <c r="T1388" t="s">
        <v>23</v>
      </c>
      <c r="U1388">
        <v>3</v>
      </c>
      <c r="W1388" t="s">
        <v>1650</v>
      </c>
      <c r="X1388" t="s">
        <v>1659</v>
      </c>
      <c r="Y1388" t="s">
        <v>1662</v>
      </c>
      <c r="Z1388">
        <v>0</v>
      </c>
    </row>
    <row r="1389" spans="1:26" x14ac:dyDescent="0.35">
      <c r="A1389" t="s">
        <v>1577</v>
      </c>
      <c r="B1389" s="6">
        <v>44449</v>
      </c>
      <c r="C1389" t="s">
        <v>23</v>
      </c>
      <c r="D1389">
        <v>30</v>
      </c>
      <c r="E1389" t="s">
        <v>36</v>
      </c>
      <c r="F1389" t="s">
        <v>42</v>
      </c>
      <c r="G1389" t="s">
        <v>32</v>
      </c>
      <c r="H1389" t="s">
        <v>68</v>
      </c>
      <c r="I1389" t="s">
        <v>109</v>
      </c>
      <c r="J1389" t="s">
        <v>1633</v>
      </c>
      <c r="K1389" t="s">
        <v>66</v>
      </c>
      <c r="L1389">
        <v>65000</v>
      </c>
      <c r="M1389">
        <v>5.0999999999999996</v>
      </c>
      <c r="N1389">
        <v>8.9</v>
      </c>
      <c r="O1389">
        <v>4.3</v>
      </c>
      <c r="P1389">
        <v>3.7</v>
      </c>
      <c r="Q1389">
        <v>3</v>
      </c>
      <c r="R1389">
        <v>4</v>
      </c>
      <c r="S1389">
        <v>3</v>
      </c>
      <c r="T1389" t="s">
        <v>23</v>
      </c>
      <c r="U1389">
        <v>4</v>
      </c>
      <c r="W1389" t="s">
        <v>1650</v>
      </c>
      <c r="X1389" t="s">
        <v>1659</v>
      </c>
      <c r="Y1389" t="s">
        <v>1661</v>
      </c>
      <c r="Z1389">
        <v>0</v>
      </c>
    </row>
    <row r="1390" spans="1:26" x14ac:dyDescent="0.35">
      <c r="A1390" t="s">
        <v>1195</v>
      </c>
      <c r="B1390" s="6">
        <v>45774</v>
      </c>
      <c r="C1390" t="s">
        <v>23</v>
      </c>
      <c r="D1390">
        <v>32</v>
      </c>
      <c r="E1390" t="s">
        <v>24</v>
      </c>
      <c r="F1390" t="s">
        <v>25</v>
      </c>
      <c r="G1390" t="s">
        <v>32</v>
      </c>
      <c r="H1390" t="s">
        <v>38</v>
      </c>
      <c r="I1390" t="s">
        <v>139</v>
      </c>
      <c r="J1390" t="s">
        <v>1637</v>
      </c>
      <c r="K1390" t="s">
        <v>29</v>
      </c>
      <c r="L1390">
        <v>179000</v>
      </c>
      <c r="M1390">
        <v>8.6999999999999993</v>
      </c>
      <c r="N1390">
        <v>1.9</v>
      </c>
      <c r="O1390">
        <v>0.7</v>
      </c>
      <c r="P1390">
        <v>0</v>
      </c>
      <c r="Q1390">
        <v>4</v>
      </c>
      <c r="R1390">
        <v>3</v>
      </c>
      <c r="S1390">
        <v>4</v>
      </c>
      <c r="T1390" t="s">
        <v>23</v>
      </c>
      <c r="U1390">
        <v>4</v>
      </c>
      <c r="W1390" t="s">
        <v>1650</v>
      </c>
      <c r="X1390" t="s">
        <v>1658</v>
      </c>
      <c r="Y1390" t="s">
        <v>1664</v>
      </c>
      <c r="Z1390">
        <v>0</v>
      </c>
    </row>
    <row r="1391" spans="1:26" x14ac:dyDescent="0.35">
      <c r="A1391" t="s">
        <v>1323</v>
      </c>
      <c r="B1391" s="6">
        <v>42918</v>
      </c>
      <c r="C1391" t="s">
        <v>23</v>
      </c>
      <c r="D1391">
        <v>34</v>
      </c>
      <c r="E1391" t="s">
        <v>24</v>
      </c>
      <c r="F1391" t="s">
        <v>42</v>
      </c>
      <c r="G1391" t="s">
        <v>54</v>
      </c>
      <c r="H1391" t="s">
        <v>27</v>
      </c>
      <c r="I1391" t="s">
        <v>95</v>
      </c>
      <c r="J1391" t="s">
        <v>1633</v>
      </c>
      <c r="K1391" t="s">
        <v>50</v>
      </c>
      <c r="L1391">
        <v>60000</v>
      </c>
      <c r="M1391">
        <v>8.9</v>
      </c>
      <c r="N1391">
        <v>9.1999999999999993</v>
      </c>
      <c r="O1391">
        <v>8.5</v>
      </c>
      <c r="P1391">
        <v>5.4</v>
      </c>
      <c r="Q1391">
        <v>3</v>
      </c>
      <c r="R1391">
        <v>2</v>
      </c>
      <c r="S1391">
        <v>3</v>
      </c>
      <c r="T1391" t="s">
        <v>23</v>
      </c>
      <c r="U1391">
        <v>3</v>
      </c>
      <c r="W1391" t="s">
        <v>1650</v>
      </c>
      <c r="X1391" t="s">
        <v>1659</v>
      </c>
      <c r="Y1391" t="s">
        <v>1662</v>
      </c>
      <c r="Z1391">
        <v>0</v>
      </c>
    </row>
    <row r="1392" spans="1:26" x14ac:dyDescent="0.35">
      <c r="A1392" t="s">
        <v>548</v>
      </c>
      <c r="B1392" s="6">
        <v>44417</v>
      </c>
      <c r="C1392" t="s">
        <v>23</v>
      </c>
      <c r="D1392">
        <v>26</v>
      </c>
      <c r="E1392" t="s">
        <v>36</v>
      </c>
      <c r="F1392" t="s">
        <v>42</v>
      </c>
      <c r="G1392" t="s">
        <v>58</v>
      </c>
      <c r="H1392" t="s">
        <v>55</v>
      </c>
      <c r="I1392" t="s">
        <v>80</v>
      </c>
      <c r="J1392" t="s">
        <v>1632</v>
      </c>
      <c r="K1392" t="s">
        <v>50</v>
      </c>
      <c r="L1392">
        <v>39000</v>
      </c>
      <c r="M1392">
        <v>6.5</v>
      </c>
      <c r="N1392">
        <v>8</v>
      </c>
      <c r="O1392">
        <v>4.4000000000000004</v>
      </c>
      <c r="P1392">
        <v>0.7</v>
      </c>
      <c r="Q1392">
        <v>3</v>
      </c>
      <c r="R1392">
        <v>3</v>
      </c>
      <c r="S1392">
        <v>3</v>
      </c>
      <c r="T1392" t="s">
        <v>23</v>
      </c>
      <c r="U1392">
        <v>3</v>
      </c>
      <c r="W1392" t="s">
        <v>1650</v>
      </c>
      <c r="X1392" t="s">
        <v>1655</v>
      </c>
      <c r="Y1392" t="s">
        <v>1661</v>
      </c>
      <c r="Z1392">
        <v>0</v>
      </c>
    </row>
    <row r="1393" spans="1:26" x14ac:dyDescent="0.35">
      <c r="A1393" t="s">
        <v>131</v>
      </c>
      <c r="B1393" s="6">
        <v>43579</v>
      </c>
      <c r="C1393" t="s">
        <v>23</v>
      </c>
      <c r="D1393">
        <v>33</v>
      </c>
      <c r="E1393" t="s">
        <v>24</v>
      </c>
      <c r="F1393" t="s">
        <v>25</v>
      </c>
      <c r="G1393" t="s">
        <v>26</v>
      </c>
      <c r="H1393" t="s">
        <v>48</v>
      </c>
      <c r="I1393" t="s">
        <v>63</v>
      </c>
      <c r="J1393" t="s">
        <v>1635</v>
      </c>
      <c r="K1393" t="s">
        <v>66</v>
      </c>
      <c r="L1393">
        <v>86000</v>
      </c>
      <c r="M1393">
        <v>13.4</v>
      </c>
      <c r="N1393">
        <v>14.6</v>
      </c>
      <c r="O1393">
        <v>6.7</v>
      </c>
      <c r="P1393">
        <v>4.5</v>
      </c>
      <c r="Q1393">
        <v>1</v>
      </c>
      <c r="R1393">
        <v>4</v>
      </c>
      <c r="S1393">
        <v>1</v>
      </c>
      <c r="T1393" t="s">
        <v>23</v>
      </c>
      <c r="U1393">
        <v>1</v>
      </c>
      <c r="W1393" t="s">
        <v>1650</v>
      </c>
      <c r="X1393" t="s">
        <v>1657</v>
      </c>
      <c r="Y1393" t="s">
        <v>1662</v>
      </c>
      <c r="Z1393">
        <v>0</v>
      </c>
    </row>
    <row r="1394" spans="1:26" x14ac:dyDescent="0.35">
      <c r="A1394" t="s">
        <v>424</v>
      </c>
      <c r="B1394" s="6">
        <v>45204</v>
      </c>
      <c r="C1394" t="s">
        <v>23</v>
      </c>
      <c r="D1394">
        <v>35</v>
      </c>
      <c r="E1394" t="s">
        <v>62</v>
      </c>
      <c r="F1394" t="s">
        <v>37</v>
      </c>
      <c r="G1394" t="s">
        <v>32</v>
      </c>
      <c r="H1394" t="s">
        <v>1634</v>
      </c>
      <c r="I1394" t="s">
        <v>86</v>
      </c>
      <c r="J1394" t="s">
        <v>1635</v>
      </c>
      <c r="K1394" t="s">
        <v>40</v>
      </c>
      <c r="L1394">
        <v>66000</v>
      </c>
      <c r="M1394">
        <v>9</v>
      </c>
      <c r="N1394">
        <v>9.8000000000000007</v>
      </c>
      <c r="O1394">
        <v>2.2000000000000002</v>
      </c>
      <c r="P1394">
        <v>1.9</v>
      </c>
      <c r="Q1394">
        <v>4</v>
      </c>
      <c r="R1394">
        <v>2</v>
      </c>
      <c r="S1394">
        <v>1</v>
      </c>
      <c r="T1394" t="s">
        <v>23</v>
      </c>
      <c r="U1394">
        <v>3</v>
      </c>
      <c r="W1394" t="s">
        <v>1650</v>
      </c>
      <c r="X1394" t="s">
        <v>1659</v>
      </c>
      <c r="Y1394" t="s">
        <v>1665</v>
      </c>
      <c r="Z1394">
        <v>0</v>
      </c>
    </row>
    <row r="1395" spans="1:26" x14ac:dyDescent="0.35">
      <c r="A1395" t="s">
        <v>891</v>
      </c>
      <c r="B1395" s="6">
        <v>44947</v>
      </c>
      <c r="C1395" t="s">
        <v>23</v>
      </c>
      <c r="D1395">
        <v>31</v>
      </c>
      <c r="E1395" t="s">
        <v>24</v>
      </c>
      <c r="F1395" t="s">
        <v>37</v>
      </c>
      <c r="G1395" t="s">
        <v>32</v>
      </c>
      <c r="H1395" t="s">
        <v>55</v>
      </c>
      <c r="I1395" t="s">
        <v>88</v>
      </c>
      <c r="J1395" t="s">
        <v>1637</v>
      </c>
      <c r="K1395" t="s">
        <v>84</v>
      </c>
      <c r="L1395">
        <v>176000</v>
      </c>
      <c r="M1395">
        <v>5.0999999999999996</v>
      </c>
      <c r="N1395">
        <v>3.5</v>
      </c>
      <c r="O1395">
        <v>2.9</v>
      </c>
      <c r="P1395">
        <v>0.4</v>
      </c>
      <c r="Q1395">
        <v>4</v>
      </c>
      <c r="R1395">
        <v>3</v>
      </c>
      <c r="S1395">
        <v>3</v>
      </c>
      <c r="T1395" t="s">
        <v>30</v>
      </c>
      <c r="U1395">
        <v>3</v>
      </c>
      <c r="W1395" t="s">
        <v>1650</v>
      </c>
      <c r="X1395" t="s">
        <v>1658</v>
      </c>
      <c r="Y1395" t="s">
        <v>1665</v>
      </c>
      <c r="Z1395">
        <v>0</v>
      </c>
    </row>
    <row r="1396" spans="1:26" x14ac:dyDescent="0.35">
      <c r="A1396" t="s">
        <v>1283</v>
      </c>
      <c r="B1396" s="6">
        <v>43992</v>
      </c>
      <c r="C1396" t="s">
        <v>23</v>
      </c>
      <c r="D1396">
        <v>28</v>
      </c>
      <c r="E1396" t="s">
        <v>24</v>
      </c>
      <c r="F1396" t="s">
        <v>37</v>
      </c>
      <c r="G1396" t="s">
        <v>32</v>
      </c>
      <c r="H1396" t="s">
        <v>68</v>
      </c>
      <c r="I1396" t="s">
        <v>69</v>
      </c>
      <c r="J1396" t="s">
        <v>1635</v>
      </c>
      <c r="K1396" t="s">
        <v>84</v>
      </c>
      <c r="L1396">
        <v>79000</v>
      </c>
      <c r="M1396">
        <v>3.6</v>
      </c>
      <c r="N1396">
        <v>12.1</v>
      </c>
      <c r="O1396">
        <v>5.6</v>
      </c>
      <c r="P1396">
        <v>4.5</v>
      </c>
      <c r="Q1396">
        <v>4</v>
      </c>
      <c r="R1396">
        <v>3</v>
      </c>
      <c r="S1396">
        <v>4</v>
      </c>
      <c r="T1396" t="s">
        <v>30</v>
      </c>
      <c r="U1396">
        <v>4</v>
      </c>
      <c r="W1396" t="s">
        <v>1650</v>
      </c>
      <c r="X1396" t="s">
        <v>1659</v>
      </c>
      <c r="Y1396" t="s">
        <v>1661</v>
      </c>
      <c r="Z1396">
        <v>0</v>
      </c>
    </row>
    <row r="1397" spans="1:26" x14ac:dyDescent="0.35">
      <c r="A1397" t="s">
        <v>633</v>
      </c>
      <c r="B1397" s="6">
        <v>45215</v>
      </c>
      <c r="C1397" t="s">
        <v>23</v>
      </c>
      <c r="D1397">
        <v>46</v>
      </c>
      <c r="E1397" t="s">
        <v>36</v>
      </c>
      <c r="F1397" t="s">
        <v>42</v>
      </c>
      <c r="G1397" t="s">
        <v>26</v>
      </c>
      <c r="H1397" t="s">
        <v>1634</v>
      </c>
      <c r="I1397" t="s">
        <v>86</v>
      </c>
      <c r="J1397" t="s">
        <v>1633</v>
      </c>
      <c r="K1397" t="s">
        <v>40</v>
      </c>
      <c r="L1397">
        <v>61000</v>
      </c>
      <c r="M1397">
        <v>15.6</v>
      </c>
      <c r="N1397">
        <v>5</v>
      </c>
      <c r="O1397">
        <v>2.2000000000000002</v>
      </c>
      <c r="P1397">
        <v>1.6</v>
      </c>
      <c r="Q1397">
        <v>1</v>
      </c>
      <c r="R1397">
        <v>3</v>
      </c>
      <c r="S1397">
        <v>3</v>
      </c>
      <c r="T1397" t="s">
        <v>23</v>
      </c>
      <c r="U1397">
        <v>2</v>
      </c>
      <c r="W1397" t="s">
        <v>1652</v>
      </c>
      <c r="X1397" t="s">
        <v>1659</v>
      </c>
      <c r="Y1397" t="s">
        <v>1665</v>
      </c>
      <c r="Z1397">
        <v>0</v>
      </c>
    </row>
    <row r="1398" spans="1:26" x14ac:dyDescent="0.35">
      <c r="A1398" t="s">
        <v>848</v>
      </c>
      <c r="B1398" s="6">
        <v>44488</v>
      </c>
      <c r="C1398" t="s">
        <v>23</v>
      </c>
      <c r="D1398">
        <v>41</v>
      </c>
      <c r="E1398" t="s">
        <v>36</v>
      </c>
      <c r="F1398" t="s">
        <v>37</v>
      </c>
      <c r="G1398" t="s">
        <v>26</v>
      </c>
      <c r="H1398" t="s">
        <v>27</v>
      </c>
      <c r="I1398" t="s">
        <v>43</v>
      </c>
      <c r="J1398" t="s">
        <v>1633</v>
      </c>
      <c r="K1398" t="s">
        <v>34</v>
      </c>
      <c r="L1398">
        <v>44000</v>
      </c>
      <c r="M1398">
        <v>6.4</v>
      </c>
      <c r="N1398">
        <v>9</v>
      </c>
      <c r="O1398">
        <v>4.2</v>
      </c>
      <c r="P1398">
        <v>0.6</v>
      </c>
      <c r="Q1398">
        <v>3</v>
      </c>
      <c r="R1398">
        <v>1</v>
      </c>
      <c r="S1398">
        <v>2</v>
      </c>
      <c r="T1398" t="s">
        <v>23</v>
      </c>
      <c r="U1398">
        <v>5</v>
      </c>
      <c r="W1398" t="s">
        <v>1649</v>
      </c>
      <c r="X1398" t="s">
        <v>1656</v>
      </c>
      <c r="Y1398" t="s">
        <v>1661</v>
      </c>
      <c r="Z1398">
        <v>0</v>
      </c>
    </row>
    <row r="1399" spans="1:26" x14ac:dyDescent="0.35">
      <c r="A1399" t="s">
        <v>1243</v>
      </c>
      <c r="B1399" s="6">
        <v>44726</v>
      </c>
      <c r="C1399" t="s">
        <v>23</v>
      </c>
      <c r="D1399">
        <v>41</v>
      </c>
      <c r="E1399" t="s">
        <v>62</v>
      </c>
      <c r="F1399" t="s">
        <v>37</v>
      </c>
      <c r="G1399" t="s">
        <v>32</v>
      </c>
      <c r="H1399" t="s">
        <v>48</v>
      </c>
      <c r="I1399" t="s">
        <v>129</v>
      </c>
      <c r="J1399" t="s">
        <v>1635</v>
      </c>
      <c r="K1399" t="s">
        <v>40</v>
      </c>
      <c r="L1399">
        <v>94000</v>
      </c>
      <c r="M1399">
        <v>6.8</v>
      </c>
      <c r="N1399">
        <v>9.6999999999999993</v>
      </c>
      <c r="O1399">
        <v>3.5</v>
      </c>
      <c r="P1399">
        <v>0.9</v>
      </c>
      <c r="Q1399">
        <v>1</v>
      </c>
      <c r="R1399">
        <v>2</v>
      </c>
      <c r="S1399">
        <v>2</v>
      </c>
      <c r="T1399" t="s">
        <v>30</v>
      </c>
      <c r="U1399">
        <v>3</v>
      </c>
      <c r="W1399" t="s">
        <v>1649</v>
      </c>
      <c r="X1399" t="s">
        <v>1657</v>
      </c>
      <c r="Y1399" t="s">
        <v>1661</v>
      </c>
      <c r="Z1399">
        <v>0</v>
      </c>
    </row>
    <row r="1400" spans="1:26" x14ac:dyDescent="0.35">
      <c r="A1400" t="s">
        <v>1186</v>
      </c>
      <c r="B1400" s="6">
        <v>45269</v>
      </c>
      <c r="C1400" t="s">
        <v>23</v>
      </c>
      <c r="D1400">
        <v>28</v>
      </c>
      <c r="E1400" t="s">
        <v>62</v>
      </c>
      <c r="F1400" t="s">
        <v>25</v>
      </c>
      <c r="G1400" t="s">
        <v>54</v>
      </c>
      <c r="H1400" t="s">
        <v>48</v>
      </c>
      <c r="I1400" t="s">
        <v>201</v>
      </c>
      <c r="J1400" t="s">
        <v>1632</v>
      </c>
      <c r="K1400" t="s">
        <v>84</v>
      </c>
      <c r="L1400">
        <v>38000</v>
      </c>
      <c r="M1400">
        <v>13.5</v>
      </c>
      <c r="N1400">
        <v>9.6</v>
      </c>
      <c r="O1400">
        <v>2.1</v>
      </c>
      <c r="P1400">
        <v>1.8</v>
      </c>
      <c r="Q1400">
        <v>2</v>
      </c>
      <c r="R1400">
        <v>3</v>
      </c>
      <c r="S1400">
        <v>3</v>
      </c>
      <c r="T1400" t="s">
        <v>23</v>
      </c>
      <c r="U1400">
        <v>4</v>
      </c>
      <c r="W1400" t="s">
        <v>1650</v>
      </c>
      <c r="X1400" t="s">
        <v>1655</v>
      </c>
      <c r="Y1400" t="s">
        <v>1665</v>
      </c>
      <c r="Z1400">
        <v>0</v>
      </c>
    </row>
    <row r="1401" spans="1:26" x14ac:dyDescent="0.35">
      <c r="A1401" t="s">
        <v>199</v>
      </c>
      <c r="B1401" s="6">
        <v>45307</v>
      </c>
      <c r="C1401" t="s">
        <v>30</v>
      </c>
      <c r="D1401">
        <v>36</v>
      </c>
      <c r="E1401" t="s">
        <v>36</v>
      </c>
      <c r="F1401" t="s">
        <v>42</v>
      </c>
      <c r="G1401" t="s">
        <v>32</v>
      </c>
      <c r="H1401" t="s">
        <v>48</v>
      </c>
      <c r="I1401" t="s">
        <v>63</v>
      </c>
      <c r="J1401" t="s">
        <v>1636</v>
      </c>
      <c r="K1401" t="s">
        <v>84</v>
      </c>
      <c r="L1401">
        <v>113000</v>
      </c>
      <c r="M1401">
        <v>9.5</v>
      </c>
      <c r="N1401">
        <v>1.5</v>
      </c>
      <c r="O1401">
        <v>1.3</v>
      </c>
      <c r="P1401">
        <v>0.7</v>
      </c>
      <c r="Q1401">
        <v>3</v>
      </c>
      <c r="R1401">
        <v>2</v>
      </c>
      <c r="S1401">
        <v>3</v>
      </c>
      <c r="T1401" t="s">
        <v>30</v>
      </c>
      <c r="U1401">
        <v>4</v>
      </c>
      <c r="V1401" s="7">
        <v>45775</v>
      </c>
      <c r="W1401" t="s">
        <v>1649</v>
      </c>
      <c r="X1401" t="s">
        <v>1658</v>
      </c>
      <c r="Y1401" t="s">
        <v>1665</v>
      </c>
      <c r="Z1401">
        <v>1</v>
      </c>
    </row>
    <row r="1402" spans="1:26" x14ac:dyDescent="0.35">
      <c r="A1402" t="s">
        <v>1490</v>
      </c>
      <c r="B1402" s="6">
        <v>45460</v>
      </c>
      <c r="C1402" t="s">
        <v>23</v>
      </c>
      <c r="D1402">
        <v>32</v>
      </c>
      <c r="E1402" t="s">
        <v>62</v>
      </c>
      <c r="F1402" t="s">
        <v>1638</v>
      </c>
      <c r="G1402" t="s">
        <v>58</v>
      </c>
      <c r="H1402" t="s">
        <v>38</v>
      </c>
      <c r="I1402" t="s">
        <v>139</v>
      </c>
      <c r="J1402" t="s">
        <v>1633</v>
      </c>
      <c r="K1402" t="s">
        <v>40</v>
      </c>
      <c r="L1402">
        <v>58000</v>
      </c>
      <c r="M1402">
        <v>8.1</v>
      </c>
      <c r="N1402">
        <v>1.6</v>
      </c>
      <c r="O1402">
        <v>1.5</v>
      </c>
      <c r="P1402">
        <v>0.1</v>
      </c>
      <c r="Q1402">
        <v>2</v>
      </c>
      <c r="R1402">
        <v>2</v>
      </c>
      <c r="S1402">
        <v>4</v>
      </c>
      <c r="T1402" t="s">
        <v>23</v>
      </c>
      <c r="U1402">
        <v>2</v>
      </c>
      <c r="W1402" t="s">
        <v>1650</v>
      </c>
      <c r="X1402" t="s">
        <v>1656</v>
      </c>
      <c r="Y1402" t="s">
        <v>1665</v>
      </c>
      <c r="Z1402">
        <v>0</v>
      </c>
    </row>
    <row r="1403" spans="1:26" x14ac:dyDescent="0.35">
      <c r="A1403" t="s">
        <v>217</v>
      </c>
      <c r="B1403" s="6">
        <v>44026</v>
      </c>
      <c r="C1403" t="s">
        <v>23</v>
      </c>
      <c r="D1403">
        <v>36</v>
      </c>
      <c r="E1403" t="s">
        <v>24</v>
      </c>
      <c r="F1403" t="s">
        <v>37</v>
      </c>
      <c r="G1403" t="s">
        <v>32</v>
      </c>
      <c r="H1403" t="s">
        <v>45</v>
      </c>
      <c r="I1403" t="s">
        <v>164</v>
      </c>
      <c r="J1403" t="s">
        <v>1635</v>
      </c>
      <c r="K1403" t="s">
        <v>29</v>
      </c>
      <c r="L1403">
        <v>74000</v>
      </c>
      <c r="M1403">
        <v>3.9</v>
      </c>
      <c r="N1403">
        <v>9.1999999999999993</v>
      </c>
      <c r="O1403">
        <v>5.5</v>
      </c>
      <c r="P1403">
        <v>5.4</v>
      </c>
      <c r="Q1403">
        <v>3</v>
      </c>
      <c r="R1403">
        <v>3</v>
      </c>
      <c r="S1403">
        <v>3</v>
      </c>
      <c r="T1403" t="s">
        <v>23</v>
      </c>
      <c r="U1403">
        <v>4</v>
      </c>
      <c r="W1403" t="s">
        <v>1649</v>
      </c>
      <c r="X1403" t="s">
        <v>1659</v>
      </c>
      <c r="Y1403" t="s">
        <v>1661</v>
      </c>
      <c r="Z1403">
        <v>0</v>
      </c>
    </row>
    <row r="1404" spans="1:26" x14ac:dyDescent="0.35">
      <c r="A1404" t="s">
        <v>884</v>
      </c>
      <c r="B1404" s="6">
        <v>43027</v>
      </c>
      <c r="C1404" t="s">
        <v>30</v>
      </c>
      <c r="D1404">
        <v>39</v>
      </c>
      <c r="E1404" t="s">
        <v>36</v>
      </c>
      <c r="F1404" t="s">
        <v>42</v>
      </c>
      <c r="G1404" t="s">
        <v>54</v>
      </c>
      <c r="H1404" t="s">
        <v>1634</v>
      </c>
      <c r="I1404" t="s">
        <v>150</v>
      </c>
      <c r="J1404" t="s">
        <v>1635</v>
      </c>
      <c r="K1404" t="s">
        <v>66</v>
      </c>
      <c r="L1404">
        <v>76000</v>
      </c>
      <c r="M1404">
        <v>11.6</v>
      </c>
      <c r="N1404">
        <v>13.3</v>
      </c>
      <c r="O1404">
        <v>7.5</v>
      </c>
      <c r="P1404">
        <v>5.8</v>
      </c>
      <c r="Q1404">
        <v>3</v>
      </c>
      <c r="R1404">
        <v>3</v>
      </c>
      <c r="S1404">
        <v>3</v>
      </c>
      <c r="T1404" t="s">
        <v>23</v>
      </c>
      <c r="U1404">
        <v>3</v>
      </c>
      <c r="V1404" s="7">
        <v>45750</v>
      </c>
      <c r="W1404" t="s">
        <v>1649</v>
      </c>
      <c r="X1404" t="s">
        <v>1659</v>
      </c>
      <c r="Y1404" t="s">
        <v>1662</v>
      </c>
      <c r="Z1404">
        <v>1</v>
      </c>
    </row>
    <row r="1405" spans="1:26" x14ac:dyDescent="0.35">
      <c r="A1405" t="s">
        <v>774</v>
      </c>
      <c r="B1405" s="6">
        <v>42676</v>
      </c>
      <c r="C1405" t="s">
        <v>23</v>
      </c>
      <c r="D1405">
        <v>40</v>
      </c>
      <c r="E1405" t="s">
        <v>62</v>
      </c>
      <c r="F1405" t="s">
        <v>25</v>
      </c>
      <c r="G1405" t="s">
        <v>58</v>
      </c>
      <c r="H1405" t="s">
        <v>55</v>
      </c>
      <c r="I1405" t="s">
        <v>179</v>
      </c>
      <c r="J1405" t="s">
        <v>1636</v>
      </c>
      <c r="K1405" t="s">
        <v>34</v>
      </c>
      <c r="L1405">
        <v>130000</v>
      </c>
      <c r="M1405">
        <v>7</v>
      </c>
      <c r="N1405">
        <v>9.9</v>
      </c>
      <c r="O1405">
        <v>9.1999999999999993</v>
      </c>
      <c r="P1405">
        <v>5.2</v>
      </c>
      <c r="Q1405">
        <v>4</v>
      </c>
      <c r="R1405">
        <v>4</v>
      </c>
      <c r="S1405">
        <v>2</v>
      </c>
      <c r="T1405" t="s">
        <v>23</v>
      </c>
      <c r="U1405">
        <v>3</v>
      </c>
      <c r="W1405" t="s">
        <v>1649</v>
      </c>
      <c r="X1405" t="s">
        <v>1658</v>
      </c>
      <c r="Y1405" t="s">
        <v>1662</v>
      </c>
      <c r="Z1405">
        <v>0</v>
      </c>
    </row>
    <row r="1406" spans="1:26" x14ac:dyDescent="0.35">
      <c r="A1406" t="s">
        <v>772</v>
      </c>
      <c r="B1406" s="6">
        <v>44488</v>
      </c>
      <c r="C1406" t="s">
        <v>23</v>
      </c>
      <c r="D1406">
        <v>32</v>
      </c>
      <c r="E1406" t="s">
        <v>36</v>
      </c>
      <c r="F1406" t="s">
        <v>25</v>
      </c>
      <c r="G1406" t="s">
        <v>54</v>
      </c>
      <c r="H1406" t="s">
        <v>68</v>
      </c>
      <c r="I1406" t="s">
        <v>102</v>
      </c>
      <c r="J1406" t="s">
        <v>1636</v>
      </c>
      <c r="K1406" t="s">
        <v>40</v>
      </c>
      <c r="L1406">
        <v>107000</v>
      </c>
      <c r="M1406">
        <v>10.6</v>
      </c>
      <c r="N1406">
        <v>8.4</v>
      </c>
      <c r="O1406">
        <v>4.2</v>
      </c>
      <c r="P1406">
        <v>3.5</v>
      </c>
      <c r="Q1406">
        <v>4</v>
      </c>
      <c r="R1406">
        <v>3</v>
      </c>
      <c r="S1406">
        <v>4</v>
      </c>
      <c r="T1406" t="s">
        <v>23</v>
      </c>
      <c r="U1406">
        <v>3</v>
      </c>
      <c r="W1406" t="s">
        <v>1650</v>
      </c>
      <c r="X1406" t="s">
        <v>1658</v>
      </c>
      <c r="Y1406" t="s">
        <v>1661</v>
      </c>
      <c r="Z1406">
        <v>0</v>
      </c>
    </row>
    <row r="1407" spans="1:26" x14ac:dyDescent="0.35">
      <c r="A1407" t="s">
        <v>1339</v>
      </c>
      <c r="B1407" s="6">
        <v>43928</v>
      </c>
      <c r="C1407" t="s">
        <v>23</v>
      </c>
      <c r="D1407">
        <v>31</v>
      </c>
      <c r="E1407" t="s">
        <v>62</v>
      </c>
      <c r="F1407" t="s">
        <v>42</v>
      </c>
      <c r="G1407" t="s">
        <v>26</v>
      </c>
      <c r="H1407" t="s">
        <v>48</v>
      </c>
      <c r="I1407" t="s">
        <v>49</v>
      </c>
      <c r="J1407" t="s">
        <v>1632</v>
      </c>
      <c r="K1407" t="s">
        <v>66</v>
      </c>
      <c r="L1407">
        <v>22000</v>
      </c>
      <c r="M1407">
        <v>5.2</v>
      </c>
      <c r="N1407">
        <v>7.1</v>
      </c>
      <c r="O1407">
        <v>5.7</v>
      </c>
      <c r="P1407">
        <v>1.7</v>
      </c>
      <c r="Q1407">
        <v>2</v>
      </c>
      <c r="R1407">
        <v>2</v>
      </c>
      <c r="S1407">
        <v>4</v>
      </c>
      <c r="T1407" t="s">
        <v>23</v>
      </c>
      <c r="U1407">
        <v>5</v>
      </c>
      <c r="W1407" t="s">
        <v>1650</v>
      </c>
      <c r="X1407" t="s">
        <v>1655</v>
      </c>
      <c r="Y1407" t="s">
        <v>1661</v>
      </c>
      <c r="Z1407">
        <v>0</v>
      </c>
    </row>
    <row r="1408" spans="1:26" x14ac:dyDescent="0.35">
      <c r="A1408" t="s">
        <v>1076</v>
      </c>
      <c r="B1408" s="6">
        <v>45175</v>
      </c>
      <c r="C1408" t="s">
        <v>30</v>
      </c>
      <c r="D1408">
        <v>45</v>
      </c>
      <c r="E1408" t="s">
        <v>36</v>
      </c>
      <c r="F1408" t="s">
        <v>42</v>
      </c>
      <c r="G1408" t="s">
        <v>32</v>
      </c>
      <c r="H1408" t="s">
        <v>48</v>
      </c>
      <c r="I1408" t="s">
        <v>49</v>
      </c>
      <c r="J1408" t="s">
        <v>1635</v>
      </c>
      <c r="K1408" t="s">
        <v>66</v>
      </c>
      <c r="L1408">
        <v>79000</v>
      </c>
      <c r="M1408">
        <v>10.3</v>
      </c>
      <c r="N1408">
        <v>4.4000000000000004</v>
      </c>
      <c r="O1408">
        <v>1.6</v>
      </c>
      <c r="P1408">
        <v>1.3</v>
      </c>
      <c r="Q1408">
        <v>1</v>
      </c>
      <c r="R1408">
        <v>4</v>
      </c>
      <c r="S1408">
        <v>3</v>
      </c>
      <c r="T1408" t="s">
        <v>23</v>
      </c>
      <c r="U1408">
        <v>4</v>
      </c>
      <c r="V1408" s="7">
        <v>45751</v>
      </c>
      <c r="W1408" t="s">
        <v>1649</v>
      </c>
      <c r="X1408" t="s">
        <v>1659</v>
      </c>
      <c r="Y1408" t="s">
        <v>1665</v>
      </c>
      <c r="Z1408">
        <v>1</v>
      </c>
    </row>
    <row r="1409" spans="1:26" x14ac:dyDescent="0.35">
      <c r="A1409" t="s">
        <v>1297</v>
      </c>
      <c r="B1409" s="6">
        <v>44472</v>
      </c>
      <c r="C1409" t="s">
        <v>30</v>
      </c>
      <c r="D1409">
        <v>27</v>
      </c>
      <c r="E1409" t="s">
        <v>62</v>
      </c>
      <c r="F1409" t="s">
        <v>37</v>
      </c>
      <c r="G1409" t="s">
        <v>26</v>
      </c>
      <c r="H1409" t="s">
        <v>48</v>
      </c>
      <c r="I1409" t="s">
        <v>49</v>
      </c>
      <c r="J1409" t="s">
        <v>1632</v>
      </c>
      <c r="K1409" t="s">
        <v>66</v>
      </c>
      <c r="L1409">
        <v>38000</v>
      </c>
      <c r="M1409">
        <v>6</v>
      </c>
      <c r="N1409">
        <v>9.8000000000000007</v>
      </c>
      <c r="O1409">
        <v>3.5</v>
      </c>
      <c r="P1409">
        <v>0.9</v>
      </c>
      <c r="Q1409">
        <v>2</v>
      </c>
      <c r="R1409">
        <v>3</v>
      </c>
      <c r="S1409">
        <v>3</v>
      </c>
      <c r="T1409" t="s">
        <v>30</v>
      </c>
      <c r="U1409">
        <v>4</v>
      </c>
      <c r="V1409" s="7">
        <v>45744</v>
      </c>
      <c r="W1409" t="s">
        <v>1650</v>
      </c>
      <c r="X1409" t="s">
        <v>1655</v>
      </c>
      <c r="Y1409" t="s">
        <v>1661</v>
      </c>
      <c r="Z1409">
        <v>1</v>
      </c>
    </row>
    <row r="1410" spans="1:26" x14ac:dyDescent="0.35">
      <c r="A1410" t="s">
        <v>897</v>
      </c>
      <c r="B1410" s="6">
        <v>42360</v>
      </c>
      <c r="C1410" t="s">
        <v>23</v>
      </c>
      <c r="D1410">
        <v>34</v>
      </c>
      <c r="E1410" t="s">
        <v>36</v>
      </c>
      <c r="F1410" t="s">
        <v>42</v>
      </c>
      <c r="G1410" t="s">
        <v>32</v>
      </c>
      <c r="H1410" t="s">
        <v>45</v>
      </c>
      <c r="I1410" t="s">
        <v>46</v>
      </c>
      <c r="J1410" t="s">
        <v>1633</v>
      </c>
      <c r="K1410" t="s">
        <v>40</v>
      </c>
      <c r="L1410">
        <v>52000</v>
      </c>
      <c r="M1410">
        <v>5.9</v>
      </c>
      <c r="N1410">
        <v>12.1</v>
      </c>
      <c r="O1410">
        <v>10</v>
      </c>
      <c r="P1410">
        <v>5</v>
      </c>
      <c r="Q1410">
        <v>2</v>
      </c>
      <c r="R1410">
        <v>3</v>
      </c>
      <c r="S1410">
        <v>4</v>
      </c>
      <c r="T1410" t="s">
        <v>23</v>
      </c>
      <c r="U1410">
        <v>5</v>
      </c>
      <c r="W1410" t="s">
        <v>1650</v>
      </c>
      <c r="X1410" t="s">
        <v>1656</v>
      </c>
      <c r="Y1410" t="s">
        <v>1662</v>
      </c>
      <c r="Z1410">
        <v>0</v>
      </c>
    </row>
    <row r="1411" spans="1:26" x14ac:dyDescent="0.35">
      <c r="A1411" t="s">
        <v>1585</v>
      </c>
      <c r="B1411" s="6">
        <v>43148</v>
      </c>
      <c r="C1411" t="s">
        <v>30</v>
      </c>
      <c r="D1411">
        <v>48</v>
      </c>
      <c r="E1411" t="s">
        <v>24</v>
      </c>
      <c r="F1411" t="s">
        <v>42</v>
      </c>
      <c r="G1411" t="s">
        <v>54</v>
      </c>
      <c r="H1411" t="s">
        <v>38</v>
      </c>
      <c r="I1411" t="s">
        <v>52</v>
      </c>
      <c r="J1411" t="s">
        <v>1636</v>
      </c>
      <c r="K1411" t="s">
        <v>50</v>
      </c>
      <c r="L1411">
        <v>115000</v>
      </c>
      <c r="M1411">
        <v>7.6</v>
      </c>
      <c r="N1411">
        <v>11.6</v>
      </c>
      <c r="O1411">
        <v>7</v>
      </c>
      <c r="P1411">
        <v>1.5</v>
      </c>
      <c r="Q1411">
        <v>2</v>
      </c>
      <c r="R1411">
        <v>4</v>
      </c>
      <c r="S1411">
        <v>3</v>
      </c>
      <c r="T1411" t="s">
        <v>30</v>
      </c>
      <c r="U1411">
        <v>3</v>
      </c>
      <c r="V1411" s="7">
        <v>45701</v>
      </c>
      <c r="W1411" t="s">
        <v>1652</v>
      </c>
      <c r="X1411" t="s">
        <v>1658</v>
      </c>
      <c r="Y1411" t="s">
        <v>1662</v>
      </c>
      <c r="Z1411">
        <v>1</v>
      </c>
    </row>
    <row r="1412" spans="1:26" x14ac:dyDescent="0.35">
      <c r="A1412" t="s">
        <v>527</v>
      </c>
      <c r="B1412" s="6">
        <v>45888</v>
      </c>
      <c r="C1412" t="s">
        <v>23</v>
      </c>
      <c r="D1412">
        <v>39</v>
      </c>
      <c r="E1412" t="s">
        <v>62</v>
      </c>
      <c r="F1412" t="s">
        <v>25</v>
      </c>
      <c r="G1412" t="s">
        <v>54</v>
      </c>
      <c r="H1412" t="s">
        <v>38</v>
      </c>
      <c r="I1412" t="s">
        <v>139</v>
      </c>
      <c r="J1412" t="s">
        <v>1633</v>
      </c>
      <c r="K1412" t="s">
        <v>50</v>
      </c>
      <c r="L1412">
        <v>54000</v>
      </c>
      <c r="M1412">
        <v>0</v>
      </c>
      <c r="N1412">
        <v>1.5</v>
      </c>
      <c r="O1412">
        <v>0.4</v>
      </c>
      <c r="P1412">
        <v>0</v>
      </c>
      <c r="Q1412">
        <v>4</v>
      </c>
      <c r="R1412">
        <v>1</v>
      </c>
      <c r="S1412">
        <v>3</v>
      </c>
      <c r="T1412" t="s">
        <v>30</v>
      </c>
      <c r="U1412">
        <v>3</v>
      </c>
      <c r="W1412" t="s">
        <v>1649</v>
      </c>
      <c r="X1412" t="s">
        <v>1656</v>
      </c>
      <c r="Y1412" t="s">
        <v>1664</v>
      </c>
      <c r="Z1412">
        <v>0</v>
      </c>
    </row>
    <row r="1413" spans="1:26" x14ac:dyDescent="0.35">
      <c r="A1413" t="s">
        <v>1306</v>
      </c>
      <c r="B1413" s="6">
        <v>44242</v>
      </c>
      <c r="C1413" t="s">
        <v>23</v>
      </c>
      <c r="D1413">
        <v>38</v>
      </c>
      <c r="E1413" t="s">
        <v>24</v>
      </c>
      <c r="F1413" t="s">
        <v>42</v>
      </c>
      <c r="G1413" t="s">
        <v>54</v>
      </c>
      <c r="H1413" t="s">
        <v>48</v>
      </c>
      <c r="I1413" t="s">
        <v>201</v>
      </c>
      <c r="J1413" t="s">
        <v>1636</v>
      </c>
      <c r="K1413" t="s">
        <v>29</v>
      </c>
      <c r="L1413">
        <v>99000</v>
      </c>
      <c r="M1413">
        <v>6.6</v>
      </c>
      <c r="N1413">
        <v>5</v>
      </c>
      <c r="O1413">
        <v>4.9000000000000004</v>
      </c>
      <c r="P1413">
        <v>2.8</v>
      </c>
      <c r="Q1413">
        <v>3</v>
      </c>
      <c r="R1413">
        <v>2</v>
      </c>
      <c r="S1413">
        <v>2</v>
      </c>
      <c r="T1413" t="s">
        <v>30</v>
      </c>
      <c r="U1413">
        <v>3</v>
      </c>
      <c r="W1413" t="s">
        <v>1649</v>
      </c>
      <c r="X1413" t="s">
        <v>1657</v>
      </c>
      <c r="Y1413" t="s">
        <v>1661</v>
      </c>
      <c r="Z1413">
        <v>0</v>
      </c>
    </row>
    <row r="1414" spans="1:26" x14ac:dyDescent="0.35">
      <c r="A1414" t="s">
        <v>1493</v>
      </c>
      <c r="B1414" s="6">
        <v>45034</v>
      </c>
      <c r="C1414" t="s">
        <v>23</v>
      </c>
      <c r="D1414">
        <v>43</v>
      </c>
      <c r="E1414" t="s">
        <v>36</v>
      </c>
      <c r="F1414" t="s">
        <v>42</v>
      </c>
      <c r="G1414" t="s">
        <v>32</v>
      </c>
      <c r="H1414" t="s">
        <v>55</v>
      </c>
      <c r="I1414" t="s">
        <v>179</v>
      </c>
      <c r="J1414" t="s">
        <v>1635</v>
      </c>
      <c r="K1414" t="s">
        <v>1638</v>
      </c>
      <c r="L1414">
        <v>98000</v>
      </c>
      <c r="M1414">
        <v>8.3000000000000007</v>
      </c>
      <c r="N1414">
        <v>2.8</v>
      </c>
      <c r="O1414">
        <v>2.7</v>
      </c>
      <c r="P1414">
        <v>2.5</v>
      </c>
      <c r="Q1414">
        <v>2</v>
      </c>
      <c r="R1414">
        <v>3</v>
      </c>
      <c r="S1414">
        <v>3</v>
      </c>
      <c r="T1414" t="s">
        <v>23</v>
      </c>
      <c r="U1414">
        <v>2</v>
      </c>
      <c r="W1414" t="s">
        <v>1649</v>
      </c>
      <c r="X1414" t="s">
        <v>1657</v>
      </c>
      <c r="Y1414" t="s">
        <v>1665</v>
      </c>
      <c r="Z1414">
        <v>0</v>
      </c>
    </row>
    <row r="1415" spans="1:26" x14ac:dyDescent="0.35">
      <c r="A1415" t="s">
        <v>647</v>
      </c>
      <c r="B1415" s="6">
        <v>44733</v>
      </c>
      <c r="C1415" t="s">
        <v>23</v>
      </c>
      <c r="D1415">
        <v>32</v>
      </c>
      <c r="E1415" t="s">
        <v>36</v>
      </c>
      <c r="F1415" t="s">
        <v>37</v>
      </c>
      <c r="G1415" t="s">
        <v>54</v>
      </c>
      <c r="H1415" t="s">
        <v>45</v>
      </c>
      <c r="I1415" t="s">
        <v>164</v>
      </c>
      <c r="J1415" t="s">
        <v>1633</v>
      </c>
      <c r="K1415" t="s">
        <v>29</v>
      </c>
      <c r="L1415">
        <v>60000</v>
      </c>
      <c r="M1415">
        <v>5.5</v>
      </c>
      <c r="N1415">
        <v>7.2</v>
      </c>
      <c r="O1415">
        <v>3.5</v>
      </c>
      <c r="P1415">
        <v>1.6</v>
      </c>
      <c r="Q1415">
        <v>2</v>
      </c>
      <c r="R1415">
        <v>3</v>
      </c>
      <c r="S1415">
        <v>3</v>
      </c>
      <c r="T1415" t="s">
        <v>23</v>
      </c>
      <c r="U1415">
        <v>3</v>
      </c>
      <c r="W1415" t="s">
        <v>1650</v>
      </c>
      <c r="X1415" t="s">
        <v>1659</v>
      </c>
      <c r="Y1415" t="s">
        <v>1661</v>
      </c>
      <c r="Z1415">
        <v>0</v>
      </c>
    </row>
    <row r="1416" spans="1:26" x14ac:dyDescent="0.35">
      <c r="A1416" t="s">
        <v>565</v>
      </c>
      <c r="B1416" s="6">
        <v>45143</v>
      </c>
      <c r="C1416" t="s">
        <v>23</v>
      </c>
      <c r="D1416">
        <v>40</v>
      </c>
      <c r="E1416" t="s">
        <v>24</v>
      </c>
      <c r="F1416" t="s">
        <v>37</v>
      </c>
      <c r="G1416" t="s">
        <v>54</v>
      </c>
      <c r="H1416" t="s">
        <v>55</v>
      </c>
      <c r="I1416" t="s">
        <v>88</v>
      </c>
      <c r="J1416" t="s">
        <v>1635</v>
      </c>
      <c r="K1416" t="s">
        <v>66</v>
      </c>
      <c r="L1416">
        <v>89000</v>
      </c>
      <c r="M1416">
        <v>14.5</v>
      </c>
      <c r="N1416">
        <v>8.9</v>
      </c>
      <c r="O1416">
        <v>2.4</v>
      </c>
      <c r="P1416">
        <v>1.1000000000000001</v>
      </c>
      <c r="Q1416">
        <v>4</v>
      </c>
      <c r="R1416">
        <v>4</v>
      </c>
      <c r="S1416">
        <v>2</v>
      </c>
      <c r="T1416" t="s">
        <v>23</v>
      </c>
      <c r="U1416">
        <v>4</v>
      </c>
      <c r="W1416" t="s">
        <v>1649</v>
      </c>
      <c r="X1416" t="s">
        <v>1657</v>
      </c>
      <c r="Y1416" t="s">
        <v>1665</v>
      </c>
      <c r="Z1416">
        <v>0</v>
      </c>
    </row>
    <row r="1417" spans="1:26" x14ac:dyDescent="0.35">
      <c r="A1417" t="s">
        <v>198</v>
      </c>
      <c r="B1417" s="6">
        <v>42933</v>
      </c>
      <c r="C1417" t="s">
        <v>23</v>
      </c>
      <c r="D1417">
        <v>33</v>
      </c>
      <c r="E1417" t="s">
        <v>36</v>
      </c>
      <c r="F1417" t="s">
        <v>42</v>
      </c>
      <c r="G1417" t="s">
        <v>54</v>
      </c>
      <c r="H1417" t="s">
        <v>27</v>
      </c>
      <c r="I1417" t="s">
        <v>95</v>
      </c>
      <c r="J1417" t="s">
        <v>1633</v>
      </c>
      <c r="K1417" t="s">
        <v>84</v>
      </c>
      <c r="L1417">
        <v>42000</v>
      </c>
      <c r="M1417">
        <v>9</v>
      </c>
      <c r="N1417">
        <v>12</v>
      </c>
      <c r="O1417">
        <v>8.5</v>
      </c>
      <c r="P1417">
        <v>1.6</v>
      </c>
      <c r="Q1417">
        <v>2</v>
      </c>
      <c r="R1417">
        <v>3</v>
      </c>
      <c r="S1417">
        <v>4</v>
      </c>
      <c r="T1417" t="s">
        <v>30</v>
      </c>
      <c r="U1417">
        <v>2</v>
      </c>
      <c r="W1417" t="s">
        <v>1650</v>
      </c>
      <c r="X1417" t="s">
        <v>1656</v>
      </c>
      <c r="Y1417" t="s">
        <v>1662</v>
      </c>
      <c r="Z1417">
        <v>0</v>
      </c>
    </row>
    <row r="1418" spans="1:26" x14ac:dyDescent="0.35">
      <c r="A1418" t="s">
        <v>1116</v>
      </c>
      <c r="B1418" s="6">
        <v>44536</v>
      </c>
      <c r="C1418" t="s">
        <v>23</v>
      </c>
      <c r="D1418">
        <v>30</v>
      </c>
      <c r="E1418" t="s">
        <v>24</v>
      </c>
      <c r="F1418" t="s">
        <v>42</v>
      </c>
      <c r="G1418" t="s">
        <v>26</v>
      </c>
      <c r="H1418" t="s">
        <v>1634</v>
      </c>
      <c r="I1418" t="s">
        <v>86</v>
      </c>
      <c r="J1418" t="s">
        <v>1635</v>
      </c>
      <c r="K1418" t="s">
        <v>84</v>
      </c>
      <c r="L1418">
        <v>62000</v>
      </c>
      <c r="M1418">
        <v>11.8</v>
      </c>
      <c r="N1418">
        <v>5.4</v>
      </c>
      <c r="O1418">
        <v>4.0999999999999996</v>
      </c>
      <c r="P1418">
        <v>3.6</v>
      </c>
      <c r="Q1418">
        <v>3</v>
      </c>
      <c r="R1418">
        <v>4</v>
      </c>
      <c r="S1418">
        <v>3</v>
      </c>
      <c r="T1418" t="s">
        <v>30</v>
      </c>
      <c r="U1418">
        <v>3</v>
      </c>
      <c r="W1418" t="s">
        <v>1650</v>
      </c>
      <c r="X1418" t="s">
        <v>1659</v>
      </c>
      <c r="Y1418" t="s">
        <v>1661</v>
      </c>
      <c r="Z1418">
        <v>0</v>
      </c>
    </row>
    <row r="1419" spans="1:26" x14ac:dyDescent="0.35">
      <c r="A1419" t="s">
        <v>1368</v>
      </c>
      <c r="B1419" s="6">
        <v>45869</v>
      </c>
      <c r="C1419" t="s">
        <v>23</v>
      </c>
      <c r="D1419">
        <v>21</v>
      </c>
      <c r="E1419" t="s">
        <v>36</v>
      </c>
      <c r="F1419" t="s">
        <v>25</v>
      </c>
      <c r="G1419" t="s">
        <v>58</v>
      </c>
      <c r="H1419" t="s">
        <v>45</v>
      </c>
      <c r="I1419" t="s">
        <v>46</v>
      </c>
      <c r="J1419" t="s">
        <v>1632</v>
      </c>
      <c r="K1419" t="s">
        <v>34</v>
      </c>
      <c r="L1419">
        <v>44000</v>
      </c>
      <c r="M1419">
        <v>19</v>
      </c>
      <c r="N1419">
        <v>5.6</v>
      </c>
      <c r="O1419">
        <v>0.4</v>
      </c>
      <c r="P1419">
        <v>0</v>
      </c>
      <c r="Q1419">
        <v>4</v>
      </c>
      <c r="R1419">
        <v>1</v>
      </c>
      <c r="S1419">
        <v>3</v>
      </c>
      <c r="T1419" t="s">
        <v>23</v>
      </c>
      <c r="U1419">
        <v>3</v>
      </c>
      <c r="W1419" t="s">
        <v>1651</v>
      </c>
      <c r="X1419" t="s">
        <v>1656</v>
      </c>
      <c r="Y1419" t="s">
        <v>1664</v>
      </c>
      <c r="Z1419">
        <v>0</v>
      </c>
    </row>
    <row r="1420" spans="1:26" x14ac:dyDescent="0.35">
      <c r="A1420" t="s">
        <v>987</v>
      </c>
      <c r="B1420" s="6">
        <v>44671</v>
      </c>
      <c r="C1420" t="s">
        <v>23</v>
      </c>
      <c r="D1420">
        <v>29</v>
      </c>
      <c r="E1420" t="s">
        <v>36</v>
      </c>
      <c r="F1420" t="s">
        <v>25</v>
      </c>
      <c r="G1420" t="s">
        <v>54</v>
      </c>
      <c r="H1420" t="s">
        <v>45</v>
      </c>
      <c r="I1420" t="s">
        <v>77</v>
      </c>
      <c r="J1420" t="s">
        <v>1633</v>
      </c>
      <c r="K1420" t="s">
        <v>50</v>
      </c>
      <c r="L1420">
        <v>75000</v>
      </c>
      <c r="M1420">
        <v>3.7</v>
      </c>
      <c r="N1420">
        <v>3.8</v>
      </c>
      <c r="O1420">
        <v>3.7</v>
      </c>
      <c r="P1420">
        <v>3</v>
      </c>
      <c r="Q1420">
        <v>3</v>
      </c>
      <c r="R1420">
        <v>3</v>
      </c>
      <c r="S1420">
        <v>2</v>
      </c>
      <c r="T1420" t="s">
        <v>30</v>
      </c>
      <c r="U1420">
        <v>4</v>
      </c>
      <c r="W1420" t="s">
        <v>1650</v>
      </c>
      <c r="X1420" t="s">
        <v>1659</v>
      </c>
      <c r="Y1420" t="s">
        <v>1661</v>
      </c>
      <c r="Z1420">
        <v>0</v>
      </c>
    </row>
    <row r="1421" spans="1:26" x14ac:dyDescent="0.35">
      <c r="A1421" t="s">
        <v>960</v>
      </c>
      <c r="B1421" s="6">
        <v>43199</v>
      </c>
      <c r="C1421" t="s">
        <v>23</v>
      </c>
      <c r="D1421">
        <v>34</v>
      </c>
      <c r="E1421" t="s">
        <v>36</v>
      </c>
      <c r="F1421" t="s">
        <v>37</v>
      </c>
      <c r="G1421" t="s">
        <v>54</v>
      </c>
      <c r="H1421" t="s">
        <v>68</v>
      </c>
      <c r="I1421" t="s">
        <v>121</v>
      </c>
      <c r="J1421" t="s">
        <v>1636</v>
      </c>
      <c r="K1421" t="s">
        <v>29</v>
      </c>
      <c r="L1421">
        <v>123000</v>
      </c>
      <c r="M1421">
        <v>10.4</v>
      </c>
      <c r="N1421">
        <v>15.4</v>
      </c>
      <c r="O1421">
        <v>7.7</v>
      </c>
      <c r="P1421">
        <v>3.1</v>
      </c>
      <c r="Q1421">
        <v>3</v>
      </c>
      <c r="R1421">
        <v>3</v>
      </c>
      <c r="S1421">
        <v>3</v>
      </c>
      <c r="T1421" t="s">
        <v>23</v>
      </c>
      <c r="U1421">
        <v>3</v>
      </c>
      <c r="W1421" t="s">
        <v>1650</v>
      </c>
      <c r="X1421" t="s">
        <v>1658</v>
      </c>
      <c r="Y1421" t="s">
        <v>1662</v>
      </c>
      <c r="Z1421">
        <v>0</v>
      </c>
    </row>
    <row r="1422" spans="1:26" x14ac:dyDescent="0.35">
      <c r="A1422" t="s">
        <v>862</v>
      </c>
      <c r="B1422" s="6">
        <v>44084</v>
      </c>
      <c r="C1422" t="s">
        <v>23</v>
      </c>
      <c r="D1422">
        <v>26</v>
      </c>
      <c r="E1422" t="s">
        <v>24</v>
      </c>
      <c r="F1422" t="s">
        <v>42</v>
      </c>
      <c r="G1422" t="s">
        <v>58</v>
      </c>
      <c r="H1422" t="s">
        <v>1634</v>
      </c>
      <c r="I1422" t="s">
        <v>150</v>
      </c>
      <c r="J1422" t="s">
        <v>1632</v>
      </c>
      <c r="K1422" t="s">
        <v>29</v>
      </c>
      <c r="L1422">
        <v>30000</v>
      </c>
      <c r="M1422">
        <v>5</v>
      </c>
      <c r="N1422">
        <v>10.7</v>
      </c>
      <c r="O1422">
        <v>5.3</v>
      </c>
      <c r="P1422">
        <v>2.1</v>
      </c>
      <c r="Q1422">
        <v>3</v>
      </c>
      <c r="R1422">
        <v>2</v>
      </c>
      <c r="S1422">
        <v>3</v>
      </c>
      <c r="T1422" t="s">
        <v>30</v>
      </c>
      <c r="U1422">
        <v>4</v>
      </c>
      <c r="W1422" t="s">
        <v>1650</v>
      </c>
      <c r="X1422" t="s">
        <v>1655</v>
      </c>
      <c r="Y1422" t="s">
        <v>1661</v>
      </c>
      <c r="Z1422">
        <v>0</v>
      </c>
    </row>
    <row r="1423" spans="1:26" x14ac:dyDescent="0.35">
      <c r="A1423" t="s">
        <v>172</v>
      </c>
      <c r="B1423" s="6">
        <v>43541</v>
      </c>
      <c r="C1423" t="s">
        <v>23</v>
      </c>
      <c r="D1423">
        <v>29</v>
      </c>
      <c r="E1423" t="s">
        <v>36</v>
      </c>
      <c r="F1423" t="s">
        <v>42</v>
      </c>
      <c r="G1423" t="s">
        <v>26</v>
      </c>
      <c r="H1423" t="s">
        <v>38</v>
      </c>
      <c r="I1423" t="s">
        <v>39</v>
      </c>
      <c r="J1423" t="s">
        <v>1636</v>
      </c>
      <c r="K1423" t="s">
        <v>29</v>
      </c>
      <c r="L1423">
        <v>111000</v>
      </c>
      <c r="M1423">
        <v>14</v>
      </c>
      <c r="N1423">
        <v>10.6</v>
      </c>
      <c r="O1423">
        <v>6.8</v>
      </c>
      <c r="P1423">
        <v>4.2</v>
      </c>
      <c r="Q1423">
        <v>4</v>
      </c>
      <c r="R1423">
        <v>3</v>
      </c>
      <c r="S1423">
        <v>2</v>
      </c>
      <c r="T1423" t="s">
        <v>23</v>
      </c>
      <c r="U1423">
        <v>4</v>
      </c>
      <c r="W1423" t="s">
        <v>1650</v>
      </c>
      <c r="X1423" t="s">
        <v>1658</v>
      </c>
      <c r="Y1423" t="s">
        <v>1662</v>
      </c>
      <c r="Z1423">
        <v>0</v>
      </c>
    </row>
    <row r="1424" spans="1:26" x14ac:dyDescent="0.35">
      <c r="A1424" t="s">
        <v>386</v>
      </c>
      <c r="B1424" s="6">
        <v>45885</v>
      </c>
      <c r="C1424" t="s">
        <v>23</v>
      </c>
      <c r="D1424">
        <v>24</v>
      </c>
      <c r="E1424" t="s">
        <v>36</v>
      </c>
      <c r="F1424" t="s">
        <v>25</v>
      </c>
      <c r="G1424" t="s">
        <v>32</v>
      </c>
      <c r="H1424" t="s">
        <v>48</v>
      </c>
      <c r="I1424" t="s">
        <v>201</v>
      </c>
      <c r="J1424" t="s">
        <v>1632</v>
      </c>
      <c r="K1424" t="s">
        <v>40</v>
      </c>
      <c r="L1424">
        <v>33000</v>
      </c>
      <c r="M1424">
        <v>9.3000000000000007</v>
      </c>
      <c r="N1424">
        <v>3.8</v>
      </c>
      <c r="O1424">
        <v>0.4</v>
      </c>
      <c r="P1424">
        <v>0</v>
      </c>
      <c r="Q1424">
        <v>3</v>
      </c>
      <c r="R1424">
        <v>1</v>
      </c>
      <c r="S1424">
        <v>3</v>
      </c>
      <c r="T1424" t="s">
        <v>23</v>
      </c>
      <c r="U1424">
        <v>3</v>
      </c>
      <c r="W1424" t="s">
        <v>1651</v>
      </c>
      <c r="X1424" t="s">
        <v>1655</v>
      </c>
      <c r="Y1424" t="s">
        <v>1664</v>
      </c>
      <c r="Z1424">
        <v>0</v>
      </c>
    </row>
    <row r="1425" spans="1:26" x14ac:dyDescent="0.35">
      <c r="A1425" t="s">
        <v>1263</v>
      </c>
      <c r="B1425" s="6">
        <v>44032</v>
      </c>
      <c r="C1425" t="s">
        <v>23</v>
      </c>
      <c r="D1425">
        <v>35</v>
      </c>
      <c r="E1425" t="s">
        <v>36</v>
      </c>
      <c r="F1425" t="s">
        <v>42</v>
      </c>
      <c r="G1425" t="s">
        <v>54</v>
      </c>
      <c r="H1425" t="s">
        <v>38</v>
      </c>
      <c r="I1425" t="s">
        <v>52</v>
      </c>
      <c r="J1425" t="s">
        <v>1635</v>
      </c>
      <c r="K1425" t="s">
        <v>66</v>
      </c>
      <c r="L1425">
        <v>77000</v>
      </c>
      <c r="M1425">
        <v>15.8</v>
      </c>
      <c r="N1425">
        <v>11.8</v>
      </c>
      <c r="O1425">
        <v>5.4</v>
      </c>
      <c r="P1425">
        <v>4.9000000000000004</v>
      </c>
      <c r="Q1425">
        <v>4</v>
      </c>
      <c r="R1425">
        <v>3</v>
      </c>
      <c r="S1425">
        <v>2</v>
      </c>
      <c r="T1425" t="s">
        <v>30</v>
      </c>
      <c r="U1425">
        <v>4</v>
      </c>
      <c r="W1425" t="s">
        <v>1650</v>
      </c>
      <c r="X1425" t="s">
        <v>1659</v>
      </c>
      <c r="Y1425" t="s">
        <v>1661</v>
      </c>
      <c r="Z1425">
        <v>0</v>
      </c>
    </row>
    <row r="1426" spans="1:26" x14ac:dyDescent="0.35">
      <c r="A1426" t="s">
        <v>582</v>
      </c>
      <c r="B1426" s="6">
        <v>43736</v>
      </c>
      <c r="C1426" t="s">
        <v>23</v>
      </c>
      <c r="D1426">
        <v>30</v>
      </c>
      <c r="E1426" t="s">
        <v>24</v>
      </c>
      <c r="F1426" t="s">
        <v>42</v>
      </c>
      <c r="G1426" t="s">
        <v>54</v>
      </c>
      <c r="H1426" t="s">
        <v>45</v>
      </c>
      <c r="I1426" t="s">
        <v>77</v>
      </c>
      <c r="J1426" t="s">
        <v>1635</v>
      </c>
      <c r="K1426" t="s">
        <v>40</v>
      </c>
      <c r="L1426">
        <v>65000</v>
      </c>
      <c r="M1426">
        <v>8.6</v>
      </c>
      <c r="N1426">
        <v>9.6999999999999993</v>
      </c>
      <c r="O1426">
        <v>6.3</v>
      </c>
      <c r="P1426">
        <v>1.3</v>
      </c>
      <c r="Q1426">
        <v>3</v>
      </c>
      <c r="R1426">
        <v>4</v>
      </c>
      <c r="S1426">
        <v>3</v>
      </c>
      <c r="T1426" t="s">
        <v>23</v>
      </c>
      <c r="U1426">
        <v>4</v>
      </c>
      <c r="W1426" t="s">
        <v>1650</v>
      </c>
      <c r="X1426" t="s">
        <v>1659</v>
      </c>
      <c r="Y1426" t="s">
        <v>1662</v>
      </c>
      <c r="Z1426">
        <v>0</v>
      </c>
    </row>
    <row r="1427" spans="1:26" x14ac:dyDescent="0.35">
      <c r="A1427" t="s">
        <v>1346</v>
      </c>
      <c r="B1427" s="6">
        <v>43008</v>
      </c>
      <c r="C1427" t="s">
        <v>23</v>
      </c>
      <c r="D1427">
        <v>33</v>
      </c>
      <c r="E1427" t="s">
        <v>62</v>
      </c>
      <c r="F1427" t="s">
        <v>42</v>
      </c>
      <c r="G1427" t="s">
        <v>26</v>
      </c>
      <c r="H1427" t="s">
        <v>27</v>
      </c>
      <c r="I1427" t="s">
        <v>33</v>
      </c>
      <c r="J1427" t="s">
        <v>1633</v>
      </c>
      <c r="K1427" t="s">
        <v>29</v>
      </c>
      <c r="L1427">
        <v>49000</v>
      </c>
      <c r="M1427">
        <v>9.1999999999999993</v>
      </c>
      <c r="N1427">
        <v>15</v>
      </c>
      <c r="O1427">
        <v>8.3000000000000007</v>
      </c>
      <c r="P1427">
        <v>4.5</v>
      </c>
      <c r="Q1427">
        <v>3</v>
      </c>
      <c r="R1427">
        <v>4</v>
      </c>
      <c r="S1427">
        <v>1</v>
      </c>
      <c r="T1427" t="s">
        <v>30</v>
      </c>
      <c r="U1427">
        <v>4</v>
      </c>
      <c r="W1427" t="s">
        <v>1650</v>
      </c>
      <c r="X1427" t="s">
        <v>1656</v>
      </c>
      <c r="Y1427" t="s">
        <v>1662</v>
      </c>
      <c r="Z1427">
        <v>0</v>
      </c>
    </row>
    <row r="1428" spans="1:26" x14ac:dyDescent="0.35">
      <c r="A1428" t="s">
        <v>247</v>
      </c>
      <c r="B1428" s="6">
        <v>45370</v>
      </c>
      <c r="C1428" t="s">
        <v>23</v>
      </c>
      <c r="D1428">
        <v>31</v>
      </c>
      <c r="E1428" t="s">
        <v>62</v>
      </c>
      <c r="F1428" t="s">
        <v>25</v>
      </c>
      <c r="G1428" t="s">
        <v>54</v>
      </c>
      <c r="H1428" t="s">
        <v>45</v>
      </c>
      <c r="I1428" t="s">
        <v>77</v>
      </c>
      <c r="J1428" t="s">
        <v>1635</v>
      </c>
      <c r="K1428" t="s">
        <v>50</v>
      </c>
      <c r="L1428">
        <v>53000</v>
      </c>
      <c r="M1428">
        <v>12.9</v>
      </c>
      <c r="N1428">
        <v>8.6</v>
      </c>
      <c r="O1428">
        <v>1.8</v>
      </c>
      <c r="P1428">
        <v>0.8</v>
      </c>
      <c r="Q1428">
        <v>3</v>
      </c>
      <c r="R1428">
        <v>3</v>
      </c>
      <c r="S1428">
        <v>2</v>
      </c>
      <c r="T1428" t="s">
        <v>30</v>
      </c>
      <c r="U1428">
        <v>4</v>
      </c>
      <c r="W1428" t="s">
        <v>1650</v>
      </c>
      <c r="X1428" t="s">
        <v>1656</v>
      </c>
      <c r="Y1428" t="s">
        <v>1665</v>
      </c>
      <c r="Z1428">
        <v>0</v>
      </c>
    </row>
    <row r="1429" spans="1:26" x14ac:dyDescent="0.35">
      <c r="A1429" t="s">
        <v>1011</v>
      </c>
      <c r="B1429" s="6">
        <v>43553</v>
      </c>
      <c r="C1429" t="s">
        <v>23</v>
      </c>
      <c r="D1429">
        <v>28</v>
      </c>
      <c r="E1429" t="s">
        <v>62</v>
      </c>
      <c r="F1429" t="s">
        <v>25</v>
      </c>
      <c r="G1429" t="s">
        <v>32</v>
      </c>
      <c r="H1429" t="s">
        <v>48</v>
      </c>
      <c r="I1429" t="s">
        <v>201</v>
      </c>
      <c r="J1429" t="s">
        <v>1633</v>
      </c>
      <c r="K1429" t="s">
        <v>66</v>
      </c>
      <c r="L1429">
        <v>72000</v>
      </c>
      <c r="M1429">
        <v>9.3000000000000007</v>
      </c>
      <c r="N1429">
        <v>14.2</v>
      </c>
      <c r="O1429">
        <v>6.8</v>
      </c>
      <c r="P1429">
        <v>4.0999999999999996</v>
      </c>
      <c r="Q1429">
        <v>3</v>
      </c>
      <c r="R1429">
        <v>4</v>
      </c>
      <c r="S1429">
        <v>3</v>
      </c>
      <c r="T1429" t="s">
        <v>23</v>
      </c>
      <c r="U1429">
        <v>5</v>
      </c>
      <c r="W1429" t="s">
        <v>1650</v>
      </c>
      <c r="X1429" t="s">
        <v>1659</v>
      </c>
      <c r="Y1429" t="s">
        <v>1662</v>
      </c>
      <c r="Z1429">
        <v>0</v>
      </c>
    </row>
    <row r="1430" spans="1:26" x14ac:dyDescent="0.35">
      <c r="A1430" t="s">
        <v>1193</v>
      </c>
      <c r="B1430" s="6">
        <v>43491</v>
      </c>
      <c r="C1430" t="s">
        <v>30</v>
      </c>
      <c r="D1430">
        <v>39</v>
      </c>
      <c r="E1430" t="s">
        <v>36</v>
      </c>
      <c r="F1430" t="s">
        <v>37</v>
      </c>
      <c r="G1430" t="s">
        <v>54</v>
      </c>
      <c r="H1430" t="s">
        <v>1634</v>
      </c>
      <c r="I1430" t="s">
        <v>75</v>
      </c>
      <c r="J1430" t="s">
        <v>1635</v>
      </c>
      <c r="K1430" t="s">
        <v>29</v>
      </c>
      <c r="L1430">
        <v>79000</v>
      </c>
      <c r="M1430">
        <v>10.6</v>
      </c>
      <c r="N1430">
        <v>9.5</v>
      </c>
      <c r="O1430">
        <v>6.1</v>
      </c>
      <c r="P1430">
        <v>1.9</v>
      </c>
      <c r="Q1430">
        <v>2</v>
      </c>
      <c r="R1430">
        <v>4</v>
      </c>
      <c r="S1430">
        <v>2</v>
      </c>
      <c r="T1430" t="s">
        <v>23</v>
      </c>
      <c r="U1430">
        <v>4</v>
      </c>
      <c r="V1430" s="7">
        <v>45736</v>
      </c>
      <c r="W1430" t="s">
        <v>1649</v>
      </c>
      <c r="X1430" t="s">
        <v>1659</v>
      </c>
      <c r="Y1430" t="s">
        <v>1662</v>
      </c>
      <c r="Z1430">
        <v>1</v>
      </c>
    </row>
    <row r="1431" spans="1:26" x14ac:dyDescent="0.35">
      <c r="A1431" t="s">
        <v>1480</v>
      </c>
      <c r="B1431" s="6">
        <v>44597</v>
      </c>
      <c r="C1431" t="s">
        <v>23</v>
      </c>
      <c r="D1431">
        <v>36</v>
      </c>
      <c r="E1431" t="s">
        <v>24</v>
      </c>
      <c r="F1431" t="s">
        <v>25</v>
      </c>
      <c r="G1431" t="s">
        <v>32</v>
      </c>
      <c r="H1431" t="s">
        <v>38</v>
      </c>
      <c r="I1431" t="s">
        <v>52</v>
      </c>
      <c r="J1431" t="s">
        <v>1636</v>
      </c>
      <c r="K1431" t="s">
        <v>84</v>
      </c>
      <c r="L1431">
        <v>122000</v>
      </c>
      <c r="M1431">
        <v>11.2</v>
      </c>
      <c r="N1431">
        <v>4.0999999999999996</v>
      </c>
      <c r="O1431">
        <v>3.9</v>
      </c>
      <c r="P1431">
        <v>2.8</v>
      </c>
      <c r="Q1431">
        <v>3</v>
      </c>
      <c r="R1431">
        <v>3</v>
      </c>
      <c r="S1431">
        <v>3</v>
      </c>
      <c r="T1431" t="s">
        <v>30</v>
      </c>
      <c r="U1431">
        <v>4</v>
      </c>
      <c r="W1431" t="s">
        <v>1649</v>
      </c>
      <c r="X1431" t="s">
        <v>1658</v>
      </c>
      <c r="Y1431" t="s">
        <v>1661</v>
      </c>
      <c r="Z1431">
        <v>0</v>
      </c>
    </row>
    <row r="1432" spans="1:26" x14ac:dyDescent="0.35">
      <c r="A1432" t="s">
        <v>506</v>
      </c>
      <c r="B1432" s="6">
        <v>44642</v>
      </c>
      <c r="C1432" t="s">
        <v>23</v>
      </c>
      <c r="D1432">
        <v>30</v>
      </c>
      <c r="E1432" t="s">
        <v>24</v>
      </c>
      <c r="F1432" t="s">
        <v>37</v>
      </c>
      <c r="G1432" t="s">
        <v>58</v>
      </c>
      <c r="H1432" t="s">
        <v>68</v>
      </c>
      <c r="I1432" t="s">
        <v>102</v>
      </c>
      <c r="J1432" t="s">
        <v>1633</v>
      </c>
      <c r="K1432" t="s">
        <v>84</v>
      </c>
      <c r="L1432">
        <v>68000</v>
      </c>
      <c r="M1432">
        <v>5.9</v>
      </c>
      <c r="N1432">
        <v>11.7</v>
      </c>
      <c r="O1432">
        <v>3.8</v>
      </c>
      <c r="P1432">
        <v>2.2999999999999998</v>
      </c>
      <c r="Q1432">
        <v>4</v>
      </c>
      <c r="R1432">
        <v>1</v>
      </c>
      <c r="S1432">
        <v>3</v>
      </c>
      <c r="T1432" t="s">
        <v>23</v>
      </c>
      <c r="U1432">
        <v>4</v>
      </c>
      <c r="W1432" t="s">
        <v>1650</v>
      </c>
      <c r="X1432" t="s">
        <v>1659</v>
      </c>
      <c r="Y1432" t="s">
        <v>1661</v>
      </c>
      <c r="Z1432">
        <v>0</v>
      </c>
    </row>
    <row r="1433" spans="1:26" x14ac:dyDescent="0.35">
      <c r="A1433" t="s">
        <v>769</v>
      </c>
      <c r="B1433" s="6">
        <v>44951</v>
      </c>
      <c r="C1433" t="s">
        <v>23</v>
      </c>
      <c r="D1433">
        <v>30</v>
      </c>
      <c r="E1433" t="s">
        <v>62</v>
      </c>
      <c r="F1433" t="s">
        <v>25</v>
      </c>
      <c r="G1433" t="s">
        <v>26</v>
      </c>
      <c r="H1433" t="s">
        <v>27</v>
      </c>
      <c r="I1433" t="s">
        <v>95</v>
      </c>
      <c r="J1433" t="s">
        <v>1637</v>
      </c>
      <c r="K1433" t="s">
        <v>34</v>
      </c>
      <c r="L1433">
        <v>136000</v>
      </c>
      <c r="M1433">
        <v>0.2</v>
      </c>
      <c r="N1433">
        <v>8.1999999999999993</v>
      </c>
      <c r="O1433">
        <v>2.9</v>
      </c>
      <c r="P1433">
        <v>0.7</v>
      </c>
      <c r="Q1433">
        <v>3</v>
      </c>
      <c r="R1433">
        <v>1</v>
      </c>
      <c r="S1433">
        <v>2</v>
      </c>
      <c r="T1433" t="s">
        <v>23</v>
      </c>
      <c r="U1433">
        <v>5</v>
      </c>
      <c r="W1433" t="s">
        <v>1650</v>
      </c>
      <c r="X1433" t="s">
        <v>1658</v>
      </c>
      <c r="Y1433" t="s">
        <v>1665</v>
      </c>
      <c r="Z1433">
        <v>0</v>
      </c>
    </row>
    <row r="1434" spans="1:26" x14ac:dyDescent="0.35">
      <c r="A1434" t="s">
        <v>188</v>
      </c>
      <c r="B1434" s="6">
        <v>43768</v>
      </c>
      <c r="C1434" t="s">
        <v>23</v>
      </c>
      <c r="D1434">
        <v>34</v>
      </c>
      <c r="E1434" t="s">
        <v>62</v>
      </c>
      <c r="F1434" t="s">
        <v>37</v>
      </c>
      <c r="G1434" t="s">
        <v>26</v>
      </c>
      <c r="H1434" t="s">
        <v>45</v>
      </c>
      <c r="I1434" t="s">
        <v>164</v>
      </c>
      <c r="J1434" t="s">
        <v>1633</v>
      </c>
      <c r="K1434" t="s">
        <v>34</v>
      </c>
      <c r="L1434">
        <v>49000</v>
      </c>
      <c r="M1434">
        <v>8.4</v>
      </c>
      <c r="N1434">
        <v>11.3</v>
      </c>
      <c r="O1434">
        <v>6.2</v>
      </c>
      <c r="P1434">
        <v>4</v>
      </c>
      <c r="Q1434">
        <v>3</v>
      </c>
      <c r="R1434">
        <v>3</v>
      </c>
      <c r="S1434">
        <v>3</v>
      </c>
      <c r="T1434" t="s">
        <v>23</v>
      </c>
      <c r="U1434">
        <v>4</v>
      </c>
      <c r="W1434" t="s">
        <v>1650</v>
      </c>
      <c r="X1434" t="s">
        <v>1656</v>
      </c>
      <c r="Y1434" t="s">
        <v>1662</v>
      </c>
      <c r="Z1434">
        <v>0</v>
      </c>
    </row>
    <row r="1435" spans="1:26" x14ac:dyDescent="0.35">
      <c r="A1435" t="s">
        <v>1231</v>
      </c>
      <c r="B1435" s="6">
        <v>43430</v>
      </c>
      <c r="C1435" t="s">
        <v>23</v>
      </c>
      <c r="D1435">
        <v>40</v>
      </c>
      <c r="E1435" t="s">
        <v>36</v>
      </c>
      <c r="F1435" t="s">
        <v>37</v>
      </c>
      <c r="G1435" t="s">
        <v>32</v>
      </c>
      <c r="H1435" t="s">
        <v>45</v>
      </c>
      <c r="I1435" t="s">
        <v>77</v>
      </c>
      <c r="J1435" t="s">
        <v>1636</v>
      </c>
      <c r="K1435" t="s">
        <v>34</v>
      </c>
      <c r="L1435">
        <v>102000</v>
      </c>
      <c r="M1435">
        <v>6.7</v>
      </c>
      <c r="N1435">
        <v>11.2</v>
      </c>
      <c r="O1435">
        <v>7.1</v>
      </c>
      <c r="P1435">
        <v>2</v>
      </c>
      <c r="Q1435">
        <v>2</v>
      </c>
      <c r="R1435">
        <v>2</v>
      </c>
      <c r="S1435">
        <v>3</v>
      </c>
      <c r="T1435" t="s">
        <v>23</v>
      </c>
      <c r="U1435">
        <v>1</v>
      </c>
      <c r="W1435" t="s">
        <v>1649</v>
      </c>
      <c r="X1435" t="s">
        <v>1658</v>
      </c>
      <c r="Y1435" t="s">
        <v>1662</v>
      </c>
      <c r="Z1435">
        <v>0</v>
      </c>
    </row>
    <row r="1436" spans="1:26" x14ac:dyDescent="0.35">
      <c r="A1436" t="s">
        <v>473</v>
      </c>
      <c r="B1436" s="6">
        <v>42153</v>
      </c>
      <c r="C1436" t="s">
        <v>23</v>
      </c>
      <c r="D1436">
        <v>37</v>
      </c>
      <c r="E1436" t="s">
        <v>24</v>
      </c>
      <c r="F1436" t="s">
        <v>25</v>
      </c>
      <c r="G1436" t="s">
        <v>32</v>
      </c>
      <c r="H1436" t="s">
        <v>45</v>
      </c>
      <c r="I1436" t="s">
        <v>77</v>
      </c>
      <c r="J1436" t="s">
        <v>1632</v>
      </c>
      <c r="K1436" t="s">
        <v>66</v>
      </c>
      <c r="L1436">
        <v>44000</v>
      </c>
      <c r="M1436">
        <v>6.5</v>
      </c>
      <c r="N1436">
        <v>14.7</v>
      </c>
      <c r="O1436">
        <v>10.6</v>
      </c>
      <c r="P1436">
        <v>5.4</v>
      </c>
      <c r="Q1436">
        <v>3</v>
      </c>
      <c r="R1436">
        <v>4</v>
      </c>
      <c r="S1436">
        <v>2</v>
      </c>
      <c r="T1436" t="s">
        <v>30</v>
      </c>
      <c r="U1436">
        <v>2</v>
      </c>
      <c r="W1436" t="s">
        <v>1649</v>
      </c>
      <c r="X1436" t="s">
        <v>1656</v>
      </c>
      <c r="Y1436" t="s">
        <v>1663</v>
      </c>
      <c r="Z1436">
        <v>0</v>
      </c>
    </row>
    <row r="1437" spans="1:26" x14ac:dyDescent="0.35">
      <c r="A1437" t="s">
        <v>730</v>
      </c>
      <c r="B1437" s="6">
        <v>42621</v>
      </c>
      <c r="C1437" t="s">
        <v>23</v>
      </c>
      <c r="D1437">
        <v>35</v>
      </c>
      <c r="E1437" t="s">
        <v>62</v>
      </c>
      <c r="F1437" t="s">
        <v>42</v>
      </c>
      <c r="G1437" t="s">
        <v>32</v>
      </c>
      <c r="H1437" t="s">
        <v>48</v>
      </c>
      <c r="I1437" t="s">
        <v>49</v>
      </c>
      <c r="J1437" t="s">
        <v>1635</v>
      </c>
      <c r="K1437" t="s">
        <v>29</v>
      </c>
      <c r="L1437">
        <v>71000</v>
      </c>
      <c r="M1437">
        <v>9.1</v>
      </c>
      <c r="N1437">
        <v>16.899999999999999</v>
      </c>
      <c r="O1437">
        <v>9.3000000000000007</v>
      </c>
      <c r="P1437">
        <v>4</v>
      </c>
      <c r="Q1437">
        <v>4</v>
      </c>
      <c r="R1437">
        <v>1</v>
      </c>
      <c r="S1437">
        <v>2</v>
      </c>
      <c r="T1437" t="s">
        <v>23</v>
      </c>
      <c r="U1437">
        <v>3</v>
      </c>
      <c r="W1437" t="s">
        <v>1650</v>
      </c>
      <c r="X1437" t="s">
        <v>1659</v>
      </c>
      <c r="Y1437" t="s">
        <v>1662</v>
      </c>
      <c r="Z1437">
        <v>0</v>
      </c>
    </row>
    <row r="1438" spans="1:26" x14ac:dyDescent="0.35">
      <c r="A1438" t="s">
        <v>1230</v>
      </c>
      <c r="B1438" s="6">
        <v>45752</v>
      </c>
      <c r="C1438" t="s">
        <v>30</v>
      </c>
      <c r="D1438">
        <v>21</v>
      </c>
      <c r="E1438" t="s">
        <v>36</v>
      </c>
      <c r="F1438" t="s">
        <v>42</v>
      </c>
      <c r="G1438" t="s">
        <v>54</v>
      </c>
      <c r="H1438" t="s">
        <v>45</v>
      </c>
      <c r="I1438" t="s">
        <v>46</v>
      </c>
      <c r="J1438" t="s">
        <v>1632</v>
      </c>
      <c r="K1438" t="s">
        <v>40</v>
      </c>
      <c r="L1438">
        <v>35000</v>
      </c>
      <c r="M1438">
        <v>7.5</v>
      </c>
      <c r="N1438">
        <v>6.1</v>
      </c>
      <c r="O1438">
        <v>0.6</v>
      </c>
      <c r="P1438">
        <v>0</v>
      </c>
      <c r="Q1438">
        <v>3</v>
      </c>
      <c r="R1438">
        <v>4</v>
      </c>
      <c r="S1438">
        <v>3</v>
      </c>
      <c r="T1438" t="s">
        <v>30</v>
      </c>
      <c r="U1438">
        <v>2</v>
      </c>
      <c r="V1438" s="7">
        <v>45963</v>
      </c>
      <c r="W1438" t="s">
        <v>1651</v>
      </c>
      <c r="X1438" t="s">
        <v>1655</v>
      </c>
      <c r="Y1438" t="s">
        <v>1664</v>
      </c>
      <c r="Z1438">
        <v>1</v>
      </c>
    </row>
    <row r="1439" spans="1:26" x14ac:dyDescent="0.35">
      <c r="A1439" t="s">
        <v>1397</v>
      </c>
      <c r="B1439" s="6">
        <v>42320</v>
      </c>
      <c r="C1439" t="s">
        <v>30</v>
      </c>
      <c r="D1439">
        <v>33</v>
      </c>
      <c r="E1439" t="s">
        <v>24</v>
      </c>
      <c r="F1439" t="s">
        <v>42</v>
      </c>
      <c r="G1439" t="s">
        <v>54</v>
      </c>
      <c r="H1439" t="s">
        <v>38</v>
      </c>
      <c r="I1439" t="s">
        <v>118</v>
      </c>
      <c r="J1439" t="s">
        <v>1635</v>
      </c>
      <c r="K1439" t="s">
        <v>29</v>
      </c>
      <c r="L1439">
        <v>78000</v>
      </c>
      <c r="M1439">
        <v>8.8000000000000007</v>
      </c>
      <c r="N1439">
        <v>17.3</v>
      </c>
      <c r="O1439">
        <v>9.4</v>
      </c>
      <c r="P1439">
        <v>2.5</v>
      </c>
      <c r="Q1439">
        <v>2</v>
      </c>
      <c r="R1439">
        <v>3</v>
      </c>
      <c r="S1439">
        <v>4</v>
      </c>
      <c r="T1439" t="s">
        <v>30</v>
      </c>
      <c r="U1439">
        <v>3</v>
      </c>
      <c r="V1439" s="7">
        <v>45747</v>
      </c>
      <c r="W1439" t="s">
        <v>1650</v>
      </c>
      <c r="X1439" t="s">
        <v>1659</v>
      </c>
      <c r="Y1439" t="s">
        <v>1662</v>
      </c>
      <c r="Z1439">
        <v>1</v>
      </c>
    </row>
    <row r="1440" spans="1:26" x14ac:dyDescent="0.35">
      <c r="A1440" t="s">
        <v>1107</v>
      </c>
      <c r="B1440" s="6">
        <v>44486</v>
      </c>
      <c r="C1440" t="s">
        <v>23</v>
      </c>
      <c r="D1440">
        <v>43</v>
      </c>
      <c r="E1440" t="s">
        <v>62</v>
      </c>
      <c r="F1440" t="s">
        <v>37</v>
      </c>
      <c r="G1440" t="s">
        <v>58</v>
      </c>
      <c r="H1440" t="s">
        <v>45</v>
      </c>
      <c r="I1440" t="s">
        <v>97</v>
      </c>
      <c r="J1440" t="s">
        <v>1635</v>
      </c>
      <c r="K1440" t="s">
        <v>40</v>
      </c>
      <c r="L1440">
        <v>60000</v>
      </c>
      <c r="M1440">
        <v>8.1999999999999993</v>
      </c>
      <c r="N1440">
        <v>4.3</v>
      </c>
      <c r="O1440">
        <v>4.2</v>
      </c>
      <c r="P1440">
        <v>0.8</v>
      </c>
      <c r="Q1440">
        <v>4</v>
      </c>
      <c r="R1440">
        <v>3</v>
      </c>
      <c r="S1440">
        <v>3</v>
      </c>
      <c r="T1440" t="s">
        <v>23</v>
      </c>
      <c r="U1440">
        <v>4</v>
      </c>
      <c r="W1440" t="s">
        <v>1649</v>
      </c>
      <c r="X1440" t="s">
        <v>1659</v>
      </c>
      <c r="Y1440" t="s">
        <v>1661</v>
      </c>
      <c r="Z1440">
        <v>0</v>
      </c>
    </row>
    <row r="1441" spans="1:26" x14ac:dyDescent="0.35">
      <c r="A1441" t="s">
        <v>632</v>
      </c>
      <c r="B1441" s="6">
        <v>43363</v>
      </c>
      <c r="C1441" t="s">
        <v>23</v>
      </c>
      <c r="D1441">
        <v>37</v>
      </c>
      <c r="E1441" t="s">
        <v>36</v>
      </c>
      <c r="F1441" t="s">
        <v>42</v>
      </c>
      <c r="G1441" t="s">
        <v>26</v>
      </c>
      <c r="H1441" t="s">
        <v>45</v>
      </c>
      <c r="I1441" t="s">
        <v>77</v>
      </c>
      <c r="J1441" t="s">
        <v>1633</v>
      </c>
      <c r="K1441" t="s">
        <v>40</v>
      </c>
      <c r="L1441">
        <v>47000</v>
      </c>
      <c r="M1441">
        <v>6.9</v>
      </c>
      <c r="N1441">
        <v>9.1</v>
      </c>
      <c r="O1441">
        <v>7.3</v>
      </c>
      <c r="P1441">
        <v>2.2000000000000002</v>
      </c>
      <c r="Q1441">
        <v>4</v>
      </c>
      <c r="R1441">
        <v>1</v>
      </c>
      <c r="S1441">
        <v>3</v>
      </c>
      <c r="T1441" t="s">
        <v>23</v>
      </c>
      <c r="U1441">
        <v>3</v>
      </c>
      <c r="W1441" t="s">
        <v>1649</v>
      </c>
      <c r="X1441" t="s">
        <v>1656</v>
      </c>
      <c r="Y1441" t="s">
        <v>1662</v>
      </c>
      <c r="Z1441">
        <v>0</v>
      </c>
    </row>
    <row r="1442" spans="1:26" x14ac:dyDescent="0.35">
      <c r="A1442" t="s">
        <v>240</v>
      </c>
      <c r="B1442" s="6">
        <v>43995</v>
      </c>
      <c r="C1442" t="s">
        <v>23</v>
      </c>
      <c r="D1442">
        <v>33</v>
      </c>
      <c r="E1442" t="s">
        <v>24</v>
      </c>
      <c r="F1442" t="s">
        <v>25</v>
      </c>
      <c r="G1442" t="s">
        <v>54</v>
      </c>
      <c r="H1442" t="s">
        <v>27</v>
      </c>
      <c r="I1442" t="s">
        <v>33</v>
      </c>
      <c r="J1442" t="s">
        <v>1635</v>
      </c>
      <c r="K1442" t="s">
        <v>84</v>
      </c>
      <c r="L1442">
        <v>78000</v>
      </c>
      <c r="M1442">
        <v>5.0999999999999996</v>
      </c>
      <c r="N1442">
        <v>8.1</v>
      </c>
      <c r="O1442">
        <v>5.5</v>
      </c>
      <c r="P1442">
        <v>4.5999999999999996</v>
      </c>
      <c r="Q1442">
        <v>4</v>
      </c>
      <c r="R1442">
        <v>4</v>
      </c>
      <c r="S1442">
        <v>3</v>
      </c>
      <c r="T1442" t="s">
        <v>30</v>
      </c>
      <c r="U1442">
        <v>3</v>
      </c>
      <c r="W1442" t="s">
        <v>1650</v>
      </c>
      <c r="X1442" t="s">
        <v>1659</v>
      </c>
      <c r="Y1442" t="s">
        <v>1661</v>
      </c>
      <c r="Z1442">
        <v>0</v>
      </c>
    </row>
    <row r="1443" spans="1:26" x14ac:dyDescent="0.35">
      <c r="A1443" t="s">
        <v>421</v>
      </c>
      <c r="B1443" s="6">
        <v>42429</v>
      </c>
      <c r="C1443" t="s">
        <v>23</v>
      </c>
      <c r="D1443">
        <v>34</v>
      </c>
      <c r="E1443" t="s">
        <v>62</v>
      </c>
      <c r="F1443" t="s">
        <v>25</v>
      </c>
      <c r="G1443" t="s">
        <v>32</v>
      </c>
      <c r="H1443" t="s">
        <v>27</v>
      </c>
      <c r="I1443" t="s">
        <v>43</v>
      </c>
      <c r="J1443" t="s">
        <v>1635</v>
      </c>
      <c r="K1443" t="s">
        <v>50</v>
      </c>
      <c r="L1443">
        <v>71000</v>
      </c>
      <c r="M1443">
        <v>11.5</v>
      </c>
      <c r="N1443">
        <v>10</v>
      </c>
      <c r="O1443">
        <v>9.8000000000000007</v>
      </c>
      <c r="P1443">
        <v>1.5</v>
      </c>
      <c r="Q1443">
        <v>4</v>
      </c>
      <c r="R1443">
        <v>3</v>
      </c>
      <c r="S1443">
        <v>3</v>
      </c>
      <c r="T1443" t="s">
        <v>23</v>
      </c>
      <c r="U1443">
        <v>4</v>
      </c>
      <c r="W1443" t="s">
        <v>1650</v>
      </c>
      <c r="X1443" t="s">
        <v>1659</v>
      </c>
      <c r="Y1443" t="s">
        <v>1662</v>
      </c>
      <c r="Z1443">
        <v>0</v>
      </c>
    </row>
    <row r="1444" spans="1:26" x14ac:dyDescent="0.35">
      <c r="A1444" t="s">
        <v>1066</v>
      </c>
      <c r="B1444" s="6">
        <v>44850</v>
      </c>
      <c r="C1444" t="s">
        <v>23</v>
      </c>
      <c r="D1444">
        <v>34</v>
      </c>
      <c r="E1444" t="s">
        <v>36</v>
      </c>
      <c r="F1444" t="s">
        <v>25</v>
      </c>
      <c r="G1444" t="s">
        <v>54</v>
      </c>
      <c r="H1444" t="s">
        <v>68</v>
      </c>
      <c r="I1444" t="s">
        <v>121</v>
      </c>
      <c r="J1444" t="s">
        <v>1637</v>
      </c>
      <c r="K1444" t="s">
        <v>84</v>
      </c>
      <c r="L1444">
        <v>139000</v>
      </c>
      <c r="M1444">
        <v>16.600000000000001</v>
      </c>
      <c r="N1444">
        <v>4.4000000000000004</v>
      </c>
      <c r="O1444">
        <v>3.2</v>
      </c>
      <c r="P1444">
        <v>0.6</v>
      </c>
      <c r="Q1444">
        <v>4</v>
      </c>
      <c r="R1444">
        <v>2</v>
      </c>
      <c r="S1444">
        <v>3</v>
      </c>
      <c r="T1444" t="s">
        <v>23</v>
      </c>
      <c r="U1444">
        <v>3</v>
      </c>
      <c r="W1444" t="s">
        <v>1650</v>
      </c>
      <c r="X1444" t="s">
        <v>1658</v>
      </c>
      <c r="Y1444" t="s">
        <v>1661</v>
      </c>
      <c r="Z1444">
        <v>0</v>
      </c>
    </row>
    <row r="1445" spans="1:26" x14ac:dyDescent="0.35">
      <c r="A1445" t="s">
        <v>70</v>
      </c>
      <c r="B1445" s="6">
        <v>43428</v>
      </c>
      <c r="C1445" t="s">
        <v>23</v>
      </c>
      <c r="D1445">
        <v>38</v>
      </c>
      <c r="E1445" t="s">
        <v>62</v>
      </c>
      <c r="F1445" t="s">
        <v>25</v>
      </c>
      <c r="G1445" t="s">
        <v>54</v>
      </c>
      <c r="H1445" t="s">
        <v>27</v>
      </c>
      <c r="I1445" t="s">
        <v>43</v>
      </c>
      <c r="J1445" t="s">
        <v>1633</v>
      </c>
      <c r="K1445" t="s">
        <v>40</v>
      </c>
      <c r="L1445">
        <v>43000</v>
      </c>
      <c r="M1445">
        <v>10.199999999999999</v>
      </c>
      <c r="N1445">
        <v>14.2</v>
      </c>
      <c r="O1445">
        <v>7.1</v>
      </c>
      <c r="P1445">
        <v>5.4</v>
      </c>
      <c r="Q1445">
        <v>3</v>
      </c>
      <c r="R1445">
        <v>2</v>
      </c>
      <c r="S1445">
        <v>1</v>
      </c>
      <c r="T1445" t="s">
        <v>23</v>
      </c>
      <c r="U1445">
        <v>3</v>
      </c>
      <c r="W1445" t="s">
        <v>1649</v>
      </c>
      <c r="X1445" t="s">
        <v>1656</v>
      </c>
      <c r="Y1445" t="s">
        <v>1662</v>
      </c>
      <c r="Z1445">
        <v>0</v>
      </c>
    </row>
    <row r="1446" spans="1:26" x14ac:dyDescent="0.35">
      <c r="A1446" t="s">
        <v>132</v>
      </c>
      <c r="B1446" s="6">
        <v>45362</v>
      </c>
      <c r="C1446" t="s">
        <v>23</v>
      </c>
      <c r="D1446">
        <v>36</v>
      </c>
      <c r="E1446" t="s">
        <v>62</v>
      </c>
      <c r="F1446" t="s">
        <v>25</v>
      </c>
      <c r="G1446" t="s">
        <v>32</v>
      </c>
      <c r="H1446" t="s">
        <v>55</v>
      </c>
      <c r="I1446" t="s">
        <v>80</v>
      </c>
      <c r="J1446" t="s">
        <v>1635</v>
      </c>
      <c r="K1446" t="s">
        <v>66</v>
      </c>
      <c r="L1446">
        <v>86000</v>
      </c>
      <c r="M1446">
        <v>9.1</v>
      </c>
      <c r="N1446">
        <v>9.4</v>
      </c>
      <c r="O1446">
        <v>1.8</v>
      </c>
      <c r="P1446">
        <v>1</v>
      </c>
      <c r="Q1446">
        <v>3</v>
      </c>
      <c r="R1446">
        <v>3</v>
      </c>
      <c r="S1446">
        <v>2</v>
      </c>
      <c r="T1446" t="s">
        <v>23</v>
      </c>
      <c r="U1446">
        <v>3</v>
      </c>
      <c r="W1446" t="s">
        <v>1649</v>
      </c>
      <c r="X1446" t="s">
        <v>1657</v>
      </c>
      <c r="Y1446" t="s">
        <v>1665</v>
      </c>
      <c r="Z1446">
        <v>0</v>
      </c>
    </row>
    <row r="1447" spans="1:26" x14ac:dyDescent="0.35">
      <c r="A1447" t="s">
        <v>927</v>
      </c>
      <c r="B1447" s="6">
        <v>45622</v>
      </c>
      <c r="C1447" t="s">
        <v>23</v>
      </c>
      <c r="D1447">
        <v>24</v>
      </c>
      <c r="E1447" t="s">
        <v>36</v>
      </c>
      <c r="F1447" t="s">
        <v>37</v>
      </c>
      <c r="G1447" t="s">
        <v>58</v>
      </c>
      <c r="H1447" t="s">
        <v>45</v>
      </c>
      <c r="I1447" t="s">
        <v>97</v>
      </c>
      <c r="J1447" t="s">
        <v>1632</v>
      </c>
      <c r="K1447" t="s">
        <v>50</v>
      </c>
      <c r="L1447">
        <v>25000</v>
      </c>
      <c r="M1447">
        <v>10.8</v>
      </c>
      <c r="N1447">
        <v>4.3</v>
      </c>
      <c r="O1447">
        <v>1.1000000000000001</v>
      </c>
      <c r="P1447">
        <v>0.6</v>
      </c>
      <c r="Q1447">
        <v>4</v>
      </c>
      <c r="R1447">
        <v>3</v>
      </c>
      <c r="S1447">
        <v>3</v>
      </c>
      <c r="T1447" t="s">
        <v>23</v>
      </c>
      <c r="U1447">
        <v>3</v>
      </c>
      <c r="W1447" t="s">
        <v>1651</v>
      </c>
      <c r="X1447" t="s">
        <v>1655</v>
      </c>
      <c r="Y1447" t="s">
        <v>1665</v>
      </c>
      <c r="Z1447">
        <v>0</v>
      </c>
    </row>
    <row r="1448" spans="1:26" x14ac:dyDescent="0.35">
      <c r="A1448" t="s">
        <v>777</v>
      </c>
      <c r="B1448" s="6">
        <v>45704</v>
      </c>
      <c r="C1448" t="s">
        <v>23</v>
      </c>
      <c r="D1448">
        <v>32</v>
      </c>
      <c r="E1448" t="s">
        <v>62</v>
      </c>
      <c r="F1448" t="s">
        <v>37</v>
      </c>
      <c r="G1448" t="s">
        <v>32</v>
      </c>
      <c r="H1448" t="s">
        <v>55</v>
      </c>
      <c r="I1448" t="s">
        <v>88</v>
      </c>
      <c r="J1448" t="s">
        <v>1635</v>
      </c>
      <c r="K1448" t="s">
        <v>40</v>
      </c>
      <c r="L1448">
        <v>95000</v>
      </c>
      <c r="M1448">
        <v>8.6</v>
      </c>
      <c r="N1448">
        <v>7.4</v>
      </c>
      <c r="O1448">
        <v>0.9</v>
      </c>
      <c r="P1448">
        <v>0</v>
      </c>
      <c r="Q1448">
        <v>4</v>
      </c>
      <c r="R1448">
        <v>2</v>
      </c>
      <c r="S1448">
        <v>3</v>
      </c>
      <c r="T1448" t="s">
        <v>23</v>
      </c>
      <c r="U1448">
        <v>3</v>
      </c>
      <c r="W1448" t="s">
        <v>1650</v>
      </c>
      <c r="X1448" t="s">
        <v>1657</v>
      </c>
      <c r="Y1448" t="s">
        <v>1664</v>
      </c>
      <c r="Z1448">
        <v>0</v>
      </c>
    </row>
    <row r="1449" spans="1:26" x14ac:dyDescent="0.35">
      <c r="A1449" t="s">
        <v>1510</v>
      </c>
      <c r="B1449" s="6">
        <v>45905</v>
      </c>
      <c r="C1449" t="s">
        <v>30</v>
      </c>
      <c r="D1449">
        <v>21</v>
      </c>
      <c r="E1449" t="s">
        <v>24</v>
      </c>
      <c r="F1449" t="s">
        <v>42</v>
      </c>
      <c r="G1449" t="s">
        <v>32</v>
      </c>
      <c r="H1449" t="s">
        <v>48</v>
      </c>
      <c r="I1449" t="s">
        <v>63</v>
      </c>
      <c r="J1449" t="s">
        <v>1632</v>
      </c>
      <c r="K1449" t="s">
        <v>50</v>
      </c>
      <c r="L1449">
        <v>36000</v>
      </c>
      <c r="M1449">
        <v>2.5</v>
      </c>
      <c r="N1449">
        <v>5.9</v>
      </c>
      <c r="O1449">
        <v>0.3</v>
      </c>
      <c r="P1449">
        <v>0</v>
      </c>
      <c r="Q1449">
        <v>3</v>
      </c>
      <c r="R1449">
        <v>2</v>
      </c>
      <c r="S1449">
        <v>3</v>
      </c>
      <c r="T1449" t="s">
        <v>23</v>
      </c>
      <c r="U1449">
        <v>4</v>
      </c>
      <c r="V1449" s="7">
        <v>46007</v>
      </c>
      <c r="W1449" t="s">
        <v>1651</v>
      </c>
      <c r="X1449" t="s">
        <v>1655</v>
      </c>
      <c r="Y1449" t="s">
        <v>1664</v>
      </c>
      <c r="Z1449">
        <v>1</v>
      </c>
    </row>
    <row r="1450" spans="1:26" x14ac:dyDescent="0.35">
      <c r="A1450" t="s">
        <v>1572</v>
      </c>
      <c r="B1450" s="6">
        <v>43503</v>
      </c>
      <c r="C1450" t="s">
        <v>23</v>
      </c>
      <c r="D1450">
        <v>35</v>
      </c>
      <c r="E1450" t="s">
        <v>24</v>
      </c>
      <c r="F1450" t="s">
        <v>37</v>
      </c>
      <c r="G1450" t="s">
        <v>54</v>
      </c>
      <c r="H1450" t="s">
        <v>1634</v>
      </c>
      <c r="I1450" t="s">
        <v>150</v>
      </c>
      <c r="J1450" t="s">
        <v>1635</v>
      </c>
      <c r="K1450" t="s">
        <v>29</v>
      </c>
      <c r="L1450">
        <v>76000</v>
      </c>
      <c r="M1450">
        <v>7.9</v>
      </c>
      <c r="N1450">
        <v>13.4</v>
      </c>
      <c r="O1450">
        <v>6.9</v>
      </c>
      <c r="P1450">
        <v>3</v>
      </c>
      <c r="Q1450">
        <v>2</v>
      </c>
      <c r="R1450">
        <v>2</v>
      </c>
      <c r="S1450">
        <v>3</v>
      </c>
      <c r="T1450" t="s">
        <v>30</v>
      </c>
      <c r="U1450">
        <v>4</v>
      </c>
      <c r="W1450" t="s">
        <v>1650</v>
      </c>
      <c r="X1450" t="s">
        <v>1659</v>
      </c>
      <c r="Y1450" t="s">
        <v>1662</v>
      </c>
      <c r="Z1450">
        <v>0</v>
      </c>
    </row>
    <row r="1451" spans="1:26" x14ac:dyDescent="0.35">
      <c r="A1451" t="s">
        <v>325</v>
      </c>
      <c r="B1451" s="6">
        <v>42741</v>
      </c>
      <c r="C1451" t="s">
        <v>23</v>
      </c>
      <c r="D1451">
        <v>55</v>
      </c>
      <c r="E1451" t="s">
        <v>24</v>
      </c>
      <c r="F1451" t="s">
        <v>42</v>
      </c>
      <c r="G1451" t="s">
        <v>32</v>
      </c>
      <c r="H1451" t="s">
        <v>68</v>
      </c>
      <c r="I1451" t="s">
        <v>121</v>
      </c>
      <c r="J1451" t="s">
        <v>1633</v>
      </c>
      <c r="K1451" t="s">
        <v>50</v>
      </c>
      <c r="L1451">
        <v>50000</v>
      </c>
      <c r="M1451">
        <v>11</v>
      </c>
      <c r="N1451">
        <v>9.1</v>
      </c>
      <c r="O1451">
        <v>9</v>
      </c>
      <c r="P1451">
        <v>3.7</v>
      </c>
      <c r="Q1451">
        <v>3</v>
      </c>
      <c r="R1451">
        <v>3</v>
      </c>
      <c r="S1451">
        <v>2</v>
      </c>
      <c r="T1451" t="s">
        <v>23</v>
      </c>
      <c r="U1451">
        <v>3</v>
      </c>
      <c r="W1451" t="s">
        <v>1652</v>
      </c>
      <c r="X1451" t="s">
        <v>1656</v>
      </c>
      <c r="Y1451" t="s">
        <v>1662</v>
      </c>
      <c r="Z1451">
        <v>0</v>
      </c>
    </row>
    <row r="1452" spans="1:26" x14ac:dyDescent="0.35">
      <c r="A1452" t="s">
        <v>237</v>
      </c>
      <c r="B1452" s="6">
        <v>44083</v>
      </c>
      <c r="C1452" t="s">
        <v>23</v>
      </c>
      <c r="D1452">
        <v>35</v>
      </c>
      <c r="E1452" t="s">
        <v>62</v>
      </c>
      <c r="F1452" t="s">
        <v>37</v>
      </c>
      <c r="G1452" t="s">
        <v>58</v>
      </c>
      <c r="H1452" t="s">
        <v>27</v>
      </c>
      <c r="I1452" t="s">
        <v>33</v>
      </c>
      <c r="J1452" t="s">
        <v>1637</v>
      </c>
      <c r="K1452" t="s">
        <v>34</v>
      </c>
      <c r="L1452">
        <v>145000</v>
      </c>
      <c r="M1452">
        <v>7.4</v>
      </c>
      <c r="N1452">
        <v>9.8000000000000007</v>
      </c>
      <c r="O1452">
        <v>5.3</v>
      </c>
      <c r="P1452">
        <v>3.3</v>
      </c>
      <c r="Q1452">
        <v>2</v>
      </c>
      <c r="R1452">
        <v>2</v>
      </c>
      <c r="S1452">
        <v>4</v>
      </c>
      <c r="T1452" t="s">
        <v>23</v>
      </c>
      <c r="U1452">
        <v>5</v>
      </c>
      <c r="W1452" t="s">
        <v>1650</v>
      </c>
      <c r="X1452" t="s">
        <v>1658</v>
      </c>
      <c r="Y1452" t="s">
        <v>1661</v>
      </c>
      <c r="Z1452">
        <v>0</v>
      </c>
    </row>
    <row r="1453" spans="1:26" x14ac:dyDescent="0.35">
      <c r="A1453" t="s">
        <v>969</v>
      </c>
      <c r="B1453" s="6">
        <v>45549</v>
      </c>
      <c r="C1453" t="s">
        <v>23</v>
      </c>
      <c r="D1453">
        <v>41</v>
      </c>
      <c r="E1453" t="s">
        <v>36</v>
      </c>
      <c r="F1453" t="s">
        <v>37</v>
      </c>
      <c r="G1453" t="s">
        <v>58</v>
      </c>
      <c r="H1453" t="s">
        <v>27</v>
      </c>
      <c r="I1453" t="s">
        <v>95</v>
      </c>
      <c r="J1453" t="s">
        <v>1636</v>
      </c>
      <c r="K1453" t="s">
        <v>50</v>
      </c>
      <c r="L1453">
        <v>107000</v>
      </c>
      <c r="M1453">
        <v>0</v>
      </c>
      <c r="N1453">
        <v>4.9000000000000004</v>
      </c>
      <c r="O1453">
        <v>1.3</v>
      </c>
      <c r="P1453">
        <v>0.5</v>
      </c>
      <c r="Q1453">
        <v>2</v>
      </c>
      <c r="R1453">
        <v>2</v>
      </c>
      <c r="S1453">
        <v>3</v>
      </c>
      <c r="T1453" t="s">
        <v>23</v>
      </c>
      <c r="U1453">
        <v>4</v>
      </c>
      <c r="W1453" t="s">
        <v>1649</v>
      </c>
      <c r="X1453" t="s">
        <v>1658</v>
      </c>
      <c r="Y1453" t="s">
        <v>1665</v>
      </c>
      <c r="Z1453">
        <v>0</v>
      </c>
    </row>
    <row r="1454" spans="1:26" x14ac:dyDescent="0.35">
      <c r="A1454" t="s">
        <v>1545</v>
      </c>
      <c r="B1454" s="6">
        <v>44599</v>
      </c>
      <c r="C1454" t="s">
        <v>23</v>
      </c>
      <c r="D1454">
        <v>52</v>
      </c>
      <c r="E1454" t="s">
        <v>24</v>
      </c>
      <c r="F1454" t="s">
        <v>37</v>
      </c>
      <c r="G1454" t="s">
        <v>26</v>
      </c>
      <c r="H1454" t="s">
        <v>68</v>
      </c>
      <c r="I1454" t="s">
        <v>109</v>
      </c>
      <c r="J1454" t="s">
        <v>1635</v>
      </c>
      <c r="K1454" t="s">
        <v>34</v>
      </c>
      <c r="L1454">
        <v>75000</v>
      </c>
      <c r="M1454">
        <v>13.4</v>
      </c>
      <c r="N1454">
        <v>11.6</v>
      </c>
      <c r="O1454">
        <v>3.9</v>
      </c>
      <c r="P1454">
        <v>2.6</v>
      </c>
      <c r="Q1454">
        <v>3</v>
      </c>
      <c r="R1454">
        <v>3</v>
      </c>
      <c r="S1454">
        <v>3</v>
      </c>
      <c r="T1454" t="s">
        <v>30</v>
      </c>
      <c r="U1454">
        <v>4</v>
      </c>
      <c r="W1454" t="s">
        <v>1652</v>
      </c>
      <c r="X1454" t="s">
        <v>1659</v>
      </c>
      <c r="Y1454" t="s">
        <v>1661</v>
      </c>
      <c r="Z1454">
        <v>0</v>
      </c>
    </row>
    <row r="1455" spans="1:26" x14ac:dyDescent="0.35">
      <c r="A1455" t="s">
        <v>1272</v>
      </c>
      <c r="B1455" s="6">
        <v>45188</v>
      </c>
      <c r="C1455" t="s">
        <v>30</v>
      </c>
      <c r="D1455">
        <v>35</v>
      </c>
      <c r="E1455" t="s">
        <v>36</v>
      </c>
      <c r="F1455" t="s">
        <v>25</v>
      </c>
      <c r="G1455" t="s">
        <v>26</v>
      </c>
      <c r="H1455" t="s">
        <v>48</v>
      </c>
      <c r="I1455" t="s">
        <v>201</v>
      </c>
      <c r="J1455" t="s">
        <v>1633</v>
      </c>
      <c r="K1455" t="s">
        <v>66</v>
      </c>
      <c r="L1455">
        <v>47000</v>
      </c>
      <c r="M1455">
        <v>0</v>
      </c>
      <c r="N1455">
        <v>2.6</v>
      </c>
      <c r="O1455">
        <v>1.9</v>
      </c>
      <c r="P1455">
        <v>1.1000000000000001</v>
      </c>
      <c r="Q1455">
        <v>4</v>
      </c>
      <c r="R1455">
        <v>3</v>
      </c>
      <c r="S1455">
        <v>4</v>
      </c>
      <c r="T1455" t="s">
        <v>23</v>
      </c>
      <c r="U1455">
        <v>2</v>
      </c>
      <c r="V1455" s="7">
        <v>45872</v>
      </c>
      <c r="W1455" t="s">
        <v>1650</v>
      </c>
      <c r="X1455" t="s">
        <v>1656</v>
      </c>
      <c r="Y1455" t="s">
        <v>1665</v>
      </c>
      <c r="Z1455">
        <v>1</v>
      </c>
    </row>
    <row r="1456" spans="1:26" x14ac:dyDescent="0.35">
      <c r="A1456" t="s">
        <v>79</v>
      </c>
      <c r="B1456" s="6">
        <v>45440</v>
      </c>
      <c r="C1456" t="s">
        <v>23</v>
      </c>
      <c r="D1456">
        <v>27</v>
      </c>
      <c r="E1456" t="s">
        <v>62</v>
      </c>
      <c r="F1456" t="s">
        <v>37</v>
      </c>
      <c r="G1456" t="s">
        <v>58</v>
      </c>
      <c r="H1456" t="s">
        <v>55</v>
      </c>
      <c r="I1456" t="s">
        <v>80</v>
      </c>
      <c r="J1456" t="s">
        <v>1632</v>
      </c>
      <c r="K1456" t="s">
        <v>34</v>
      </c>
      <c r="L1456">
        <v>41000</v>
      </c>
      <c r="M1456">
        <v>4</v>
      </c>
      <c r="N1456">
        <v>8.1</v>
      </c>
      <c r="O1456">
        <v>1.6</v>
      </c>
      <c r="P1456">
        <v>1.4</v>
      </c>
      <c r="Q1456">
        <v>2</v>
      </c>
      <c r="R1456">
        <v>3</v>
      </c>
      <c r="S1456">
        <v>4</v>
      </c>
      <c r="T1456" t="s">
        <v>23</v>
      </c>
      <c r="U1456">
        <v>3</v>
      </c>
      <c r="W1456" t="s">
        <v>1650</v>
      </c>
      <c r="X1456" t="s">
        <v>1656</v>
      </c>
      <c r="Y1456" t="s">
        <v>1665</v>
      </c>
      <c r="Z1456">
        <v>0</v>
      </c>
    </row>
    <row r="1457" spans="1:26" x14ac:dyDescent="0.35">
      <c r="A1457" t="s">
        <v>618</v>
      </c>
      <c r="B1457" s="6">
        <v>41816</v>
      </c>
      <c r="C1457" t="s">
        <v>23</v>
      </c>
      <c r="D1457">
        <v>33</v>
      </c>
      <c r="E1457" t="s">
        <v>36</v>
      </c>
      <c r="F1457" t="s">
        <v>37</v>
      </c>
      <c r="G1457" t="s">
        <v>26</v>
      </c>
      <c r="H1457" t="s">
        <v>48</v>
      </c>
      <c r="I1457" t="s">
        <v>63</v>
      </c>
      <c r="J1457" t="s">
        <v>1633</v>
      </c>
      <c r="K1457" t="s">
        <v>34</v>
      </c>
      <c r="L1457">
        <v>57000</v>
      </c>
      <c r="M1457">
        <v>4.5</v>
      </c>
      <c r="N1457">
        <v>19.399999999999999</v>
      </c>
      <c r="O1457">
        <v>11.5</v>
      </c>
      <c r="P1457">
        <v>5.5</v>
      </c>
      <c r="Q1457">
        <v>2</v>
      </c>
      <c r="R1457">
        <v>4</v>
      </c>
      <c r="S1457">
        <v>3</v>
      </c>
      <c r="T1457" t="s">
        <v>23</v>
      </c>
      <c r="U1457">
        <v>3</v>
      </c>
      <c r="W1457" t="s">
        <v>1650</v>
      </c>
      <c r="X1457" t="s">
        <v>1656</v>
      </c>
      <c r="Y1457" t="s">
        <v>1663</v>
      </c>
      <c r="Z1457">
        <v>0</v>
      </c>
    </row>
    <row r="1458" spans="1:26" x14ac:dyDescent="0.35">
      <c r="A1458" t="s">
        <v>939</v>
      </c>
      <c r="B1458" s="6">
        <v>43726</v>
      </c>
      <c r="C1458" t="s">
        <v>30</v>
      </c>
      <c r="D1458">
        <v>29</v>
      </c>
      <c r="E1458" t="s">
        <v>36</v>
      </c>
      <c r="F1458" t="s">
        <v>42</v>
      </c>
      <c r="G1458" t="s">
        <v>32</v>
      </c>
      <c r="H1458" t="s">
        <v>45</v>
      </c>
      <c r="I1458" t="s">
        <v>164</v>
      </c>
      <c r="J1458" t="s">
        <v>1637</v>
      </c>
      <c r="K1458" t="s">
        <v>84</v>
      </c>
      <c r="L1458">
        <v>129000</v>
      </c>
      <c r="M1458">
        <v>8.6</v>
      </c>
      <c r="N1458">
        <v>8.1999999999999993</v>
      </c>
      <c r="O1458">
        <v>6.3</v>
      </c>
      <c r="P1458">
        <v>3.9</v>
      </c>
      <c r="Q1458">
        <v>4</v>
      </c>
      <c r="R1458">
        <v>4</v>
      </c>
      <c r="S1458">
        <v>3</v>
      </c>
      <c r="T1458" t="s">
        <v>23</v>
      </c>
      <c r="U1458">
        <v>2</v>
      </c>
      <c r="V1458" s="7">
        <v>46013</v>
      </c>
      <c r="W1458" t="s">
        <v>1650</v>
      </c>
      <c r="X1458" t="s">
        <v>1658</v>
      </c>
      <c r="Y1458" t="s">
        <v>1662</v>
      </c>
      <c r="Z1458">
        <v>1</v>
      </c>
    </row>
    <row r="1459" spans="1:26" x14ac:dyDescent="0.35">
      <c r="A1459" t="s">
        <v>1529</v>
      </c>
      <c r="B1459" s="6">
        <v>44400</v>
      </c>
      <c r="C1459" t="s">
        <v>23</v>
      </c>
      <c r="D1459">
        <v>34</v>
      </c>
      <c r="E1459" t="s">
        <v>62</v>
      </c>
      <c r="F1459" t="s">
        <v>25</v>
      </c>
      <c r="G1459" t="s">
        <v>54</v>
      </c>
      <c r="H1459" t="s">
        <v>38</v>
      </c>
      <c r="I1459" t="s">
        <v>118</v>
      </c>
      <c r="J1459" t="s">
        <v>1635</v>
      </c>
      <c r="K1459" t="s">
        <v>29</v>
      </c>
      <c r="L1459">
        <v>99000</v>
      </c>
      <c r="M1459">
        <v>8.1</v>
      </c>
      <c r="N1459">
        <v>10.3</v>
      </c>
      <c r="O1459">
        <v>4.4000000000000004</v>
      </c>
      <c r="P1459">
        <v>3.6</v>
      </c>
      <c r="Q1459">
        <v>3</v>
      </c>
      <c r="R1459">
        <v>3</v>
      </c>
      <c r="S1459">
        <v>4</v>
      </c>
      <c r="T1459" t="s">
        <v>30</v>
      </c>
      <c r="U1459">
        <v>3</v>
      </c>
      <c r="W1459" t="s">
        <v>1650</v>
      </c>
      <c r="X1459" t="s">
        <v>1657</v>
      </c>
      <c r="Y1459" t="s">
        <v>1661</v>
      </c>
      <c r="Z1459">
        <v>0</v>
      </c>
    </row>
    <row r="1460" spans="1:26" x14ac:dyDescent="0.35">
      <c r="A1460" t="s">
        <v>576</v>
      </c>
      <c r="B1460" s="6">
        <v>44879</v>
      </c>
      <c r="C1460" t="s">
        <v>23</v>
      </c>
      <c r="D1460">
        <v>25</v>
      </c>
      <c r="E1460" t="s">
        <v>24</v>
      </c>
      <c r="F1460" t="s">
        <v>25</v>
      </c>
      <c r="G1460" t="s">
        <v>58</v>
      </c>
      <c r="H1460" t="s">
        <v>68</v>
      </c>
      <c r="I1460" t="s">
        <v>109</v>
      </c>
      <c r="J1460" t="s">
        <v>1632</v>
      </c>
      <c r="K1460" t="s">
        <v>84</v>
      </c>
      <c r="L1460">
        <v>41000</v>
      </c>
      <c r="M1460">
        <v>9.6999999999999993</v>
      </c>
      <c r="N1460">
        <v>9.6999999999999993</v>
      </c>
      <c r="O1460">
        <v>3.1</v>
      </c>
      <c r="P1460">
        <v>0</v>
      </c>
      <c r="Q1460">
        <v>3</v>
      </c>
      <c r="R1460">
        <v>3</v>
      </c>
      <c r="S1460">
        <v>3</v>
      </c>
      <c r="T1460" t="s">
        <v>30</v>
      </c>
      <c r="U1460">
        <v>5</v>
      </c>
      <c r="W1460" t="s">
        <v>1651</v>
      </c>
      <c r="X1460" t="s">
        <v>1656</v>
      </c>
      <c r="Y1460" t="s">
        <v>1661</v>
      </c>
      <c r="Z1460">
        <v>0</v>
      </c>
    </row>
    <row r="1461" spans="1:26" x14ac:dyDescent="0.35">
      <c r="A1461" t="s">
        <v>1514</v>
      </c>
      <c r="B1461" s="6">
        <v>45775</v>
      </c>
      <c r="C1461" t="s">
        <v>30</v>
      </c>
      <c r="D1461">
        <v>21</v>
      </c>
      <c r="E1461" t="s">
        <v>36</v>
      </c>
      <c r="F1461" t="s">
        <v>42</v>
      </c>
      <c r="G1461" t="s">
        <v>32</v>
      </c>
      <c r="H1461" t="s">
        <v>68</v>
      </c>
      <c r="I1461" t="s">
        <v>102</v>
      </c>
      <c r="J1461" t="s">
        <v>1632</v>
      </c>
      <c r="K1461" t="s">
        <v>29</v>
      </c>
      <c r="L1461">
        <v>47000</v>
      </c>
      <c r="M1461">
        <v>4.0999999999999996</v>
      </c>
      <c r="N1461">
        <v>5</v>
      </c>
      <c r="O1461">
        <v>0.7</v>
      </c>
      <c r="P1461">
        <v>0</v>
      </c>
      <c r="Q1461">
        <v>4</v>
      </c>
      <c r="R1461">
        <v>4</v>
      </c>
      <c r="S1461">
        <v>1</v>
      </c>
      <c r="T1461" t="s">
        <v>23</v>
      </c>
      <c r="U1461">
        <v>3</v>
      </c>
      <c r="V1461" s="7">
        <v>46017</v>
      </c>
      <c r="W1461" t="s">
        <v>1651</v>
      </c>
      <c r="X1461" t="s">
        <v>1656</v>
      </c>
      <c r="Y1461" t="s">
        <v>1664</v>
      </c>
      <c r="Z1461">
        <v>1</v>
      </c>
    </row>
    <row r="1462" spans="1:26" x14ac:dyDescent="0.35">
      <c r="A1462" t="s">
        <v>874</v>
      </c>
      <c r="B1462" s="6">
        <v>44324</v>
      </c>
      <c r="C1462" t="s">
        <v>23</v>
      </c>
      <c r="D1462">
        <v>36</v>
      </c>
      <c r="E1462" t="s">
        <v>24</v>
      </c>
      <c r="F1462" t="s">
        <v>37</v>
      </c>
      <c r="G1462" t="s">
        <v>54</v>
      </c>
      <c r="H1462" t="s">
        <v>45</v>
      </c>
      <c r="I1462" t="s">
        <v>164</v>
      </c>
      <c r="J1462" t="s">
        <v>1633</v>
      </c>
      <c r="K1462" t="s">
        <v>84</v>
      </c>
      <c r="L1462">
        <v>39000</v>
      </c>
      <c r="M1462">
        <v>3</v>
      </c>
      <c r="N1462">
        <v>6.9</v>
      </c>
      <c r="O1462">
        <v>4.5999999999999996</v>
      </c>
      <c r="P1462">
        <v>4.5</v>
      </c>
      <c r="Q1462">
        <v>3</v>
      </c>
      <c r="R1462">
        <v>4</v>
      </c>
      <c r="S1462">
        <v>3</v>
      </c>
      <c r="T1462" t="s">
        <v>23</v>
      </c>
      <c r="U1462">
        <v>4</v>
      </c>
      <c r="W1462" t="s">
        <v>1649</v>
      </c>
      <c r="X1462" t="s">
        <v>1655</v>
      </c>
      <c r="Y1462" t="s">
        <v>1661</v>
      </c>
      <c r="Z1462">
        <v>0</v>
      </c>
    </row>
    <row r="1463" spans="1:26" x14ac:dyDescent="0.35">
      <c r="A1463" t="s">
        <v>302</v>
      </c>
      <c r="B1463" s="6">
        <v>42061</v>
      </c>
      <c r="C1463" t="s">
        <v>23</v>
      </c>
      <c r="D1463">
        <v>38</v>
      </c>
      <c r="E1463" t="s">
        <v>24</v>
      </c>
      <c r="F1463" t="s">
        <v>25</v>
      </c>
      <c r="G1463" t="s">
        <v>54</v>
      </c>
      <c r="H1463" t="s">
        <v>55</v>
      </c>
      <c r="I1463" t="s">
        <v>88</v>
      </c>
      <c r="J1463" t="s">
        <v>1632</v>
      </c>
      <c r="K1463" t="s">
        <v>84</v>
      </c>
      <c r="L1463">
        <v>34000</v>
      </c>
      <c r="M1463">
        <v>20.7</v>
      </c>
      <c r="N1463">
        <v>17.8</v>
      </c>
      <c r="O1463">
        <v>10.8</v>
      </c>
      <c r="P1463">
        <v>4.3</v>
      </c>
      <c r="Q1463">
        <v>3</v>
      </c>
      <c r="R1463">
        <v>3</v>
      </c>
      <c r="S1463">
        <v>3</v>
      </c>
      <c r="T1463" t="s">
        <v>23</v>
      </c>
      <c r="U1463">
        <v>3</v>
      </c>
      <c r="W1463" t="s">
        <v>1649</v>
      </c>
      <c r="X1463" t="s">
        <v>1655</v>
      </c>
      <c r="Y1463" t="s">
        <v>1663</v>
      </c>
      <c r="Z1463">
        <v>0</v>
      </c>
    </row>
    <row r="1464" spans="1:26" x14ac:dyDescent="0.35">
      <c r="A1464" t="s">
        <v>1401</v>
      </c>
      <c r="B1464" s="6">
        <v>44682</v>
      </c>
      <c r="C1464" t="s">
        <v>23</v>
      </c>
      <c r="D1464">
        <v>27</v>
      </c>
      <c r="E1464" t="s">
        <v>24</v>
      </c>
      <c r="F1464" t="s">
        <v>25</v>
      </c>
      <c r="G1464" t="s">
        <v>32</v>
      </c>
      <c r="H1464" t="s">
        <v>68</v>
      </c>
      <c r="I1464" t="s">
        <v>102</v>
      </c>
      <c r="J1464" t="s">
        <v>1632</v>
      </c>
      <c r="K1464" t="s">
        <v>50</v>
      </c>
      <c r="L1464">
        <v>29000</v>
      </c>
      <c r="M1464">
        <v>10</v>
      </c>
      <c r="N1464">
        <v>7.1</v>
      </c>
      <c r="O1464">
        <v>3.7</v>
      </c>
      <c r="P1464">
        <v>0.2</v>
      </c>
      <c r="Q1464">
        <v>1</v>
      </c>
      <c r="R1464">
        <v>3</v>
      </c>
      <c r="S1464">
        <v>3</v>
      </c>
      <c r="T1464" t="s">
        <v>23</v>
      </c>
      <c r="U1464">
        <v>3</v>
      </c>
      <c r="W1464" t="s">
        <v>1650</v>
      </c>
      <c r="X1464" t="s">
        <v>1655</v>
      </c>
      <c r="Y1464" t="s">
        <v>1661</v>
      </c>
      <c r="Z1464">
        <v>0</v>
      </c>
    </row>
    <row r="1465" spans="1:26" x14ac:dyDescent="0.35">
      <c r="A1465" t="s">
        <v>1177</v>
      </c>
      <c r="B1465" s="6">
        <v>43284</v>
      </c>
      <c r="C1465" t="s">
        <v>23</v>
      </c>
      <c r="D1465">
        <v>37</v>
      </c>
      <c r="E1465" t="s">
        <v>24</v>
      </c>
      <c r="F1465" t="s">
        <v>42</v>
      </c>
      <c r="G1465" t="s">
        <v>54</v>
      </c>
      <c r="H1465" t="s">
        <v>45</v>
      </c>
      <c r="I1465" t="s">
        <v>164</v>
      </c>
      <c r="J1465" t="s">
        <v>1635</v>
      </c>
      <c r="K1465" t="s">
        <v>50</v>
      </c>
      <c r="L1465">
        <v>63000</v>
      </c>
      <c r="M1465">
        <v>3.5</v>
      </c>
      <c r="N1465">
        <v>14.6</v>
      </c>
      <c r="O1465">
        <v>7.5</v>
      </c>
      <c r="P1465">
        <v>1.7</v>
      </c>
      <c r="Q1465">
        <v>3</v>
      </c>
      <c r="R1465">
        <v>2</v>
      </c>
      <c r="S1465">
        <v>2</v>
      </c>
      <c r="T1465" t="s">
        <v>23</v>
      </c>
      <c r="U1465">
        <v>4</v>
      </c>
      <c r="W1465" t="s">
        <v>1649</v>
      </c>
      <c r="X1465" t="s">
        <v>1659</v>
      </c>
      <c r="Y1465" t="s">
        <v>1662</v>
      </c>
      <c r="Z1465">
        <v>0</v>
      </c>
    </row>
    <row r="1466" spans="1:26" x14ac:dyDescent="0.35">
      <c r="A1466" t="s">
        <v>154</v>
      </c>
      <c r="B1466" s="6">
        <v>45776</v>
      </c>
      <c r="C1466" t="s">
        <v>23</v>
      </c>
      <c r="D1466">
        <v>21</v>
      </c>
      <c r="E1466" t="s">
        <v>24</v>
      </c>
      <c r="F1466" t="s">
        <v>42</v>
      </c>
      <c r="G1466" t="s">
        <v>54</v>
      </c>
      <c r="H1466" t="s">
        <v>38</v>
      </c>
      <c r="I1466" t="s">
        <v>39</v>
      </c>
      <c r="J1466" t="s">
        <v>1632</v>
      </c>
      <c r="K1466" t="s">
        <v>29</v>
      </c>
      <c r="L1466">
        <v>33000</v>
      </c>
      <c r="M1466">
        <v>7.8</v>
      </c>
      <c r="N1466">
        <v>7.1</v>
      </c>
      <c r="O1466">
        <v>0.7</v>
      </c>
      <c r="P1466">
        <v>0</v>
      </c>
      <c r="Q1466">
        <v>3</v>
      </c>
      <c r="R1466">
        <v>3</v>
      </c>
      <c r="S1466">
        <v>2</v>
      </c>
      <c r="T1466" t="s">
        <v>23</v>
      </c>
      <c r="U1466">
        <v>4</v>
      </c>
      <c r="W1466" t="s">
        <v>1651</v>
      </c>
      <c r="X1466" t="s">
        <v>1655</v>
      </c>
      <c r="Y1466" t="s">
        <v>1664</v>
      </c>
      <c r="Z1466">
        <v>0</v>
      </c>
    </row>
    <row r="1467" spans="1:26" x14ac:dyDescent="0.35">
      <c r="A1467" t="s">
        <v>824</v>
      </c>
      <c r="B1467" s="6">
        <v>44573</v>
      </c>
      <c r="C1467" t="s">
        <v>30</v>
      </c>
      <c r="D1467">
        <v>42</v>
      </c>
      <c r="E1467" t="s">
        <v>24</v>
      </c>
      <c r="F1467" t="s">
        <v>25</v>
      </c>
      <c r="G1467" t="s">
        <v>32</v>
      </c>
      <c r="H1467" t="s">
        <v>45</v>
      </c>
      <c r="I1467" t="s">
        <v>97</v>
      </c>
      <c r="J1467" t="s">
        <v>1633</v>
      </c>
      <c r="K1467" t="s">
        <v>29</v>
      </c>
      <c r="L1467">
        <v>61000</v>
      </c>
      <c r="M1467">
        <v>7.7</v>
      </c>
      <c r="N1467">
        <v>11.3</v>
      </c>
      <c r="O1467">
        <v>3.6</v>
      </c>
      <c r="P1467">
        <v>1.3</v>
      </c>
      <c r="Q1467">
        <v>3</v>
      </c>
      <c r="R1467">
        <v>3</v>
      </c>
      <c r="S1467">
        <v>3</v>
      </c>
      <c r="T1467" t="s">
        <v>23</v>
      </c>
      <c r="U1467">
        <v>4</v>
      </c>
      <c r="V1467" s="7">
        <v>45902</v>
      </c>
      <c r="W1467" t="s">
        <v>1649</v>
      </c>
      <c r="X1467" t="s">
        <v>1659</v>
      </c>
      <c r="Y1467" t="s">
        <v>1661</v>
      </c>
      <c r="Z1467">
        <v>1</v>
      </c>
    </row>
    <row r="1468" spans="1:26" x14ac:dyDescent="0.35">
      <c r="A1468" t="s">
        <v>1235</v>
      </c>
      <c r="B1468" s="6">
        <v>45711</v>
      </c>
      <c r="C1468" t="s">
        <v>23</v>
      </c>
      <c r="D1468">
        <v>29</v>
      </c>
      <c r="E1468" t="s">
        <v>36</v>
      </c>
      <c r="F1468" t="s">
        <v>42</v>
      </c>
      <c r="G1468" t="s">
        <v>32</v>
      </c>
      <c r="H1468" t="s">
        <v>55</v>
      </c>
      <c r="I1468" t="s">
        <v>56</v>
      </c>
      <c r="J1468" t="s">
        <v>1633</v>
      </c>
      <c r="K1468" t="s">
        <v>34</v>
      </c>
      <c r="L1468">
        <v>56000</v>
      </c>
      <c r="M1468">
        <v>6.4</v>
      </c>
      <c r="N1468">
        <v>3.6</v>
      </c>
      <c r="O1468">
        <v>0.9</v>
      </c>
      <c r="P1468">
        <v>0</v>
      </c>
      <c r="Q1468">
        <v>1</v>
      </c>
      <c r="R1468">
        <v>3</v>
      </c>
      <c r="S1468">
        <v>4</v>
      </c>
      <c r="T1468" t="s">
        <v>23</v>
      </c>
      <c r="U1468">
        <v>3</v>
      </c>
      <c r="W1468" t="s">
        <v>1650</v>
      </c>
      <c r="X1468" t="s">
        <v>1656</v>
      </c>
      <c r="Y1468" t="s">
        <v>1664</v>
      </c>
      <c r="Z1468">
        <v>0</v>
      </c>
    </row>
    <row r="1469" spans="1:26" x14ac:dyDescent="0.35">
      <c r="A1469" t="s">
        <v>1200</v>
      </c>
      <c r="B1469" s="6">
        <v>43778</v>
      </c>
      <c r="C1469" t="s">
        <v>23</v>
      </c>
      <c r="D1469">
        <v>28</v>
      </c>
      <c r="E1469" t="s">
        <v>36</v>
      </c>
      <c r="F1469" t="s">
        <v>42</v>
      </c>
      <c r="G1469" t="s">
        <v>54</v>
      </c>
      <c r="H1469" t="s">
        <v>55</v>
      </c>
      <c r="I1469" t="s">
        <v>179</v>
      </c>
      <c r="J1469" t="s">
        <v>1633</v>
      </c>
      <c r="K1469" t="s">
        <v>50</v>
      </c>
      <c r="L1469">
        <v>58000</v>
      </c>
      <c r="M1469">
        <v>6.5</v>
      </c>
      <c r="N1469">
        <v>6.3</v>
      </c>
      <c r="O1469">
        <v>6.1</v>
      </c>
      <c r="P1469">
        <v>4.5</v>
      </c>
      <c r="Q1469">
        <v>1</v>
      </c>
      <c r="R1469">
        <v>2</v>
      </c>
      <c r="S1469">
        <v>3</v>
      </c>
      <c r="T1469" t="s">
        <v>23</v>
      </c>
      <c r="U1469">
        <v>1</v>
      </c>
      <c r="W1469" t="s">
        <v>1650</v>
      </c>
      <c r="X1469" t="s">
        <v>1656</v>
      </c>
      <c r="Y1469" t="s">
        <v>1662</v>
      </c>
      <c r="Z1469">
        <v>0</v>
      </c>
    </row>
    <row r="1470" spans="1:26" x14ac:dyDescent="0.35">
      <c r="A1470" t="s">
        <v>1078</v>
      </c>
      <c r="B1470" s="6">
        <v>45706</v>
      </c>
      <c r="C1470" t="s">
        <v>23</v>
      </c>
      <c r="D1470">
        <v>36</v>
      </c>
      <c r="E1470" t="s">
        <v>62</v>
      </c>
      <c r="F1470" t="s">
        <v>25</v>
      </c>
      <c r="G1470" t="s">
        <v>26</v>
      </c>
      <c r="H1470" t="s">
        <v>55</v>
      </c>
      <c r="I1470" t="s">
        <v>80</v>
      </c>
      <c r="J1470" t="s">
        <v>1635</v>
      </c>
      <c r="K1470" t="s">
        <v>29</v>
      </c>
      <c r="L1470">
        <v>81000</v>
      </c>
      <c r="M1470">
        <v>14.1</v>
      </c>
      <c r="N1470">
        <v>4</v>
      </c>
      <c r="O1470">
        <v>0.9</v>
      </c>
      <c r="P1470">
        <v>0</v>
      </c>
      <c r="Q1470">
        <v>1</v>
      </c>
      <c r="R1470">
        <v>4</v>
      </c>
      <c r="S1470">
        <v>3</v>
      </c>
      <c r="T1470" t="s">
        <v>23</v>
      </c>
      <c r="U1470">
        <v>2</v>
      </c>
      <c r="W1470" t="s">
        <v>1649</v>
      </c>
      <c r="X1470" t="s">
        <v>1657</v>
      </c>
      <c r="Y1470" t="s">
        <v>1664</v>
      </c>
      <c r="Z1470">
        <v>0</v>
      </c>
    </row>
    <row r="1471" spans="1:26" x14ac:dyDescent="0.35">
      <c r="A1471" t="s">
        <v>917</v>
      </c>
      <c r="B1471" s="6">
        <v>45748</v>
      </c>
      <c r="C1471" t="s">
        <v>30</v>
      </c>
      <c r="D1471">
        <v>22</v>
      </c>
      <c r="E1471" t="s">
        <v>62</v>
      </c>
      <c r="F1471" t="s">
        <v>37</v>
      </c>
      <c r="G1471" t="s">
        <v>32</v>
      </c>
      <c r="H1471" t="s">
        <v>45</v>
      </c>
      <c r="I1471" t="s">
        <v>46</v>
      </c>
      <c r="J1471" t="s">
        <v>1632</v>
      </c>
      <c r="K1471" t="s">
        <v>84</v>
      </c>
      <c r="L1471">
        <v>35000</v>
      </c>
      <c r="M1471">
        <v>5.7</v>
      </c>
      <c r="N1471">
        <v>5</v>
      </c>
      <c r="O1471">
        <v>0.3</v>
      </c>
      <c r="P1471">
        <v>0</v>
      </c>
      <c r="Q1471">
        <v>3</v>
      </c>
      <c r="R1471">
        <v>4</v>
      </c>
      <c r="S1471">
        <v>1</v>
      </c>
      <c r="T1471" t="s">
        <v>30</v>
      </c>
      <c r="U1471">
        <v>4</v>
      </c>
      <c r="V1471" s="7">
        <v>45863</v>
      </c>
      <c r="W1471" t="s">
        <v>1651</v>
      </c>
      <c r="X1471" t="s">
        <v>1655</v>
      </c>
      <c r="Y1471" t="s">
        <v>1664</v>
      </c>
      <c r="Z1471">
        <v>1</v>
      </c>
    </row>
    <row r="1472" spans="1:26" x14ac:dyDescent="0.35">
      <c r="A1472" t="s">
        <v>142</v>
      </c>
      <c r="B1472" s="6">
        <v>45757</v>
      </c>
      <c r="C1472" t="s">
        <v>23</v>
      </c>
      <c r="D1472">
        <v>21</v>
      </c>
      <c r="E1472" t="s">
        <v>24</v>
      </c>
      <c r="F1472" t="s">
        <v>25</v>
      </c>
      <c r="G1472" t="s">
        <v>32</v>
      </c>
      <c r="H1472" t="s">
        <v>55</v>
      </c>
      <c r="I1472" t="s">
        <v>56</v>
      </c>
      <c r="J1472" t="s">
        <v>1632</v>
      </c>
      <c r="K1472" t="s">
        <v>34</v>
      </c>
      <c r="L1472">
        <v>52000</v>
      </c>
      <c r="M1472">
        <v>11.7</v>
      </c>
      <c r="N1472">
        <v>4.4000000000000004</v>
      </c>
      <c r="O1472">
        <v>0.7</v>
      </c>
      <c r="P1472">
        <v>0</v>
      </c>
      <c r="Q1472">
        <v>3</v>
      </c>
      <c r="R1472">
        <v>3</v>
      </c>
      <c r="S1472">
        <v>3</v>
      </c>
      <c r="T1472" t="s">
        <v>23</v>
      </c>
      <c r="U1472">
        <v>3</v>
      </c>
      <c r="W1472" t="s">
        <v>1651</v>
      </c>
      <c r="X1472" t="s">
        <v>1656</v>
      </c>
      <c r="Y1472" t="s">
        <v>1664</v>
      </c>
      <c r="Z1472">
        <v>0</v>
      </c>
    </row>
    <row r="1473" spans="1:26" x14ac:dyDescent="0.35">
      <c r="A1473" t="s">
        <v>1501</v>
      </c>
      <c r="B1473" s="6">
        <v>45298</v>
      </c>
      <c r="C1473" t="s">
        <v>23</v>
      </c>
      <c r="D1473">
        <v>23</v>
      </c>
      <c r="E1473" t="s">
        <v>36</v>
      </c>
      <c r="F1473" t="s">
        <v>42</v>
      </c>
      <c r="G1473" t="s">
        <v>32</v>
      </c>
      <c r="H1473" t="s">
        <v>38</v>
      </c>
      <c r="I1473" t="s">
        <v>118</v>
      </c>
      <c r="J1473" t="s">
        <v>1632</v>
      </c>
      <c r="K1473" t="s">
        <v>50</v>
      </c>
      <c r="L1473">
        <v>53000</v>
      </c>
      <c r="M1473">
        <v>6.1</v>
      </c>
      <c r="N1473">
        <v>5.7</v>
      </c>
      <c r="O1473">
        <v>2</v>
      </c>
      <c r="P1473">
        <v>1.8</v>
      </c>
      <c r="Q1473">
        <v>1</v>
      </c>
      <c r="R1473">
        <v>4</v>
      </c>
      <c r="S1473">
        <v>4</v>
      </c>
      <c r="T1473" t="s">
        <v>23</v>
      </c>
      <c r="U1473">
        <v>4</v>
      </c>
      <c r="W1473" t="s">
        <v>1651</v>
      </c>
      <c r="X1473" t="s">
        <v>1656</v>
      </c>
      <c r="Y1473" t="s">
        <v>1665</v>
      </c>
      <c r="Z1473">
        <v>0</v>
      </c>
    </row>
    <row r="1474" spans="1:26" x14ac:dyDescent="0.35">
      <c r="A1474" t="s">
        <v>1343</v>
      </c>
      <c r="B1474" s="6">
        <v>45722</v>
      </c>
      <c r="C1474" t="s">
        <v>30</v>
      </c>
      <c r="D1474">
        <v>21</v>
      </c>
      <c r="E1474" t="s">
        <v>62</v>
      </c>
      <c r="F1474" t="s">
        <v>25</v>
      </c>
      <c r="G1474" t="s">
        <v>54</v>
      </c>
      <c r="H1474" t="s">
        <v>68</v>
      </c>
      <c r="I1474" t="s">
        <v>69</v>
      </c>
      <c r="J1474" t="s">
        <v>1632</v>
      </c>
      <c r="K1474" t="s">
        <v>84</v>
      </c>
      <c r="L1474">
        <v>30000</v>
      </c>
      <c r="M1474">
        <v>8.1</v>
      </c>
      <c r="N1474">
        <v>2.2000000000000002</v>
      </c>
      <c r="O1474">
        <v>0.4</v>
      </c>
      <c r="P1474">
        <v>0</v>
      </c>
      <c r="Q1474">
        <v>3</v>
      </c>
      <c r="R1474">
        <v>3</v>
      </c>
      <c r="S1474">
        <v>3</v>
      </c>
      <c r="T1474" t="s">
        <v>23</v>
      </c>
      <c r="U1474">
        <v>2</v>
      </c>
      <c r="V1474" s="7">
        <v>45866</v>
      </c>
      <c r="W1474" t="s">
        <v>1651</v>
      </c>
      <c r="X1474" t="s">
        <v>1655</v>
      </c>
      <c r="Y1474" t="s">
        <v>1664</v>
      </c>
      <c r="Z1474">
        <v>1</v>
      </c>
    </row>
    <row r="1475" spans="1:26" x14ac:dyDescent="0.35">
      <c r="A1475" t="s">
        <v>622</v>
      </c>
      <c r="B1475" s="6">
        <v>45391</v>
      </c>
      <c r="C1475" t="s">
        <v>23</v>
      </c>
      <c r="D1475">
        <v>23</v>
      </c>
      <c r="E1475" t="s">
        <v>36</v>
      </c>
      <c r="F1475" t="s">
        <v>37</v>
      </c>
      <c r="G1475" t="s">
        <v>26</v>
      </c>
      <c r="H1475" t="s">
        <v>45</v>
      </c>
      <c r="I1475" t="s">
        <v>77</v>
      </c>
      <c r="J1475" t="s">
        <v>1632</v>
      </c>
      <c r="K1475" t="s">
        <v>34</v>
      </c>
      <c r="L1475">
        <v>22000</v>
      </c>
      <c r="M1475">
        <v>10.8</v>
      </c>
      <c r="N1475">
        <v>4.4000000000000004</v>
      </c>
      <c r="O1475">
        <v>1.7</v>
      </c>
      <c r="P1475">
        <v>1.7</v>
      </c>
      <c r="Q1475">
        <v>4</v>
      </c>
      <c r="R1475">
        <v>2</v>
      </c>
      <c r="S1475">
        <v>2</v>
      </c>
      <c r="T1475" t="s">
        <v>23</v>
      </c>
      <c r="U1475">
        <v>4</v>
      </c>
      <c r="W1475" t="s">
        <v>1651</v>
      </c>
      <c r="X1475" t="s">
        <v>1655</v>
      </c>
      <c r="Y1475" t="s">
        <v>1665</v>
      </c>
      <c r="Z1475">
        <v>0</v>
      </c>
    </row>
    <row r="1476" spans="1:26" x14ac:dyDescent="0.35">
      <c r="A1476" t="s">
        <v>835</v>
      </c>
      <c r="B1476" s="6">
        <v>45880</v>
      </c>
      <c r="C1476" t="s">
        <v>30</v>
      </c>
      <c r="D1476">
        <v>22</v>
      </c>
      <c r="E1476" t="s">
        <v>24</v>
      </c>
      <c r="F1476" t="s">
        <v>42</v>
      </c>
      <c r="G1476" t="s">
        <v>54</v>
      </c>
      <c r="H1476" t="s">
        <v>27</v>
      </c>
      <c r="I1476" t="s">
        <v>33</v>
      </c>
      <c r="J1476" t="s">
        <v>1632</v>
      </c>
      <c r="K1476" t="s">
        <v>29</v>
      </c>
      <c r="L1476">
        <v>42000</v>
      </c>
      <c r="M1476">
        <v>9.1999999999999993</v>
      </c>
      <c r="N1476">
        <v>1.1000000000000001</v>
      </c>
      <c r="O1476">
        <v>0.3</v>
      </c>
      <c r="P1476">
        <v>0</v>
      </c>
      <c r="Q1476">
        <v>3</v>
      </c>
      <c r="R1476">
        <v>2</v>
      </c>
      <c r="S1476">
        <v>3</v>
      </c>
      <c r="T1476" t="s">
        <v>23</v>
      </c>
      <c r="U1476">
        <v>1</v>
      </c>
      <c r="V1476" s="7">
        <v>45992</v>
      </c>
      <c r="W1476" t="s">
        <v>1651</v>
      </c>
      <c r="X1476" t="s">
        <v>1656</v>
      </c>
      <c r="Y1476" t="s">
        <v>1664</v>
      </c>
      <c r="Z1476">
        <v>1</v>
      </c>
    </row>
    <row r="1477" spans="1:26" x14ac:dyDescent="0.35">
      <c r="A1477" t="s">
        <v>1515</v>
      </c>
      <c r="B1477" s="6">
        <v>44177</v>
      </c>
      <c r="C1477" t="s">
        <v>23</v>
      </c>
      <c r="D1477">
        <v>33</v>
      </c>
      <c r="E1477" t="s">
        <v>24</v>
      </c>
      <c r="F1477" t="s">
        <v>42</v>
      </c>
      <c r="G1477" t="s">
        <v>32</v>
      </c>
      <c r="H1477" t="s">
        <v>55</v>
      </c>
      <c r="I1477" t="s">
        <v>80</v>
      </c>
      <c r="J1477" t="s">
        <v>1636</v>
      </c>
      <c r="K1477" t="s">
        <v>29</v>
      </c>
      <c r="L1477">
        <v>106000</v>
      </c>
      <c r="M1477">
        <v>8.4</v>
      </c>
      <c r="N1477">
        <v>8</v>
      </c>
      <c r="O1477">
        <v>5.0999999999999996</v>
      </c>
      <c r="P1477">
        <v>1.9</v>
      </c>
      <c r="Q1477">
        <v>3</v>
      </c>
      <c r="R1477">
        <v>2</v>
      </c>
      <c r="S1477">
        <v>4</v>
      </c>
      <c r="T1477" t="s">
        <v>30</v>
      </c>
      <c r="U1477">
        <v>4</v>
      </c>
      <c r="W1477" t="s">
        <v>1650</v>
      </c>
      <c r="X1477" t="s">
        <v>1658</v>
      </c>
      <c r="Y1477" t="s">
        <v>1661</v>
      </c>
      <c r="Z1477">
        <v>0</v>
      </c>
    </row>
    <row r="1478" spans="1:26" x14ac:dyDescent="0.35">
      <c r="A1478" t="s">
        <v>1402</v>
      </c>
      <c r="B1478" s="6">
        <v>44877</v>
      </c>
      <c r="C1478" t="s">
        <v>30</v>
      </c>
      <c r="D1478">
        <v>27</v>
      </c>
      <c r="E1478" t="s">
        <v>24</v>
      </c>
      <c r="F1478" t="s">
        <v>25</v>
      </c>
      <c r="G1478" t="s">
        <v>58</v>
      </c>
      <c r="H1478" t="s">
        <v>45</v>
      </c>
      <c r="I1478" t="s">
        <v>164</v>
      </c>
      <c r="J1478" t="s">
        <v>1632</v>
      </c>
      <c r="K1478" t="s">
        <v>84</v>
      </c>
      <c r="L1478">
        <v>28000</v>
      </c>
      <c r="M1478">
        <v>8.3000000000000007</v>
      </c>
      <c r="N1478">
        <v>6.4</v>
      </c>
      <c r="O1478">
        <v>2.9</v>
      </c>
      <c r="P1478">
        <v>0.2</v>
      </c>
      <c r="Q1478">
        <v>3</v>
      </c>
      <c r="R1478">
        <v>2</v>
      </c>
      <c r="S1478">
        <v>2</v>
      </c>
      <c r="T1478" t="s">
        <v>23</v>
      </c>
      <c r="U1478">
        <v>2</v>
      </c>
      <c r="V1478" s="7">
        <v>45927</v>
      </c>
      <c r="W1478" t="s">
        <v>1650</v>
      </c>
      <c r="X1478" t="s">
        <v>1655</v>
      </c>
      <c r="Y1478" t="s">
        <v>1665</v>
      </c>
      <c r="Z1478">
        <v>1</v>
      </c>
    </row>
    <row r="1479" spans="1:26" x14ac:dyDescent="0.35">
      <c r="A1479" t="s">
        <v>573</v>
      </c>
      <c r="B1479" s="6">
        <v>44309</v>
      </c>
      <c r="C1479" t="s">
        <v>23</v>
      </c>
      <c r="D1479">
        <v>45</v>
      </c>
      <c r="E1479" t="s">
        <v>36</v>
      </c>
      <c r="F1479" t="s">
        <v>25</v>
      </c>
      <c r="G1479" t="s">
        <v>54</v>
      </c>
      <c r="H1479" t="s">
        <v>48</v>
      </c>
      <c r="I1479" t="s">
        <v>129</v>
      </c>
      <c r="J1479" t="s">
        <v>1632</v>
      </c>
      <c r="K1479" t="s">
        <v>50</v>
      </c>
      <c r="L1479">
        <v>27000</v>
      </c>
      <c r="M1479">
        <v>11</v>
      </c>
      <c r="N1479">
        <v>10.1</v>
      </c>
      <c r="O1479">
        <v>4.7</v>
      </c>
      <c r="P1479">
        <v>1.5</v>
      </c>
      <c r="Q1479">
        <v>4</v>
      </c>
      <c r="R1479">
        <v>4</v>
      </c>
      <c r="S1479">
        <v>4</v>
      </c>
      <c r="T1479" t="s">
        <v>30</v>
      </c>
      <c r="U1479">
        <v>4</v>
      </c>
      <c r="W1479" t="s">
        <v>1649</v>
      </c>
      <c r="X1479" t="s">
        <v>1655</v>
      </c>
      <c r="Y1479" t="s">
        <v>1661</v>
      </c>
      <c r="Z1479">
        <v>0</v>
      </c>
    </row>
    <row r="1480" spans="1:26" x14ac:dyDescent="0.35">
      <c r="A1480" t="s">
        <v>1126</v>
      </c>
      <c r="B1480" s="6">
        <v>41928</v>
      </c>
      <c r="C1480" t="s">
        <v>23</v>
      </c>
      <c r="D1480">
        <v>42</v>
      </c>
      <c r="E1480" t="s">
        <v>36</v>
      </c>
      <c r="F1480" t="s">
        <v>37</v>
      </c>
      <c r="G1480" t="s">
        <v>32</v>
      </c>
      <c r="H1480" t="s">
        <v>27</v>
      </c>
      <c r="I1480" t="s">
        <v>43</v>
      </c>
      <c r="J1480" t="s">
        <v>1635</v>
      </c>
      <c r="K1480" t="s">
        <v>40</v>
      </c>
      <c r="L1480">
        <v>77000</v>
      </c>
      <c r="M1480">
        <v>8.1</v>
      </c>
      <c r="N1480">
        <v>17.2</v>
      </c>
      <c r="O1480">
        <v>11.2</v>
      </c>
      <c r="P1480">
        <v>1.8</v>
      </c>
      <c r="Q1480">
        <v>3</v>
      </c>
      <c r="R1480">
        <v>3</v>
      </c>
      <c r="S1480">
        <v>3</v>
      </c>
      <c r="T1480" t="s">
        <v>23</v>
      </c>
      <c r="U1480">
        <v>3</v>
      </c>
      <c r="W1480" t="s">
        <v>1649</v>
      </c>
      <c r="X1480" t="s">
        <v>1659</v>
      </c>
      <c r="Y1480" t="s">
        <v>1663</v>
      </c>
      <c r="Z1480">
        <v>0</v>
      </c>
    </row>
    <row r="1481" spans="1:26" x14ac:dyDescent="0.35">
      <c r="A1481" t="s">
        <v>1217</v>
      </c>
      <c r="B1481" s="6">
        <v>43047</v>
      </c>
      <c r="C1481" t="s">
        <v>30</v>
      </c>
      <c r="D1481">
        <v>39</v>
      </c>
      <c r="E1481" t="s">
        <v>36</v>
      </c>
      <c r="F1481" t="s">
        <v>25</v>
      </c>
      <c r="G1481" t="s">
        <v>26</v>
      </c>
      <c r="H1481" t="s">
        <v>68</v>
      </c>
      <c r="I1481" t="s">
        <v>121</v>
      </c>
      <c r="J1481" t="s">
        <v>1633</v>
      </c>
      <c r="K1481" t="s">
        <v>66</v>
      </c>
      <c r="L1481">
        <v>36000</v>
      </c>
      <c r="M1481">
        <v>11.6</v>
      </c>
      <c r="N1481">
        <v>11.9</v>
      </c>
      <c r="O1481">
        <v>8.1</v>
      </c>
      <c r="P1481">
        <v>4.5999999999999996</v>
      </c>
      <c r="Q1481">
        <v>3</v>
      </c>
      <c r="R1481">
        <v>4</v>
      </c>
      <c r="S1481">
        <v>4</v>
      </c>
      <c r="T1481" t="s">
        <v>23</v>
      </c>
      <c r="U1481">
        <v>4</v>
      </c>
      <c r="V1481" s="7">
        <v>46009</v>
      </c>
      <c r="W1481" t="s">
        <v>1649</v>
      </c>
      <c r="X1481" t="s">
        <v>1655</v>
      </c>
      <c r="Y1481" t="s">
        <v>1662</v>
      </c>
      <c r="Z1481">
        <v>1</v>
      </c>
    </row>
    <row r="1482" spans="1:26" x14ac:dyDescent="0.35">
      <c r="A1482" t="s">
        <v>108</v>
      </c>
      <c r="B1482" s="6">
        <v>42470</v>
      </c>
      <c r="C1482" t="s">
        <v>30</v>
      </c>
      <c r="D1482">
        <v>42</v>
      </c>
      <c r="E1482" t="s">
        <v>62</v>
      </c>
      <c r="F1482" t="s">
        <v>25</v>
      </c>
      <c r="G1482" t="s">
        <v>54</v>
      </c>
      <c r="H1482" t="s">
        <v>68</v>
      </c>
      <c r="I1482" t="s">
        <v>109</v>
      </c>
      <c r="J1482" t="s">
        <v>1636</v>
      </c>
      <c r="K1482" t="s">
        <v>40</v>
      </c>
      <c r="L1482">
        <v>112000</v>
      </c>
      <c r="M1482">
        <v>11.6</v>
      </c>
      <c r="N1482">
        <v>12.7</v>
      </c>
      <c r="O1482">
        <v>9.1999999999999993</v>
      </c>
      <c r="P1482">
        <v>1.5</v>
      </c>
      <c r="Q1482">
        <v>2</v>
      </c>
      <c r="R1482">
        <v>2</v>
      </c>
      <c r="S1482">
        <v>4</v>
      </c>
      <c r="T1482" t="s">
        <v>30</v>
      </c>
      <c r="U1482">
        <v>4</v>
      </c>
      <c r="V1482" s="7">
        <v>45842</v>
      </c>
      <c r="W1482" t="s">
        <v>1649</v>
      </c>
      <c r="X1482" t="s">
        <v>1658</v>
      </c>
      <c r="Y1482" t="s">
        <v>1662</v>
      </c>
      <c r="Z1482">
        <v>1</v>
      </c>
    </row>
    <row r="1483" spans="1:26" x14ac:dyDescent="0.35">
      <c r="A1483" t="s">
        <v>973</v>
      </c>
      <c r="B1483" s="6">
        <v>45859</v>
      </c>
      <c r="C1483" t="s">
        <v>23</v>
      </c>
      <c r="D1483">
        <v>21</v>
      </c>
      <c r="E1483" t="s">
        <v>36</v>
      </c>
      <c r="F1483" t="s">
        <v>42</v>
      </c>
      <c r="G1483" t="s">
        <v>54</v>
      </c>
      <c r="H1483" t="s">
        <v>1634</v>
      </c>
      <c r="I1483" t="s">
        <v>86</v>
      </c>
      <c r="J1483" t="s">
        <v>1632</v>
      </c>
      <c r="K1483" t="s">
        <v>66</v>
      </c>
      <c r="L1483">
        <v>25000</v>
      </c>
      <c r="M1483">
        <v>11.7</v>
      </c>
      <c r="N1483">
        <v>1.9</v>
      </c>
      <c r="O1483">
        <v>0.4</v>
      </c>
      <c r="P1483">
        <v>0</v>
      </c>
      <c r="Q1483">
        <v>3</v>
      </c>
      <c r="R1483">
        <v>2</v>
      </c>
      <c r="S1483">
        <v>2</v>
      </c>
      <c r="T1483" t="s">
        <v>23</v>
      </c>
      <c r="U1483">
        <v>2</v>
      </c>
      <c r="W1483" t="s">
        <v>1651</v>
      </c>
      <c r="X1483" t="s">
        <v>1655</v>
      </c>
      <c r="Y1483" t="s">
        <v>1664</v>
      </c>
      <c r="Z1483">
        <v>0</v>
      </c>
    </row>
    <row r="1484" spans="1:26" x14ac:dyDescent="0.35">
      <c r="A1484" t="s">
        <v>85</v>
      </c>
      <c r="B1484" s="6">
        <v>44036</v>
      </c>
      <c r="C1484" t="s">
        <v>23</v>
      </c>
      <c r="D1484">
        <v>41</v>
      </c>
      <c r="E1484" t="s">
        <v>62</v>
      </c>
      <c r="F1484" t="s">
        <v>37</v>
      </c>
      <c r="G1484" t="s">
        <v>26</v>
      </c>
      <c r="H1484" t="s">
        <v>1634</v>
      </c>
      <c r="I1484" t="s">
        <v>86</v>
      </c>
      <c r="J1484" t="s">
        <v>1633</v>
      </c>
      <c r="K1484" t="s">
        <v>66</v>
      </c>
      <c r="L1484">
        <v>55000</v>
      </c>
      <c r="M1484">
        <v>5.0999999999999996</v>
      </c>
      <c r="N1484">
        <v>7.2</v>
      </c>
      <c r="O1484">
        <v>5.4</v>
      </c>
      <c r="P1484">
        <v>2.9</v>
      </c>
      <c r="Q1484">
        <v>3</v>
      </c>
      <c r="R1484">
        <v>3</v>
      </c>
      <c r="S1484">
        <v>2</v>
      </c>
      <c r="T1484" t="s">
        <v>23</v>
      </c>
      <c r="U1484">
        <v>2</v>
      </c>
      <c r="W1484" t="s">
        <v>1649</v>
      </c>
      <c r="X1484" t="s">
        <v>1656</v>
      </c>
      <c r="Y1484" t="s">
        <v>1661</v>
      </c>
      <c r="Z1484">
        <v>0</v>
      </c>
    </row>
    <row r="1485" spans="1:26" x14ac:dyDescent="0.35">
      <c r="A1485" t="s">
        <v>335</v>
      </c>
      <c r="B1485" s="6">
        <v>45912</v>
      </c>
      <c r="C1485" t="s">
        <v>23</v>
      </c>
      <c r="D1485">
        <v>34</v>
      </c>
      <c r="E1485" t="s">
        <v>24</v>
      </c>
      <c r="F1485" t="s">
        <v>25</v>
      </c>
      <c r="G1485" t="s">
        <v>32</v>
      </c>
      <c r="H1485" t="s">
        <v>38</v>
      </c>
      <c r="I1485" t="s">
        <v>39</v>
      </c>
      <c r="J1485" t="s">
        <v>1635</v>
      </c>
      <c r="K1485" t="s">
        <v>66</v>
      </c>
      <c r="L1485">
        <v>66000</v>
      </c>
      <c r="M1485">
        <v>15.7</v>
      </c>
      <c r="N1485">
        <v>1.7</v>
      </c>
      <c r="O1485">
        <v>0.3</v>
      </c>
      <c r="P1485">
        <v>0</v>
      </c>
      <c r="Q1485">
        <v>2</v>
      </c>
      <c r="R1485">
        <v>2</v>
      </c>
      <c r="S1485">
        <v>4</v>
      </c>
      <c r="T1485" t="s">
        <v>23</v>
      </c>
      <c r="U1485">
        <v>3</v>
      </c>
      <c r="W1485" t="s">
        <v>1650</v>
      </c>
      <c r="X1485" t="s">
        <v>1659</v>
      </c>
      <c r="Y1485" t="s">
        <v>1664</v>
      </c>
      <c r="Z1485">
        <v>0</v>
      </c>
    </row>
    <row r="1486" spans="1:26" x14ac:dyDescent="0.35">
      <c r="A1486" t="s">
        <v>1422</v>
      </c>
      <c r="B1486" s="6">
        <v>44541</v>
      </c>
      <c r="C1486" t="s">
        <v>23</v>
      </c>
      <c r="D1486">
        <v>42</v>
      </c>
      <c r="E1486" t="s">
        <v>62</v>
      </c>
      <c r="F1486" t="s">
        <v>25</v>
      </c>
      <c r="G1486" t="s">
        <v>26</v>
      </c>
      <c r="H1486" t="s">
        <v>38</v>
      </c>
      <c r="I1486" t="s">
        <v>52</v>
      </c>
      <c r="J1486" t="s">
        <v>1633</v>
      </c>
      <c r="K1486" t="s">
        <v>40</v>
      </c>
      <c r="L1486">
        <v>45000</v>
      </c>
      <c r="M1486">
        <v>14</v>
      </c>
      <c r="N1486">
        <v>5.0999999999999996</v>
      </c>
      <c r="O1486">
        <v>4.0999999999999996</v>
      </c>
      <c r="P1486">
        <v>1.6</v>
      </c>
      <c r="Q1486">
        <v>4</v>
      </c>
      <c r="R1486">
        <v>4</v>
      </c>
      <c r="S1486">
        <v>3</v>
      </c>
      <c r="T1486" t="s">
        <v>30</v>
      </c>
      <c r="U1486">
        <v>3</v>
      </c>
      <c r="W1486" t="s">
        <v>1649</v>
      </c>
      <c r="X1486" t="s">
        <v>1656</v>
      </c>
      <c r="Y1486" t="s">
        <v>1661</v>
      </c>
      <c r="Z1486">
        <v>0</v>
      </c>
    </row>
    <row r="1487" spans="1:26" x14ac:dyDescent="0.35">
      <c r="A1487" t="s">
        <v>168</v>
      </c>
      <c r="B1487" s="6">
        <v>45745</v>
      </c>
      <c r="C1487" t="s">
        <v>23</v>
      </c>
      <c r="D1487">
        <v>24</v>
      </c>
      <c r="E1487" t="s">
        <v>62</v>
      </c>
      <c r="F1487" t="s">
        <v>25</v>
      </c>
      <c r="G1487" t="s">
        <v>32</v>
      </c>
      <c r="H1487" t="s">
        <v>27</v>
      </c>
      <c r="I1487" t="s">
        <v>95</v>
      </c>
      <c r="J1487" t="s">
        <v>1632</v>
      </c>
      <c r="K1487" t="s">
        <v>40</v>
      </c>
      <c r="L1487">
        <v>39000</v>
      </c>
      <c r="M1487">
        <v>9</v>
      </c>
      <c r="N1487">
        <v>8.6</v>
      </c>
      <c r="O1487">
        <v>0.8</v>
      </c>
      <c r="P1487">
        <v>0</v>
      </c>
      <c r="Q1487">
        <v>4</v>
      </c>
      <c r="R1487">
        <v>2</v>
      </c>
      <c r="S1487">
        <v>4</v>
      </c>
      <c r="T1487" t="s">
        <v>30</v>
      </c>
      <c r="U1487">
        <v>3</v>
      </c>
      <c r="W1487" t="s">
        <v>1651</v>
      </c>
      <c r="X1487" t="s">
        <v>1655</v>
      </c>
      <c r="Y1487" t="s">
        <v>1664</v>
      </c>
      <c r="Z1487">
        <v>0</v>
      </c>
    </row>
    <row r="1488" spans="1:26" x14ac:dyDescent="0.35">
      <c r="A1488" t="s">
        <v>840</v>
      </c>
      <c r="B1488" s="6">
        <v>44980</v>
      </c>
      <c r="C1488" t="s">
        <v>23</v>
      </c>
      <c r="D1488">
        <v>36</v>
      </c>
      <c r="E1488" t="s">
        <v>24</v>
      </c>
      <c r="F1488" t="s">
        <v>42</v>
      </c>
      <c r="G1488" t="s">
        <v>26</v>
      </c>
      <c r="H1488" t="s">
        <v>48</v>
      </c>
      <c r="I1488" t="s">
        <v>201</v>
      </c>
      <c r="J1488" t="s">
        <v>1635</v>
      </c>
      <c r="K1488" t="s">
        <v>40</v>
      </c>
      <c r="L1488">
        <v>88000</v>
      </c>
      <c r="M1488">
        <v>6.6</v>
      </c>
      <c r="N1488">
        <v>8.5</v>
      </c>
      <c r="O1488">
        <v>2.9</v>
      </c>
      <c r="P1488">
        <v>0.1</v>
      </c>
      <c r="Q1488">
        <v>3</v>
      </c>
      <c r="R1488">
        <v>3</v>
      </c>
      <c r="S1488">
        <v>4</v>
      </c>
      <c r="T1488" t="s">
        <v>23</v>
      </c>
      <c r="U1488">
        <v>4</v>
      </c>
      <c r="W1488" t="s">
        <v>1649</v>
      </c>
      <c r="X1488" t="s">
        <v>1657</v>
      </c>
      <c r="Y1488" t="s">
        <v>1665</v>
      </c>
      <c r="Z1488">
        <v>0</v>
      </c>
    </row>
    <row r="1489" spans="1:26" x14ac:dyDescent="0.35">
      <c r="A1489" t="s">
        <v>1548</v>
      </c>
      <c r="B1489" s="6">
        <v>45900</v>
      </c>
      <c r="C1489" t="s">
        <v>23</v>
      </c>
      <c r="D1489">
        <v>21</v>
      </c>
      <c r="E1489" t="s">
        <v>24</v>
      </c>
      <c r="F1489" t="s">
        <v>25</v>
      </c>
      <c r="G1489" t="s">
        <v>54</v>
      </c>
      <c r="H1489" t="s">
        <v>27</v>
      </c>
      <c r="I1489" t="s">
        <v>28</v>
      </c>
      <c r="J1489" t="s">
        <v>1632</v>
      </c>
      <c r="K1489" t="s">
        <v>29</v>
      </c>
      <c r="L1489">
        <v>22000</v>
      </c>
      <c r="M1489">
        <v>9.5</v>
      </c>
      <c r="N1489">
        <v>1.7</v>
      </c>
      <c r="O1489">
        <v>0.3</v>
      </c>
      <c r="P1489">
        <v>0</v>
      </c>
      <c r="Q1489">
        <v>1</v>
      </c>
      <c r="R1489">
        <v>3</v>
      </c>
      <c r="S1489">
        <v>3</v>
      </c>
      <c r="T1489" t="s">
        <v>23</v>
      </c>
      <c r="U1489">
        <v>2</v>
      </c>
      <c r="W1489" t="s">
        <v>1651</v>
      </c>
      <c r="X1489" t="s">
        <v>1655</v>
      </c>
      <c r="Y1489" t="s">
        <v>1664</v>
      </c>
      <c r="Z1489">
        <v>0</v>
      </c>
    </row>
    <row r="1490" spans="1:26" x14ac:dyDescent="0.35">
      <c r="A1490" t="s">
        <v>779</v>
      </c>
      <c r="B1490" s="6">
        <v>44518</v>
      </c>
      <c r="C1490" t="s">
        <v>23</v>
      </c>
      <c r="D1490">
        <v>28</v>
      </c>
      <c r="E1490" t="s">
        <v>62</v>
      </c>
      <c r="F1490" t="s">
        <v>37</v>
      </c>
      <c r="G1490" t="s">
        <v>54</v>
      </c>
      <c r="H1490" t="s">
        <v>68</v>
      </c>
      <c r="I1490" t="s">
        <v>102</v>
      </c>
      <c r="J1490" t="s">
        <v>1633</v>
      </c>
      <c r="K1490" t="s">
        <v>40</v>
      </c>
      <c r="L1490">
        <v>60000</v>
      </c>
      <c r="M1490">
        <v>11.1</v>
      </c>
      <c r="N1490">
        <v>10.4</v>
      </c>
      <c r="O1490">
        <v>4.0999999999999996</v>
      </c>
      <c r="P1490">
        <v>1.5</v>
      </c>
      <c r="Q1490">
        <v>3</v>
      </c>
      <c r="R1490">
        <v>2</v>
      </c>
      <c r="S1490">
        <v>3</v>
      </c>
      <c r="T1490" t="s">
        <v>30</v>
      </c>
      <c r="U1490">
        <v>2</v>
      </c>
      <c r="W1490" t="s">
        <v>1650</v>
      </c>
      <c r="X1490" t="s">
        <v>1659</v>
      </c>
      <c r="Y1490" t="s">
        <v>1661</v>
      </c>
      <c r="Z1490">
        <v>0</v>
      </c>
    </row>
    <row r="1491" spans="1:26" x14ac:dyDescent="0.35">
      <c r="A1491" t="s">
        <v>1173</v>
      </c>
      <c r="B1491" s="6">
        <v>44183</v>
      </c>
      <c r="C1491" t="s">
        <v>23</v>
      </c>
      <c r="D1491">
        <v>32</v>
      </c>
      <c r="E1491" t="s">
        <v>36</v>
      </c>
      <c r="F1491" t="s">
        <v>25</v>
      </c>
      <c r="G1491" t="s">
        <v>26</v>
      </c>
      <c r="H1491" t="s">
        <v>38</v>
      </c>
      <c r="I1491" t="s">
        <v>118</v>
      </c>
      <c r="J1491" t="s">
        <v>1633</v>
      </c>
      <c r="K1491" t="s">
        <v>84</v>
      </c>
      <c r="L1491">
        <v>65000</v>
      </c>
      <c r="M1491">
        <v>7.2</v>
      </c>
      <c r="N1491">
        <v>11.8</v>
      </c>
      <c r="O1491">
        <v>5</v>
      </c>
      <c r="P1491">
        <v>4</v>
      </c>
      <c r="Q1491">
        <v>3</v>
      </c>
      <c r="R1491">
        <v>3</v>
      </c>
      <c r="S1491">
        <v>4</v>
      </c>
      <c r="T1491" t="s">
        <v>23</v>
      </c>
      <c r="U1491">
        <v>3</v>
      </c>
      <c r="W1491" t="s">
        <v>1650</v>
      </c>
      <c r="X1491" t="s">
        <v>1659</v>
      </c>
      <c r="Y1491" t="s">
        <v>1661</v>
      </c>
      <c r="Z1491">
        <v>0</v>
      </c>
    </row>
    <row r="1492" spans="1:26" x14ac:dyDescent="0.35">
      <c r="A1492" t="s">
        <v>929</v>
      </c>
      <c r="B1492" s="6">
        <v>45259</v>
      </c>
      <c r="C1492" t="s">
        <v>23</v>
      </c>
      <c r="D1492">
        <v>27</v>
      </c>
      <c r="E1492" t="s">
        <v>62</v>
      </c>
      <c r="F1492" t="s">
        <v>25</v>
      </c>
      <c r="G1492" t="s">
        <v>58</v>
      </c>
      <c r="H1492" t="s">
        <v>27</v>
      </c>
      <c r="I1492" t="s">
        <v>33</v>
      </c>
      <c r="J1492" t="s">
        <v>1632</v>
      </c>
      <c r="K1492" t="s">
        <v>66</v>
      </c>
      <c r="L1492">
        <v>51000</v>
      </c>
      <c r="M1492">
        <v>9.1</v>
      </c>
      <c r="N1492">
        <v>6.3</v>
      </c>
      <c r="O1492">
        <v>2.1</v>
      </c>
      <c r="P1492">
        <v>0.5</v>
      </c>
      <c r="Q1492">
        <v>3</v>
      </c>
      <c r="R1492">
        <v>3</v>
      </c>
      <c r="S1492">
        <v>4</v>
      </c>
      <c r="T1492" t="s">
        <v>23</v>
      </c>
      <c r="U1492">
        <v>4</v>
      </c>
      <c r="W1492" t="s">
        <v>1650</v>
      </c>
      <c r="X1492" t="s">
        <v>1656</v>
      </c>
      <c r="Y1492" t="s">
        <v>1665</v>
      </c>
      <c r="Z1492">
        <v>0</v>
      </c>
    </row>
    <row r="1493" spans="1:26" x14ac:dyDescent="0.35">
      <c r="A1493" t="s">
        <v>289</v>
      </c>
      <c r="B1493" s="6">
        <v>42007</v>
      </c>
      <c r="C1493" t="s">
        <v>23</v>
      </c>
      <c r="D1493">
        <v>43</v>
      </c>
      <c r="E1493" t="s">
        <v>62</v>
      </c>
      <c r="F1493" t="s">
        <v>37</v>
      </c>
      <c r="G1493" t="s">
        <v>32</v>
      </c>
      <c r="H1493" t="s">
        <v>1634</v>
      </c>
      <c r="I1493" t="s">
        <v>75</v>
      </c>
      <c r="J1493" t="s">
        <v>1633</v>
      </c>
      <c r="K1493" t="s">
        <v>1638</v>
      </c>
      <c r="L1493">
        <v>53000</v>
      </c>
      <c r="M1493">
        <v>12.4</v>
      </c>
      <c r="N1493">
        <v>18.100000000000001</v>
      </c>
      <c r="O1493">
        <v>11</v>
      </c>
      <c r="P1493">
        <v>4.9000000000000004</v>
      </c>
      <c r="Q1493">
        <v>1</v>
      </c>
      <c r="R1493">
        <v>1</v>
      </c>
      <c r="S1493">
        <v>3</v>
      </c>
      <c r="T1493" t="s">
        <v>23</v>
      </c>
      <c r="U1493">
        <v>4</v>
      </c>
      <c r="W1493" t="s">
        <v>1649</v>
      </c>
      <c r="X1493" t="s">
        <v>1656</v>
      </c>
      <c r="Y1493" t="s">
        <v>1663</v>
      </c>
      <c r="Z1493">
        <v>0</v>
      </c>
    </row>
    <row r="1494" spans="1:26" x14ac:dyDescent="0.35">
      <c r="A1494" t="s">
        <v>1178</v>
      </c>
      <c r="B1494" s="6">
        <v>45368</v>
      </c>
      <c r="C1494" t="s">
        <v>23</v>
      </c>
      <c r="D1494">
        <v>35</v>
      </c>
      <c r="E1494" t="s">
        <v>62</v>
      </c>
      <c r="F1494" t="s">
        <v>25</v>
      </c>
      <c r="G1494" t="s">
        <v>26</v>
      </c>
      <c r="H1494" t="s">
        <v>1634</v>
      </c>
      <c r="I1494" t="s">
        <v>60</v>
      </c>
      <c r="J1494" t="s">
        <v>1633</v>
      </c>
      <c r="K1494" t="s">
        <v>29</v>
      </c>
      <c r="L1494">
        <v>46000</v>
      </c>
      <c r="M1494">
        <v>12.9</v>
      </c>
      <c r="N1494">
        <v>4.8</v>
      </c>
      <c r="O1494">
        <v>1.8</v>
      </c>
      <c r="P1494">
        <v>0.2</v>
      </c>
      <c r="Q1494">
        <v>4</v>
      </c>
      <c r="R1494">
        <v>2</v>
      </c>
      <c r="S1494">
        <v>3</v>
      </c>
      <c r="T1494" t="s">
        <v>23</v>
      </c>
      <c r="U1494">
        <v>4</v>
      </c>
      <c r="W1494" t="s">
        <v>1650</v>
      </c>
      <c r="X1494" t="s">
        <v>1656</v>
      </c>
      <c r="Y1494" t="s">
        <v>1665</v>
      </c>
      <c r="Z1494">
        <v>0</v>
      </c>
    </row>
    <row r="1495" spans="1:26" x14ac:dyDescent="0.35">
      <c r="A1495" t="s">
        <v>501</v>
      </c>
      <c r="B1495" s="6">
        <v>44681</v>
      </c>
      <c r="C1495" t="s">
        <v>30</v>
      </c>
      <c r="D1495">
        <v>38</v>
      </c>
      <c r="E1495" t="s">
        <v>24</v>
      </c>
      <c r="F1495" t="s">
        <v>37</v>
      </c>
      <c r="G1495" t="s">
        <v>32</v>
      </c>
      <c r="H1495" t="s">
        <v>1634</v>
      </c>
      <c r="I1495" t="s">
        <v>75</v>
      </c>
      <c r="J1495" t="s">
        <v>1633</v>
      </c>
      <c r="K1495" t="s">
        <v>66</v>
      </c>
      <c r="L1495">
        <v>32000</v>
      </c>
      <c r="M1495">
        <v>10.8</v>
      </c>
      <c r="N1495">
        <v>4.2</v>
      </c>
      <c r="O1495">
        <v>3.7</v>
      </c>
      <c r="P1495">
        <v>2.5</v>
      </c>
      <c r="Q1495">
        <v>2</v>
      </c>
      <c r="R1495">
        <v>3</v>
      </c>
      <c r="S1495">
        <v>3</v>
      </c>
      <c r="T1495" t="s">
        <v>23</v>
      </c>
      <c r="U1495">
        <v>5</v>
      </c>
      <c r="V1495" s="7">
        <v>46016</v>
      </c>
      <c r="W1495" t="s">
        <v>1649</v>
      </c>
      <c r="X1495" t="s">
        <v>1655</v>
      </c>
      <c r="Y1495" t="s">
        <v>1661</v>
      </c>
      <c r="Z1495">
        <v>1</v>
      </c>
    </row>
    <row r="1496" spans="1:26" x14ac:dyDescent="0.35">
      <c r="A1496" t="s">
        <v>468</v>
      </c>
      <c r="B1496" s="6">
        <v>44630</v>
      </c>
      <c r="C1496" t="s">
        <v>23</v>
      </c>
      <c r="D1496">
        <v>45</v>
      </c>
      <c r="E1496" t="s">
        <v>62</v>
      </c>
      <c r="F1496" t="s">
        <v>25</v>
      </c>
      <c r="G1496" t="s">
        <v>32</v>
      </c>
      <c r="H1496" t="s">
        <v>27</v>
      </c>
      <c r="I1496" t="s">
        <v>28</v>
      </c>
      <c r="J1496" t="s">
        <v>1636</v>
      </c>
      <c r="K1496" t="s">
        <v>40</v>
      </c>
      <c r="L1496">
        <v>111000</v>
      </c>
      <c r="M1496">
        <v>10</v>
      </c>
      <c r="N1496">
        <v>7</v>
      </c>
      <c r="O1496">
        <v>3.8</v>
      </c>
      <c r="P1496">
        <v>1.8</v>
      </c>
      <c r="Q1496">
        <v>4</v>
      </c>
      <c r="R1496">
        <v>3</v>
      </c>
      <c r="S1496">
        <v>3</v>
      </c>
      <c r="T1496" t="s">
        <v>23</v>
      </c>
      <c r="U1496">
        <v>4</v>
      </c>
      <c r="W1496" t="s">
        <v>1649</v>
      </c>
      <c r="X1496" t="s">
        <v>1658</v>
      </c>
      <c r="Y1496" t="s">
        <v>1661</v>
      </c>
      <c r="Z1496">
        <v>0</v>
      </c>
    </row>
    <row r="1497" spans="1:26" x14ac:dyDescent="0.35">
      <c r="A1497" t="s">
        <v>329</v>
      </c>
      <c r="B1497" s="6">
        <v>44818</v>
      </c>
      <c r="C1497" t="s">
        <v>23</v>
      </c>
      <c r="D1497">
        <v>26</v>
      </c>
      <c r="E1497" t="s">
        <v>24</v>
      </c>
      <c r="F1497" t="s">
        <v>25</v>
      </c>
      <c r="G1497" t="s">
        <v>32</v>
      </c>
      <c r="H1497" t="s">
        <v>55</v>
      </c>
      <c r="I1497" t="s">
        <v>80</v>
      </c>
      <c r="J1497" t="s">
        <v>1632</v>
      </c>
      <c r="K1497" t="s">
        <v>29</v>
      </c>
      <c r="L1497">
        <v>54000</v>
      </c>
      <c r="M1497">
        <v>17</v>
      </c>
      <c r="N1497">
        <v>7.7</v>
      </c>
      <c r="O1497">
        <v>3.3</v>
      </c>
      <c r="P1497">
        <v>2.8</v>
      </c>
      <c r="Q1497">
        <v>3</v>
      </c>
      <c r="R1497">
        <v>1</v>
      </c>
      <c r="S1497">
        <v>3</v>
      </c>
      <c r="T1497" t="s">
        <v>23</v>
      </c>
      <c r="U1497">
        <v>3</v>
      </c>
      <c r="W1497" t="s">
        <v>1650</v>
      </c>
      <c r="X1497" t="s">
        <v>1656</v>
      </c>
      <c r="Y1497" t="s">
        <v>1661</v>
      </c>
      <c r="Z1497">
        <v>0</v>
      </c>
    </row>
    <row r="1498" spans="1:26" x14ac:dyDescent="0.35">
      <c r="A1498" t="s">
        <v>1158</v>
      </c>
      <c r="B1498" s="6">
        <v>44331</v>
      </c>
      <c r="C1498" t="s">
        <v>23</v>
      </c>
      <c r="D1498">
        <v>44</v>
      </c>
      <c r="E1498" t="s">
        <v>62</v>
      </c>
      <c r="F1498" t="s">
        <v>42</v>
      </c>
      <c r="G1498" t="s">
        <v>54</v>
      </c>
      <c r="H1498" t="s">
        <v>45</v>
      </c>
      <c r="I1498" t="s">
        <v>77</v>
      </c>
      <c r="J1498" t="s">
        <v>1635</v>
      </c>
      <c r="K1498" t="s">
        <v>66</v>
      </c>
      <c r="L1498">
        <v>67000</v>
      </c>
      <c r="M1498">
        <v>5.8</v>
      </c>
      <c r="N1498">
        <v>8.9</v>
      </c>
      <c r="O1498">
        <v>4.5999999999999996</v>
      </c>
      <c r="P1498">
        <v>4</v>
      </c>
      <c r="Q1498">
        <v>4</v>
      </c>
      <c r="R1498">
        <v>3</v>
      </c>
      <c r="S1498">
        <v>1</v>
      </c>
      <c r="T1498" t="s">
        <v>23</v>
      </c>
      <c r="U1498">
        <v>4</v>
      </c>
      <c r="W1498" t="s">
        <v>1649</v>
      </c>
      <c r="X1498" t="s">
        <v>1659</v>
      </c>
      <c r="Y1498" t="s">
        <v>1661</v>
      </c>
      <c r="Z1498">
        <v>0</v>
      </c>
    </row>
    <row r="1499" spans="1:26" x14ac:dyDescent="0.35">
      <c r="A1499" t="s">
        <v>1462</v>
      </c>
      <c r="B1499" s="6">
        <v>43014</v>
      </c>
      <c r="C1499" t="s">
        <v>23</v>
      </c>
      <c r="D1499">
        <v>36</v>
      </c>
      <c r="E1499" t="s">
        <v>24</v>
      </c>
      <c r="F1499" t="s">
        <v>25</v>
      </c>
      <c r="G1499" t="s">
        <v>32</v>
      </c>
      <c r="H1499" t="s">
        <v>68</v>
      </c>
      <c r="I1499" t="s">
        <v>121</v>
      </c>
      <c r="J1499" t="s">
        <v>1633</v>
      </c>
      <c r="K1499" t="s">
        <v>34</v>
      </c>
      <c r="L1499">
        <v>49000</v>
      </c>
      <c r="M1499">
        <v>11.2</v>
      </c>
      <c r="N1499">
        <v>15.6</v>
      </c>
      <c r="O1499">
        <v>8.1999999999999993</v>
      </c>
      <c r="P1499">
        <v>0.9</v>
      </c>
      <c r="Q1499">
        <v>1</v>
      </c>
      <c r="R1499">
        <v>3</v>
      </c>
      <c r="S1499">
        <v>2</v>
      </c>
      <c r="T1499" t="s">
        <v>30</v>
      </c>
      <c r="U1499">
        <v>4</v>
      </c>
      <c r="W1499" t="s">
        <v>1649</v>
      </c>
      <c r="X1499" t="s">
        <v>1656</v>
      </c>
      <c r="Y1499" t="s">
        <v>1662</v>
      </c>
      <c r="Z1499">
        <v>0</v>
      </c>
    </row>
    <row r="1500" spans="1:26" x14ac:dyDescent="0.35">
      <c r="A1500" t="s">
        <v>569</v>
      </c>
      <c r="B1500" s="6">
        <v>45079</v>
      </c>
      <c r="C1500" t="s">
        <v>23</v>
      </c>
      <c r="D1500">
        <v>26</v>
      </c>
      <c r="E1500" t="s">
        <v>62</v>
      </c>
      <c r="F1500" t="s">
        <v>25</v>
      </c>
      <c r="G1500" t="s">
        <v>54</v>
      </c>
      <c r="H1500" t="s">
        <v>38</v>
      </c>
      <c r="I1500" t="s">
        <v>52</v>
      </c>
      <c r="J1500" t="s">
        <v>1632</v>
      </c>
      <c r="K1500" t="s">
        <v>84</v>
      </c>
      <c r="L1500">
        <v>42000</v>
      </c>
      <c r="M1500">
        <v>12.5</v>
      </c>
      <c r="N1500">
        <v>5.0999999999999996</v>
      </c>
      <c r="O1500">
        <v>2.6</v>
      </c>
      <c r="P1500">
        <v>1.2</v>
      </c>
      <c r="Q1500">
        <v>3</v>
      </c>
      <c r="R1500">
        <v>3</v>
      </c>
      <c r="S1500">
        <v>4</v>
      </c>
      <c r="T1500" t="s">
        <v>30</v>
      </c>
      <c r="U1500">
        <v>3</v>
      </c>
      <c r="W1500" t="s">
        <v>1650</v>
      </c>
      <c r="X1500" t="s">
        <v>1656</v>
      </c>
      <c r="Y1500" t="s">
        <v>1665</v>
      </c>
      <c r="Z1500">
        <v>0</v>
      </c>
    </row>
    <row r="1501" spans="1:26" x14ac:dyDescent="0.35">
      <c r="A1501" t="s">
        <v>113</v>
      </c>
      <c r="B1501" s="6">
        <v>44408</v>
      </c>
      <c r="C1501" t="s">
        <v>23</v>
      </c>
      <c r="D1501">
        <v>41</v>
      </c>
      <c r="E1501" t="s">
        <v>36</v>
      </c>
      <c r="F1501" t="s">
        <v>25</v>
      </c>
      <c r="G1501" t="s">
        <v>32</v>
      </c>
      <c r="H1501" t="s">
        <v>68</v>
      </c>
      <c r="I1501" t="s">
        <v>69</v>
      </c>
      <c r="J1501" t="s">
        <v>1636</v>
      </c>
      <c r="K1501" t="s">
        <v>84</v>
      </c>
      <c r="L1501">
        <v>99000</v>
      </c>
      <c r="M1501">
        <v>10.9</v>
      </c>
      <c r="N1501">
        <v>6.6</v>
      </c>
      <c r="O1501">
        <v>4.4000000000000004</v>
      </c>
      <c r="P1501">
        <v>0</v>
      </c>
      <c r="Q1501">
        <v>2</v>
      </c>
      <c r="R1501">
        <v>3</v>
      </c>
      <c r="S1501">
        <v>3</v>
      </c>
      <c r="T1501" t="s">
        <v>23</v>
      </c>
      <c r="U1501">
        <v>4</v>
      </c>
      <c r="W1501" t="s">
        <v>1649</v>
      </c>
      <c r="X1501" t="s">
        <v>1657</v>
      </c>
      <c r="Y1501" t="s">
        <v>1661</v>
      </c>
      <c r="Z1501">
        <v>0</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507"/>
  <sheetViews>
    <sheetView workbookViewId="0">
      <selection activeCell="D8" sqref="D8"/>
    </sheetView>
  </sheetViews>
  <sheetFormatPr defaultRowHeight="14.5" x14ac:dyDescent="0.35"/>
  <cols>
    <col min="1" max="1" width="16.36328125" bestFit="1" customWidth="1"/>
    <col min="2" max="3" width="17.81640625" bestFit="1" customWidth="1"/>
    <col min="4" max="4" width="12.54296875" bestFit="1" customWidth="1"/>
    <col min="5" max="5" width="8.453125" bestFit="1" customWidth="1"/>
    <col min="6" max="6" width="10.1796875" bestFit="1" customWidth="1"/>
    <col min="7" max="7" width="17.81640625" bestFit="1" customWidth="1"/>
    <col min="8" max="8" width="13.7265625" bestFit="1" customWidth="1"/>
    <col min="9" max="9" width="16.81640625" bestFit="1" customWidth="1"/>
    <col min="10" max="10" width="28.26953125" bestFit="1" customWidth="1"/>
    <col min="11" max="11" width="13.36328125" bestFit="1" customWidth="1"/>
    <col min="12" max="12" width="12.453125" bestFit="1" customWidth="1"/>
    <col min="13" max="13" width="18.54296875" bestFit="1" customWidth="1"/>
    <col min="14" max="14" width="18.81640625" bestFit="1" customWidth="1"/>
    <col min="15" max="15" width="22.81640625" customWidth="1"/>
    <col min="16" max="16" width="19" customWidth="1"/>
    <col min="17" max="17" width="27" customWidth="1"/>
    <col min="18" max="18" width="16.36328125" customWidth="1"/>
    <col min="19" max="19" width="27.1796875" bestFit="1" customWidth="1"/>
    <col min="20" max="20" width="21.54296875" bestFit="1" customWidth="1"/>
    <col min="21" max="21" width="13.1796875" bestFit="1" customWidth="1"/>
    <col min="22" max="22" width="22.6328125" bestFit="1" customWidth="1"/>
    <col min="23" max="23" width="10.54296875" bestFit="1" customWidth="1"/>
  </cols>
  <sheetData>
    <row r="1" spans="1:24" x14ac:dyDescent="0.35">
      <c r="A1" s="1" t="s">
        <v>0</v>
      </c>
      <c r="B1" s="1" t="s">
        <v>1</v>
      </c>
      <c r="C1" s="1" t="s">
        <v>2</v>
      </c>
      <c r="D1" s="1" t="s">
        <v>3</v>
      </c>
      <c r="E1" s="1" t="s">
        <v>4</v>
      </c>
      <c r="F1" s="1" t="s">
        <v>5</v>
      </c>
      <c r="G1" s="1" t="s">
        <v>6</v>
      </c>
      <c r="H1" s="1" t="s">
        <v>7</v>
      </c>
      <c r="I1" t="s">
        <v>8</v>
      </c>
      <c r="J1" s="1" t="s">
        <v>9</v>
      </c>
      <c r="K1" s="1" t="s">
        <v>10</v>
      </c>
      <c r="L1" s="1" t="s">
        <v>11</v>
      </c>
      <c r="M1" s="1" t="s">
        <v>12</v>
      </c>
      <c r="N1" s="1" t="s">
        <v>13</v>
      </c>
      <c r="O1" s="1" t="s">
        <v>14</v>
      </c>
      <c r="P1" s="1" t="s">
        <v>15</v>
      </c>
      <c r="Q1" s="1" t="s">
        <v>16</v>
      </c>
      <c r="R1" s="1" t="s">
        <v>17</v>
      </c>
      <c r="S1" s="1" t="s">
        <v>18</v>
      </c>
      <c r="T1" s="1" t="s">
        <v>19</v>
      </c>
      <c r="U1" s="1" t="s">
        <v>20</v>
      </c>
      <c r="V1" s="1" t="s">
        <v>21</v>
      </c>
      <c r="W1" t="s">
        <v>1628</v>
      </c>
      <c r="X1" s="3" t="s">
        <v>1629</v>
      </c>
    </row>
    <row r="2" spans="1:24" x14ac:dyDescent="0.35">
      <c r="A2" t="s">
        <v>1008</v>
      </c>
      <c r="B2" s="2">
        <v>44738</v>
      </c>
      <c r="D2" t="s">
        <v>23</v>
      </c>
      <c r="E2">
        <v>36</v>
      </c>
      <c r="F2" t="s">
        <v>62</v>
      </c>
      <c r="G2" t="s">
        <v>25</v>
      </c>
      <c r="H2" t="s">
        <v>26</v>
      </c>
      <c r="I2" t="s">
        <v>45</v>
      </c>
      <c r="J2" t="s">
        <v>164</v>
      </c>
      <c r="K2">
        <v>1</v>
      </c>
      <c r="L2" t="s">
        <v>66</v>
      </c>
      <c r="M2">
        <v>30000</v>
      </c>
      <c r="N2">
        <v>11.6</v>
      </c>
      <c r="O2">
        <v>10.7</v>
      </c>
      <c r="P2">
        <v>3.5</v>
      </c>
      <c r="Q2">
        <v>0.3</v>
      </c>
      <c r="R2">
        <v>4</v>
      </c>
      <c r="S2">
        <v>3</v>
      </c>
      <c r="T2">
        <v>1</v>
      </c>
      <c r="U2" t="s">
        <v>30</v>
      </c>
      <c r="V2">
        <v>3</v>
      </c>
      <c r="W2">
        <f>COUNTIF($A$2:A2,A2)</f>
        <v>1</v>
      </c>
    </row>
    <row r="3" spans="1:24" x14ac:dyDescent="0.35">
      <c r="A3" t="s">
        <v>1020</v>
      </c>
      <c r="B3" s="2">
        <v>43610</v>
      </c>
      <c r="D3" t="s">
        <v>23</v>
      </c>
      <c r="E3">
        <v>31</v>
      </c>
      <c r="F3" t="s">
        <v>24</v>
      </c>
      <c r="G3" t="s">
        <v>42</v>
      </c>
      <c r="H3" t="s">
        <v>26</v>
      </c>
      <c r="I3" t="s">
        <v>55</v>
      </c>
      <c r="J3" t="s">
        <v>80</v>
      </c>
      <c r="K3">
        <v>2</v>
      </c>
      <c r="L3" t="s">
        <v>84</v>
      </c>
      <c r="M3">
        <v>59000</v>
      </c>
      <c r="N3">
        <v>15.3</v>
      </c>
      <c r="O3">
        <v>12.2</v>
      </c>
      <c r="P3">
        <v>6.6</v>
      </c>
      <c r="Q3">
        <v>2</v>
      </c>
      <c r="R3">
        <v>1</v>
      </c>
      <c r="S3">
        <v>2</v>
      </c>
      <c r="T3">
        <v>4</v>
      </c>
      <c r="U3" t="s">
        <v>23</v>
      </c>
      <c r="V3">
        <v>3</v>
      </c>
      <c r="W3">
        <f>COUNTIF($A$2:A3,A3)</f>
        <v>1</v>
      </c>
    </row>
    <row r="4" spans="1:24" x14ac:dyDescent="0.35">
      <c r="A4" t="s">
        <v>314</v>
      </c>
      <c r="B4" s="2">
        <v>43053</v>
      </c>
      <c r="D4" t="s">
        <v>23</v>
      </c>
      <c r="E4">
        <v>30</v>
      </c>
      <c r="F4" t="s">
        <v>62</v>
      </c>
      <c r="G4" t="s">
        <v>37</v>
      </c>
      <c r="H4" t="s">
        <v>26</v>
      </c>
      <c r="I4" t="s">
        <v>59</v>
      </c>
      <c r="J4" t="s">
        <v>150</v>
      </c>
      <c r="K4">
        <v>3</v>
      </c>
      <c r="L4" t="s">
        <v>50</v>
      </c>
      <c r="M4">
        <v>80000</v>
      </c>
      <c r="N4">
        <v>7.1</v>
      </c>
      <c r="O4">
        <v>11.2</v>
      </c>
      <c r="P4">
        <v>8.1</v>
      </c>
      <c r="Q4">
        <v>3.3</v>
      </c>
      <c r="R4">
        <v>3</v>
      </c>
      <c r="S4">
        <v>4</v>
      </c>
      <c r="T4">
        <v>3</v>
      </c>
      <c r="U4" t="s">
        <v>23</v>
      </c>
      <c r="V4">
        <v>4</v>
      </c>
      <c r="W4">
        <f>COUNTIF($A$2:A4,A4)</f>
        <v>1</v>
      </c>
    </row>
    <row r="5" spans="1:24" x14ac:dyDescent="0.35">
      <c r="A5" t="s">
        <v>533</v>
      </c>
      <c r="B5" s="2">
        <v>41703</v>
      </c>
      <c r="D5" t="s">
        <v>23</v>
      </c>
      <c r="E5">
        <v>35</v>
      </c>
      <c r="F5" t="s">
        <v>62</v>
      </c>
      <c r="G5" t="s">
        <v>25</v>
      </c>
      <c r="H5" t="s">
        <v>26</v>
      </c>
      <c r="I5" t="s">
        <v>45</v>
      </c>
      <c r="J5" t="s">
        <v>97</v>
      </c>
      <c r="K5">
        <v>3</v>
      </c>
      <c r="L5" t="s">
        <v>66</v>
      </c>
      <c r="M5">
        <v>55000</v>
      </c>
      <c r="N5">
        <v>2.1</v>
      </c>
      <c r="O5">
        <v>15.5</v>
      </c>
      <c r="P5">
        <v>11.8</v>
      </c>
      <c r="Q5">
        <v>5</v>
      </c>
      <c r="R5">
        <v>4</v>
      </c>
      <c r="S5">
        <v>2</v>
      </c>
      <c r="T5">
        <v>3</v>
      </c>
      <c r="U5" t="s">
        <v>23</v>
      </c>
      <c r="V5">
        <v>4</v>
      </c>
      <c r="W5">
        <f>COUNTIF($A$2:A5,A5)</f>
        <v>1</v>
      </c>
    </row>
    <row r="6" spans="1:24" x14ac:dyDescent="0.35">
      <c r="A6" t="s">
        <v>615</v>
      </c>
      <c r="B6" s="2">
        <v>44801</v>
      </c>
      <c r="D6" t="s">
        <v>23</v>
      </c>
      <c r="E6">
        <v>26</v>
      </c>
      <c r="F6" t="s">
        <v>24</v>
      </c>
      <c r="G6" t="s">
        <v>37</v>
      </c>
      <c r="H6" t="s">
        <v>26</v>
      </c>
      <c r="I6" t="s">
        <v>45</v>
      </c>
      <c r="J6" t="s">
        <v>97</v>
      </c>
      <c r="K6">
        <v>1</v>
      </c>
      <c r="L6" t="s">
        <v>84</v>
      </c>
      <c r="M6">
        <v>34000</v>
      </c>
      <c r="N6">
        <v>5.4</v>
      </c>
      <c r="O6">
        <v>10.7</v>
      </c>
      <c r="P6">
        <v>3.3</v>
      </c>
      <c r="Q6">
        <v>2.2999999999999998</v>
      </c>
      <c r="R6">
        <v>3</v>
      </c>
      <c r="S6">
        <v>2</v>
      </c>
      <c r="T6">
        <v>3</v>
      </c>
      <c r="U6" t="s">
        <v>30</v>
      </c>
      <c r="V6">
        <v>4</v>
      </c>
      <c r="W6">
        <f>COUNTIF($A$2:A6,A6)</f>
        <v>1</v>
      </c>
    </row>
    <row r="7" spans="1:24" x14ac:dyDescent="0.35">
      <c r="A7" t="s">
        <v>594</v>
      </c>
      <c r="B7" s="2">
        <v>42011</v>
      </c>
      <c r="D7" t="s">
        <v>23</v>
      </c>
      <c r="E7">
        <v>43</v>
      </c>
      <c r="F7" t="s">
        <v>62</v>
      </c>
      <c r="G7" t="s">
        <v>25</v>
      </c>
      <c r="H7" t="s">
        <v>58</v>
      </c>
      <c r="I7" t="s">
        <v>48</v>
      </c>
      <c r="J7" t="s">
        <v>129</v>
      </c>
      <c r="K7">
        <v>1</v>
      </c>
      <c r="L7" t="s">
        <v>29</v>
      </c>
      <c r="M7">
        <v>33000</v>
      </c>
      <c r="N7">
        <v>9.3000000000000007</v>
      </c>
      <c r="O7">
        <v>15</v>
      </c>
      <c r="P7">
        <v>11</v>
      </c>
      <c r="Q7">
        <v>5.3</v>
      </c>
      <c r="R7">
        <v>3</v>
      </c>
      <c r="S7">
        <v>3</v>
      </c>
      <c r="T7">
        <v>2</v>
      </c>
      <c r="U7" t="s">
        <v>23</v>
      </c>
      <c r="V7">
        <v>2</v>
      </c>
      <c r="W7">
        <f>COUNTIF($A$2:A7,A7)</f>
        <v>1</v>
      </c>
    </row>
    <row r="8" spans="1:24" x14ac:dyDescent="0.35">
      <c r="A8" t="s">
        <v>261</v>
      </c>
      <c r="B8" s="2">
        <v>44644</v>
      </c>
      <c r="D8" t="s">
        <v>23</v>
      </c>
      <c r="E8">
        <v>29</v>
      </c>
      <c r="F8" t="s">
        <v>36</v>
      </c>
      <c r="G8" t="s">
        <v>25</v>
      </c>
      <c r="H8" t="s">
        <v>26</v>
      </c>
      <c r="I8" t="s">
        <v>27</v>
      </c>
      <c r="J8" t="s">
        <v>33</v>
      </c>
      <c r="K8">
        <v>4</v>
      </c>
      <c r="L8" t="s">
        <v>34</v>
      </c>
      <c r="M8">
        <v>107000</v>
      </c>
      <c r="N8">
        <v>4.4000000000000004</v>
      </c>
      <c r="O8">
        <v>4.5</v>
      </c>
      <c r="P8">
        <v>3.8</v>
      </c>
      <c r="Q8">
        <v>0.2</v>
      </c>
      <c r="R8">
        <v>4</v>
      </c>
      <c r="S8">
        <v>2</v>
      </c>
      <c r="T8">
        <v>3</v>
      </c>
      <c r="U8" t="s">
        <v>30</v>
      </c>
      <c r="V8">
        <v>4</v>
      </c>
      <c r="W8">
        <f>COUNTIF($A$2:A8,A8)</f>
        <v>1</v>
      </c>
    </row>
    <row r="9" spans="1:24" x14ac:dyDescent="0.35">
      <c r="A9" t="s">
        <v>650</v>
      </c>
      <c r="B9" s="2">
        <v>42827</v>
      </c>
      <c r="D9" t="s">
        <v>23</v>
      </c>
      <c r="E9">
        <v>29</v>
      </c>
      <c r="F9" t="s">
        <v>36</v>
      </c>
      <c r="G9" t="s">
        <v>37</v>
      </c>
      <c r="H9" t="s">
        <v>54</v>
      </c>
      <c r="I9" t="s">
        <v>48</v>
      </c>
      <c r="J9" t="s">
        <v>201</v>
      </c>
      <c r="K9">
        <v>3</v>
      </c>
      <c r="L9" t="s">
        <v>50</v>
      </c>
      <c r="M9">
        <v>77000</v>
      </c>
      <c r="N9">
        <v>6.6</v>
      </c>
      <c r="O9">
        <v>14.2</v>
      </c>
      <c r="P9">
        <v>8.6999999999999993</v>
      </c>
      <c r="Q9">
        <v>3.2</v>
      </c>
      <c r="R9">
        <v>1</v>
      </c>
      <c r="S9">
        <v>3</v>
      </c>
      <c r="T9">
        <v>3</v>
      </c>
      <c r="U9" t="s">
        <v>23</v>
      </c>
      <c r="V9">
        <v>2</v>
      </c>
      <c r="W9">
        <f>COUNTIF($A$2:A9,A9)</f>
        <v>1</v>
      </c>
    </row>
    <row r="10" spans="1:24" x14ac:dyDescent="0.35">
      <c r="A10" t="s">
        <v>1247</v>
      </c>
      <c r="B10" s="2">
        <v>42657</v>
      </c>
      <c r="D10" t="s">
        <v>23</v>
      </c>
      <c r="E10">
        <v>33</v>
      </c>
      <c r="F10" t="s">
        <v>62</v>
      </c>
      <c r="G10" t="s">
        <v>37</v>
      </c>
      <c r="H10" t="s">
        <v>58</v>
      </c>
      <c r="I10" t="s">
        <v>45</v>
      </c>
      <c r="J10" t="s">
        <v>77</v>
      </c>
      <c r="K10">
        <v>5</v>
      </c>
      <c r="L10" t="s">
        <v>34</v>
      </c>
      <c r="M10">
        <v>134000</v>
      </c>
      <c r="N10">
        <v>12.3</v>
      </c>
      <c r="O10">
        <v>15.9</v>
      </c>
      <c r="P10">
        <v>9.1999999999999993</v>
      </c>
      <c r="Q10">
        <v>3</v>
      </c>
      <c r="R10">
        <v>2</v>
      </c>
      <c r="S10">
        <v>2</v>
      </c>
      <c r="T10">
        <v>3</v>
      </c>
      <c r="U10" t="s">
        <v>23</v>
      </c>
      <c r="V10">
        <v>2</v>
      </c>
      <c r="W10">
        <f>COUNTIF($A$2:A10,A10)</f>
        <v>1</v>
      </c>
    </row>
    <row r="11" spans="1:24" x14ac:dyDescent="0.35">
      <c r="A11" t="s">
        <v>971</v>
      </c>
      <c r="B11" s="2">
        <v>42158</v>
      </c>
      <c r="C11" s="2">
        <v>45948</v>
      </c>
      <c r="D11" t="s">
        <v>30</v>
      </c>
      <c r="E11">
        <v>34</v>
      </c>
      <c r="F11" t="s">
        <v>24</v>
      </c>
      <c r="G11" t="s">
        <v>37</v>
      </c>
      <c r="H11" t="s">
        <v>54</v>
      </c>
      <c r="I11" t="s">
        <v>38</v>
      </c>
      <c r="J11" t="s">
        <v>118</v>
      </c>
      <c r="K11">
        <v>4</v>
      </c>
      <c r="L11" t="s">
        <v>66</v>
      </c>
      <c r="M11">
        <v>107000</v>
      </c>
      <c r="N11">
        <v>3.7</v>
      </c>
      <c r="O11">
        <v>18</v>
      </c>
      <c r="P11">
        <v>10.4</v>
      </c>
      <c r="Q11">
        <v>0.5</v>
      </c>
      <c r="R11">
        <v>3</v>
      </c>
      <c r="S11">
        <v>3</v>
      </c>
      <c r="T11">
        <v>2</v>
      </c>
      <c r="U11" t="s">
        <v>23</v>
      </c>
      <c r="V11">
        <v>4</v>
      </c>
      <c r="W11">
        <f>COUNTIF($A$2:A11,A11)</f>
        <v>1</v>
      </c>
    </row>
    <row r="12" spans="1:24" x14ac:dyDescent="0.35">
      <c r="A12" t="s">
        <v>972</v>
      </c>
      <c r="B12" s="2">
        <v>43321</v>
      </c>
      <c r="D12" t="s">
        <v>23</v>
      </c>
      <c r="E12">
        <v>38</v>
      </c>
      <c r="F12" t="s">
        <v>62</v>
      </c>
      <c r="G12" t="s">
        <v>42</v>
      </c>
      <c r="H12" t="s">
        <v>26</v>
      </c>
      <c r="I12" t="s">
        <v>55</v>
      </c>
      <c r="J12" t="s">
        <v>88</v>
      </c>
      <c r="K12">
        <v>3</v>
      </c>
      <c r="L12" t="s">
        <v>40</v>
      </c>
      <c r="M12">
        <v>91000</v>
      </c>
      <c r="N12">
        <v>8.5</v>
      </c>
      <c r="O12">
        <v>12.9</v>
      </c>
      <c r="P12">
        <v>7.4</v>
      </c>
      <c r="Q12">
        <v>4.3</v>
      </c>
      <c r="R12">
        <v>4</v>
      </c>
      <c r="S12">
        <v>3</v>
      </c>
      <c r="T12">
        <v>3</v>
      </c>
      <c r="U12" t="s">
        <v>23</v>
      </c>
      <c r="V12">
        <v>3</v>
      </c>
      <c r="W12">
        <f>COUNTIF($A$2:A12,A12)</f>
        <v>1</v>
      </c>
    </row>
    <row r="13" spans="1:24" x14ac:dyDescent="0.35">
      <c r="A13" t="s">
        <v>1542</v>
      </c>
      <c r="B13" s="2">
        <v>45580</v>
      </c>
      <c r="C13" s="2">
        <v>45694</v>
      </c>
      <c r="D13" t="s">
        <v>30</v>
      </c>
      <c r="E13">
        <v>23</v>
      </c>
      <c r="F13" t="s">
        <v>62</v>
      </c>
      <c r="G13" t="s">
        <v>37</v>
      </c>
      <c r="H13" t="s">
        <v>58</v>
      </c>
      <c r="I13" t="s">
        <v>55</v>
      </c>
      <c r="J13" t="s">
        <v>56</v>
      </c>
      <c r="K13">
        <v>1</v>
      </c>
      <c r="L13" t="s">
        <v>29</v>
      </c>
      <c r="M13">
        <v>33000</v>
      </c>
      <c r="N13">
        <v>7.2</v>
      </c>
      <c r="O13">
        <v>6</v>
      </c>
      <c r="P13">
        <v>0.3</v>
      </c>
      <c r="Q13">
        <v>0</v>
      </c>
      <c r="R13">
        <v>2</v>
      </c>
      <c r="S13">
        <v>1</v>
      </c>
      <c r="T13">
        <v>1</v>
      </c>
      <c r="U13" t="s">
        <v>23</v>
      </c>
      <c r="V13">
        <v>3</v>
      </c>
      <c r="W13">
        <f>COUNTIF($A$2:A13,A13)</f>
        <v>1</v>
      </c>
    </row>
    <row r="14" spans="1:24" x14ac:dyDescent="0.35">
      <c r="A14" t="s">
        <v>272</v>
      </c>
      <c r="B14" s="2">
        <v>42822</v>
      </c>
      <c r="D14" t="s">
        <v>23</v>
      </c>
      <c r="E14">
        <v>35</v>
      </c>
      <c r="F14" t="s">
        <v>36</v>
      </c>
      <c r="G14" t="s">
        <v>42</v>
      </c>
      <c r="H14" t="s">
        <v>26</v>
      </c>
      <c r="I14" t="s">
        <v>48</v>
      </c>
      <c r="J14" t="s">
        <v>49</v>
      </c>
      <c r="K14">
        <v>3</v>
      </c>
      <c r="L14" t="s">
        <v>29</v>
      </c>
      <c r="M14">
        <v>64000</v>
      </c>
      <c r="N14">
        <v>10.3</v>
      </c>
      <c r="O14">
        <v>12.5</v>
      </c>
      <c r="P14">
        <v>8.8000000000000007</v>
      </c>
      <c r="Q14">
        <v>2.4</v>
      </c>
      <c r="R14">
        <v>3</v>
      </c>
      <c r="S14">
        <v>2</v>
      </c>
      <c r="T14">
        <v>3</v>
      </c>
      <c r="U14" t="s">
        <v>23</v>
      </c>
      <c r="V14">
        <v>3</v>
      </c>
      <c r="W14">
        <f>COUNTIF($A$2:A14,A14)</f>
        <v>1</v>
      </c>
    </row>
    <row r="15" spans="1:24" x14ac:dyDescent="0.35">
      <c r="A15" t="s">
        <v>1478</v>
      </c>
      <c r="B15" s="2">
        <v>43865</v>
      </c>
      <c r="D15" t="s">
        <v>23</v>
      </c>
      <c r="E15">
        <v>28</v>
      </c>
      <c r="F15" t="s">
        <v>24</v>
      </c>
      <c r="G15" t="s">
        <v>42</v>
      </c>
      <c r="H15" t="s">
        <v>26</v>
      </c>
      <c r="I15" t="s">
        <v>45</v>
      </c>
      <c r="J15" t="s">
        <v>164</v>
      </c>
      <c r="K15">
        <v>1</v>
      </c>
      <c r="L15" t="s">
        <v>50</v>
      </c>
      <c r="M15">
        <v>37000</v>
      </c>
      <c r="N15">
        <v>13.1</v>
      </c>
      <c r="O15">
        <v>10.199999999999999</v>
      </c>
      <c r="P15">
        <v>5.9</v>
      </c>
      <c r="Q15">
        <v>0.8</v>
      </c>
      <c r="R15">
        <v>2</v>
      </c>
      <c r="S15">
        <v>2</v>
      </c>
      <c r="T15">
        <v>3</v>
      </c>
      <c r="U15" t="s">
        <v>23</v>
      </c>
      <c r="V15">
        <v>5</v>
      </c>
      <c r="W15">
        <f>COUNTIF($A$2:A15,A15)</f>
        <v>1</v>
      </c>
    </row>
    <row r="16" spans="1:24" x14ac:dyDescent="0.35">
      <c r="A16" t="s">
        <v>211</v>
      </c>
      <c r="B16" s="2">
        <v>43542</v>
      </c>
      <c r="D16" t="s">
        <v>23</v>
      </c>
      <c r="E16">
        <v>27</v>
      </c>
      <c r="F16" t="s">
        <v>36</v>
      </c>
      <c r="G16" t="s">
        <v>42</v>
      </c>
      <c r="H16" t="s">
        <v>54</v>
      </c>
      <c r="I16" t="s">
        <v>45</v>
      </c>
      <c r="J16" t="s">
        <v>164</v>
      </c>
      <c r="K16">
        <v>1</v>
      </c>
      <c r="L16" t="s">
        <v>84</v>
      </c>
      <c r="M16">
        <v>29000</v>
      </c>
      <c r="N16">
        <v>10.3</v>
      </c>
      <c r="O16">
        <v>10.7</v>
      </c>
      <c r="P16">
        <v>6.8</v>
      </c>
      <c r="Q16">
        <v>1.3</v>
      </c>
      <c r="R16">
        <v>4</v>
      </c>
      <c r="S16">
        <v>3</v>
      </c>
      <c r="T16">
        <v>1</v>
      </c>
      <c r="U16" t="s">
        <v>23</v>
      </c>
      <c r="V16">
        <v>3</v>
      </c>
      <c r="W16">
        <f>COUNTIF($A$2:A16,A16)</f>
        <v>1</v>
      </c>
    </row>
    <row r="17" spans="1:23" x14ac:dyDescent="0.35">
      <c r="A17" t="s">
        <v>389</v>
      </c>
      <c r="B17" s="2">
        <v>44862</v>
      </c>
      <c r="D17" t="s">
        <v>23</v>
      </c>
      <c r="E17">
        <v>30</v>
      </c>
      <c r="F17" t="s">
        <v>24</v>
      </c>
      <c r="G17" t="s">
        <v>37</v>
      </c>
      <c r="H17" t="s">
        <v>26</v>
      </c>
      <c r="I17" t="s">
        <v>48</v>
      </c>
      <c r="J17" t="s">
        <v>201</v>
      </c>
      <c r="K17">
        <v>2</v>
      </c>
      <c r="L17" t="s">
        <v>40</v>
      </c>
      <c r="M17">
        <v>53000</v>
      </c>
      <c r="N17">
        <v>4.5999999999999996</v>
      </c>
      <c r="O17">
        <v>9.1999999999999993</v>
      </c>
      <c r="P17">
        <v>3.2</v>
      </c>
      <c r="Q17">
        <v>0.2</v>
      </c>
      <c r="R17">
        <v>3</v>
      </c>
      <c r="S17">
        <v>3</v>
      </c>
      <c r="T17">
        <v>3</v>
      </c>
      <c r="U17" t="s">
        <v>23</v>
      </c>
      <c r="V17">
        <v>4</v>
      </c>
      <c r="W17">
        <f>COUNTIF($A$2:A17,A17)</f>
        <v>1</v>
      </c>
    </row>
    <row r="18" spans="1:23" x14ac:dyDescent="0.35">
      <c r="A18" t="s">
        <v>559</v>
      </c>
      <c r="B18" s="2">
        <v>44908</v>
      </c>
      <c r="D18" t="s">
        <v>23</v>
      </c>
      <c r="E18">
        <v>39</v>
      </c>
      <c r="F18" t="s">
        <v>36</v>
      </c>
      <c r="G18" t="s">
        <v>37</v>
      </c>
      <c r="H18" t="s">
        <v>58</v>
      </c>
      <c r="I18" t="s">
        <v>38</v>
      </c>
      <c r="J18" t="s">
        <v>118</v>
      </c>
      <c r="K18">
        <v>3</v>
      </c>
      <c r="L18" t="s">
        <v>40</v>
      </c>
      <c r="M18">
        <v>99000</v>
      </c>
      <c r="N18">
        <v>8.6999999999999993</v>
      </c>
      <c r="O18">
        <v>7.8</v>
      </c>
      <c r="P18">
        <v>3</v>
      </c>
      <c r="Q18">
        <v>1.9</v>
      </c>
      <c r="R18">
        <v>4</v>
      </c>
      <c r="S18">
        <v>3</v>
      </c>
      <c r="T18">
        <v>3</v>
      </c>
      <c r="U18" t="s">
        <v>30</v>
      </c>
      <c r="V18">
        <v>4</v>
      </c>
      <c r="W18">
        <f>COUNTIF($A$2:A18,A18)</f>
        <v>1</v>
      </c>
    </row>
    <row r="19" spans="1:23" x14ac:dyDescent="0.35">
      <c r="A19" t="s">
        <v>409</v>
      </c>
      <c r="B19" s="2">
        <v>43154</v>
      </c>
      <c r="D19" t="s">
        <v>23</v>
      </c>
      <c r="E19">
        <v>36</v>
      </c>
      <c r="F19" t="s">
        <v>62</v>
      </c>
      <c r="G19" t="s">
        <v>42</v>
      </c>
      <c r="H19" t="s">
        <v>32</v>
      </c>
      <c r="I19" t="s">
        <v>68</v>
      </c>
      <c r="J19" t="s">
        <v>121</v>
      </c>
      <c r="K19">
        <v>2</v>
      </c>
      <c r="L19" t="s">
        <v>84</v>
      </c>
      <c r="M19">
        <v>47000</v>
      </c>
      <c r="N19">
        <v>10.4</v>
      </c>
      <c r="O19">
        <v>7.9</v>
      </c>
      <c r="P19">
        <v>7.9</v>
      </c>
      <c r="Q19">
        <v>3.7</v>
      </c>
      <c r="R19">
        <v>4</v>
      </c>
      <c r="S19">
        <v>3</v>
      </c>
      <c r="T19">
        <v>2</v>
      </c>
      <c r="U19" t="s">
        <v>23</v>
      </c>
      <c r="V19">
        <v>4</v>
      </c>
      <c r="W19">
        <f>COUNTIF($A$2:A19,A19)</f>
        <v>1</v>
      </c>
    </row>
    <row r="20" spans="1:23" x14ac:dyDescent="0.35">
      <c r="A20" t="s">
        <v>581</v>
      </c>
      <c r="B20" s="2">
        <v>45239</v>
      </c>
      <c r="D20" t="s">
        <v>23</v>
      </c>
      <c r="E20">
        <v>33</v>
      </c>
      <c r="F20" t="s">
        <v>62</v>
      </c>
      <c r="G20" t="s">
        <v>37</v>
      </c>
      <c r="H20" t="s">
        <v>32</v>
      </c>
      <c r="I20" t="s">
        <v>38</v>
      </c>
      <c r="J20" t="s">
        <v>139</v>
      </c>
      <c r="K20">
        <v>2</v>
      </c>
      <c r="L20" t="s">
        <v>84</v>
      </c>
      <c r="M20">
        <v>73000</v>
      </c>
      <c r="N20">
        <v>0</v>
      </c>
      <c r="O20">
        <v>10</v>
      </c>
      <c r="P20">
        <v>2.1</v>
      </c>
      <c r="Q20">
        <v>1.4</v>
      </c>
      <c r="R20">
        <v>3</v>
      </c>
      <c r="S20">
        <v>1</v>
      </c>
      <c r="T20">
        <v>4</v>
      </c>
      <c r="U20" t="s">
        <v>23</v>
      </c>
      <c r="V20">
        <v>3</v>
      </c>
      <c r="W20">
        <f>COUNTIF($A$2:A20,A20)</f>
        <v>1</v>
      </c>
    </row>
    <row r="21" spans="1:23" x14ac:dyDescent="0.35">
      <c r="A21" t="s">
        <v>1300</v>
      </c>
      <c r="B21" s="2">
        <v>45249</v>
      </c>
      <c r="D21" t="s">
        <v>23</v>
      </c>
      <c r="E21">
        <v>34</v>
      </c>
      <c r="F21" t="s">
        <v>24</v>
      </c>
      <c r="G21" t="s">
        <v>37</v>
      </c>
      <c r="H21" t="s">
        <v>54</v>
      </c>
      <c r="I21" t="s">
        <v>38</v>
      </c>
      <c r="J21" t="s">
        <v>118</v>
      </c>
      <c r="K21">
        <v>3</v>
      </c>
      <c r="L21" t="s">
        <v>84</v>
      </c>
      <c r="M21">
        <v>84000</v>
      </c>
      <c r="N21">
        <v>9.4</v>
      </c>
      <c r="O21">
        <v>7.6</v>
      </c>
      <c r="P21">
        <v>2.1</v>
      </c>
      <c r="Q21">
        <v>1.8</v>
      </c>
      <c r="R21">
        <v>2</v>
      </c>
      <c r="S21">
        <v>3</v>
      </c>
      <c r="T21">
        <v>2</v>
      </c>
      <c r="U21" t="s">
        <v>23</v>
      </c>
      <c r="V21">
        <v>5</v>
      </c>
      <c r="W21">
        <f>COUNTIF($A$2:A21,A21)</f>
        <v>1</v>
      </c>
    </row>
    <row r="22" spans="1:23" x14ac:dyDescent="0.35">
      <c r="A22" t="s">
        <v>492</v>
      </c>
      <c r="B22" s="2">
        <v>45402</v>
      </c>
      <c r="D22" t="s">
        <v>23</v>
      </c>
      <c r="E22">
        <v>31</v>
      </c>
      <c r="F22" t="s">
        <v>24</v>
      </c>
      <c r="G22" t="s">
        <v>25</v>
      </c>
      <c r="H22" t="s">
        <v>26</v>
      </c>
      <c r="I22" t="s">
        <v>38</v>
      </c>
      <c r="J22" t="s">
        <v>118</v>
      </c>
      <c r="K22">
        <v>2</v>
      </c>
      <c r="L22" t="s">
        <v>84</v>
      </c>
      <c r="M22">
        <v>63000</v>
      </c>
      <c r="N22">
        <v>14.9</v>
      </c>
      <c r="O22">
        <v>7.3</v>
      </c>
      <c r="P22">
        <v>1.7</v>
      </c>
      <c r="Q22">
        <v>1</v>
      </c>
      <c r="R22">
        <v>2</v>
      </c>
      <c r="S22">
        <v>2</v>
      </c>
      <c r="T22">
        <v>4</v>
      </c>
      <c r="U22" t="s">
        <v>23</v>
      </c>
      <c r="V22">
        <v>4</v>
      </c>
      <c r="W22">
        <f>COUNTIF($A$2:A22,A22)</f>
        <v>1</v>
      </c>
    </row>
    <row r="23" spans="1:23" x14ac:dyDescent="0.35">
      <c r="A23" t="s">
        <v>1438</v>
      </c>
      <c r="B23" s="2">
        <v>44861</v>
      </c>
      <c r="D23" t="s">
        <v>23</v>
      </c>
      <c r="E23">
        <v>27</v>
      </c>
      <c r="F23" t="s">
        <v>36</v>
      </c>
      <c r="G23" t="s">
        <v>25</v>
      </c>
      <c r="H23" t="s">
        <v>54</v>
      </c>
      <c r="I23" t="s">
        <v>27</v>
      </c>
      <c r="J23" t="s">
        <v>95</v>
      </c>
      <c r="K23">
        <v>1</v>
      </c>
      <c r="L23" t="s">
        <v>66</v>
      </c>
      <c r="M23">
        <v>28000</v>
      </c>
      <c r="N23">
        <v>12.7</v>
      </c>
      <c r="O23">
        <v>11</v>
      </c>
      <c r="P23">
        <v>3.2</v>
      </c>
      <c r="Q23">
        <v>0.1</v>
      </c>
      <c r="R23">
        <v>3</v>
      </c>
      <c r="S23">
        <v>3</v>
      </c>
      <c r="T23">
        <v>3</v>
      </c>
      <c r="U23" t="s">
        <v>30</v>
      </c>
      <c r="V23">
        <v>4</v>
      </c>
      <c r="W23">
        <f>COUNTIF($A$2:A23,A23)</f>
        <v>1</v>
      </c>
    </row>
    <row r="24" spans="1:23" x14ac:dyDescent="0.35">
      <c r="A24" t="s">
        <v>493</v>
      </c>
      <c r="B24" s="2">
        <v>45161</v>
      </c>
      <c r="D24" t="s">
        <v>23</v>
      </c>
      <c r="E24">
        <v>29</v>
      </c>
      <c r="F24" t="s">
        <v>62</v>
      </c>
      <c r="G24" t="s">
        <v>25</v>
      </c>
      <c r="H24" t="s">
        <v>32</v>
      </c>
      <c r="I24" t="s">
        <v>45</v>
      </c>
      <c r="J24" t="s">
        <v>97</v>
      </c>
      <c r="K24">
        <v>4</v>
      </c>
      <c r="L24" t="s">
        <v>84</v>
      </c>
      <c r="M24">
        <v>108000</v>
      </c>
      <c r="N24">
        <v>9.4</v>
      </c>
      <c r="O24">
        <v>5.7</v>
      </c>
      <c r="P24">
        <v>2.4</v>
      </c>
      <c r="Q24">
        <v>0.4</v>
      </c>
      <c r="R24">
        <v>4</v>
      </c>
      <c r="S24">
        <v>4</v>
      </c>
      <c r="T24">
        <v>4</v>
      </c>
      <c r="U24" t="s">
        <v>30</v>
      </c>
      <c r="V24">
        <v>3</v>
      </c>
      <c r="W24">
        <f>COUNTIF($A$2:A24,A24)</f>
        <v>1</v>
      </c>
    </row>
    <row r="25" spans="1:23" x14ac:dyDescent="0.35">
      <c r="A25" t="s">
        <v>448</v>
      </c>
      <c r="B25" s="2">
        <v>45804</v>
      </c>
      <c r="D25" t="s">
        <v>23</v>
      </c>
      <c r="E25">
        <v>28</v>
      </c>
      <c r="F25" t="s">
        <v>36</v>
      </c>
      <c r="G25" t="s">
        <v>42</v>
      </c>
      <c r="H25" t="s">
        <v>58</v>
      </c>
      <c r="I25" t="s">
        <v>55</v>
      </c>
      <c r="J25" t="s">
        <v>56</v>
      </c>
      <c r="K25">
        <v>2</v>
      </c>
      <c r="L25" t="s">
        <v>50</v>
      </c>
      <c r="M25">
        <v>59000</v>
      </c>
      <c r="N25">
        <v>7.4</v>
      </c>
      <c r="O25">
        <v>3.4</v>
      </c>
      <c r="P25">
        <v>0.6</v>
      </c>
      <c r="Q25">
        <v>0</v>
      </c>
      <c r="R25">
        <v>2</v>
      </c>
      <c r="S25">
        <v>4</v>
      </c>
      <c r="T25">
        <v>2</v>
      </c>
      <c r="U25" t="s">
        <v>23</v>
      </c>
      <c r="V25">
        <v>4</v>
      </c>
      <c r="W25">
        <f>COUNTIF($A$2:A25,A25)</f>
        <v>1</v>
      </c>
    </row>
    <row r="26" spans="1:23" x14ac:dyDescent="0.35">
      <c r="A26" t="s">
        <v>1257</v>
      </c>
      <c r="B26" s="2">
        <v>43736</v>
      </c>
      <c r="D26" t="s">
        <v>23</v>
      </c>
      <c r="E26">
        <v>35</v>
      </c>
      <c r="F26" t="s">
        <v>24</v>
      </c>
      <c r="G26" t="s">
        <v>37</v>
      </c>
      <c r="H26" t="s">
        <v>54</v>
      </c>
      <c r="I26" t="s">
        <v>59</v>
      </c>
      <c r="J26" t="s">
        <v>150</v>
      </c>
      <c r="K26">
        <v>2</v>
      </c>
      <c r="L26" t="s">
        <v>84</v>
      </c>
      <c r="M26">
        <v>54000</v>
      </c>
      <c r="N26">
        <v>9</v>
      </c>
      <c r="O26">
        <v>6.5</v>
      </c>
      <c r="P26">
        <v>6.3</v>
      </c>
      <c r="Q26">
        <v>5.3</v>
      </c>
      <c r="R26">
        <v>4</v>
      </c>
      <c r="S26">
        <v>3</v>
      </c>
      <c r="T26">
        <v>3</v>
      </c>
      <c r="U26" t="s">
        <v>23</v>
      </c>
      <c r="V26">
        <v>5</v>
      </c>
      <c r="W26">
        <f>COUNTIF($A$2:A26,A26)</f>
        <v>1</v>
      </c>
    </row>
    <row r="27" spans="1:23" x14ac:dyDescent="0.35">
      <c r="A27" t="s">
        <v>403</v>
      </c>
      <c r="B27" s="2">
        <v>45483</v>
      </c>
      <c r="D27" t="s">
        <v>23</v>
      </c>
      <c r="E27">
        <v>23</v>
      </c>
      <c r="F27" t="s">
        <v>62</v>
      </c>
      <c r="G27" t="s">
        <v>25</v>
      </c>
      <c r="H27" t="s">
        <v>32</v>
      </c>
      <c r="I27" t="s">
        <v>45</v>
      </c>
      <c r="J27" t="s">
        <v>77</v>
      </c>
      <c r="K27">
        <v>1</v>
      </c>
      <c r="L27" t="s">
        <v>84</v>
      </c>
      <c r="M27">
        <v>28000</v>
      </c>
      <c r="N27">
        <v>7.6</v>
      </c>
      <c r="O27">
        <v>3</v>
      </c>
      <c r="P27">
        <v>1.5</v>
      </c>
      <c r="Q27">
        <v>0.1</v>
      </c>
      <c r="R27">
        <v>2</v>
      </c>
      <c r="S27">
        <v>3</v>
      </c>
      <c r="T27">
        <v>3</v>
      </c>
      <c r="U27" t="s">
        <v>23</v>
      </c>
      <c r="V27">
        <v>4</v>
      </c>
      <c r="W27">
        <f>COUNTIF($A$2:A27,A27)</f>
        <v>1</v>
      </c>
    </row>
    <row r="28" spans="1:23" x14ac:dyDescent="0.35">
      <c r="A28" t="s">
        <v>765</v>
      </c>
      <c r="B28" s="2">
        <v>41978</v>
      </c>
      <c r="D28" t="s">
        <v>23</v>
      </c>
      <c r="E28">
        <v>32</v>
      </c>
      <c r="F28" t="s">
        <v>62</v>
      </c>
      <c r="G28" t="s">
        <v>37</v>
      </c>
      <c r="H28" t="s">
        <v>32</v>
      </c>
      <c r="I28" t="s">
        <v>48</v>
      </c>
      <c r="J28" t="s">
        <v>63</v>
      </c>
      <c r="K28">
        <v>4</v>
      </c>
      <c r="L28" t="s">
        <v>34</v>
      </c>
      <c r="M28">
        <v>119000</v>
      </c>
      <c r="N28">
        <v>16.5</v>
      </c>
      <c r="O28">
        <v>18.3</v>
      </c>
      <c r="P28">
        <v>11.1</v>
      </c>
      <c r="Q28">
        <v>3</v>
      </c>
      <c r="R28">
        <v>3</v>
      </c>
      <c r="S28">
        <v>3</v>
      </c>
      <c r="T28">
        <v>3</v>
      </c>
      <c r="U28" t="s">
        <v>23</v>
      </c>
      <c r="V28">
        <v>4</v>
      </c>
      <c r="W28">
        <f>COUNTIF($A$2:A28,A28)</f>
        <v>1</v>
      </c>
    </row>
    <row r="29" spans="1:23" x14ac:dyDescent="0.35">
      <c r="A29" t="s">
        <v>660</v>
      </c>
      <c r="B29" s="2">
        <v>42055</v>
      </c>
      <c r="D29" t="s">
        <v>23</v>
      </c>
      <c r="E29">
        <v>35</v>
      </c>
      <c r="F29" t="s">
        <v>36</v>
      </c>
      <c r="G29" t="s">
        <v>42</v>
      </c>
      <c r="H29" t="s">
        <v>54</v>
      </c>
      <c r="I29" t="s">
        <v>45</v>
      </c>
      <c r="J29" t="s">
        <v>46</v>
      </c>
      <c r="K29">
        <v>3</v>
      </c>
      <c r="L29" t="s">
        <v>29</v>
      </c>
      <c r="M29">
        <v>71000</v>
      </c>
      <c r="N29">
        <v>1.3</v>
      </c>
      <c r="O29">
        <v>10.9</v>
      </c>
      <c r="P29">
        <v>10.9</v>
      </c>
      <c r="Q29">
        <v>1.7</v>
      </c>
      <c r="R29">
        <v>3</v>
      </c>
      <c r="S29">
        <v>3</v>
      </c>
      <c r="T29">
        <v>3</v>
      </c>
      <c r="U29" t="s">
        <v>23</v>
      </c>
      <c r="V29">
        <v>4</v>
      </c>
      <c r="W29">
        <f>COUNTIF($A$2:A29,A29)</f>
        <v>1</v>
      </c>
    </row>
    <row r="30" spans="1:23" x14ac:dyDescent="0.35">
      <c r="A30" t="s">
        <v>245</v>
      </c>
      <c r="B30" s="2">
        <v>41811</v>
      </c>
      <c r="D30" t="s">
        <v>23</v>
      </c>
      <c r="E30">
        <v>33</v>
      </c>
      <c r="F30" t="s">
        <v>36</v>
      </c>
      <c r="G30" t="s">
        <v>37</v>
      </c>
      <c r="H30" t="s">
        <v>32</v>
      </c>
      <c r="I30" t="s">
        <v>55</v>
      </c>
      <c r="J30" t="s">
        <v>80</v>
      </c>
      <c r="K30">
        <v>3</v>
      </c>
      <c r="L30" t="s">
        <v>40</v>
      </c>
      <c r="M30">
        <v>112000</v>
      </c>
      <c r="N30">
        <v>8.1999999999999993</v>
      </c>
      <c r="O30">
        <v>16.8</v>
      </c>
      <c r="P30">
        <v>11.5</v>
      </c>
      <c r="Q30">
        <v>3.7</v>
      </c>
      <c r="R30">
        <v>3</v>
      </c>
      <c r="S30">
        <v>2</v>
      </c>
      <c r="T30">
        <v>4</v>
      </c>
      <c r="U30" t="s">
        <v>23</v>
      </c>
      <c r="V30">
        <v>3</v>
      </c>
      <c r="W30">
        <f>COUNTIF($A$2:A30,A30)</f>
        <v>1</v>
      </c>
    </row>
    <row r="31" spans="1:23" x14ac:dyDescent="0.35">
      <c r="A31" t="s">
        <v>1517</v>
      </c>
      <c r="B31" s="2">
        <v>43882</v>
      </c>
      <c r="D31" t="s">
        <v>23</v>
      </c>
      <c r="E31">
        <v>33</v>
      </c>
      <c r="F31" t="s">
        <v>62</v>
      </c>
      <c r="G31" t="s">
        <v>25</v>
      </c>
      <c r="H31" t="s">
        <v>26</v>
      </c>
      <c r="I31" t="s">
        <v>38</v>
      </c>
      <c r="J31" t="s">
        <v>118</v>
      </c>
      <c r="K31">
        <v>2</v>
      </c>
      <c r="L31" t="s">
        <v>50</v>
      </c>
      <c r="M31">
        <v>49000</v>
      </c>
      <c r="N31">
        <v>13.6</v>
      </c>
      <c r="O31">
        <v>10.9</v>
      </c>
      <c r="P31">
        <v>5.9</v>
      </c>
      <c r="Q31">
        <v>1.1000000000000001</v>
      </c>
      <c r="R31">
        <v>1</v>
      </c>
      <c r="S31">
        <v>3</v>
      </c>
      <c r="T31">
        <v>3</v>
      </c>
      <c r="U31" t="s">
        <v>23</v>
      </c>
      <c r="V31">
        <v>3</v>
      </c>
      <c r="W31">
        <f>COUNTIF($A$2:A31,A31)</f>
        <v>1</v>
      </c>
    </row>
    <row r="32" spans="1:23" x14ac:dyDescent="0.35">
      <c r="A32" t="s">
        <v>532</v>
      </c>
      <c r="B32" s="2">
        <v>42477</v>
      </c>
      <c r="D32" t="s">
        <v>23</v>
      </c>
      <c r="E32">
        <v>39</v>
      </c>
      <c r="F32" t="s">
        <v>62</v>
      </c>
      <c r="G32" t="s">
        <v>25</v>
      </c>
      <c r="H32" t="s">
        <v>58</v>
      </c>
      <c r="I32" t="s">
        <v>59</v>
      </c>
      <c r="J32" t="s">
        <v>60</v>
      </c>
      <c r="K32">
        <v>2</v>
      </c>
      <c r="L32" t="s">
        <v>34</v>
      </c>
      <c r="M32">
        <v>44000</v>
      </c>
      <c r="N32">
        <v>14.6</v>
      </c>
      <c r="O32">
        <v>17</v>
      </c>
      <c r="P32">
        <v>9.6999999999999993</v>
      </c>
      <c r="Q32">
        <v>0.7</v>
      </c>
      <c r="R32">
        <v>3</v>
      </c>
      <c r="S32">
        <v>2</v>
      </c>
      <c r="T32">
        <v>3</v>
      </c>
      <c r="U32" t="s">
        <v>23</v>
      </c>
      <c r="V32">
        <v>4</v>
      </c>
      <c r="W32">
        <f>COUNTIF($A$2:A32,A32)</f>
        <v>1</v>
      </c>
    </row>
    <row r="33" spans="1:23" x14ac:dyDescent="0.35">
      <c r="A33" t="s">
        <v>1414</v>
      </c>
      <c r="B33" s="2">
        <v>43572</v>
      </c>
      <c r="D33" t="s">
        <v>23</v>
      </c>
      <c r="E33">
        <v>37</v>
      </c>
      <c r="F33" t="s">
        <v>62</v>
      </c>
      <c r="G33" t="s">
        <v>37</v>
      </c>
      <c r="H33" t="s">
        <v>58</v>
      </c>
      <c r="I33" t="s">
        <v>27</v>
      </c>
      <c r="J33" t="s">
        <v>33</v>
      </c>
      <c r="K33">
        <v>4</v>
      </c>
      <c r="L33" t="s">
        <v>34</v>
      </c>
      <c r="M33">
        <v>126000</v>
      </c>
      <c r="N33">
        <v>5</v>
      </c>
      <c r="O33">
        <v>8.8000000000000007</v>
      </c>
      <c r="P33">
        <v>6.7</v>
      </c>
      <c r="Q33">
        <v>1.5</v>
      </c>
      <c r="R33">
        <v>4</v>
      </c>
      <c r="S33">
        <v>3</v>
      </c>
      <c r="T33">
        <v>4</v>
      </c>
      <c r="U33" t="s">
        <v>23</v>
      </c>
      <c r="V33">
        <v>4</v>
      </c>
      <c r="W33">
        <f>COUNTIF($A$2:A33,A33)</f>
        <v>1</v>
      </c>
    </row>
    <row r="34" spans="1:23" x14ac:dyDescent="0.35">
      <c r="A34" t="s">
        <v>175</v>
      </c>
      <c r="B34" s="2">
        <v>44478</v>
      </c>
      <c r="C34" s="2">
        <v>45854</v>
      </c>
      <c r="D34" t="s">
        <v>30</v>
      </c>
      <c r="E34">
        <v>34</v>
      </c>
      <c r="F34" t="s">
        <v>36</v>
      </c>
      <c r="G34" t="s">
        <v>37</v>
      </c>
      <c r="H34" t="s">
        <v>32</v>
      </c>
      <c r="I34" t="s">
        <v>38</v>
      </c>
      <c r="J34" t="s">
        <v>39</v>
      </c>
      <c r="K34">
        <v>2</v>
      </c>
      <c r="L34" t="s">
        <v>34</v>
      </c>
      <c r="M34">
        <v>55000</v>
      </c>
      <c r="N34">
        <v>2.8</v>
      </c>
      <c r="O34">
        <v>9.3000000000000007</v>
      </c>
      <c r="P34">
        <v>3.8</v>
      </c>
      <c r="Q34">
        <v>2.7</v>
      </c>
      <c r="R34">
        <v>2</v>
      </c>
      <c r="S34">
        <v>1</v>
      </c>
      <c r="T34">
        <v>3</v>
      </c>
      <c r="U34" t="s">
        <v>23</v>
      </c>
      <c r="V34">
        <v>4</v>
      </c>
      <c r="W34">
        <f>COUNTIF($A$2:A34,A34)</f>
        <v>1</v>
      </c>
    </row>
    <row r="35" spans="1:23" x14ac:dyDescent="0.35">
      <c r="A35" t="s">
        <v>907</v>
      </c>
      <c r="B35" s="2">
        <v>44129</v>
      </c>
      <c r="C35" s="2">
        <v>45838</v>
      </c>
      <c r="D35" t="s">
        <v>30</v>
      </c>
      <c r="E35">
        <v>26</v>
      </c>
      <c r="F35" t="s">
        <v>62</v>
      </c>
      <c r="G35" t="s">
        <v>25</v>
      </c>
      <c r="H35" t="s">
        <v>32</v>
      </c>
      <c r="I35" t="s">
        <v>48</v>
      </c>
      <c r="J35" t="s">
        <v>63</v>
      </c>
      <c r="K35">
        <v>1</v>
      </c>
      <c r="L35" t="s">
        <v>34</v>
      </c>
      <c r="M35">
        <v>39000</v>
      </c>
      <c r="N35">
        <v>5.3</v>
      </c>
      <c r="O35">
        <v>7.1</v>
      </c>
      <c r="P35">
        <v>4.7</v>
      </c>
      <c r="Q35">
        <v>1.8</v>
      </c>
      <c r="R35">
        <v>3</v>
      </c>
      <c r="S35">
        <v>4</v>
      </c>
      <c r="T35">
        <v>4</v>
      </c>
      <c r="U35" t="s">
        <v>23</v>
      </c>
      <c r="V35">
        <v>4</v>
      </c>
      <c r="W35">
        <f>COUNTIF($A$2:A35,A35)</f>
        <v>1</v>
      </c>
    </row>
    <row r="36" spans="1:23" x14ac:dyDescent="0.35">
      <c r="A36" t="s">
        <v>1187</v>
      </c>
      <c r="B36" s="2">
        <v>45831</v>
      </c>
      <c r="D36" t="s">
        <v>23</v>
      </c>
      <c r="E36">
        <v>28</v>
      </c>
      <c r="F36" t="s">
        <v>36</v>
      </c>
      <c r="G36" t="s">
        <v>25</v>
      </c>
      <c r="H36" t="s">
        <v>26</v>
      </c>
      <c r="I36" t="s">
        <v>55</v>
      </c>
      <c r="J36" t="s">
        <v>88</v>
      </c>
      <c r="K36">
        <v>2</v>
      </c>
      <c r="L36" t="s">
        <v>50</v>
      </c>
      <c r="M36">
        <v>59000</v>
      </c>
      <c r="N36">
        <v>12.3</v>
      </c>
      <c r="O36">
        <v>1.8</v>
      </c>
      <c r="P36">
        <v>0.5</v>
      </c>
      <c r="Q36">
        <v>0</v>
      </c>
      <c r="R36">
        <v>3</v>
      </c>
      <c r="S36">
        <v>2</v>
      </c>
      <c r="T36">
        <v>3</v>
      </c>
      <c r="U36" t="s">
        <v>23</v>
      </c>
      <c r="V36">
        <v>1</v>
      </c>
      <c r="W36">
        <f>COUNTIF($A$2:A36,A36)</f>
        <v>1</v>
      </c>
    </row>
    <row r="37" spans="1:23" x14ac:dyDescent="0.35">
      <c r="A37" t="s">
        <v>1166</v>
      </c>
      <c r="B37" s="2">
        <v>43940</v>
      </c>
      <c r="D37" t="s">
        <v>23</v>
      </c>
      <c r="E37">
        <v>35</v>
      </c>
      <c r="F37" t="s">
        <v>36</v>
      </c>
      <c r="G37" t="s">
        <v>37</v>
      </c>
      <c r="H37" t="s">
        <v>54</v>
      </c>
      <c r="I37" t="s">
        <v>45</v>
      </c>
      <c r="J37" t="s">
        <v>46</v>
      </c>
      <c r="K37">
        <v>2</v>
      </c>
      <c r="L37" t="s">
        <v>50</v>
      </c>
      <c r="M37">
        <v>61000</v>
      </c>
      <c r="N37">
        <v>2.6</v>
      </c>
      <c r="O37">
        <v>8.3000000000000007</v>
      </c>
      <c r="P37">
        <v>5.7</v>
      </c>
      <c r="Q37">
        <v>4.3</v>
      </c>
      <c r="R37">
        <v>3</v>
      </c>
      <c r="S37">
        <v>3</v>
      </c>
      <c r="T37">
        <v>3</v>
      </c>
      <c r="U37" t="s">
        <v>30</v>
      </c>
      <c r="V37">
        <v>4</v>
      </c>
      <c r="W37">
        <f>COUNTIF($A$2:A37,A37)</f>
        <v>1</v>
      </c>
    </row>
    <row r="38" spans="1:23" x14ac:dyDescent="0.35">
      <c r="A38" t="s">
        <v>1041</v>
      </c>
      <c r="B38" s="2">
        <v>44417</v>
      </c>
      <c r="D38" t="s">
        <v>23</v>
      </c>
      <c r="E38">
        <v>35</v>
      </c>
      <c r="F38" t="s">
        <v>24</v>
      </c>
      <c r="G38" t="s">
        <v>42</v>
      </c>
      <c r="H38" t="s">
        <v>26</v>
      </c>
      <c r="I38" t="s">
        <v>45</v>
      </c>
      <c r="J38" t="s">
        <v>164</v>
      </c>
      <c r="K38">
        <v>5</v>
      </c>
      <c r="L38" t="s">
        <v>66</v>
      </c>
      <c r="M38">
        <v>151000</v>
      </c>
      <c r="N38">
        <v>4.0999999999999996</v>
      </c>
      <c r="O38">
        <v>10.4</v>
      </c>
      <c r="P38">
        <v>4.4000000000000004</v>
      </c>
      <c r="Q38">
        <v>4.2</v>
      </c>
      <c r="R38">
        <v>4</v>
      </c>
      <c r="S38">
        <v>2</v>
      </c>
      <c r="T38">
        <v>1</v>
      </c>
      <c r="U38" t="s">
        <v>23</v>
      </c>
      <c r="V38">
        <v>2</v>
      </c>
      <c r="W38">
        <f>COUNTIF($A$2:A38,A38)</f>
        <v>1</v>
      </c>
    </row>
    <row r="39" spans="1:23" x14ac:dyDescent="0.35">
      <c r="A39" t="s">
        <v>803</v>
      </c>
      <c r="B39" s="2">
        <v>42636</v>
      </c>
      <c r="D39" t="s">
        <v>23</v>
      </c>
      <c r="E39">
        <v>37</v>
      </c>
      <c r="F39" t="s">
        <v>36</v>
      </c>
      <c r="G39" t="s">
        <v>25</v>
      </c>
      <c r="H39" t="s">
        <v>54</v>
      </c>
      <c r="I39" t="s">
        <v>55</v>
      </c>
      <c r="J39" t="s">
        <v>80</v>
      </c>
      <c r="K39">
        <v>3</v>
      </c>
      <c r="L39" t="s">
        <v>34</v>
      </c>
      <c r="M39">
        <v>92000</v>
      </c>
      <c r="N39">
        <v>10</v>
      </c>
      <c r="O39">
        <v>10.199999999999999</v>
      </c>
      <c r="P39">
        <v>9.3000000000000007</v>
      </c>
      <c r="Q39">
        <v>4.9000000000000004</v>
      </c>
      <c r="R39">
        <v>3</v>
      </c>
      <c r="S39">
        <v>4</v>
      </c>
      <c r="T39">
        <v>2</v>
      </c>
      <c r="U39" t="s">
        <v>30</v>
      </c>
      <c r="V39">
        <v>1</v>
      </c>
      <c r="W39">
        <f>COUNTIF($A$2:A39,A39)</f>
        <v>1</v>
      </c>
    </row>
    <row r="40" spans="1:23" x14ac:dyDescent="0.35">
      <c r="A40" t="s">
        <v>1024</v>
      </c>
      <c r="B40" s="2">
        <v>43971</v>
      </c>
      <c r="D40" t="s">
        <v>23</v>
      </c>
      <c r="E40">
        <v>28</v>
      </c>
      <c r="F40" t="s">
        <v>36</v>
      </c>
      <c r="G40" t="s">
        <v>25</v>
      </c>
      <c r="H40" t="s">
        <v>54</v>
      </c>
      <c r="I40" t="s">
        <v>1025</v>
      </c>
      <c r="J40" t="s">
        <v>97</v>
      </c>
      <c r="K40">
        <v>1</v>
      </c>
      <c r="L40" t="s">
        <v>29</v>
      </c>
      <c r="M40">
        <v>34000</v>
      </c>
      <c r="N40">
        <v>10.199999999999999</v>
      </c>
      <c r="O40">
        <v>12.4</v>
      </c>
      <c r="P40">
        <v>5.6</v>
      </c>
      <c r="Q40">
        <v>3.4</v>
      </c>
      <c r="R40">
        <v>2</v>
      </c>
      <c r="S40">
        <v>2</v>
      </c>
      <c r="T40">
        <v>4</v>
      </c>
      <c r="U40" t="s">
        <v>23</v>
      </c>
      <c r="V40">
        <v>4</v>
      </c>
      <c r="W40">
        <f>COUNTIF($A$2:A40,A40)</f>
        <v>1</v>
      </c>
    </row>
    <row r="41" spans="1:23" x14ac:dyDescent="0.35">
      <c r="A41" t="s">
        <v>1435</v>
      </c>
      <c r="B41" s="2">
        <v>44455</v>
      </c>
      <c r="C41" s="2">
        <v>45843</v>
      </c>
      <c r="D41" t="s">
        <v>30</v>
      </c>
      <c r="E41">
        <v>46</v>
      </c>
      <c r="F41" t="s">
        <v>62</v>
      </c>
      <c r="G41" t="s">
        <v>42</v>
      </c>
      <c r="H41" t="s">
        <v>54</v>
      </c>
      <c r="I41" t="s">
        <v>68</v>
      </c>
      <c r="J41" t="s">
        <v>102</v>
      </c>
      <c r="K41">
        <v>3</v>
      </c>
      <c r="L41" t="s">
        <v>34</v>
      </c>
      <c r="M41">
        <v>81000</v>
      </c>
      <c r="N41">
        <v>4.2</v>
      </c>
      <c r="O41">
        <v>8.9</v>
      </c>
      <c r="P41">
        <v>3.8</v>
      </c>
      <c r="Q41">
        <v>3.1</v>
      </c>
      <c r="R41">
        <v>4</v>
      </c>
      <c r="S41">
        <v>3</v>
      </c>
      <c r="T41">
        <v>3</v>
      </c>
      <c r="U41" t="s">
        <v>23</v>
      </c>
      <c r="V41">
        <v>4</v>
      </c>
      <c r="W41">
        <f>COUNTIF($A$2:A41,A41)</f>
        <v>1</v>
      </c>
    </row>
    <row r="42" spans="1:23" x14ac:dyDescent="0.35">
      <c r="A42" t="s">
        <v>347</v>
      </c>
      <c r="B42" s="2">
        <v>45242</v>
      </c>
      <c r="D42" t="s">
        <v>23</v>
      </c>
      <c r="E42">
        <v>26</v>
      </c>
      <c r="F42" t="s">
        <v>36</v>
      </c>
      <c r="G42" t="s">
        <v>42</v>
      </c>
      <c r="H42" t="s">
        <v>32</v>
      </c>
      <c r="I42" t="s">
        <v>48</v>
      </c>
      <c r="J42" t="s">
        <v>129</v>
      </c>
      <c r="K42">
        <v>1</v>
      </c>
      <c r="L42" t="s">
        <v>34</v>
      </c>
      <c r="M42">
        <v>42000</v>
      </c>
      <c r="N42">
        <v>13.6</v>
      </c>
      <c r="O42">
        <v>5.7</v>
      </c>
      <c r="P42">
        <v>2.1</v>
      </c>
      <c r="Q42">
        <v>1.6</v>
      </c>
      <c r="R42">
        <v>4</v>
      </c>
      <c r="S42">
        <v>3</v>
      </c>
      <c r="T42">
        <v>3</v>
      </c>
      <c r="U42" t="s">
        <v>30</v>
      </c>
      <c r="V42">
        <v>3</v>
      </c>
      <c r="W42">
        <f>COUNTIF($A$2:A42,A42)</f>
        <v>1</v>
      </c>
    </row>
    <row r="43" spans="1:23" x14ac:dyDescent="0.35">
      <c r="A43" t="s">
        <v>1507</v>
      </c>
      <c r="B43" s="2">
        <v>44459</v>
      </c>
      <c r="D43" t="s">
        <v>23</v>
      </c>
      <c r="E43">
        <v>40</v>
      </c>
      <c r="F43" t="s">
        <v>24</v>
      </c>
      <c r="G43" t="s">
        <v>25</v>
      </c>
      <c r="H43" t="s">
        <v>54</v>
      </c>
      <c r="I43" t="s">
        <v>55</v>
      </c>
      <c r="J43" t="s">
        <v>88</v>
      </c>
      <c r="K43">
        <v>3</v>
      </c>
      <c r="L43" t="s">
        <v>29</v>
      </c>
      <c r="M43">
        <v>93000</v>
      </c>
      <c r="N43">
        <v>12.3</v>
      </c>
      <c r="O43">
        <v>4.4000000000000004</v>
      </c>
      <c r="P43">
        <v>4.3</v>
      </c>
      <c r="Q43">
        <v>4.0999999999999996</v>
      </c>
      <c r="R43">
        <v>3</v>
      </c>
      <c r="S43">
        <v>2</v>
      </c>
      <c r="T43">
        <v>3</v>
      </c>
      <c r="U43" t="s">
        <v>23</v>
      </c>
      <c r="V43">
        <v>3</v>
      </c>
      <c r="W43">
        <f>COUNTIF($A$2:A43,A43)</f>
        <v>1</v>
      </c>
    </row>
    <row r="44" spans="1:23" x14ac:dyDescent="0.35">
      <c r="A44" t="s">
        <v>72</v>
      </c>
      <c r="B44" s="2">
        <v>45846</v>
      </c>
      <c r="D44" t="s">
        <v>23</v>
      </c>
      <c r="E44">
        <v>31</v>
      </c>
      <c r="F44" t="s">
        <v>62</v>
      </c>
      <c r="G44" t="s">
        <v>42</v>
      </c>
      <c r="H44" t="s">
        <v>58</v>
      </c>
      <c r="I44" t="s">
        <v>45</v>
      </c>
      <c r="J44" t="s">
        <v>46</v>
      </c>
      <c r="K44">
        <v>2</v>
      </c>
      <c r="L44" t="s">
        <v>29</v>
      </c>
      <c r="M44">
        <v>43000</v>
      </c>
      <c r="N44">
        <v>5.4</v>
      </c>
      <c r="O44">
        <v>5.8</v>
      </c>
      <c r="P44">
        <v>0.5</v>
      </c>
      <c r="Q44">
        <v>0</v>
      </c>
      <c r="R44">
        <v>3</v>
      </c>
      <c r="S44">
        <v>3</v>
      </c>
      <c r="T44">
        <v>3</v>
      </c>
      <c r="U44" t="s">
        <v>23</v>
      </c>
      <c r="V44">
        <v>5</v>
      </c>
      <c r="W44">
        <f>COUNTIF($A$2:A44,A44)</f>
        <v>1</v>
      </c>
    </row>
    <row r="45" spans="1:23" x14ac:dyDescent="0.35">
      <c r="A45" t="s">
        <v>580</v>
      </c>
      <c r="B45" s="2">
        <v>44928</v>
      </c>
      <c r="D45" t="s">
        <v>23</v>
      </c>
      <c r="E45">
        <v>32</v>
      </c>
      <c r="F45" t="s">
        <v>62</v>
      </c>
      <c r="G45" t="s">
        <v>25</v>
      </c>
      <c r="H45" t="s">
        <v>58</v>
      </c>
      <c r="I45" t="s">
        <v>48</v>
      </c>
      <c r="J45" t="s">
        <v>129</v>
      </c>
      <c r="K45">
        <v>2</v>
      </c>
      <c r="L45" t="s">
        <v>50</v>
      </c>
      <c r="M45">
        <v>58000</v>
      </c>
      <c r="N45">
        <v>10.1</v>
      </c>
      <c r="O45">
        <v>10.6</v>
      </c>
      <c r="P45">
        <v>3</v>
      </c>
      <c r="Q45">
        <v>2.1</v>
      </c>
      <c r="R45">
        <v>3</v>
      </c>
      <c r="S45">
        <v>2</v>
      </c>
      <c r="T45">
        <v>3</v>
      </c>
      <c r="U45" t="s">
        <v>23</v>
      </c>
      <c r="V45">
        <v>3</v>
      </c>
      <c r="W45">
        <f>COUNTIF($A$2:A45,A45)</f>
        <v>1</v>
      </c>
    </row>
    <row r="46" spans="1:23" x14ac:dyDescent="0.35">
      <c r="A46" t="s">
        <v>239</v>
      </c>
      <c r="B46" s="2">
        <v>44371</v>
      </c>
      <c r="D46" t="s">
        <v>23</v>
      </c>
      <c r="E46">
        <v>33</v>
      </c>
      <c r="F46" t="s">
        <v>36</v>
      </c>
      <c r="G46" t="s">
        <v>37</v>
      </c>
      <c r="H46" t="s">
        <v>26</v>
      </c>
      <c r="I46" t="s">
        <v>59</v>
      </c>
      <c r="J46" t="s">
        <v>86</v>
      </c>
      <c r="K46">
        <v>2</v>
      </c>
      <c r="L46" t="s">
        <v>66</v>
      </c>
      <c r="M46">
        <v>65000</v>
      </c>
      <c r="N46">
        <v>7.9</v>
      </c>
      <c r="O46">
        <v>4.9000000000000004</v>
      </c>
      <c r="P46">
        <v>4.5</v>
      </c>
      <c r="Q46">
        <v>0.2</v>
      </c>
      <c r="R46">
        <v>3</v>
      </c>
      <c r="S46">
        <v>3</v>
      </c>
      <c r="T46">
        <v>4</v>
      </c>
      <c r="U46" t="s">
        <v>23</v>
      </c>
      <c r="V46">
        <v>4</v>
      </c>
      <c r="W46">
        <f>COUNTIF($A$2:A46,A46)</f>
        <v>1</v>
      </c>
    </row>
    <row r="47" spans="1:23" x14ac:dyDescent="0.35">
      <c r="A47" t="s">
        <v>1513</v>
      </c>
      <c r="B47" s="2">
        <v>44457</v>
      </c>
      <c r="D47" t="s">
        <v>23</v>
      </c>
      <c r="E47">
        <v>37</v>
      </c>
      <c r="F47" t="s">
        <v>24</v>
      </c>
      <c r="G47" t="s">
        <v>37</v>
      </c>
      <c r="H47" t="s">
        <v>58</v>
      </c>
      <c r="I47" t="s">
        <v>68</v>
      </c>
      <c r="J47" t="s">
        <v>121</v>
      </c>
      <c r="K47">
        <v>3</v>
      </c>
      <c r="L47" t="s">
        <v>50</v>
      </c>
      <c r="M47">
        <v>69000</v>
      </c>
      <c r="N47">
        <v>4.7</v>
      </c>
      <c r="O47">
        <v>5.2</v>
      </c>
      <c r="P47">
        <v>4.3</v>
      </c>
      <c r="Q47">
        <v>0.3</v>
      </c>
      <c r="R47">
        <v>3</v>
      </c>
      <c r="S47">
        <v>3</v>
      </c>
      <c r="T47">
        <v>3</v>
      </c>
      <c r="U47" t="s">
        <v>23</v>
      </c>
      <c r="V47">
        <v>4</v>
      </c>
      <c r="W47">
        <f>COUNTIF($A$2:A47,A47)</f>
        <v>1</v>
      </c>
    </row>
    <row r="48" spans="1:23" x14ac:dyDescent="0.35">
      <c r="A48" t="s">
        <v>608</v>
      </c>
      <c r="B48" s="2">
        <v>44286</v>
      </c>
      <c r="D48" t="s">
        <v>23</v>
      </c>
      <c r="E48">
        <v>31</v>
      </c>
      <c r="F48" t="s">
        <v>62</v>
      </c>
      <c r="G48" t="s">
        <v>25</v>
      </c>
      <c r="H48" t="s">
        <v>26</v>
      </c>
      <c r="I48" t="s">
        <v>55</v>
      </c>
      <c r="J48" t="s">
        <v>56</v>
      </c>
      <c r="K48">
        <v>3</v>
      </c>
      <c r="L48" t="s">
        <v>66</v>
      </c>
      <c r="M48">
        <v>96000</v>
      </c>
      <c r="N48">
        <v>10.9</v>
      </c>
      <c r="O48">
        <v>7.8</v>
      </c>
      <c r="P48">
        <v>4.8</v>
      </c>
      <c r="Q48">
        <v>4.4000000000000004</v>
      </c>
      <c r="R48">
        <v>3</v>
      </c>
      <c r="S48">
        <v>3</v>
      </c>
      <c r="T48">
        <v>3</v>
      </c>
      <c r="U48" t="s">
        <v>23</v>
      </c>
      <c r="V48">
        <v>3</v>
      </c>
      <c r="W48">
        <f>COUNTIF($A$2:A48,A48)</f>
        <v>1</v>
      </c>
    </row>
    <row r="49" spans="1:23" x14ac:dyDescent="0.35">
      <c r="A49" t="s">
        <v>1565</v>
      </c>
      <c r="B49" s="2">
        <v>43594</v>
      </c>
      <c r="D49" t="s">
        <v>23</v>
      </c>
      <c r="E49">
        <v>27</v>
      </c>
      <c r="F49" t="s">
        <v>62</v>
      </c>
      <c r="G49" t="s">
        <v>42</v>
      </c>
      <c r="H49" t="s">
        <v>58</v>
      </c>
      <c r="I49" t="s">
        <v>45</v>
      </c>
      <c r="J49" t="s">
        <v>164</v>
      </c>
      <c r="K49">
        <v>1</v>
      </c>
      <c r="L49" t="s">
        <v>50</v>
      </c>
      <c r="M49">
        <v>22000</v>
      </c>
      <c r="N49">
        <v>7.2</v>
      </c>
      <c r="O49">
        <v>7.9</v>
      </c>
      <c r="P49">
        <v>6.6</v>
      </c>
      <c r="Q49">
        <v>1</v>
      </c>
      <c r="R49">
        <v>2</v>
      </c>
      <c r="S49">
        <v>2</v>
      </c>
      <c r="T49">
        <v>1</v>
      </c>
      <c r="U49" t="s">
        <v>30</v>
      </c>
      <c r="V49">
        <v>3</v>
      </c>
      <c r="W49">
        <f>COUNTIF($A$2:A49,A49)</f>
        <v>1</v>
      </c>
    </row>
    <row r="50" spans="1:23" x14ac:dyDescent="0.35">
      <c r="A50" t="s">
        <v>517</v>
      </c>
      <c r="B50" s="2">
        <v>42909</v>
      </c>
      <c r="D50" t="s">
        <v>23</v>
      </c>
      <c r="E50">
        <v>34</v>
      </c>
      <c r="F50" t="s">
        <v>62</v>
      </c>
      <c r="G50" t="s">
        <v>37</v>
      </c>
      <c r="H50" t="s">
        <v>32</v>
      </c>
      <c r="I50" t="s">
        <v>55</v>
      </c>
      <c r="J50" t="s">
        <v>88</v>
      </c>
      <c r="K50">
        <v>3</v>
      </c>
      <c r="L50" t="s">
        <v>84</v>
      </c>
      <c r="M50">
        <v>78000</v>
      </c>
      <c r="N50">
        <v>9.6999999999999993</v>
      </c>
      <c r="O50">
        <v>14.8</v>
      </c>
      <c r="P50">
        <v>8.5</v>
      </c>
      <c r="Q50">
        <v>3.8</v>
      </c>
      <c r="R50">
        <v>3</v>
      </c>
      <c r="S50">
        <v>3</v>
      </c>
      <c r="T50">
        <v>4</v>
      </c>
      <c r="U50" t="s">
        <v>23</v>
      </c>
      <c r="V50">
        <v>3</v>
      </c>
      <c r="W50">
        <f>COUNTIF($A$2:A50,A50)</f>
        <v>1</v>
      </c>
    </row>
    <row r="51" spans="1:23" x14ac:dyDescent="0.35">
      <c r="A51" t="s">
        <v>892</v>
      </c>
      <c r="B51" s="2">
        <v>45738</v>
      </c>
      <c r="D51" t="s">
        <v>23</v>
      </c>
      <c r="E51">
        <v>27</v>
      </c>
      <c r="F51" t="s">
        <v>36</v>
      </c>
      <c r="G51" t="s">
        <v>25</v>
      </c>
      <c r="H51" t="s">
        <v>54</v>
      </c>
      <c r="I51" t="s">
        <v>59</v>
      </c>
      <c r="J51" t="s">
        <v>86</v>
      </c>
      <c r="K51">
        <v>1</v>
      </c>
      <c r="L51" t="s">
        <v>34</v>
      </c>
      <c r="M51">
        <v>34000</v>
      </c>
      <c r="N51">
        <v>9.1999999999999993</v>
      </c>
      <c r="O51">
        <v>5.3</v>
      </c>
      <c r="P51">
        <v>0.8</v>
      </c>
      <c r="Q51">
        <v>0</v>
      </c>
      <c r="R51">
        <v>3</v>
      </c>
      <c r="S51">
        <v>2</v>
      </c>
      <c r="T51">
        <v>3</v>
      </c>
      <c r="U51" t="s">
        <v>30</v>
      </c>
      <c r="V51">
        <v>4</v>
      </c>
      <c r="W51">
        <f>COUNTIF($A$2:A51,A51)</f>
        <v>1</v>
      </c>
    </row>
    <row r="52" spans="1:23" x14ac:dyDescent="0.35">
      <c r="A52" t="s">
        <v>612</v>
      </c>
      <c r="B52" s="2">
        <v>42774</v>
      </c>
      <c r="D52" t="s">
        <v>23</v>
      </c>
      <c r="E52">
        <v>36</v>
      </c>
      <c r="F52" t="s">
        <v>36</v>
      </c>
      <c r="G52" t="s">
        <v>25</v>
      </c>
      <c r="H52" t="s">
        <v>26</v>
      </c>
      <c r="I52" t="s">
        <v>38</v>
      </c>
      <c r="J52" t="s">
        <v>118</v>
      </c>
      <c r="K52">
        <v>4</v>
      </c>
      <c r="L52" t="s">
        <v>40</v>
      </c>
      <c r="M52">
        <v>129000</v>
      </c>
      <c r="N52">
        <v>13.3</v>
      </c>
      <c r="O52">
        <v>14.3</v>
      </c>
      <c r="P52">
        <v>8.9</v>
      </c>
      <c r="Q52">
        <v>5.2</v>
      </c>
      <c r="R52">
        <v>1</v>
      </c>
      <c r="S52">
        <v>3</v>
      </c>
      <c r="T52">
        <v>1</v>
      </c>
      <c r="U52" t="s">
        <v>23</v>
      </c>
      <c r="V52">
        <v>4</v>
      </c>
      <c r="W52">
        <f>COUNTIF($A$2:A52,A52)</f>
        <v>1</v>
      </c>
    </row>
    <row r="53" spans="1:23" x14ac:dyDescent="0.35">
      <c r="A53" t="s">
        <v>886</v>
      </c>
      <c r="B53" s="2">
        <v>45010</v>
      </c>
      <c r="D53" t="s">
        <v>23</v>
      </c>
      <c r="E53">
        <v>23</v>
      </c>
      <c r="F53" t="s">
        <v>24</v>
      </c>
      <c r="G53" t="s">
        <v>42</v>
      </c>
      <c r="H53" t="s">
        <v>54</v>
      </c>
      <c r="I53" t="s">
        <v>48</v>
      </c>
      <c r="J53" t="s">
        <v>201</v>
      </c>
      <c r="K53">
        <v>1</v>
      </c>
      <c r="L53" t="s">
        <v>29</v>
      </c>
      <c r="M53">
        <v>27000</v>
      </c>
      <c r="N53">
        <v>11.1</v>
      </c>
      <c r="O53">
        <v>6.7</v>
      </c>
      <c r="P53">
        <v>2.8</v>
      </c>
      <c r="Q53">
        <v>0.3</v>
      </c>
      <c r="R53">
        <v>3</v>
      </c>
      <c r="S53">
        <v>3</v>
      </c>
      <c r="T53">
        <v>3</v>
      </c>
      <c r="U53" t="s">
        <v>30</v>
      </c>
      <c r="V53">
        <v>4</v>
      </c>
      <c r="W53">
        <f>COUNTIF($A$2:A53,A53)</f>
        <v>1</v>
      </c>
    </row>
    <row r="54" spans="1:23" x14ac:dyDescent="0.35">
      <c r="A54" t="s">
        <v>664</v>
      </c>
      <c r="B54" s="2">
        <v>44202</v>
      </c>
      <c r="C54" s="2">
        <v>45787</v>
      </c>
      <c r="D54" t="s">
        <v>30</v>
      </c>
      <c r="E54">
        <v>37</v>
      </c>
      <c r="F54" t="s">
        <v>62</v>
      </c>
      <c r="G54" t="s">
        <v>25</v>
      </c>
      <c r="H54" t="s">
        <v>54</v>
      </c>
      <c r="I54" t="s">
        <v>48</v>
      </c>
      <c r="J54" t="s">
        <v>129</v>
      </c>
      <c r="K54">
        <v>3</v>
      </c>
      <c r="L54" t="s">
        <v>34</v>
      </c>
      <c r="M54">
        <v>115000</v>
      </c>
      <c r="N54">
        <v>11.3</v>
      </c>
      <c r="O54">
        <v>6.9</v>
      </c>
      <c r="P54">
        <v>4.3</v>
      </c>
      <c r="Q54">
        <v>4.2</v>
      </c>
      <c r="R54">
        <v>1</v>
      </c>
      <c r="S54">
        <v>3</v>
      </c>
      <c r="T54">
        <v>3</v>
      </c>
      <c r="U54" t="s">
        <v>23</v>
      </c>
      <c r="V54">
        <v>5</v>
      </c>
      <c r="W54">
        <f>COUNTIF($A$2:A54,A54)</f>
        <v>1</v>
      </c>
    </row>
    <row r="55" spans="1:23" x14ac:dyDescent="0.35">
      <c r="A55" t="s">
        <v>402</v>
      </c>
      <c r="B55" s="2">
        <v>43252</v>
      </c>
      <c r="C55" s="2">
        <v>45794</v>
      </c>
      <c r="D55" t="s">
        <v>30</v>
      </c>
      <c r="E55">
        <v>40</v>
      </c>
      <c r="F55" t="s">
        <v>62</v>
      </c>
      <c r="G55" t="s">
        <v>25</v>
      </c>
      <c r="H55" t="s">
        <v>32</v>
      </c>
      <c r="I55" t="s">
        <v>38</v>
      </c>
      <c r="J55" t="s">
        <v>139</v>
      </c>
      <c r="K55">
        <v>3</v>
      </c>
      <c r="L55" t="s">
        <v>29</v>
      </c>
      <c r="M55">
        <v>92000</v>
      </c>
      <c r="N55">
        <v>7.7</v>
      </c>
      <c r="O55">
        <v>11.4</v>
      </c>
      <c r="P55">
        <v>7</v>
      </c>
      <c r="Q55">
        <v>5.6</v>
      </c>
      <c r="R55">
        <v>3</v>
      </c>
      <c r="S55">
        <v>3</v>
      </c>
      <c r="T55">
        <v>3</v>
      </c>
      <c r="U55" t="s">
        <v>23</v>
      </c>
      <c r="V55">
        <v>2</v>
      </c>
      <c r="W55">
        <f>COUNTIF($A$2:A55,A55)</f>
        <v>1</v>
      </c>
    </row>
    <row r="56" spans="1:23" x14ac:dyDescent="0.35">
      <c r="A56" t="s">
        <v>1303</v>
      </c>
      <c r="B56" s="2">
        <v>44360</v>
      </c>
      <c r="D56" t="s">
        <v>23</v>
      </c>
      <c r="E56">
        <v>28</v>
      </c>
      <c r="F56" t="s">
        <v>62</v>
      </c>
      <c r="G56" t="s">
        <v>25</v>
      </c>
      <c r="H56" t="s">
        <v>58</v>
      </c>
      <c r="I56" t="s">
        <v>55</v>
      </c>
      <c r="J56" t="s">
        <v>88</v>
      </c>
      <c r="K56">
        <v>3</v>
      </c>
      <c r="L56" t="s">
        <v>34</v>
      </c>
      <c r="M56">
        <v>87000</v>
      </c>
      <c r="N56">
        <v>7.1</v>
      </c>
      <c r="O56">
        <v>8.1999999999999993</v>
      </c>
      <c r="P56">
        <v>4.5999999999999996</v>
      </c>
      <c r="Q56">
        <v>0.5</v>
      </c>
      <c r="R56">
        <v>4</v>
      </c>
      <c r="S56">
        <v>4</v>
      </c>
      <c r="T56">
        <v>3</v>
      </c>
      <c r="U56" t="s">
        <v>30</v>
      </c>
      <c r="V56">
        <v>4</v>
      </c>
      <c r="W56">
        <f>COUNTIF($A$2:A56,A56)</f>
        <v>1</v>
      </c>
    </row>
    <row r="57" spans="1:23" x14ac:dyDescent="0.35">
      <c r="A57" t="s">
        <v>1582</v>
      </c>
      <c r="B57" s="2">
        <v>44871</v>
      </c>
      <c r="D57" t="s">
        <v>23</v>
      </c>
      <c r="E57">
        <v>49</v>
      </c>
      <c r="F57" t="s">
        <v>36</v>
      </c>
      <c r="G57" t="s">
        <v>42</v>
      </c>
      <c r="H57" t="s">
        <v>58</v>
      </c>
      <c r="I57" t="s">
        <v>59</v>
      </c>
      <c r="J57" t="s">
        <v>60</v>
      </c>
      <c r="K57">
        <v>5</v>
      </c>
      <c r="L57" t="s">
        <v>50</v>
      </c>
      <c r="M57">
        <v>134000</v>
      </c>
      <c r="N57">
        <v>11.7</v>
      </c>
      <c r="O57">
        <v>7.2</v>
      </c>
      <c r="P57">
        <v>3.2</v>
      </c>
      <c r="Q57">
        <v>2.8</v>
      </c>
      <c r="R57">
        <v>3</v>
      </c>
      <c r="S57">
        <v>4</v>
      </c>
      <c r="T57">
        <v>3</v>
      </c>
      <c r="U57" t="s">
        <v>23</v>
      </c>
      <c r="V57">
        <v>4</v>
      </c>
      <c r="W57">
        <f>COUNTIF($A$2:A57,A57)</f>
        <v>1</v>
      </c>
    </row>
    <row r="58" spans="1:23" x14ac:dyDescent="0.35">
      <c r="A58" t="s">
        <v>1351</v>
      </c>
      <c r="B58" s="2">
        <v>43858</v>
      </c>
      <c r="D58" t="s">
        <v>23</v>
      </c>
      <c r="E58">
        <v>30</v>
      </c>
      <c r="F58" t="s">
        <v>24</v>
      </c>
      <c r="G58" t="s">
        <v>25</v>
      </c>
      <c r="H58" t="s">
        <v>32</v>
      </c>
      <c r="I58" t="s">
        <v>68</v>
      </c>
      <c r="J58" t="s">
        <v>69</v>
      </c>
      <c r="K58">
        <v>4</v>
      </c>
      <c r="L58" t="s">
        <v>66</v>
      </c>
      <c r="M58">
        <v>120000</v>
      </c>
      <c r="N58">
        <v>9.3000000000000007</v>
      </c>
      <c r="O58">
        <v>9.8000000000000007</v>
      </c>
      <c r="P58">
        <v>5.9</v>
      </c>
      <c r="Q58">
        <v>2</v>
      </c>
      <c r="R58">
        <v>4</v>
      </c>
      <c r="S58">
        <v>4</v>
      </c>
      <c r="T58">
        <v>3</v>
      </c>
      <c r="U58" t="s">
        <v>23</v>
      </c>
      <c r="V58">
        <v>5</v>
      </c>
      <c r="W58">
        <f>COUNTIF($A$2:A58,A58)</f>
        <v>1</v>
      </c>
    </row>
    <row r="59" spans="1:23" x14ac:dyDescent="0.35">
      <c r="A59" t="s">
        <v>127</v>
      </c>
      <c r="B59" s="2">
        <v>44758</v>
      </c>
      <c r="D59" t="s">
        <v>23</v>
      </c>
      <c r="E59">
        <v>28</v>
      </c>
      <c r="F59" t="s">
        <v>24</v>
      </c>
      <c r="G59" t="s">
        <v>37</v>
      </c>
      <c r="H59" t="s">
        <v>58</v>
      </c>
      <c r="I59" t="s">
        <v>48</v>
      </c>
      <c r="J59" t="s">
        <v>49</v>
      </c>
      <c r="K59">
        <v>4</v>
      </c>
      <c r="L59" t="s">
        <v>50</v>
      </c>
      <c r="M59">
        <v>121000</v>
      </c>
      <c r="N59">
        <v>6.1</v>
      </c>
      <c r="O59">
        <v>6.5</v>
      </c>
      <c r="P59">
        <v>3.5</v>
      </c>
      <c r="Q59">
        <v>3.5</v>
      </c>
      <c r="R59">
        <v>3</v>
      </c>
      <c r="S59">
        <v>4</v>
      </c>
      <c r="T59">
        <v>3</v>
      </c>
      <c r="U59" t="s">
        <v>23</v>
      </c>
      <c r="V59">
        <v>2</v>
      </c>
      <c r="W59">
        <f>COUNTIF($A$2:A59,A59)</f>
        <v>1</v>
      </c>
    </row>
    <row r="60" spans="1:23" x14ac:dyDescent="0.35">
      <c r="A60" t="s">
        <v>399</v>
      </c>
      <c r="B60" s="2">
        <v>42022</v>
      </c>
      <c r="D60" t="s">
        <v>23</v>
      </c>
      <c r="E60">
        <v>33</v>
      </c>
      <c r="F60" t="s">
        <v>36</v>
      </c>
      <c r="G60" t="s">
        <v>25</v>
      </c>
      <c r="H60" t="s">
        <v>26</v>
      </c>
      <c r="I60" t="s">
        <v>59</v>
      </c>
      <c r="J60" t="s">
        <v>60</v>
      </c>
      <c r="K60">
        <v>1</v>
      </c>
      <c r="L60" t="s">
        <v>84</v>
      </c>
      <c r="M60">
        <v>27000</v>
      </c>
      <c r="N60">
        <v>17.600000000000001</v>
      </c>
      <c r="O60">
        <v>18.7</v>
      </c>
      <c r="P60">
        <v>11</v>
      </c>
      <c r="Q60">
        <v>0.4</v>
      </c>
      <c r="R60">
        <v>2</v>
      </c>
      <c r="S60">
        <v>4</v>
      </c>
      <c r="T60">
        <v>3</v>
      </c>
      <c r="U60" t="s">
        <v>30</v>
      </c>
      <c r="V60">
        <v>4</v>
      </c>
      <c r="W60">
        <f>COUNTIF($A$2:A60,A60)</f>
        <v>1</v>
      </c>
    </row>
    <row r="61" spans="1:23" x14ac:dyDescent="0.35">
      <c r="A61" t="s">
        <v>1578</v>
      </c>
      <c r="B61" s="2">
        <v>45669</v>
      </c>
      <c r="D61" t="s">
        <v>23</v>
      </c>
      <c r="E61">
        <v>21</v>
      </c>
      <c r="F61" t="s">
        <v>24</v>
      </c>
      <c r="G61" t="s">
        <v>25</v>
      </c>
      <c r="H61" t="s">
        <v>26</v>
      </c>
      <c r="I61" t="s">
        <v>59</v>
      </c>
      <c r="J61" t="s">
        <v>60</v>
      </c>
      <c r="K61">
        <v>1</v>
      </c>
      <c r="L61" t="s">
        <v>34</v>
      </c>
      <c r="M61">
        <v>35000</v>
      </c>
      <c r="N61">
        <v>6.4</v>
      </c>
      <c r="O61">
        <v>5.3</v>
      </c>
      <c r="P61">
        <v>1</v>
      </c>
      <c r="Q61">
        <v>0.6</v>
      </c>
      <c r="R61">
        <v>4</v>
      </c>
      <c r="S61">
        <v>2</v>
      </c>
      <c r="T61">
        <v>3</v>
      </c>
      <c r="U61" t="s">
        <v>23</v>
      </c>
      <c r="V61">
        <v>3</v>
      </c>
      <c r="W61">
        <f>COUNTIF($A$2:A61,A61)</f>
        <v>1</v>
      </c>
    </row>
    <row r="62" spans="1:23" x14ac:dyDescent="0.35">
      <c r="A62" t="s">
        <v>1522</v>
      </c>
      <c r="B62" s="2">
        <v>44827</v>
      </c>
      <c r="C62" s="2">
        <v>45686</v>
      </c>
      <c r="D62" t="s">
        <v>30</v>
      </c>
      <c r="E62">
        <v>27</v>
      </c>
      <c r="F62" t="s">
        <v>24</v>
      </c>
      <c r="G62" t="s">
        <v>37</v>
      </c>
      <c r="H62" t="s">
        <v>32</v>
      </c>
      <c r="I62" t="s">
        <v>38</v>
      </c>
      <c r="J62" t="s">
        <v>118</v>
      </c>
      <c r="K62">
        <v>1</v>
      </c>
      <c r="L62" t="s">
        <v>50</v>
      </c>
      <c r="M62">
        <v>37000</v>
      </c>
      <c r="N62">
        <v>11</v>
      </c>
      <c r="O62">
        <v>4.7</v>
      </c>
      <c r="P62">
        <v>2.4</v>
      </c>
      <c r="Q62">
        <v>0.9</v>
      </c>
      <c r="R62">
        <v>4</v>
      </c>
      <c r="S62">
        <v>2</v>
      </c>
      <c r="T62">
        <v>3</v>
      </c>
      <c r="U62" t="s">
        <v>23</v>
      </c>
      <c r="V62">
        <v>4</v>
      </c>
      <c r="W62">
        <f>COUNTIF($A$2:A62,A62)</f>
        <v>1</v>
      </c>
    </row>
    <row r="63" spans="1:23" x14ac:dyDescent="0.35">
      <c r="A63" t="s">
        <v>935</v>
      </c>
      <c r="B63" s="2">
        <v>44849</v>
      </c>
      <c r="C63" s="2">
        <v>45894</v>
      </c>
      <c r="D63" t="s">
        <v>30</v>
      </c>
      <c r="E63">
        <v>25</v>
      </c>
      <c r="F63" t="s">
        <v>36</v>
      </c>
      <c r="G63" t="s">
        <v>25</v>
      </c>
      <c r="H63" t="s">
        <v>32</v>
      </c>
      <c r="I63" t="s">
        <v>27</v>
      </c>
      <c r="J63" t="s">
        <v>33</v>
      </c>
      <c r="K63">
        <v>1</v>
      </c>
      <c r="L63" t="s">
        <v>50</v>
      </c>
      <c r="M63">
        <v>29000</v>
      </c>
      <c r="N63">
        <v>7.1</v>
      </c>
      <c r="O63">
        <v>8</v>
      </c>
      <c r="P63">
        <v>2.9</v>
      </c>
      <c r="Q63">
        <v>1.3</v>
      </c>
      <c r="R63">
        <v>4</v>
      </c>
      <c r="S63">
        <v>3</v>
      </c>
      <c r="T63">
        <v>4</v>
      </c>
      <c r="U63" t="s">
        <v>30</v>
      </c>
      <c r="V63">
        <v>3</v>
      </c>
      <c r="W63">
        <f>COUNTIF($A$2:A63,A63)</f>
        <v>1</v>
      </c>
    </row>
    <row r="64" spans="1:23" x14ac:dyDescent="0.35">
      <c r="A64" t="s">
        <v>234</v>
      </c>
      <c r="B64" s="2">
        <v>44635</v>
      </c>
      <c r="D64" t="s">
        <v>23</v>
      </c>
      <c r="E64">
        <v>45</v>
      </c>
      <c r="F64" t="s">
        <v>36</v>
      </c>
      <c r="G64" t="s">
        <v>25</v>
      </c>
      <c r="H64" t="s">
        <v>58</v>
      </c>
      <c r="I64" t="s">
        <v>48</v>
      </c>
      <c r="J64" t="s">
        <v>129</v>
      </c>
      <c r="K64">
        <v>5</v>
      </c>
      <c r="L64" t="s">
        <v>29</v>
      </c>
      <c r="M64">
        <v>164000</v>
      </c>
      <c r="N64">
        <v>4</v>
      </c>
      <c r="O64">
        <v>6.2</v>
      </c>
      <c r="P64">
        <v>3.8</v>
      </c>
      <c r="Q64">
        <v>3.8</v>
      </c>
      <c r="R64">
        <v>3</v>
      </c>
      <c r="S64">
        <v>4</v>
      </c>
      <c r="T64">
        <v>2</v>
      </c>
      <c r="U64" t="s">
        <v>23</v>
      </c>
      <c r="V64">
        <v>3</v>
      </c>
      <c r="W64">
        <f>COUNTIF($A$2:A64,A64)</f>
        <v>1</v>
      </c>
    </row>
    <row r="65" spans="1:23" x14ac:dyDescent="0.35">
      <c r="A65" t="s">
        <v>280</v>
      </c>
      <c r="B65" s="2">
        <v>43100</v>
      </c>
      <c r="D65" t="s">
        <v>23</v>
      </c>
      <c r="E65">
        <v>48</v>
      </c>
      <c r="F65" t="s">
        <v>36</v>
      </c>
      <c r="G65" t="s">
        <v>37</v>
      </c>
      <c r="H65" t="s">
        <v>58</v>
      </c>
      <c r="I65" t="s">
        <v>68</v>
      </c>
      <c r="J65" t="s">
        <v>102</v>
      </c>
      <c r="K65">
        <v>5</v>
      </c>
      <c r="L65" t="s">
        <v>40</v>
      </c>
      <c r="M65">
        <v>163000</v>
      </c>
      <c r="N65">
        <v>2.9</v>
      </c>
      <c r="O65">
        <v>14</v>
      </c>
      <c r="P65">
        <v>8</v>
      </c>
      <c r="Q65">
        <v>0.3</v>
      </c>
      <c r="R65">
        <v>3</v>
      </c>
      <c r="S65">
        <v>3</v>
      </c>
      <c r="T65">
        <v>3</v>
      </c>
      <c r="U65" t="s">
        <v>30</v>
      </c>
      <c r="V65">
        <v>5</v>
      </c>
      <c r="W65">
        <f>COUNTIF($A$2:A65,A65)</f>
        <v>1</v>
      </c>
    </row>
    <row r="66" spans="1:23" x14ac:dyDescent="0.35">
      <c r="A66" t="s">
        <v>673</v>
      </c>
      <c r="B66" s="2">
        <v>43017</v>
      </c>
      <c r="D66" t="s">
        <v>23</v>
      </c>
      <c r="E66">
        <v>42</v>
      </c>
      <c r="F66" t="s">
        <v>62</v>
      </c>
      <c r="G66" t="s">
        <v>42</v>
      </c>
      <c r="H66" t="s">
        <v>32</v>
      </c>
      <c r="I66" t="s">
        <v>45</v>
      </c>
      <c r="J66" t="s">
        <v>97</v>
      </c>
      <c r="K66">
        <v>3</v>
      </c>
      <c r="L66" t="s">
        <v>50</v>
      </c>
      <c r="M66">
        <v>66000</v>
      </c>
      <c r="N66">
        <v>10.8</v>
      </c>
      <c r="O66">
        <v>13.3</v>
      </c>
      <c r="P66">
        <v>8.1999999999999993</v>
      </c>
      <c r="Q66">
        <v>5.4</v>
      </c>
      <c r="R66">
        <v>3</v>
      </c>
      <c r="S66">
        <v>3</v>
      </c>
      <c r="T66">
        <v>3</v>
      </c>
      <c r="U66" t="s">
        <v>23</v>
      </c>
      <c r="V66">
        <v>3</v>
      </c>
      <c r="W66">
        <f>COUNTIF($A$2:A66,A66)</f>
        <v>1</v>
      </c>
    </row>
    <row r="67" spans="1:23" x14ac:dyDescent="0.35">
      <c r="A67" t="s">
        <v>394</v>
      </c>
      <c r="B67" s="2">
        <v>44084</v>
      </c>
      <c r="D67" t="s">
        <v>23</v>
      </c>
      <c r="E67">
        <v>27</v>
      </c>
      <c r="F67" t="s">
        <v>36</v>
      </c>
      <c r="G67" t="s">
        <v>42</v>
      </c>
      <c r="H67" t="s">
        <v>58</v>
      </c>
      <c r="I67" t="s">
        <v>68</v>
      </c>
      <c r="J67" t="s">
        <v>69</v>
      </c>
      <c r="K67">
        <v>1</v>
      </c>
      <c r="L67" t="s">
        <v>50</v>
      </c>
      <c r="M67">
        <v>33000</v>
      </c>
      <c r="N67">
        <v>0</v>
      </c>
      <c r="O67">
        <v>13.1</v>
      </c>
      <c r="P67">
        <v>5.3</v>
      </c>
      <c r="Q67">
        <v>2.8</v>
      </c>
      <c r="R67">
        <v>2</v>
      </c>
      <c r="S67">
        <v>4</v>
      </c>
      <c r="T67">
        <v>4</v>
      </c>
      <c r="U67" t="s">
        <v>30</v>
      </c>
      <c r="V67">
        <v>3</v>
      </c>
      <c r="W67">
        <f>COUNTIF($A$2:A67,A67)</f>
        <v>1</v>
      </c>
    </row>
    <row r="68" spans="1:23" x14ac:dyDescent="0.35">
      <c r="A68" t="s">
        <v>1396</v>
      </c>
      <c r="B68" s="2">
        <v>42136</v>
      </c>
      <c r="D68" t="s">
        <v>23</v>
      </c>
      <c r="E68">
        <v>31</v>
      </c>
      <c r="F68" t="s">
        <v>62</v>
      </c>
      <c r="G68" t="s">
        <v>37</v>
      </c>
      <c r="H68" t="s">
        <v>54</v>
      </c>
      <c r="I68" t="s">
        <v>48</v>
      </c>
      <c r="J68" t="s">
        <v>63</v>
      </c>
      <c r="K68">
        <v>2</v>
      </c>
      <c r="L68" t="s">
        <v>84</v>
      </c>
      <c r="M68">
        <v>44000</v>
      </c>
      <c r="N68">
        <v>15.5</v>
      </c>
      <c r="O68">
        <v>18.399999999999999</v>
      </c>
      <c r="P68">
        <v>10.6</v>
      </c>
      <c r="Q68">
        <v>4.8</v>
      </c>
      <c r="R68">
        <v>3</v>
      </c>
      <c r="S68">
        <v>3</v>
      </c>
      <c r="T68">
        <v>4</v>
      </c>
      <c r="U68" t="s">
        <v>23</v>
      </c>
      <c r="V68">
        <v>1</v>
      </c>
      <c r="W68">
        <f>COUNTIF($A$2:A68,A68)</f>
        <v>1</v>
      </c>
    </row>
    <row r="69" spans="1:23" x14ac:dyDescent="0.35">
      <c r="A69" t="s">
        <v>1299</v>
      </c>
      <c r="B69" s="2">
        <v>42999</v>
      </c>
      <c r="D69" t="s">
        <v>23</v>
      </c>
      <c r="E69">
        <v>30</v>
      </c>
      <c r="F69" t="s">
        <v>24</v>
      </c>
      <c r="G69" t="s">
        <v>25</v>
      </c>
      <c r="H69" t="s">
        <v>54</v>
      </c>
      <c r="I69" t="s">
        <v>45</v>
      </c>
      <c r="J69" t="s">
        <v>77</v>
      </c>
      <c r="K69">
        <v>3</v>
      </c>
      <c r="L69" t="s">
        <v>29</v>
      </c>
      <c r="M69">
        <v>73000</v>
      </c>
      <c r="N69">
        <v>14.8</v>
      </c>
      <c r="O69">
        <v>8.5</v>
      </c>
      <c r="P69">
        <v>8.3000000000000007</v>
      </c>
      <c r="Q69">
        <v>5.3</v>
      </c>
      <c r="R69">
        <v>2</v>
      </c>
      <c r="S69">
        <v>3</v>
      </c>
      <c r="T69">
        <v>4</v>
      </c>
      <c r="U69" t="s">
        <v>23</v>
      </c>
      <c r="V69">
        <v>3</v>
      </c>
      <c r="W69">
        <f>COUNTIF($A$2:A69,A69)</f>
        <v>1</v>
      </c>
    </row>
    <row r="70" spans="1:23" x14ac:dyDescent="0.35">
      <c r="A70" t="s">
        <v>1251</v>
      </c>
      <c r="B70" s="2">
        <v>45719</v>
      </c>
      <c r="C70" s="2">
        <v>45839</v>
      </c>
      <c r="D70" t="s">
        <v>30</v>
      </c>
      <c r="E70">
        <v>41</v>
      </c>
      <c r="F70" t="s">
        <v>62</v>
      </c>
      <c r="G70" t="s">
        <v>42</v>
      </c>
      <c r="H70" t="s">
        <v>32</v>
      </c>
      <c r="I70" t="s">
        <v>68</v>
      </c>
      <c r="J70" t="s">
        <v>121</v>
      </c>
      <c r="K70">
        <v>2</v>
      </c>
      <c r="L70" t="s">
        <v>34</v>
      </c>
      <c r="M70">
        <v>53000</v>
      </c>
      <c r="N70">
        <v>5.0999999999999996</v>
      </c>
      <c r="O70">
        <v>7.4</v>
      </c>
      <c r="P70">
        <v>0.3</v>
      </c>
      <c r="Q70">
        <v>0</v>
      </c>
      <c r="R70">
        <v>4</v>
      </c>
      <c r="S70">
        <v>3</v>
      </c>
      <c r="T70">
        <v>3</v>
      </c>
      <c r="U70" t="s">
        <v>30</v>
      </c>
      <c r="V70">
        <v>4</v>
      </c>
      <c r="W70">
        <f>COUNTIF($A$2:A70,A70)</f>
        <v>1</v>
      </c>
    </row>
    <row r="71" spans="1:23" x14ac:dyDescent="0.35">
      <c r="A71" t="s">
        <v>675</v>
      </c>
      <c r="B71" s="2">
        <v>43282</v>
      </c>
      <c r="D71" t="s">
        <v>23</v>
      </c>
      <c r="E71">
        <v>34</v>
      </c>
      <c r="F71" t="s">
        <v>36</v>
      </c>
      <c r="G71" t="s">
        <v>25</v>
      </c>
      <c r="H71" t="s">
        <v>58</v>
      </c>
      <c r="I71" t="s">
        <v>45</v>
      </c>
      <c r="J71" t="s">
        <v>164</v>
      </c>
      <c r="K71">
        <v>4</v>
      </c>
      <c r="L71" t="s">
        <v>50</v>
      </c>
      <c r="M71">
        <v>98000</v>
      </c>
      <c r="N71">
        <v>9.3000000000000007</v>
      </c>
      <c r="O71">
        <v>9.1999999999999993</v>
      </c>
      <c r="P71">
        <v>7.5</v>
      </c>
      <c r="Q71">
        <v>2.7</v>
      </c>
      <c r="R71">
        <v>3</v>
      </c>
      <c r="S71">
        <v>2</v>
      </c>
      <c r="T71">
        <v>3</v>
      </c>
      <c r="U71" t="s">
        <v>23</v>
      </c>
      <c r="V71">
        <v>5</v>
      </c>
      <c r="W71">
        <f>COUNTIF($A$2:A71,A71)</f>
        <v>1</v>
      </c>
    </row>
    <row r="72" spans="1:23" x14ac:dyDescent="0.35">
      <c r="A72" t="s">
        <v>606</v>
      </c>
      <c r="B72" s="2">
        <v>45391</v>
      </c>
      <c r="D72" t="s">
        <v>23</v>
      </c>
      <c r="E72">
        <v>34</v>
      </c>
      <c r="F72" t="s">
        <v>24</v>
      </c>
      <c r="G72" t="s">
        <v>25</v>
      </c>
      <c r="H72" t="s">
        <v>32</v>
      </c>
      <c r="I72" t="s">
        <v>48</v>
      </c>
      <c r="J72" t="s">
        <v>129</v>
      </c>
      <c r="K72">
        <v>2</v>
      </c>
      <c r="L72" t="s">
        <v>50</v>
      </c>
      <c r="M72">
        <v>61000</v>
      </c>
      <c r="N72">
        <v>15.3</v>
      </c>
      <c r="O72">
        <v>6.9</v>
      </c>
      <c r="P72">
        <v>1.7</v>
      </c>
      <c r="Q72">
        <v>1</v>
      </c>
      <c r="R72">
        <v>3</v>
      </c>
      <c r="S72">
        <v>1</v>
      </c>
      <c r="T72">
        <v>4</v>
      </c>
      <c r="U72" t="s">
        <v>23</v>
      </c>
      <c r="V72">
        <v>3</v>
      </c>
      <c r="W72">
        <f>COUNTIF($A$2:A72,A72)</f>
        <v>1</v>
      </c>
    </row>
    <row r="73" spans="1:23" x14ac:dyDescent="0.35">
      <c r="A73" t="s">
        <v>1068</v>
      </c>
      <c r="B73" s="2">
        <v>42438</v>
      </c>
      <c r="D73" t="s">
        <v>23</v>
      </c>
      <c r="E73">
        <v>48</v>
      </c>
      <c r="F73" t="s">
        <v>24</v>
      </c>
      <c r="G73" t="s">
        <v>37</v>
      </c>
      <c r="H73" t="s">
        <v>26</v>
      </c>
      <c r="I73" t="s">
        <v>59</v>
      </c>
      <c r="J73" t="s">
        <v>86</v>
      </c>
      <c r="K73">
        <v>3</v>
      </c>
      <c r="L73" t="s">
        <v>40</v>
      </c>
      <c r="M73">
        <v>58000</v>
      </c>
      <c r="N73">
        <v>8.4</v>
      </c>
      <c r="O73">
        <v>14.6</v>
      </c>
      <c r="P73">
        <v>9.8000000000000007</v>
      </c>
      <c r="Q73">
        <v>1.7</v>
      </c>
      <c r="R73">
        <v>4</v>
      </c>
      <c r="S73">
        <v>4</v>
      </c>
      <c r="T73">
        <v>4</v>
      </c>
      <c r="U73" t="s">
        <v>30</v>
      </c>
      <c r="V73">
        <v>4</v>
      </c>
      <c r="W73">
        <f>COUNTIF($A$2:A73,A73)</f>
        <v>1</v>
      </c>
    </row>
    <row r="74" spans="1:23" x14ac:dyDescent="0.35">
      <c r="A74" t="s">
        <v>714</v>
      </c>
      <c r="B74" s="2">
        <v>44896</v>
      </c>
      <c r="C74" s="2">
        <v>45873</v>
      </c>
      <c r="D74" t="s">
        <v>30</v>
      </c>
      <c r="E74">
        <v>35</v>
      </c>
      <c r="F74" t="s">
        <v>24</v>
      </c>
      <c r="G74" t="s">
        <v>42</v>
      </c>
      <c r="H74" t="s">
        <v>32</v>
      </c>
      <c r="I74" t="s">
        <v>38</v>
      </c>
      <c r="J74" t="s">
        <v>39</v>
      </c>
      <c r="K74">
        <v>3</v>
      </c>
      <c r="L74" t="s">
        <v>66</v>
      </c>
      <c r="M74">
        <v>81000</v>
      </c>
      <c r="N74">
        <v>8.1999999999999993</v>
      </c>
      <c r="O74">
        <v>6.9</v>
      </c>
      <c r="P74">
        <v>2.7</v>
      </c>
      <c r="Q74">
        <v>2</v>
      </c>
      <c r="R74">
        <v>2</v>
      </c>
      <c r="S74">
        <v>3</v>
      </c>
      <c r="T74">
        <v>4</v>
      </c>
      <c r="U74" t="s">
        <v>23</v>
      </c>
      <c r="V74">
        <v>3</v>
      </c>
      <c r="W74">
        <f>COUNTIF($A$2:A74,A74)</f>
        <v>1</v>
      </c>
    </row>
    <row r="75" spans="1:23" x14ac:dyDescent="0.35">
      <c r="A75" t="s">
        <v>1558</v>
      </c>
      <c r="B75" s="2">
        <v>42850</v>
      </c>
      <c r="D75" t="s">
        <v>23</v>
      </c>
      <c r="E75">
        <v>29</v>
      </c>
      <c r="F75" t="s">
        <v>62</v>
      </c>
      <c r="G75" t="s">
        <v>37</v>
      </c>
      <c r="H75" t="s">
        <v>26</v>
      </c>
      <c r="I75" t="s">
        <v>38</v>
      </c>
      <c r="J75" t="s">
        <v>39</v>
      </c>
      <c r="K75">
        <v>3</v>
      </c>
      <c r="L75" t="s">
        <v>40</v>
      </c>
      <c r="M75">
        <v>94000</v>
      </c>
      <c r="N75">
        <v>10.4</v>
      </c>
      <c r="O75">
        <v>14.2</v>
      </c>
      <c r="P75">
        <v>8.6999999999999993</v>
      </c>
      <c r="Q75">
        <v>2.9</v>
      </c>
      <c r="R75">
        <v>3</v>
      </c>
      <c r="S75">
        <v>4</v>
      </c>
      <c r="T75">
        <v>2</v>
      </c>
      <c r="U75" t="s">
        <v>30</v>
      </c>
      <c r="V75">
        <v>2</v>
      </c>
      <c r="W75">
        <f>COUNTIF($A$2:A75,A75)</f>
        <v>1</v>
      </c>
    </row>
    <row r="76" spans="1:23" x14ac:dyDescent="0.35">
      <c r="A76" t="s">
        <v>67</v>
      </c>
      <c r="B76" s="2">
        <v>43360</v>
      </c>
      <c r="D76" t="s">
        <v>23</v>
      </c>
      <c r="E76">
        <v>39</v>
      </c>
      <c r="F76" t="s">
        <v>24</v>
      </c>
      <c r="G76" t="s">
        <v>42</v>
      </c>
      <c r="H76" t="s">
        <v>54</v>
      </c>
      <c r="I76" t="s">
        <v>68</v>
      </c>
      <c r="J76" t="s">
        <v>69</v>
      </c>
      <c r="K76">
        <v>2</v>
      </c>
      <c r="L76" t="s">
        <v>40</v>
      </c>
      <c r="M76">
        <v>56000</v>
      </c>
      <c r="N76">
        <v>12.3</v>
      </c>
      <c r="O76">
        <v>13.6</v>
      </c>
      <c r="P76">
        <v>7.3</v>
      </c>
      <c r="Q76">
        <v>0.7</v>
      </c>
      <c r="R76">
        <v>3</v>
      </c>
      <c r="S76">
        <v>3</v>
      </c>
      <c r="T76">
        <v>4</v>
      </c>
      <c r="U76" t="s">
        <v>23</v>
      </c>
      <c r="V76">
        <v>4</v>
      </c>
      <c r="W76">
        <f>COUNTIF($A$2:A76,A76)</f>
        <v>1</v>
      </c>
    </row>
    <row r="77" spans="1:23" x14ac:dyDescent="0.35">
      <c r="A77" t="s">
        <v>1188</v>
      </c>
      <c r="B77" s="2">
        <v>43888</v>
      </c>
      <c r="D77" t="s">
        <v>23</v>
      </c>
      <c r="E77">
        <v>27</v>
      </c>
      <c r="F77" t="s">
        <v>24</v>
      </c>
      <c r="G77" t="s">
        <v>37</v>
      </c>
      <c r="H77" t="s">
        <v>26</v>
      </c>
      <c r="I77" t="s">
        <v>48</v>
      </c>
      <c r="J77" t="s">
        <v>129</v>
      </c>
      <c r="K77">
        <v>1</v>
      </c>
      <c r="L77" t="s">
        <v>34</v>
      </c>
      <c r="M77">
        <v>30000</v>
      </c>
      <c r="N77">
        <v>12</v>
      </c>
      <c r="O77">
        <v>8.3000000000000007</v>
      </c>
      <c r="P77">
        <v>5.8</v>
      </c>
      <c r="Q77">
        <v>1.5</v>
      </c>
      <c r="R77">
        <v>3</v>
      </c>
      <c r="S77">
        <v>4</v>
      </c>
      <c r="T77">
        <v>3</v>
      </c>
      <c r="U77" t="s">
        <v>23</v>
      </c>
      <c r="V77">
        <v>3</v>
      </c>
      <c r="W77">
        <f>COUNTIF($A$2:A77,A77)</f>
        <v>1</v>
      </c>
    </row>
    <row r="78" spans="1:23" x14ac:dyDescent="0.35">
      <c r="A78" t="s">
        <v>294</v>
      </c>
      <c r="B78" s="2">
        <v>43535</v>
      </c>
      <c r="D78" t="s">
        <v>23</v>
      </c>
      <c r="E78">
        <v>33</v>
      </c>
      <c r="F78" t="s">
        <v>62</v>
      </c>
      <c r="G78" t="s">
        <v>37</v>
      </c>
      <c r="H78" t="s">
        <v>58</v>
      </c>
      <c r="I78" t="s">
        <v>38</v>
      </c>
      <c r="J78" t="s">
        <v>39</v>
      </c>
      <c r="K78">
        <v>4</v>
      </c>
      <c r="L78" t="s">
        <v>66</v>
      </c>
      <c r="M78">
        <v>125000</v>
      </c>
      <c r="N78">
        <v>14.1</v>
      </c>
      <c r="O78">
        <v>7.8</v>
      </c>
      <c r="P78">
        <v>6.8</v>
      </c>
      <c r="Q78">
        <v>2.1</v>
      </c>
      <c r="R78">
        <v>3</v>
      </c>
      <c r="S78">
        <v>3</v>
      </c>
      <c r="T78">
        <v>3</v>
      </c>
      <c r="U78" t="s">
        <v>23</v>
      </c>
      <c r="V78">
        <v>4</v>
      </c>
      <c r="W78">
        <f>COUNTIF($A$2:A78,A78)</f>
        <v>1</v>
      </c>
    </row>
    <row r="79" spans="1:23" x14ac:dyDescent="0.35">
      <c r="A79" t="s">
        <v>545</v>
      </c>
      <c r="B79" s="2">
        <v>43745</v>
      </c>
      <c r="D79" t="s">
        <v>23</v>
      </c>
      <c r="E79">
        <v>37</v>
      </c>
      <c r="F79" t="s">
        <v>36</v>
      </c>
      <c r="G79" t="s">
        <v>25</v>
      </c>
      <c r="H79" t="s">
        <v>26</v>
      </c>
      <c r="I79" t="s">
        <v>68</v>
      </c>
      <c r="J79" t="s">
        <v>69</v>
      </c>
      <c r="K79">
        <v>2</v>
      </c>
      <c r="L79" t="s">
        <v>66</v>
      </c>
      <c r="M79">
        <v>51000</v>
      </c>
      <c r="N79">
        <v>8.1</v>
      </c>
      <c r="O79">
        <v>9</v>
      </c>
      <c r="P79">
        <v>6.2</v>
      </c>
      <c r="Q79">
        <v>3.3</v>
      </c>
      <c r="R79">
        <v>3</v>
      </c>
      <c r="S79">
        <v>2</v>
      </c>
      <c r="T79">
        <v>3</v>
      </c>
      <c r="U79" t="s">
        <v>30</v>
      </c>
      <c r="V79">
        <v>3</v>
      </c>
      <c r="W79">
        <f>COUNTIF($A$2:A79,A79)</f>
        <v>1</v>
      </c>
    </row>
    <row r="80" spans="1:23" x14ac:dyDescent="0.35">
      <c r="A80" t="s">
        <v>789</v>
      </c>
      <c r="B80" s="2">
        <v>44745</v>
      </c>
      <c r="D80" t="s">
        <v>23</v>
      </c>
      <c r="E80">
        <v>39</v>
      </c>
      <c r="F80" t="s">
        <v>24</v>
      </c>
      <c r="G80" t="s">
        <v>37</v>
      </c>
      <c r="H80" t="s">
        <v>32</v>
      </c>
      <c r="I80" t="s">
        <v>45</v>
      </c>
      <c r="J80" t="s">
        <v>77</v>
      </c>
      <c r="K80">
        <v>1</v>
      </c>
      <c r="L80" t="s">
        <v>34</v>
      </c>
      <c r="M80">
        <v>39000</v>
      </c>
      <c r="N80">
        <v>14.2</v>
      </c>
      <c r="O80">
        <v>4.9000000000000004</v>
      </c>
      <c r="P80">
        <v>3.5</v>
      </c>
      <c r="Q80">
        <v>0.5</v>
      </c>
      <c r="R80">
        <v>4</v>
      </c>
      <c r="S80">
        <v>3</v>
      </c>
      <c r="T80">
        <v>2</v>
      </c>
      <c r="U80" t="s">
        <v>23</v>
      </c>
      <c r="V80">
        <v>4</v>
      </c>
      <c r="W80">
        <f>COUNTIF($A$2:A80,A80)</f>
        <v>1</v>
      </c>
    </row>
    <row r="81" spans="1:23" x14ac:dyDescent="0.35">
      <c r="A81" t="s">
        <v>864</v>
      </c>
      <c r="B81" s="2">
        <v>44332</v>
      </c>
      <c r="D81" t="s">
        <v>23</v>
      </c>
      <c r="E81">
        <v>38</v>
      </c>
      <c r="F81" t="s">
        <v>36</v>
      </c>
      <c r="G81" t="s">
        <v>42</v>
      </c>
      <c r="H81" t="s">
        <v>54</v>
      </c>
      <c r="I81" t="s">
        <v>48</v>
      </c>
      <c r="J81" t="s">
        <v>201</v>
      </c>
      <c r="K81">
        <v>2</v>
      </c>
      <c r="L81" t="s">
        <v>34</v>
      </c>
      <c r="M81">
        <v>52000</v>
      </c>
      <c r="N81">
        <v>10.3</v>
      </c>
      <c r="O81">
        <v>5.3</v>
      </c>
      <c r="P81">
        <v>4.5999999999999996</v>
      </c>
      <c r="Q81">
        <v>0.2</v>
      </c>
      <c r="R81">
        <v>4</v>
      </c>
      <c r="S81">
        <v>2</v>
      </c>
      <c r="T81">
        <v>3</v>
      </c>
      <c r="U81" t="s">
        <v>23</v>
      </c>
      <c r="V81">
        <v>4</v>
      </c>
      <c r="W81">
        <f>COUNTIF($A$2:A81,A81)</f>
        <v>1</v>
      </c>
    </row>
    <row r="82" spans="1:23" x14ac:dyDescent="0.35">
      <c r="A82" t="s">
        <v>387</v>
      </c>
      <c r="B82" s="2">
        <v>44992</v>
      </c>
      <c r="D82" t="s">
        <v>23</v>
      </c>
      <c r="E82">
        <v>34</v>
      </c>
      <c r="F82" t="s">
        <v>62</v>
      </c>
      <c r="G82" t="s">
        <v>37</v>
      </c>
      <c r="H82" t="s">
        <v>26</v>
      </c>
      <c r="I82" t="s">
        <v>27</v>
      </c>
      <c r="J82" t="s">
        <v>33</v>
      </c>
      <c r="K82">
        <v>2</v>
      </c>
      <c r="L82" t="s">
        <v>40</v>
      </c>
      <c r="M82">
        <v>56000</v>
      </c>
      <c r="N82">
        <v>5.7</v>
      </c>
      <c r="O82">
        <v>8.1999999999999993</v>
      </c>
      <c r="P82">
        <v>2.8</v>
      </c>
      <c r="Q82">
        <v>1.7</v>
      </c>
      <c r="R82">
        <v>3</v>
      </c>
      <c r="S82">
        <v>3</v>
      </c>
      <c r="T82">
        <v>3</v>
      </c>
      <c r="U82" t="s">
        <v>23</v>
      </c>
      <c r="V82">
        <v>3</v>
      </c>
      <c r="W82">
        <f>COUNTIF($A$2:A82,A82)</f>
        <v>1</v>
      </c>
    </row>
    <row r="83" spans="1:23" x14ac:dyDescent="0.35">
      <c r="A83" t="s">
        <v>557</v>
      </c>
      <c r="B83" s="2">
        <v>44315</v>
      </c>
      <c r="C83" s="2">
        <v>45912</v>
      </c>
      <c r="D83" t="s">
        <v>30</v>
      </c>
      <c r="E83">
        <v>26</v>
      </c>
      <c r="F83" t="s">
        <v>62</v>
      </c>
      <c r="G83" t="s">
        <v>42</v>
      </c>
      <c r="H83" t="s">
        <v>26</v>
      </c>
      <c r="I83" t="s">
        <v>68</v>
      </c>
      <c r="J83" t="s">
        <v>109</v>
      </c>
      <c r="K83">
        <v>1</v>
      </c>
      <c r="L83" t="s">
        <v>34</v>
      </c>
      <c r="M83">
        <v>23000</v>
      </c>
      <c r="N83">
        <v>13.6</v>
      </c>
      <c r="O83">
        <v>10.3</v>
      </c>
      <c r="P83">
        <v>4.4000000000000004</v>
      </c>
      <c r="Q83">
        <v>0.8</v>
      </c>
      <c r="R83">
        <v>3</v>
      </c>
      <c r="S83">
        <v>3</v>
      </c>
      <c r="T83">
        <v>3</v>
      </c>
      <c r="U83" t="s">
        <v>23</v>
      </c>
      <c r="V83">
        <v>3</v>
      </c>
      <c r="W83">
        <f>COUNTIF($A$2:A83,A83)</f>
        <v>1</v>
      </c>
    </row>
    <row r="84" spans="1:23" x14ac:dyDescent="0.35">
      <c r="A84" t="s">
        <v>946</v>
      </c>
      <c r="B84" s="2">
        <v>43948</v>
      </c>
      <c r="D84" t="s">
        <v>23</v>
      </c>
      <c r="E84">
        <v>37</v>
      </c>
      <c r="F84" t="s">
        <v>24</v>
      </c>
      <c r="G84" t="s">
        <v>25</v>
      </c>
      <c r="H84" t="s">
        <v>54</v>
      </c>
      <c r="I84" t="s">
        <v>59</v>
      </c>
      <c r="J84" t="s">
        <v>75</v>
      </c>
      <c r="K84">
        <v>2</v>
      </c>
      <c r="L84" t="s">
        <v>29</v>
      </c>
      <c r="M84">
        <v>57000</v>
      </c>
      <c r="N84">
        <v>9</v>
      </c>
      <c r="O84">
        <v>8.9</v>
      </c>
      <c r="P84">
        <v>5.7</v>
      </c>
      <c r="Q84">
        <v>3.6</v>
      </c>
      <c r="R84">
        <v>3</v>
      </c>
      <c r="S84">
        <v>3</v>
      </c>
      <c r="T84">
        <v>3</v>
      </c>
      <c r="U84" t="s">
        <v>30</v>
      </c>
      <c r="V84">
        <v>5</v>
      </c>
      <c r="W84">
        <f>COUNTIF($A$2:A84,A84)</f>
        <v>1</v>
      </c>
    </row>
    <row r="85" spans="1:23" x14ac:dyDescent="0.35">
      <c r="A85" t="s">
        <v>1119</v>
      </c>
      <c r="B85" s="2">
        <v>45461</v>
      </c>
      <c r="C85" s="2">
        <v>45816</v>
      </c>
      <c r="D85" t="s">
        <v>30</v>
      </c>
      <c r="E85">
        <v>34</v>
      </c>
      <c r="F85" t="s">
        <v>62</v>
      </c>
      <c r="G85" t="s">
        <v>25</v>
      </c>
      <c r="H85" t="s">
        <v>32</v>
      </c>
      <c r="I85" t="s">
        <v>68</v>
      </c>
      <c r="J85" t="s">
        <v>102</v>
      </c>
      <c r="K85">
        <v>2</v>
      </c>
      <c r="L85" t="s">
        <v>84</v>
      </c>
      <c r="M85">
        <v>47000</v>
      </c>
      <c r="N85">
        <v>12.9</v>
      </c>
      <c r="O85">
        <v>6.9</v>
      </c>
      <c r="P85">
        <v>1</v>
      </c>
      <c r="Q85">
        <v>0.2</v>
      </c>
      <c r="R85">
        <v>3</v>
      </c>
      <c r="S85">
        <v>4</v>
      </c>
      <c r="T85">
        <v>2</v>
      </c>
      <c r="U85" t="s">
        <v>23</v>
      </c>
      <c r="V85">
        <v>4</v>
      </c>
      <c r="W85">
        <f>COUNTIF($A$2:A85,A85)</f>
        <v>1</v>
      </c>
    </row>
    <row r="86" spans="1:23" x14ac:dyDescent="0.35">
      <c r="A86" t="s">
        <v>716</v>
      </c>
      <c r="B86" s="2">
        <v>45335</v>
      </c>
      <c r="D86" t="s">
        <v>23</v>
      </c>
      <c r="E86">
        <v>27</v>
      </c>
      <c r="F86" t="s">
        <v>62</v>
      </c>
      <c r="G86" t="s">
        <v>25</v>
      </c>
      <c r="H86" t="s">
        <v>54</v>
      </c>
      <c r="I86" t="s">
        <v>68</v>
      </c>
      <c r="J86" t="s">
        <v>109</v>
      </c>
      <c r="K86">
        <v>1</v>
      </c>
      <c r="L86" t="s">
        <v>29</v>
      </c>
      <c r="M86">
        <v>31000</v>
      </c>
      <c r="N86">
        <v>10.7</v>
      </c>
      <c r="O86">
        <v>8</v>
      </c>
      <c r="P86">
        <v>1.9</v>
      </c>
      <c r="Q86">
        <v>1.2</v>
      </c>
      <c r="R86">
        <v>2</v>
      </c>
      <c r="S86">
        <v>2</v>
      </c>
      <c r="T86">
        <v>4</v>
      </c>
      <c r="U86" t="s">
        <v>30</v>
      </c>
      <c r="V86">
        <v>3</v>
      </c>
      <c r="W86">
        <f>COUNTIF($A$2:A86,A86)</f>
        <v>1</v>
      </c>
    </row>
    <row r="87" spans="1:23" x14ac:dyDescent="0.35">
      <c r="A87" t="s">
        <v>1118</v>
      </c>
      <c r="B87" s="2">
        <v>43798</v>
      </c>
      <c r="C87" s="2">
        <v>45884</v>
      </c>
      <c r="D87" t="s">
        <v>30</v>
      </c>
      <c r="E87">
        <v>27</v>
      </c>
      <c r="F87" t="s">
        <v>36</v>
      </c>
      <c r="G87" t="s">
        <v>42</v>
      </c>
      <c r="H87" t="s">
        <v>26</v>
      </c>
      <c r="I87" t="s">
        <v>27</v>
      </c>
      <c r="J87" t="s">
        <v>28</v>
      </c>
      <c r="K87">
        <v>1</v>
      </c>
      <c r="L87" t="s">
        <v>50</v>
      </c>
      <c r="M87">
        <v>34000</v>
      </c>
      <c r="N87">
        <v>10</v>
      </c>
      <c r="O87">
        <v>10.8</v>
      </c>
      <c r="P87">
        <v>5.7</v>
      </c>
      <c r="Q87">
        <v>4.5</v>
      </c>
      <c r="R87">
        <v>2</v>
      </c>
      <c r="S87">
        <v>3</v>
      </c>
      <c r="T87">
        <v>3</v>
      </c>
      <c r="U87" t="s">
        <v>23</v>
      </c>
      <c r="V87">
        <v>2</v>
      </c>
      <c r="W87">
        <f>COUNTIF($A$2:A87,A87)</f>
        <v>1</v>
      </c>
    </row>
    <row r="88" spans="1:23" x14ac:dyDescent="0.35">
      <c r="A88" t="s">
        <v>148</v>
      </c>
      <c r="B88" s="2">
        <v>42851</v>
      </c>
      <c r="D88" t="s">
        <v>23</v>
      </c>
      <c r="E88">
        <v>30</v>
      </c>
      <c r="F88" t="s">
        <v>62</v>
      </c>
      <c r="G88" t="s">
        <v>25</v>
      </c>
      <c r="H88" t="s">
        <v>32</v>
      </c>
      <c r="I88" t="s">
        <v>68</v>
      </c>
      <c r="J88" t="s">
        <v>69</v>
      </c>
      <c r="K88">
        <v>1</v>
      </c>
      <c r="L88" t="s">
        <v>84</v>
      </c>
      <c r="M88">
        <v>36000</v>
      </c>
      <c r="N88">
        <v>3.2</v>
      </c>
      <c r="O88">
        <v>12.4</v>
      </c>
      <c r="P88">
        <v>8.6999999999999993</v>
      </c>
      <c r="Q88">
        <v>3.3</v>
      </c>
      <c r="R88">
        <v>3</v>
      </c>
      <c r="S88">
        <v>4</v>
      </c>
      <c r="T88">
        <v>4</v>
      </c>
      <c r="U88" t="s">
        <v>23</v>
      </c>
      <c r="V88">
        <v>3</v>
      </c>
      <c r="W88">
        <f>COUNTIF($A$2:A88,A88)</f>
        <v>1</v>
      </c>
    </row>
    <row r="89" spans="1:23" x14ac:dyDescent="0.35">
      <c r="A89" t="s">
        <v>1151</v>
      </c>
      <c r="B89" s="2">
        <v>43219</v>
      </c>
      <c r="D89" t="s">
        <v>23</v>
      </c>
      <c r="E89">
        <v>28</v>
      </c>
      <c r="F89" t="s">
        <v>36</v>
      </c>
      <c r="G89" t="s">
        <v>25</v>
      </c>
      <c r="H89" t="s">
        <v>32</v>
      </c>
      <c r="I89" t="s">
        <v>27</v>
      </c>
      <c r="J89" t="s">
        <v>33</v>
      </c>
      <c r="K89">
        <v>3</v>
      </c>
      <c r="L89" t="s">
        <v>84</v>
      </c>
      <c r="M89">
        <v>72000</v>
      </c>
      <c r="N89">
        <v>10.199999999999999</v>
      </c>
      <c r="O89">
        <v>15.5</v>
      </c>
      <c r="P89">
        <v>7.7</v>
      </c>
      <c r="Q89">
        <v>0.5</v>
      </c>
      <c r="R89">
        <v>4</v>
      </c>
      <c r="S89">
        <v>3</v>
      </c>
      <c r="T89">
        <v>1</v>
      </c>
      <c r="U89" t="s">
        <v>23</v>
      </c>
      <c r="V89">
        <v>4</v>
      </c>
      <c r="W89">
        <f>COUNTIF($A$2:A89,A89)</f>
        <v>1</v>
      </c>
    </row>
    <row r="90" spans="1:23" x14ac:dyDescent="0.35">
      <c r="A90" t="s">
        <v>401</v>
      </c>
      <c r="B90" s="2">
        <v>42603</v>
      </c>
      <c r="D90" t="s">
        <v>23</v>
      </c>
      <c r="E90">
        <v>39</v>
      </c>
      <c r="F90" t="s">
        <v>62</v>
      </c>
      <c r="G90" t="s">
        <v>25</v>
      </c>
      <c r="H90" t="s">
        <v>32</v>
      </c>
      <c r="I90" t="s">
        <v>68</v>
      </c>
      <c r="J90" t="s">
        <v>69</v>
      </c>
      <c r="K90">
        <v>2</v>
      </c>
      <c r="L90" t="s">
        <v>84</v>
      </c>
      <c r="M90">
        <v>51000</v>
      </c>
      <c r="N90">
        <v>8.9</v>
      </c>
      <c r="O90">
        <v>12</v>
      </c>
      <c r="P90">
        <v>9.4</v>
      </c>
      <c r="Q90">
        <v>2</v>
      </c>
      <c r="R90">
        <v>1</v>
      </c>
      <c r="S90">
        <v>3</v>
      </c>
      <c r="T90">
        <v>3</v>
      </c>
      <c r="U90" t="s">
        <v>23</v>
      </c>
      <c r="V90">
        <v>3</v>
      </c>
      <c r="W90">
        <f>COUNTIF($A$2:A90,A90)</f>
        <v>1</v>
      </c>
    </row>
    <row r="91" spans="1:23" x14ac:dyDescent="0.35">
      <c r="A91" t="s">
        <v>1071</v>
      </c>
      <c r="B91" s="2">
        <v>44587</v>
      </c>
      <c r="D91" t="s">
        <v>23</v>
      </c>
      <c r="E91">
        <v>33</v>
      </c>
      <c r="F91" t="s">
        <v>24</v>
      </c>
      <c r="G91" t="s">
        <v>25</v>
      </c>
      <c r="H91" t="s">
        <v>26</v>
      </c>
      <c r="I91" t="s">
        <v>38</v>
      </c>
      <c r="J91" t="s">
        <v>139</v>
      </c>
      <c r="K91">
        <v>4</v>
      </c>
      <c r="L91" t="s">
        <v>29</v>
      </c>
      <c r="M91">
        <v>122000</v>
      </c>
      <c r="N91">
        <v>10.3</v>
      </c>
      <c r="O91">
        <v>9.6</v>
      </c>
      <c r="P91">
        <v>3.9</v>
      </c>
      <c r="Q91">
        <v>0.3</v>
      </c>
      <c r="R91">
        <v>3</v>
      </c>
      <c r="S91">
        <v>3</v>
      </c>
      <c r="T91">
        <v>3</v>
      </c>
      <c r="U91" t="s">
        <v>23</v>
      </c>
      <c r="V91">
        <v>3</v>
      </c>
      <c r="W91">
        <f>COUNTIF($A$2:A91,A91)</f>
        <v>1</v>
      </c>
    </row>
    <row r="92" spans="1:23" x14ac:dyDescent="0.35">
      <c r="A92" t="s">
        <v>1347</v>
      </c>
      <c r="B92" s="2">
        <v>45835</v>
      </c>
      <c r="D92" t="s">
        <v>23</v>
      </c>
      <c r="E92">
        <v>37</v>
      </c>
      <c r="F92" t="s">
        <v>24</v>
      </c>
      <c r="G92" t="s">
        <v>25</v>
      </c>
      <c r="H92" t="s">
        <v>26</v>
      </c>
      <c r="I92" t="s">
        <v>45</v>
      </c>
      <c r="J92" t="s">
        <v>46</v>
      </c>
      <c r="K92">
        <v>3</v>
      </c>
      <c r="L92" t="s">
        <v>29</v>
      </c>
      <c r="M92">
        <v>86000</v>
      </c>
      <c r="N92">
        <v>8.6</v>
      </c>
      <c r="O92">
        <v>6.6</v>
      </c>
      <c r="P92">
        <v>0.5</v>
      </c>
      <c r="Q92">
        <v>0</v>
      </c>
      <c r="R92">
        <v>4</v>
      </c>
      <c r="S92">
        <v>4</v>
      </c>
      <c r="T92">
        <v>2</v>
      </c>
      <c r="U92" t="s">
        <v>23</v>
      </c>
      <c r="V92">
        <v>3</v>
      </c>
      <c r="W92">
        <f>COUNTIF($A$2:A92,A92)</f>
        <v>1</v>
      </c>
    </row>
    <row r="93" spans="1:23" x14ac:dyDescent="0.35">
      <c r="A93" t="s">
        <v>737</v>
      </c>
      <c r="B93" s="2">
        <v>45254</v>
      </c>
      <c r="D93" t="s">
        <v>23</v>
      </c>
      <c r="E93">
        <v>38</v>
      </c>
      <c r="F93" t="s">
        <v>36</v>
      </c>
      <c r="G93" t="s">
        <v>25</v>
      </c>
      <c r="H93" t="s">
        <v>58</v>
      </c>
      <c r="I93" t="s">
        <v>68</v>
      </c>
      <c r="J93" t="s">
        <v>109</v>
      </c>
      <c r="K93">
        <v>3</v>
      </c>
      <c r="L93" t="s">
        <v>29</v>
      </c>
      <c r="M93">
        <v>73000</v>
      </c>
      <c r="N93">
        <v>9.9</v>
      </c>
      <c r="O93">
        <v>9.3000000000000007</v>
      </c>
      <c r="P93">
        <v>2.1</v>
      </c>
      <c r="Q93">
        <v>1.5</v>
      </c>
      <c r="R93">
        <v>3</v>
      </c>
      <c r="S93">
        <v>1</v>
      </c>
      <c r="T93">
        <v>3</v>
      </c>
      <c r="U93" t="s">
        <v>30</v>
      </c>
      <c r="V93">
        <v>4</v>
      </c>
      <c r="W93">
        <f>COUNTIF($A$2:A93,A93)</f>
        <v>1</v>
      </c>
    </row>
    <row r="94" spans="1:23" x14ac:dyDescent="0.35">
      <c r="A94" t="s">
        <v>1232</v>
      </c>
      <c r="B94" s="2">
        <v>44891</v>
      </c>
      <c r="D94" t="s">
        <v>23</v>
      </c>
      <c r="E94">
        <v>34</v>
      </c>
      <c r="F94" t="s">
        <v>36</v>
      </c>
      <c r="G94" t="s">
        <v>25</v>
      </c>
      <c r="H94" t="s">
        <v>54</v>
      </c>
      <c r="I94" t="s">
        <v>59</v>
      </c>
      <c r="J94" t="s">
        <v>60</v>
      </c>
      <c r="K94">
        <v>2</v>
      </c>
      <c r="L94" t="s">
        <v>40</v>
      </c>
      <c r="M94">
        <v>45000</v>
      </c>
      <c r="N94">
        <v>9.1</v>
      </c>
      <c r="O94">
        <v>4.5999999999999996</v>
      </c>
      <c r="P94">
        <v>3.1</v>
      </c>
      <c r="Q94">
        <v>2.1</v>
      </c>
      <c r="S94">
        <v>3</v>
      </c>
      <c r="T94">
        <v>3</v>
      </c>
      <c r="U94" t="s">
        <v>23</v>
      </c>
      <c r="V94">
        <v>4</v>
      </c>
      <c r="W94">
        <f>COUNTIF($A$2:A94,A94)</f>
        <v>1</v>
      </c>
    </row>
    <row r="95" spans="1:23" x14ac:dyDescent="0.35">
      <c r="A95" t="s">
        <v>875</v>
      </c>
      <c r="B95" s="2">
        <v>45321</v>
      </c>
      <c r="D95" t="s">
        <v>23</v>
      </c>
      <c r="E95">
        <v>43</v>
      </c>
      <c r="F95" t="s">
        <v>24</v>
      </c>
      <c r="G95" t="s">
        <v>42</v>
      </c>
      <c r="H95" t="s">
        <v>54</v>
      </c>
      <c r="I95" t="s">
        <v>59</v>
      </c>
      <c r="J95" t="s">
        <v>86</v>
      </c>
      <c r="K95">
        <v>4</v>
      </c>
      <c r="L95" t="s">
        <v>66</v>
      </c>
      <c r="M95">
        <v>117000</v>
      </c>
      <c r="N95">
        <v>17.600000000000001</v>
      </c>
      <c r="O95">
        <v>6.4</v>
      </c>
      <c r="P95">
        <v>1.9</v>
      </c>
      <c r="Q95">
        <v>0.2</v>
      </c>
      <c r="R95">
        <v>3</v>
      </c>
      <c r="S95">
        <v>4</v>
      </c>
      <c r="T95">
        <v>4</v>
      </c>
      <c r="U95" t="s">
        <v>30</v>
      </c>
      <c r="V95">
        <v>3</v>
      </c>
      <c r="W95">
        <f>COUNTIF($A$2:A95,A95)</f>
        <v>1</v>
      </c>
    </row>
    <row r="96" spans="1:23" x14ac:dyDescent="0.35">
      <c r="A96" t="s">
        <v>759</v>
      </c>
      <c r="B96" s="2">
        <v>42022</v>
      </c>
      <c r="D96" t="s">
        <v>23</v>
      </c>
      <c r="E96">
        <v>39</v>
      </c>
      <c r="F96" t="s">
        <v>24</v>
      </c>
      <c r="G96" t="s">
        <v>37</v>
      </c>
      <c r="H96" t="s">
        <v>58</v>
      </c>
      <c r="I96" t="s">
        <v>55</v>
      </c>
      <c r="J96" t="s">
        <v>80</v>
      </c>
      <c r="K96">
        <v>1</v>
      </c>
      <c r="L96" t="s">
        <v>50</v>
      </c>
      <c r="M96">
        <v>41000</v>
      </c>
      <c r="N96">
        <v>17.8</v>
      </c>
      <c r="O96">
        <v>14.3</v>
      </c>
      <c r="P96">
        <v>11</v>
      </c>
      <c r="Q96">
        <v>2.4</v>
      </c>
      <c r="R96">
        <v>4</v>
      </c>
      <c r="S96">
        <v>3</v>
      </c>
      <c r="T96">
        <v>3</v>
      </c>
      <c r="U96" t="s">
        <v>23</v>
      </c>
      <c r="V96">
        <v>2</v>
      </c>
      <c r="W96">
        <f>COUNTIF($A$2:A96,A96)</f>
        <v>1</v>
      </c>
    </row>
    <row r="97" spans="1:23" x14ac:dyDescent="0.35">
      <c r="A97" t="s">
        <v>1400</v>
      </c>
      <c r="B97" s="2">
        <v>43976</v>
      </c>
      <c r="D97" t="s">
        <v>23</v>
      </c>
      <c r="E97">
        <v>27</v>
      </c>
      <c r="F97" t="s">
        <v>24</v>
      </c>
      <c r="G97" t="s">
        <v>37</v>
      </c>
      <c r="H97" t="s">
        <v>58</v>
      </c>
      <c r="I97" t="s">
        <v>59</v>
      </c>
      <c r="J97" t="s">
        <v>150</v>
      </c>
      <c r="K97">
        <v>1</v>
      </c>
      <c r="L97" t="s">
        <v>40</v>
      </c>
      <c r="M97">
        <v>28000</v>
      </c>
      <c r="N97">
        <v>0.5</v>
      </c>
      <c r="O97">
        <v>11.2</v>
      </c>
      <c r="P97">
        <v>5.6</v>
      </c>
      <c r="Q97">
        <v>0.8</v>
      </c>
      <c r="R97">
        <v>3</v>
      </c>
      <c r="S97">
        <v>3</v>
      </c>
      <c r="T97">
        <v>3</v>
      </c>
      <c r="U97" t="s">
        <v>30</v>
      </c>
      <c r="V97">
        <v>1</v>
      </c>
      <c r="W97">
        <f>COUNTIF($A$2:A97,A97)</f>
        <v>1</v>
      </c>
    </row>
    <row r="98" spans="1:23" x14ac:dyDescent="0.35">
      <c r="A98" t="s">
        <v>418</v>
      </c>
      <c r="B98" s="2">
        <v>43868</v>
      </c>
      <c r="D98" t="s">
        <v>23</v>
      </c>
      <c r="E98">
        <v>28</v>
      </c>
      <c r="F98" t="s">
        <v>24</v>
      </c>
      <c r="G98" t="s">
        <v>42</v>
      </c>
      <c r="H98" t="s">
        <v>26</v>
      </c>
      <c r="I98" t="s">
        <v>59</v>
      </c>
      <c r="J98" t="s">
        <v>86</v>
      </c>
      <c r="K98">
        <v>3</v>
      </c>
      <c r="L98" t="s">
        <v>29</v>
      </c>
      <c r="M98">
        <v>77000</v>
      </c>
      <c r="N98">
        <v>10.4</v>
      </c>
      <c r="O98">
        <v>8.3000000000000007</v>
      </c>
      <c r="P98">
        <v>5.9</v>
      </c>
      <c r="Q98">
        <v>0.3</v>
      </c>
      <c r="R98">
        <v>2</v>
      </c>
      <c r="S98">
        <v>3</v>
      </c>
      <c r="T98">
        <v>4</v>
      </c>
      <c r="U98" t="s">
        <v>23</v>
      </c>
      <c r="V98">
        <v>3</v>
      </c>
      <c r="W98">
        <f>COUNTIF($A$2:A98,A98)</f>
        <v>1</v>
      </c>
    </row>
    <row r="99" spans="1:23" x14ac:dyDescent="0.35">
      <c r="A99" t="s">
        <v>1356</v>
      </c>
      <c r="B99" s="2">
        <v>44668</v>
      </c>
      <c r="D99" t="s">
        <v>23</v>
      </c>
      <c r="E99">
        <v>40</v>
      </c>
      <c r="F99" t="s">
        <v>62</v>
      </c>
      <c r="G99" t="s">
        <v>25</v>
      </c>
      <c r="H99" t="s">
        <v>26</v>
      </c>
      <c r="I99" t="s">
        <v>27</v>
      </c>
      <c r="J99" t="s">
        <v>95</v>
      </c>
      <c r="K99">
        <v>3</v>
      </c>
      <c r="L99" t="s">
        <v>34</v>
      </c>
      <c r="M99">
        <v>68000</v>
      </c>
      <c r="N99">
        <v>5.4</v>
      </c>
      <c r="O99">
        <v>5.2</v>
      </c>
      <c r="P99">
        <v>3.7</v>
      </c>
      <c r="Q99">
        <v>2.5</v>
      </c>
      <c r="R99">
        <v>3</v>
      </c>
      <c r="S99">
        <v>3</v>
      </c>
      <c r="T99">
        <v>3</v>
      </c>
      <c r="U99" t="s">
        <v>30</v>
      </c>
      <c r="V99">
        <v>5</v>
      </c>
      <c r="W99">
        <f>COUNTIF($A$2:A99,A99)</f>
        <v>1</v>
      </c>
    </row>
    <row r="100" spans="1:23" x14ac:dyDescent="0.35">
      <c r="A100" t="s">
        <v>1364</v>
      </c>
      <c r="B100" s="2">
        <v>45854</v>
      </c>
      <c r="D100" t="s">
        <v>23</v>
      </c>
      <c r="E100">
        <v>24</v>
      </c>
      <c r="F100" t="s">
        <v>62</v>
      </c>
      <c r="G100" t="s">
        <v>25</v>
      </c>
      <c r="H100" t="s">
        <v>58</v>
      </c>
      <c r="I100" t="s">
        <v>59</v>
      </c>
      <c r="J100" t="s">
        <v>60</v>
      </c>
      <c r="K100">
        <v>1</v>
      </c>
      <c r="L100" t="s">
        <v>40</v>
      </c>
      <c r="M100">
        <v>49000</v>
      </c>
      <c r="N100">
        <v>13.7</v>
      </c>
      <c r="O100">
        <v>3.3</v>
      </c>
      <c r="P100">
        <v>0.5</v>
      </c>
      <c r="Q100">
        <v>0</v>
      </c>
      <c r="R100">
        <v>3</v>
      </c>
      <c r="S100">
        <v>2</v>
      </c>
      <c r="T100">
        <v>3</v>
      </c>
      <c r="U100" t="s">
        <v>23</v>
      </c>
      <c r="V100">
        <v>2</v>
      </c>
      <c r="W100">
        <f>COUNTIF($A$2:A100,A100)</f>
        <v>1</v>
      </c>
    </row>
    <row r="101" spans="1:23" x14ac:dyDescent="0.35">
      <c r="A101" t="s">
        <v>429</v>
      </c>
      <c r="B101" s="2">
        <v>45773</v>
      </c>
      <c r="D101" t="s">
        <v>23</v>
      </c>
      <c r="E101">
        <v>21</v>
      </c>
      <c r="F101" t="s">
        <v>36</v>
      </c>
      <c r="G101" t="s">
        <v>37</v>
      </c>
      <c r="H101" t="s">
        <v>58</v>
      </c>
      <c r="I101" t="s">
        <v>38</v>
      </c>
      <c r="J101" t="s">
        <v>39</v>
      </c>
      <c r="K101">
        <v>1</v>
      </c>
      <c r="L101" t="s">
        <v>40</v>
      </c>
      <c r="M101">
        <v>50000</v>
      </c>
      <c r="N101">
        <v>8.5</v>
      </c>
      <c r="O101">
        <v>4.4000000000000004</v>
      </c>
      <c r="P101">
        <v>0.7</v>
      </c>
      <c r="Q101">
        <v>0</v>
      </c>
      <c r="R101">
        <v>2</v>
      </c>
      <c r="S101">
        <v>3</v>
      </c>
      <c r="T101">
        <v>4</v>
      </c>
      <c r="U101" t="s">
        <v>23</v>
      </c>
      <c r="V101">
        <v>2</v>
      </c>
      <c r="W101">
        <f>COUNTIF($A$2:A101,A101)</f>
        <v>1</v>
      </c>
    </row>
    <row r="102" spans="1:23" x14ac:dyDescent="0.35">
      <c r="A102" t="s">
        <v>697</v>
      </c>
      <c r="B102" s="2">
        <v>45363</v>
      </c>
      <c r="D102" t="s">
        <v>23</v>
      </c>
      <c r="E102">
        <v>22</v>
      </c>
      <c r="F102" t="s">
        <v>24</v>
      </c>
      <c r="G102" t="s">
        <v>25</v>
      </c>
      <c r="H102" t="s">
        <v>58</v>
      </c>
      <c r="I102" t="s">
        <v>38</v>
      </c>
      <c r="J102" t="s">
        <v>139</v>
      </c>
      <c r="K102">
        <v>1</v>
      </c>
      <c r="L102" t="s">
        <v>84</v>
      </c>
      <c r="M102">
        <v>32000</v>
      </c>
      <c r="N102">
        <v>9</v>
      </c>
      <c r="O102">
        <v>8.3000000000000007</v>
      </c>
      <c r="P102">
        <v>1.8</v>
      </c>
      <c r="Q102">
        <v>0.9</v>
      </c>
      <c r="R102">
        <v>3</v>
      </c>
      <c r="S102">
        <v>1</v>
      </c>
      <c r="T102">
        <v>3</v>
      </c>
      <c r="U102" t="s">
        <v>23</v>
      </c>
      <c r="V102">
        <v>3</v>
      </c>
      <c r="W102">
        <f>COUNTIF($A$2:A102,A102)</f>
        <v>1</v>
      </c>
    </row>
    <row r="103" spans="1:23" x14ac:dyDescent="0.35">
      <c r="A103" t="s">
        <v>491</v>
      </c>
      <c r="B103" s="2">
        <v>44496</v>
      </c>
      <c r="D103" t="s">
        <v>23</v>
      </c>
      <c r="E103">
        <v>30</v>
      </c>
      <c r="F103" t="s">
        <v>24</v>
      </c>
      <c r="G103" t="s">
        <v>25</v>
      </c>
      <c r="H103" t="s">
        <v>54</v>
      </c>
      <c r="I103" t="s">
        <v>38</v>
      </c>
      <c r="J103" t="s">
        <v>39</v>
      </c>
      <c r="K103">
        <v>2</v>
      </c>
      <c r="L103" t="s">
        <v>50</v>
      </c>
      <c r="M103">
        <v>65000</v>
      </c>
      <c r="N103">
        <v>4.7</v>
      </c>
      <c r="O103">
        <v>5.7</v>
      </c>
      <c r="P103">
        <v>4.2</v>
      </c>
      <c r="Q103">
        <v>2.9</v>
      </c>
      <c r="R103">
        <v>4</v>
      </c>
      <c r="S103">
        <v>3</v>
      </c>
      <c r="T103">
        <v>4</v>
      </c>
      <c r="U103" t="s">
        <v>23</v>
      </c>
      <c r="V103">
        <v>3</v>
      </c>
      <c r="W103">
        <f>COUNTIF($A$2:A103,A103)</f>
        <v>1</v>
      </c>
    </row>
    <row r="104" spans="1:23" x14ac:dyDescent="0.35">
      <c r="A104" t="s">
        <v>600</v>
      </c>
      <c r="B104" s="2">
        <v>44540</v>
      </c>
      <c r="D104" t="s">
        <v>23</v>
      </c>
      <c r="E104">
        <v>34</v>
      </c>
      <c r="F104" t="s">
        <v>36</v>
      </c>
      <c r="G104" t="s">
        <v>25</v>
      </c>
      <c r="H104" t="s">
        <v>54</v>
      </c>
      <c r="I104" t="s">
        <v>48</v>
      </c>
      <c r="J104" t="s">
        <v>49</v>
      </c>
      <c r="K104">
        <v>3</v>
      </c>
      <c r="L104" t="s">
        <v>84</v>
      </c>
      <c r="M104">
        <v>85000</v>
      </c>
      <c r="N104">
        <v>11.8</v>
      </c>
      <c r="O104">
        <v>8.9</v>
      </c>
      <c r="P104">
        <v>4.0999999999999996</v>
      </c>
      <c r="Q104">
        <v>1.7</v>
      </c>
      <c r="R104">
        <v>3</v>
      </c>
      <c r="S104">
        <v>3</v>
      </c>
      <c r="T104">
        <v>3</v>
      </c>
      <c r="U104" t="s">
        <v>30</v>
      </c>
      <c r="V104">
        <v>1</v>
      </c>
      <c r="W104">
        <f>COUNTIF($A$2:A104,A104)</f>
        <v>1</v>
      </c>
    </row>
    <row r="105" spans="1:23" x14ac:dyDescent="0.35">
      <c r="A105" t="s">
        <v>1121</v>
      </c>
      <c r="B105" s="2">
        <v>45866</v>
      </c>
      <c r="D105" t="s">
        <v>23</v>
      </c>
      <c r="E105">
        <v>22</v>
      </c>
      <c r="F105" t="s">
        <v>24</v>
      </c>
      <c r="G105" t="s">
        <v>37</v>
      </c>
      <c r="H105" t="s">
        <v>26</v>
      </c>
      <c r="I105" t="s">
        <v>45</v>
      </c>
      <c r="J105" t="s">
        <v>164</v>
      </c>
      <c r="K105">
        <v>1</v>
      </c>
      <c r="L105" t="s">
        <v>40</v>
      </c>
      <c r="M105">
        <v>43000</v>
      </c>
      <c r="N105">
        <v>10.3</v>
      </c>
      <c r="O105">
        <v>5.9</v>
      </c>
      <c r="P105">
        <v>0.4</v>
      </c>
      <c r="Q105">
        <v>0</v>
      </c>
      <c r="R105">
        <v>3</v>
      </c>
      <c r="S105">
        <v>2</v>
      </c>
      <c r="T105">
        <v>3</v>
      </c>
      <c r="U105" t="s">
        <v>23</v>
      </c>
      <c r="V105">
        <v>4</v>
      </c>
      <c r="W105">
        <f>COUNTIF($A$2:A105,A105)</f>
        <v>1</v>
      </c>
    </row>
    <row r="106" spans="1:23" x14ac:dyDescent="0.35">
      <c r="A106" t="s">
        <v>1521</v>
      </c>
      <c r="B106" s="2">
        <v>41855</v>
      </c>
      <c r="D106" t="s">
        <v>23</v>
      </c>
      <c r="E106">
        <v>44</v>
      </c>
      <c r="F106" t="s">
        <v>36</v>
      </c>
      <c r="G106" t="s">
        <v>25</v>
      </c>
      <c r="H106" t="s">
        <v>58</v>
      </c>
      <c r="I106" t="s">
        <v>59</v>
      </c>
      <c r="J106" t="s">
        <v>150</v>
      </c>
      <c r="K106">
        <v>2</v>
      </c>
      <c r="L106" t="s">
        <v>40</v>
      </c>
      <c r="M106">
        <v>53000</v>
      </c>
      <c r="N106">
        <v>13.7</v>
      </c>
      <c r="O106">
        <v>14.4</v>
      </c>
      <c r="P106">
        <v>11.4</v>
      </c>
      <c r="Q106">
        <v>2.7</v>
      </c>
      <c r="R106">
        <v>2</v>
      </c>
      <c r="S106">
        <v>2</v>
      </c>
      <c r="T106">
        <v>2</v>
      </c>
      <c r="U106" t="s">
        <v>30</v>
      </c>
      <c r="V106">
        <v>3</v>
      </c>
      <c r="W106">
        <f>COUNTIF($A$2:A106,A106)</f>
        <v>1</v>
      </c>
    </row>
    <row r="107" spans="1:23" x14ac:dyDescent="0.35">
      <c r="A107" t="s">
        <v>810</v>
      </c>
      <c r="B107" s="2">
        <v>43780</v>
      </c>
      <c r="D107" t="s">
        <v>23</v>
      </c>
      <c r="E107">
        <v>47</v>
      </c>
      <c r="F107" t="s">
        <v>36</v>
      </c>
      <c r="G107" t="s">
        <v>37</v>
      </c>
      <c r="H107" t="s">
        <v>26</v>
      </c>
      <c r="I107" t="s">
        <v>38</v>
      </c>
      <c r="J107" t="s">
        <v>118</v>
      </c>
      <c r="K107">
        <v>3</v>
      </c>
      <c r="L107" t="s">
        <v>40</v>
      </c>
      <c r="M107">
        <v>102000</v>
      </c>
      <c r="N107">
        <v>8</v>
      </c>
      <c r="O107">
        <v>8.1999999999999993</v>
      </c>
      <c r="P107">
        <v>6.1</v>
      </c>
      <c r="Q107">
        <v>2.7</v>
      </c>
      <c r="R107">
        <v>3</v>
      </c>
      <c r="S107">
        <v>4</v>
      </c>
      <c r="T107">
        <v>3</v>
      </c>
      <c r="U107" t="s">
        <v>23</v>
      </c>
      <c r="V107">
        <v>5</v>
      </c>
      <c r="W107">
        <f>COUNTIF($A$2:A107,A107)</f>
        <v>1</v>
      </c>
    </row>
    <row r="108" spans="1:23" x14ac:dyDescent="0.35">
      <c r="A108" t="s">
        <v>756</v>
      </c>
      <c r="B108" s="2">
        <v>42072</v>
      </c>
      <c r="D108" t="s">
        <v>23</v>
      </c>
      <c r="E108">
        <v>38</v>
      </c>
      <c r="F108" t="s">
        <v>36</v>
      </c>
      <c r="G108" t="s">
        <v>37</v>
      </c>
      <c r="H108" t="s">
        <v>32</v>
      </c>
      <c r="I108" t="s">
        <v>59</v>
      </c>
      <c r="J108" t="s">
        <v>75</v>
      </c>
      <c r="K108">
        <v>3</v>
      </c>
      <c r="L108" t="s">
        <v>84</v>
      </c>
      <c r="M108">
        <v>88000</v>
      </c>
      <c r="N108">
        <v>5.0999999999999996</v>
      </c>
      <c r="O108">
        <v>17.600000000000001</v>
      </c>
      <c r="P108">
        <v>10.8</v>
      </c>
      <c r="Q108">
        <v>1.9</v>
      </c>
      <c r="R108">
        <v>2</v>
      </c>
      <c r="S108">
        <v>3</v>
      </c>
      <c r="T108">
        <v>2</v>
      </c>
      <c r="U108" t="s">
        <v>23</v>
      </c>
      <c r="V108">
        <v>4</v>
      </c>
      <c r="W108">
        <f>COUNTIF($A$2:A108,A108)</f>
        <v>1</v>
      </c>
    </row>
    <row r="109" spans="1:23" x14ac:dyDescent="0.35">
      <c r="A109" t="s">
        <v>259</v>
      </c>
      <c r="B109" s="2">
        <v>45054</v>
      </c>
      <c r="C109" s="2">
        <v>45941</v>
      </c>
      <c r="D109" t="s">
        <v>30</v>
      </c>
      <c r="E109">
        <v>40</v>
      </c>
      <c r="F109" t="s">
        <v>24</v>
      </c>
      <c r="G109" t="s">
        <v>42</v>
      </c>
      <c r="H109" t="s">
        <v>54</v>
      </c>
      <c r="I109" t="s">
        <v>27</v>
      </c>
      <c r="J109" t="s">
        <v>95</v>
      </c>
      <c r="K109">
        <v>2</v>
      </c>
      <c r="L109" t="s">
        <v>29</v>
      </c>
      <c r="M109">
        <v>35000</v>
      </c>
      <c r="N109">
        <v>4.3</v>
      </c>
      <c r="O109">
        <v>7</v>
      </c>
      <c r="P109">
        <v>2.4</v>
      </c>
      <c r="Q109">
        <v>1.1000000000000001</v>
      </c>
      <c r="R109">
        <v>4</v>
      </c>
      <c r="S109">
        <v>4</v>
      </c>
      <c r="T109">
        <v>2</v>
      </c>
      <c r="U109" t="s">
        <v>30</v>
      </c>
      <c r="V109">
        <v>5</v>
      </c>
      <c r="W109">
        <f>COUNTIF($A$2:A109,A109)</f>
        <v>1</v>
      </c>
    </row>
    <row r="110" spans="1:23" x14ac:dyDescent="0.35">
      <c r="A110" t="s">
        <v>1516</v>
      </c>
      <c r="B110" s="2">
        <v>42907</v>
      </c>
      <c r="D110" t="s">
        <v>23</v>
      </c>
      <c r="E110">
        <v>31</v>
      </c>
      <c r="F110" t="s">
        <v>62</v>
      </c>
      <c r="G110" t="s">
        <v>25</v>
      </c>
      <c r="H110" t="s">
        <v>32</v>
      </c>
      <c r="I110" t="s">
        <v>45</v>
      </c>
      <c r="J110" t="s">
        <v>46</v>
      </c>
      <c r="K110">
        <v>3</v>
      </c>
      <c r="L110" t="s">
        <v>40</v>
      </c>
      <c r="M110">
        <v>78000</v>
      </c>
      <c r="N110">
        <v>15</v>
      </c>
      <c r="O110">
        <v>13.7</v>
      </c>
      <c r="P110">
        <v>8.5</v>
      </c>
      <c r="Q110">
        <v>2.7</v>
      </c>
      <c r="R110">
        <v>1</v>
      </c>
      <c r="S110">
        <v>3</v>
      </c>
      <c r="T110">
        <v>3</v>
      </c>
      <c r="U110" t="s">
        <v>23</v>
      </c>
      <c r="V110">
        <v>5</v>
      </c>
      <c r="W110">
        <f>COUNTIF($A$2:A110,A110)</f>
        <v>1</v>
      </c>
    </row>
    <row r="111" spans="1:23" x14ac:dyDescent="0.35">
      <c r="A111" t="s">
        <v>654</v>
      </c>
      <c r="B111" s="2">
        <v>43699</v>
      </c>
      <c r="D111" t="s">
        <v>23</v>
      </c>
      <c r="E111">
        <v>44</v>
      </c>
      <c r="F111" t="s">
        <v>24</v>
      </c>
      <c r="G111" t="s">
        <v>25</v>
      </c>
      <c r="H111" t="s">
        <v>58</v>
      </c>
      <c r="I111" t="s">
        <v>48</v>
      </c>
      <c r="J111" t="s">
        <v>63</v>
      </c>
      <c r="K111">
        <v>4</v>
      </c>
      <c r="L111" t="s">
        <v>40</v>
      </c>
      <c r="M111">
        <v>103000</v>
      </c>
      <c r="N111">
        <v>2.2000000000000002</v>
      </c>
      <c r="O111">
        <v>8.1999999999999993</v>
      </c>
      <c r="P111">
        <v>6.4</v>
      </c>
      <c r="Q111">
        <v>5.7</v>
      </c>
      <c r="R111">
        <v>2</v>
      </c>
      <c r="S111">
        <v>3</v>
      </c>
      <c r="T111">
        <v>3</v>
      </c>
      <c r="U111" t="s">
        <v>23</v>
      </c>
      <c r="V111">
        <v>2</v>
      </c>
      <c r="W111">
        <f>COUNTIF($A$2:A111,A111)</f>
        <v>1</v>
      </c>
    </row>
    <row r="112" spans="1:23" x14ac:dyDescent="0.35">
      <c r="A112" t="s">
        <v>1042</v>
      </c>
      <c r="B112" s="2">
        <v>45514</v>
      </c>
      <c r="D112" t="s">
        <v>23</v>
      </c>
      <c r="E112">
        <v>36</v>
      </c>
      <c r="F112" t="s">
        <v>24</v>
      </c>
      <c r="G112" t="s">
        <v>37</v>
      </c>
      <c r="H112" t="s">
        <v>26</v>
      </c>
      <c r="I112" t="s">
        <v>45</v>
      </c>
      <c r="J112" t="s">
        <v>77</v>
      </c>
      <c r="K112">
        <v>3</v>
      </c>
      <c r="L112" t="s">
        <v>50</v>
      </c>
      <c r="M112">
        <v>72000</v>
      </c>
      <c r="N112">
        <v>0.7</v>
      </c>
      <c r="O112">
        <v>2.8</v>
      </c>
      <c r="P112">
        <v>1.4</v>
      </c>
      <c r="Q112">
        <v>0.9</v>
      </c>
      <c r="R112">
        <v>3</v>
      </c>
      <c r="S112">
        <v>4</v>
      </c>
      <c r="T112">
        <v>3</v>
      </c>
      <c r="U112" t="s">
        <v>23</v>
      </c>
      <c r="V112">
        <v>5</v>
      </c>
      <c r="W112">
        <f>COUNTIF($A$2:A112,A112)</f>
        <v>1</v>
      </c>
    </row>
    <row r="113" spans="1:23" x14ac:dyDescent="0.35">
      <c r="A113" t="s">
        <v>1092</v>
      </c>
      <c r="B113" s="2">
        <v>45033</v>
      </c>
      <c r="D113" t="s">
        <v>23</v>
      </c>
      <c r="E113">
        <v>24</v>
      </c>
      <c r="F113" t="s">
        <v>62</v>
      </c>
      <c r="G113" t="s">
        <v>42</v>
      </c>
      <c r="H113" t="s">
        <v>58</v>
      </c>
      <c r="I113" t="s">
        <v>45</v>
      </c>
      <c r="J113" t="s">
        <v>77</v>
      </c>
      <c r="K113">
        <v>1</v>
      </c>
      <c r="L113" t="s">
        <v>34</v>
      </c>
      <c r="M113">
        <v>38000</v>
      </c>
      <c r="N113">
        <v>10.5</v>
      </c>
      <c r="O113">
        <v>6.7</v>
      </c>
      <c r="P113">
        <v>2.7</v>
      </c>
      <c r="Q113">
        <v>1.7</v>
      </c>
      <c r="R113">
        <v>3</v>
      </c>
      <c r="S113">
        <v>3</v>
      </c>
      <c r="T113">
        <v>4</v>
      </c>
      <c r="U113" t="s">
        <v>23</v>
      </c>
      <c r="V113">
        <v>3</v>
      </c>
      <c r="W113">
        <f>COUNTIF($A$2:A113,A113)</f>
        <v>1</v>
      </c>
    </row>
    <row r="114" spans="1:23" x14ac:dyDescent="0.35">
      <c r="A114" t="s">
        <v>995</v>
      </c>
      <c r="B114" s="2">
        <v>44592</v>
      </c>
      <c r="D114" t="s">
        <v>23</v>
      </c>
      <c r="E114">
        <v>29</v>
      </c>
      <c r="F114" t="s">
        <v>36</v>
      </c>
      <c r="G114" t="s">
        <v>25</v>
      </c>
      <c r="H114" t="s">
        <v>26</v>
      </c>
      <c r="I114" t="s">
        <v>38</v>
      </c>
      <c r="J114" t="s">
        <v>118</v>
      </c>
      <c r="K114">
        <v>2</v>
      </c>
      <c r="L114" t="s">
        <v>84</v>
      </c>
      <c r="M114">
        <v>50000</v>
      </c>
      <c r="N114">
        <v>8.6999999999999993</v>
      </c>
      <c r="O114">
        <v>10.8</v>
      </c>
      <c r="P114">
        <v>3.9</v>
      </c>
      <c r="Q114">
        <v>1.2</v>
      </c>
      <c r="R114">
        <v>3</v>
      </c>
      <c r="S114">
        <v>4</v>
      </c>
      <c r="T114">
        <v>3</v>
      </c>
      <c r="U114" t="s">
        <v>23</v>
      </c>
      <c r="V114">
        <v>3</v>
      </c>
      <c r="W114">
        <f>COUNTIF($A$2:A114,A114)</f>
        <v>1</v>
      </c>
    </row>
    <row r="115" spans="1:23" x14ac:dyDescent="0.35">
      <c r="A115" t="s">
        <v>591</v>
      </c>
      <c r="B115" s="2">
        <v>45658</v>
      </c>
      <c r="C115" s="2">
        <v>45914</v>
      </c>
      <c r="D115" t="s">
        <v>30</v>
      </c>
      <c r="E115">
        <v>26</v>
      </c>
      <c r="F115" t="s">
        <v>62</v>
      </c>
      <c r="G115" t="s">
        <v>25</v>
      </c>
      <c r="H115" t="s">
        <v>58</v>
      </c>
      <c r="I115" t="s">
        <v>55</v>
      </c>
      <c r="J115" t="s">
        <v>80</v>
      </c>
      <c r="K115">
        <v>1</v>
      </c>
      <c r="L115" t="s">
        <v>40</v>
      </c>
      <c r="M115">
        <v>44000</v>
      </c>
      <c r="N115">
        <v>6.9</v>
      </c>
      <c r="O115">
        <v>7.6</v>
      </c>
      <c r="P115">
        <v>0.7</v>
      </c>
      <c r="Q115">
        <v>0</v>
      </c>
      <c r="R115">
        <v>2</v>
      </c>
      <c r="S115">
        <v>4</v>
      </c>
      <c r="T115">
        <v>4</v>
      </c>
      <c r="U115" t="s">
        <v>23</v>
      </c>
      <c r="V115">
        <v>4</v>
      </c>
      <c r="W115">
        <f>COUNTIF($A$2:A115,A115)</f>
        <v>1</v>
      </c>
    </row>
    <row r="116" spans="1:23" x14ac:dyDescent="0.35">
      <c r="A116" t="s">
        <v>1543</v>
      </c>
      <c r="B116" s="2">
        <v>43713</v>
      </c>
      <c r="C116" s="2">
        <v>45859</v>
      </c>
      <c r="D116" t="s">
        <v>30</v>
      </c>
      <c r="E116">
        <v>32</v>
      </c>
      <c r="F116" t="s">
        <v>36</v>
      </c>
      <c r="G116" t="s">
        <v>25</v>
      </c>
      <c r="H116" t="s">
        <v>54</v>
      </c>
      <c r="I116" t="s">
        <v>59</v>
      </c>
      <c r="J116" t="s">
        <v>86</v>
      </c>
      <c r="K116">
        <v>3</v>
      </c>
      <c r="L116" t="s">
        <v>84</v>
      </c>
      <c r="M116">
        <v>66000</v>
      </c>
      <c r="N116">
        <v>6.8</v>
      </c>
      <c r="O116">
        <v>9.9</v>
      </c>
      <c r="P116">
        <v>5.9</v>
      </c>
      <c r="Q116">
        <v>5.7</v>
      </c>
      <c r="R116">
        <v>3</v>
      </c>
      <c r="T116">
        <v>3</v>
      </c>
      <c r="U116" t="s">
        <v>23</v>
      </c>
      <c r="V116">
        <v>2</v>
      </c>
      <c r="W116">
        <f>COUNTIF($A$2:A116,A116)</f>
        <v>1</v>
      </c>
    </row>
    <row r="117" spans="1:23" x14ac:dyDescent="0.35">
      <c r="A117" t="s">
        <v>538</v>
      </c>
      <c r="B117" s="2">
        <v>44071</v>
      </c>
      <c r="D117" t="s">
        <v>23</v>
      </c>
      <c r="E117">
        <v>47</v>
      </c>
      <c r="F117" t="s">
        <v>24</v>
      </c>
      <c r="G117" t="s">
        <v>42</v>
      </c>
      <c r="H117" t="s">
        <v>54</v>
      </c>
      <c r="I117" t="s">
        <v>27</v>
      </c>
      <c r="J117" t="s">
        <v>43</v>
      </c>
      <c r="K117">
        <v>4</v>
      </c>
      <c r="L117" t="s">
        <v>66</v>
      </c>
      <c r="M117">
        <v>106000</v>
      </c>
      <c r="N117">
        <v>6.2</v>
      </c>
      <c r="O117">
        <v>8.3000000000000007</v>
      </c>
      <c r="P117">
        <v>5.3</v>
      </c>
      <c r="Q117">
        <v>2.1</v>
      </c>
      <c r="R117">
        <v>3</v>
      </c>
      <c r="S117">
        <v>3</v>
      </c>
      <c r="T117">
        <v>2</v>
      </c>
      <c r="U117" t="s">
        <v>23</v>
      </c>
      <c r="V117">
        <v>4</v>
      </c>
      <c r="W117">
        <f>COUNTIF($A$2:A117,A117)</f>
        <v>1</v>
      </c>
    </row>
    <row r="118" spans="1:23" x14ac:dyDescent="0.35">
      <c r="A118" t="s">
        <v>320</v>
      </c>
      <c r="B118" s="2">
        <v>45500</v>
      </c>
      <c r="D118" t="s">
        <v>23</v>
      </c>
      <c r="E118">
        <v>32</v>
      </c>
      <c r="F118" t="s">
        <v>24</v>
      </c>
      <c r="G118" t="s">
        <v>37</v>
      </c>
      <c r="H118" t="s">
        <v>58</v>
      </c>
      <c r="I118" t="s">
        <v>68</v>
      </c>
      <c r="J118" t="s">
        <v>102</v>
      </c>
      <c r="K118">
        <v>2</v>
      </c>
      <c r="L118" t="s">
        <v>34</v>
      </c>
      <c r="M118">
        <v>51000</v>
      </c>
      <c r="N118">
        <v>11.5</v>
      </c>
      <c r="O118">
        <v>4.4000000000000004</v>
      </c>
      <c r="P118">
        <v>1.4</v>
      </c>
      <c r="Q118">
        <v>0.2</v>
      </c>
      <c r="R118">
        <v>4</v>
      </c>
      <c r="S118">
        <v>3</v>
      </c>
      <c r="T118">
        <v>3</v>
      </c>
      <c r="U118" t="s">
        <v>23</v>
      </c>
      <c r="V118">
        <v>1</v>
      </c>
      <c r="W118">
        <f>COUNTIF($A$2:A118,A118)</f>
        <v>1</v>
      </c>
    </row>
    <row r="119" spans="1:23" x14ac:dyDescent="0.35">
      <c r="A119" t="s">
        <v>1072</v>
      </c>
      <c r="B119" s="2">
        <v>43075</v>
      </c>
      <c r="D119" t="s">
        <v>23</v>
      </c>
      <c r="E119">
        <v>29</v>
      </c>
      <c r="F119" t="s">
        <v>62</v>
      </c>
      <c r="G119" t="s">
        <v>25</v>
      </c>
      <c r="H119" t="s">
        <v>54</v>
      </c>
      <c r="I119" t="s">
        <v>27</v>
      </c>
      <c r="J119" t="s">
        <v>33</v>
      </c>
      <c r="K119">
        <v>2</v>
      </c>
      <c r="L119" t="s">
        <v>29</v>
      </c>
      <c r="M119">
        <v>45000</v>
      </c>
      <c r="N119">
        <v>7.9</v>
      </c>
      <c r="O119">
        <v>11.2</v>
      </c>
      <c r="P119">
        <v>8.1</v>
      </c>
      <c r="Q119">
        <v>3.7</v>
      </c>
      <c r="R119">
        <v>4</v>
      </c>
      <c r="S119">
        <v>4</v>
      </c>
      <c r="T119">
        <v>3</v>
      </c>
      <c r="U119" t="s">
        <v>30</v>
      </c>
      <c r="V119">
        <v>3</v>
      </c>
      <c r="W119">
        <f>COUNTIF($A$2:A119,A119)</f>
        <v>1</v>
      </c>
    </row>
    <row r="120" spans="1:23" x14ac:dyDescent="0.35">
      <c r="A120" t="s">
        <v>837</v>
      </c>
      <c r="B120" s="2">
        <v>45618</v>
      </c>
      <c r="C120" s="2">
        <v>45891</v>
      </c>
      <c r="D120" t="s">
        <v>30</v>
      </c>
      <c r="E120">
        <v>22</v>
      </c>
      <c r="F120" t="s">
        <v>36</v>
      </c>
      <c r="G120" t="s">
        <v>42</v>
      </c>
      <c r="H120" t="s">
        <v>32</v>
      </c>
      <c r="I120" t="s">
        <v>27</v>
      </c>
      <c r="J120" t="s">
        <v>28</v>
      </c>
      <c r="K120">
        <v>1</v>
      </c>
      <c r="L120" t="s">
        <v>29</v>
      </c>
      <c r="M120">
        <v>45000</v>
      </c>
      <c r="N120">
        <v>15.6</v>
      </c>
      <c r="O120">
        <v>5.4</v>
      </c>
      <c r="P120">
        <v>0.7</v>
      </c>
      <c r="Q120">
        <v>0</v>
      </c>
      <c r="R120">
        <v>3</v>
      </c>
      <c r="S120">
        <v>3</v>
      </c>
      <c r="T120">
        <v>3</v>
      </c>
      <c r="U120" t="s">
        <v>30</v>
      </c>
      <c r="V120">
        <v>1</v>
      </c>
      <c r="W120">
        <f>COUNTIF($A$2:A120,A120)</f>
        <v>1</v>
      </c>
    </row>
    <row r="121" spans="1:23" x14ac:dyDescent="0.35">
      <c r="A121" t="s">
        <v>249</v>
      </c>
      <c r="B121" s="2">
        <v>43225</v>
      </c>
      <c r="D121" t="s">
        <v>23</v>
      </c>
      <c r="E121">
        <v>37</v>
      </c>
      <c r="F121" t="s">
        <v>36</v>
      </c>
      <c r="G121" t="s">
        <v>42</v>
      </c>
      <c r="H121" t="s">
        <v>32</v>
      </c>
      <c r="I121" t="s">
        <v>38</v>
      </c>
      <c r="J121" t="s">
        <v>52</v>
      </c>
      <c r="K121">
        <v>2</v>
      </c>
      <c r="L121" t="s">
        <v>34</v>
      </c>
      <c r="M121">
        <v>62000</v>
      </c>
      <c r="N121">
        <v>21.3</v>
      </c>
      <c r="O121">
        <v>13.1</v>
      </c>
      <c r="P121">
        <v>7.7</v>
      </c>
      <c r="Q121">
        <v>0.2</v>
      </c>
      <c r="R121">
        <v>4</v>
      </c>
      <c r="S121">
        <v>4</v>
      </c>
      <c r="T121">
        <v>2</v>
      </c>
      <c r="U121" t="s">
        <v>23</v>
      </c>
      <c r="V121">
        <v>1</v>
      </c>
      <c r="W121">
        <f>COUNTIF($A$2:A121,A121)</f>
        <v>1</v>
      </c>
    </row>
    <row r="122" spans="1:23" x14ac:dyDescent="0.35">
      <c r="A122" t="s">
        <v>1265</v>
      </c>
      <c r="B122" s="2">
        <v>42601</v>
      </c>
      <c r="D122" t="s">
        <v>23</v>
      </c>
      <c r="E122">
        <v>32</v>
      </c>
      <c r="F122" t="s">
        <v>62</v>
      </c>
      <c r="G122" t="s">
        <v>42</v>
      </c>
      <c r="H122" t="s">
        <v>58</v>
      </c>
      <c r="I122" t="s">
        <v>45</v>
      </c>
      <c r="J122" t="s">
        <v>97</v>
      </c>
      <c r="K122">
        <v>2</v>
      </c>
      <c r="L122" t="s">
        <v>40</v>
      </c>
      <c r="M122">
        <v>41000</v>
      </c>
      <c r="N122">
        <v>2.6</v>
      </c>
      <c r="O122">
        <v>9.9</v>
      </c>
      <c r="P122">
        <v>9.4</v>
      </c>
      <c r="Q122">
        <v>0.8</v>
      </c>
      <c r="R122">
        <v>4</v>
      </c>
      <c r="S122">
        <v>2</v>
      </c>
      <c r="T122">
        <v>3</v>
      </c>
      <c r="U122" t="s">
        <v>23</v>
      </c>
      <c r="V122">
        <v>4</v>
      </c>
      <c r="W122">
        <f>COUNTIF($A$2:A122,A122)</f>
        <v>1</v>
      </c>
    </row>
    <row r="123" spans="1:23" x14ac:dyDescent="0.35">
      <c r="A123" t="s">
        <v>989</v>
      </c>
      <c r="B123" s="2">
        <v>44012</v>
      </c>
      <c r="D123" t="s">
        <v>23</v>
      </c>
      <c r="E123">
        <v>28</v>
      </c>
      <c r="F123" t="s">
        <v>36</v>
      </c>
      <c r="G123" t="s">
        <v>42</v>
      </c>
      <c r="H123" t="s">
        <v>32</v>
      </c>
      <c r="I123" t="s">
        <v>48</v>
      </c>
      <c r="J123" t="s">
        <v>129</v>
      </c>
      <c r="K123">
        <v>3</v>
      </c>
      <c r="L123" t="s">
        <v>29</v>
      </c>
      <c r="M123">
        <v>67000</v>
      </c>
      <c r="N123">
        <v>6.4</v>
      </c>
      <c r="O123">
        <v>7.6</v>
      </c>
      <c r="P123">
        <v>5.5</v>
      </c>
      <c r="Q123">
        <v>2.7</v>
      </c>
      <c r="R123">
        <v>3</v>
      </c>
      <c r="S123">
        <v>4</v>
      </c>
      <c r="T123">
        <v>3</v>
      </c>
      <c r="U123" t="s">
        <v>23</v>
      </c>
      <c r="V123">
        <v>3</v>
      </c>
      <c r="W123">
        <f>COUNTIF($A$2:A123,A123)</f>
        <v>1</v>
      </c>
    </row>
    <row r="124" spans="1:23" x14ac:dyDescent="0.35">
      <c r="A124" t="s">
        <v>1448</v>
      </c>
      <c r="B124" s="2">
        <v>44422</v>
      </c>
      <c r="D124" t="s">
        <v>23</v>
      </c>
      <c r="E124">
        <v>45</v>
      </c>
      <c r="F124" t="s">
        <v>24</v>
      </c>
      <c r="G124" t="s">
        <v>42</v>
      </c>
      <c r="H124" t="s">
        <v>26</v>
      </c>
      <c r="I124" t="s">
        <v>45</v>
      </c>
      <c r="J124" t="s">
        <v>46</v>
      </c>
      <c r="K124">
        <v>2</v>
      </c>
      <c r="L124" t="s">
        <v>84</v>
      </c>
      <c r="M124">
        <v>57000</v>
      </c>
      <c r="N124">
        <v>9</v>
      </c>
      <c r="O124">
        <v>5.4</v>
      </c>
      <c r="P124">
        <v>4.4000000000000004</v>
      </c>
      <c r="Q124">
        <v>3</v>
      </c>
      <c r="R124">
        <v>4</v>
      </c>
      <c r="S124">
        <v>3</v>
      </c>
      <c r="T124">
        <v>4</v>
      </c>
      <c r="U124" t="s">
        <v>23</v>
      </c>
      <c r="V124">
        <v>4</v>
      </c>
      <c r="W124">
        <f>COUNTIF($A$2:A124,A124)</f>
        <v>1</v>
      </c>
    </row>
    <row r="125" spans="1:23" x14ac:dyDescent="0.35">
      <c r="A125" t="s">
        <v>352</v>
      </c>
      <c r="B125" s="2">
        <v>44022</v>
      </c>
      <c r="D125" t="s">
        <v>23</v>
      </c>
      <c r="E125">
        <v>34</v>
      </c>
      <c r="F125" t="s">
        <v>62</v>
      </c>
      <c r="G125" t="s">
        <v>37</v>
      </c>
      <c r="H125" t="s">
        <v>32</v>
      </c>
      <c r="I125" t="s">
        <v>45</v>
      </c>
      <c r="J125" t="s">
        <v>164</v>
      </c>
      <c r="K125">
        <v>2</v>
      </c>
      <c r="L125" t="s">
        <v>50</v>
      </c>
      <c r="M125">
        <v>42000</v>
      </c>
      <c r="N125">
        <v>15.1</v>
      </c>
      <c r="O125">
        <v>9.8000000000000007</v>
      </c>
      <c r="P125">
        <v>5.5</v>
      </c>
      <c r="Q125">
        <v>5.0999999999999996</v>
      </c>
      <c r="R125">
        <v>3</v>
      </c>
      <c r="S125">
        <v>3</v>
      </c>
      <c r="T125">
        <v>2</v>
      </c>
      <c r="U125" t="s">
        <v>30</v>
      </c>
      <c r="V125">
        <v>4</v>
      </c>
      <c r="W125">
        <f>COUNTIF($A$2:A125,A125)</f>
        <v>1</v>
      </c>
    </row>
    <row r="126" spans="1:23" x14ac:dyDescent="0.35">
      <c r="A126" t="s">
        <v>353</v>
      </c>
      <c r="B126" s="2">
        <v>44585</v>
      </c>
      <c r="D126" t="s">
        <v>23</v>
      </c>
      <c r="E126">
        <v>26</v>
      </c>
      <c r="F126" t="s">
        <v>36</v>
      </c>
      <c r="G126" t="s">
        <v>25</v>
      </c>
      <c r="H126" t="s">
        <v>54</v>
      </c>
      <c r="I126" t="s">
        <v>45</v>
      </c>
      <c r="J126" t="s">
        <v>97</v>
      </c>
      <c r="K126">
        <v>1</v>
      </c>
      <c r="L126" t="s">
        <v>34</v>
      </c>
      <c r="M126">
        <v>30000</v>
      </c>
      <c r="N126">
        <v>5.5</v>
      </c>
      <c r="O126">
        <v>4.7</v>
      </c>
      <c r="P126">
        <v>3.9</v>
      </c>
      <c r="Q126">
        <v>3</v>
      </c>
      <c r="R126">
        <v>3</v>
      </c>
      <c r="S126">
        <v>1</v>
      </c>
      <c r="T126">
        <v>3</v>
      </c>
      <c r="U126" t="s">
        <v>30</v>
      </c>
      <c r="V126">
        <v>5</v>
      </c>
      <c r="W126">
        <f>COUNTIF($A$2:A126,A126)</f>
        <v>1</v>
      </c>
    </row>
    <row r="127" spans="1:23" x14ac:dyDescent="0.35">
      <c r="A127" t="s">
        <v>813</v>
      </c>
      <c r="B127" s="2">
        <v>44685</v>
      </c>
      <c r="D127" t="s">
        <v>23</v>
      </c>
      <c r="E127">
        <v>39</v>
      </c>
      <c r="F127" t="s">
        <v>24</v>
      </c>
      <c r="G127" t="s">
        <v>42</v>
      </c>
      <c r="H127" t="s">
        <v>32</v>
      </c>
      <c r="I127" t="s">
        <v>45</v>
      </c>
      <c r="J127" t="s">
        <v>97</v>
      </c>
      <c r="K127">
        <v>3</v>
      </c>
      <c r="L127" t="s">
        <v>50</v>
      </c>
      <c r="M127">
        <v>89000</v>
      </c>
      <c r="N127">
        <v>3.4</v>
      </c>
      <c r="O127">
        <v>8.9</v>
      </c>
      <c r="P127">
        <v>3.7</v>
      </c>
      <c r="Q127">
        <v>0.9</v>
      </c>
      <c r="R127">
        <v>1</v>
      </c>
      <c r="S127">
        <v>3</v>
      </c>
      <c r="T127">
        <v>4</v>
      </c>
      <c r="U127" t="s">
        <v>23</v>
      </c>
      <c r="V127">
        <v>1</v>
      </c>
      <c r="W127">
        <f>COUNTIF($A$2:A127,A127)</f>
        <v>1</v>
      </c>
    </row>
    <row r="128" spans="1:23" x14ac:dyDescent="0.35">
      <c r="A128" t="s">
        <v>212</v>
      </c>
      <c r="B128" s="2">
        <v>45389</v>
      </c>
      <c r="D128" t="s">
        <v>23</v>
      </c>
      <c r="E128">
        <v>28</v>
      </c>
      <c r="F128" t="s">
        <v>36</v>
      </c>
      <c r="G128" t="s">
        <v>25</v>
      </c>
      <c r="H128" t="s">
        <v>54</v>
      </c>
      <c r="I128" t="s">
        <v>59</v>
      </c>
      <c r="J128" t="s">
        <v>60</v>
      </c>
      <c r="K128">
        <v>3</v>
      </c>
      <c r="L128" t="s">
        <v>40</v>
      </c>
      <c r="M128">
        <v>71000</v>
      </c>
      <c r="N128">
        <v>6.6</v>
      </c>
      <c r="O128">
        <v>2</v>
      </c>
      <c r="P128">
        <v>1.7</v>
      </c>
      <c r="Q128">
        <v>0.5</v>
      </c>
      <c r="R128">
        <v>4</v>
      </c>
      <c r="S128">
        <v>3</v>
      </c>
      <c r="T128">
        <v>4</v>
      </c>
      <c r="U128" t="s">
        <v>23</v>
      </c>
      <c r="V128">
        <v>3</v>
      </c>
      <c r="W128">
        <f>COUNTIF($A$2:A128,A128)</f>
        <v>1</v>
      </c>
    </row>
    <row r="129" spans="1:23" x14ac:dyDescent="0.35">
      <c r="A129" t="s">
        <v>846</v>
      </c>
      <c r="B129" s="2">
        <v>42457</v>
      </c>
      <c r="D129" t="s">
        <v>23</v>
      </c>
      <c r="E129">
        <v>33</v>
      </c>
      <c r="F129" t="s">
        <v>24</v>
      </c>
      <c r="G129" t="s">
        <v>37</v>
      </c>
      <c r="H129" t="s">
        <v>54</v>
      </c>
      <c r="I129" t="s">
        <v>59</v>
      </c>
      <c r="J129" t="s">
        <v>60</v>
      </c>
      <c r="K129">
        <v>2</v>
      </c>
      <c r="L129" t="s">
        <v>34</v>
      </c>
      <c r="M129">
        <v>44000</v>
      </c>
      <c r="N129">
        <v>10.1</v>
      </c>
      <c r="O129">
        <v>15.5</v>
      </c>
      <c r="P129">
        <v>9.8000000000000007</v>
      </c>
      <c r="Q129">
        <v>0.1</v>
      </c>
      <c r="R129">
        <v>4</v>
      </c>
      <c r="S129">
        <v>3</v>
      </c>
      <c r="T129">
        <v>3</v>
      </c>
      <c r="U129" t="s">
        <v>23</v>
      </c>
      <c r="V129">
        <v>4</v>
      </c>
      <c r="W129">
        <f>COUNTIF($A$2:A129,A129)</f>
        <v>1</v>
      </c>
    </row>
    <row r="130" spans="1:23" x14ac:dyDescent="0.35">
      <c r="A130" t="s">
        <v>342</v>
      </c>
      <c r="B130" s="2">
        <v>43297</v>
      </c>
      <c r="D130" t="s">
        <v>23</v>
      </c>
      <c r="E130">
        <v>31</v>
      </c>
      <c r="F130" t="s">
        <v>36</v>
      </c>
      <c r="G130" t="s">
        <v>25</v>
      </c>
      <c r="H130" t="s">
        <v>26</v>
      </c>
      <c r="I130" t="s">
        <v>27</v>
      </c>
      <c r="J130" t="s">
        <v>28</v>
      </c>
      <c r="K130">
        <v>1</v>
      </c>
      <c r="L130" t="s">
        <v>84</v>
      </c>
      <c r="M130">
        <v>24000</v>
      </c>
      <c r="N130">
        <v>6.7</v>
      </c>
      <c r="O130">
        <v>9.4</v>
      </c>
      <c r="P130">
        <v>7.5</v>
      </c>
      <c r="Q130">
        <v>1.6</v>
      </c>
      <c r="R130">
        <v>2</v>
      </c>
      <c r="S130">
        <v>2</v>
      </c>
      <c r="T130">
        <v>3</v>
      </c>
      <c r="U130" t="s">
        <v>30</v>
      </c>
      <c r="V130">
        <v>5</v>
      </c>
      <c r="W130">
        <f>COUNTIF($A$2:A130,A130)</f>
        <v>1</v>
      </c>
    </row>
    <row r="131" spans="1:23" x14ac:dyDescent="0.35">
      <c r="A131" t="s">
        <v>273</v>
      </c>
      <c r="B131" s="2">
        <v>45647</v>
      </c>
      <c r="D131" t="s">
        <v>23</v>
      </c>
      <c r="E131">
        <v>37</v>
      </c>
      <c r="F131" t="s">
        <v>36</v>
      </c>
      <c r="G131" t="s">
        <v>42</v>
      </c>
      <c r="H131" t="s">
        <v>32</v>
      </c>
      <c r="I131" t="s">
        <v>45</v>
      </c>
      <c r="J131" t="s">
        <v>77</v>
      </c>
      <c r="K131">
        <v>3</v>
      </c>
      <c r="L131" t="s">
        <v>40</v>
      </c>
      <c r="M131">
        <v>63000</v>
      </c>
      <c r="N131">
        <v>9.4</v>
      </c>
      <c r="O131">
        <v>5</v>
      </c>
      <c r="P131">
        <v>1</v>
      </c>
      <c r="Q131">
        <v>0.9</v>
      </c>
      <c r="R131">
        <v>3</v>
      </c>
      <c r="S131">
        <v>3</v>
      </c>
      <c r="T131">
        <v>3</v>
      </c>
      <c r="U131" t="s">
        <v>30</v>
      </c>
      <c r="V131">
        <v>2</v>
      </c>
      <c r="W131">
        <f>COUNTIF($A$2:A131,A131)</f>
        <v>1</v>
      </c>
    </row>
    <row r="132" spans="1:23" x14ac:dyDescent="0.35">
      <c r="A132" t="s">
        <v>1003</v>
      </c>
      <c r="B132" s="2">
        <v>45874</v>
      </c>
      <c r="D132" t="s">
        <v>23</v>
      </c>
      <c r="E132">
        <v>21</v>
      </c>
      <c r="F132" t="s">
        <v>24</v>
      </c>
      <c r="G132" t="s">
        <v>25</v>
      </c>
      <c r="H132" t="s">
        <v>26</v>
      </c>
      <c r="I132" t="s">
        <v>55</v>
      </c>
      <c r="J132" t="s">
        <v>80</v>
      </c>
      <c r="K132">
        <v>1</v>
      </c>
      <c r="L132" t="s">
        <v>66</v>
      </c>
      <c r="M132">
        <v>44000</v>
      </c>
      <c r="N132">
        <v>6.3</v>
      </c>
      <c r="O132">
        <v>4.8</v>
      </c>
      <c r="P132">
        <v>0.4</v>
      </c>
      <c r="Q132">
        <v>0</v>
      </c>
      <c r="R132">
        <v>3</v>
      </c>
      <c r="S132">
        <v>3</v>
      </c>
      <c r="T132">
        <v>3</v>
      </c>
      <c r="U132" t="s">
        <v>23</v>
      </c>
      <c r="V132">
        <v>3</v>
      </c>
      <c r="W132">
        <f>COUNTIF($A$2:A132,A132)</f>
        <v>1</v>
      </c>
    </row>
    <row r="133" spans="1:23" x14ac:dyDescent="0.35">
      <c r="A133" t="s">
        <v>229</v>
      </c>
      <c r="B133" s="2">
        <v>44326</v>
      </c>
      <c r="D133" t="s">
        <v>23</v>
      </c>
      <c r="E133">
        <v>28</v>
      </c>
      <c r="F133" t="s">
        <v>24</v>
      </c>
      <c r="G133" t="s">
        <v>25</v>
      </c>
      <c r="H133" t="s">
        <v>54</v>
      </c>
      <c r="I133" t="s">
        <v>48</v>
      </c>
      <c r="J133" t="s">
        <v>129</v>
      </c>
      <c r="K133">
        <v>1</v>
      </c>
      <c r="L133" t="s">
        <v>50</v>
      </c>
      <c r="M133">
        <v>22000</v>
      </c>
      <c r="N133">
        <v>2.5</v>
      </c>
      <c r="O133">
        <v>9.1999999999999993</v>
      </c>
      <c r="P133">
        <v>4.5999999999999996</v>
      </c>
      <c r="Q133">
        <v>0.7</v>
      </c>
      <c r="R133">
        <v>3</v>
      </c>
      <c r="S133">
        <v>3</v>
      </c>
      <c r="T133">
        <v>3</v>
      </c>
      <c r="U133" t="s">
        <v>30</v>
      </c>
      <c r="V133">
        <v>2</v>
      </c>
      <c r="W133">
        <f>COUNTIF($A$2:A133,A133)</f>
        <v>1</v>
      </c>
    </row>
    <row r="134" spans="1:23" x14ac:dyDescent="0.35">
      <c r="A134" t="s">
        <v>736</v>
      </c>
      <c r="B134" s="2">
        <v>43975</v>
      </c>
      <c r="C134" s="2">
        <v>45894</v>
      </c>
      <c r="D134" t="s">
        <v>30</v>
      </c>
      <c r="E134">
        <v>35</v>
      </c>
      <c r="F134" t="s">
        <v>24</v>
      </c>
      <c r="G134" t="s">
        <v>25</v>
      </c>
      <c r="H134" t="s">
        <v>26</v>
      </c>
      <c r="I134" t="s">
        <v>27</v>
      </c>
      <c r="J134" t="s">
        <v>33</v>
      </c>
      <c r="K134">
        <v>4</v>
      </c>
      <c r="L134" t="s">
        <v>50</v>
      </c>
      <c r="M134">
        <v>98000</v>
      </c>
      <c r="N134">
        <v>11.6</v>
      </c>
      <c r="O134">
        <v>10.6</v>
      </c>
      <c r="P134">
        <v>5.3</v>
      </c>
      <c r="Q134">
        <v>1.6</v>
      </c>
      <c r="R134">
        <v>3</v>
      </c>
      <c r="S134">
        <v>1</v>
      </c>
      <c r="T134">
        <v>2</v>
      </c>
      <c r="U134" t="s">
        <v>23</v>
      </c>
      <c r="V134">
        <v>1</v>
      </c>
      <c r="W134">
        <f>COUNTIF($A$2:A134,A134)</f>
        <v>1</v>
      </c>
    </row>
    <row r="135" spans="1:23" x14ac:dyDescent="0.35">
      <c r="A135" t="s">
        <v>1007</v>
      </c>
      <c r="B135" s="2">
        <v>43600</v>
      </c>
      <c r="D135" t="s">
        <v>23</v>
      </c>
      <c r="E135">
        <v>33</v>
      </c>
      <c r="F135" t="s">
        <v>62</v>
      </c>
      <c r="G135" t="s">
        <v>25</v>
      </c>
      <c r="H135" t="s">
        <v>54</v>
      </c>
      <c r="I135" t="s">
        <v>48</v>
      </c>
      <c r="J135" t="s">
        <v>129</v>
      </c>
      <c r="K135">
        <v>3</v>
      </c>
      <c r="L135" t="s">
        <v>84</v>
      </c>
      <c r="M135">
        <v>69000</v>
      </c>
      <c r="N135">
        <v>6.4</v>
      </c>
      <c r="O135">
        <v>10.4</v>
      </c>
      <c r="P135">
        <v>6.6</v>
      </c>
      <c r="Q135">
        <v>1.7</v>
      </c>
      <c r="R135">
        <v>4</v>
      </c>
      <c r="S135">
        <v>2</v>
      </c>
      <c r="T135">
        <v>2</v>
      </c>
      <c r="U135" t="s">
        <v>30</v>
      </c>
      <c r="V135">
        <v>4</v>
      </c>
      <c r="W135">
        <f>COUNTIF($A$2:A135,A135)</f>
        <v>1</v>
      </c>
    </row>
    <row r="136" spans="1:23" x14ac:dyDescent="0.35">
      <c r="A136" t="s">
        <v>521</v>
      </c>
      <c r="B136" s="2">
        <v>43785</v>
      </c>
      <c r="D136" t="s">
        <v>23</v>
      </c>
      <c r="E136">
        <v>27</v>
      </c>
      <c r="F136" t="s">
        <v>62</v>
      </c>
      <c r="G136" t="s">
        <v>42</v>
      </c>
      <c r="H136" t="s">
        <v>32</v>
      </c>
      <c r="I136" t="s">
        <v>48</v>
      </c>
      <c r="J136" t="s">
        <v>201</v>
      </c>
      <c r="K136">
        <v>1</v>
      </c>
      <c r="L136" t="s">
        <v>29</v>
      </c>
      <c r="M136">
        <v>32000</v>
      </c>
      <c r="N136">
        <v>13</v>
      </c>
      <c r="O136">
        <v>11.4</v>
      </c>
      <c r="P136">
        <v>6.1</v>
      </c>
      <c r="Q136">
        <v>3.2</v>
      </c>
      <c r="R136">
        <v>3</v>
      </c>
      <c r="S136">
        <v>3</v>
      </c>
      <c r="T136">
        <v>3</v>
      </c>
      <c r="U136" t="s">
        <v>23</v>
      </c>
      <c r="V136">
        <v>3</v>
      </c>
      <c r="W136">
        <f>COUNTIF($A$2:A136,A136)</f>
        <v>1</v>
      </c>
    </row>
    <row r="137" spans="1:23" x14ac:dyDescent="0.35">
      <c r="A137" t="s">
        <v>883</v>
      </c>
      <c r="B137" s="2">
        <v>41731</v>
      </c>
      <c r="D137" t="s">
        <v>23</v>
      </c>
      <c r="E137">
        <v>39</v>
      </c>
      <c r="F137" t="s">
        <v>62</v>
      </c>
      <c r="G137" t="s">
        <v>37</v>
      </c>
      <c r="H137" t="s">
        <v>26</v>
      </c>
      <c r="I137" t="s">
        <v>55</v>
      </c>
      <c r="J137" t="s">
        <v>56</v>
      </c>
      <c r="K137">
        <v>3</v>
      </c>
      <c r="L137" t="s">
        <v>29</v>
      </c>
      <c r="M137">
        <v>79000</v>
      </c>
      <c r="N137">
        <v>11.1</v>
      </c>
      <c r="O137">
        <v>14.8</v>
      </c>
      <c r="P137">
        <v>11.7</v>
      </c>
      <c r="Q137">
        <v>1.4</v>
      </c>
      <c r="R137">
        <v>3</v>
      </c>
      <c r="S137">
        <v>3</v>
      </c>
      <c r="T137">
        <v>2</v>
      </c>
      <c r="U137" t="s">
        <v>23</v>
      </c>
      <c r="V137">
        <v>3</v>
      </c>
      <c r="W137">
        <f>COUNTIF($A$2:A137,A137)</f>
        <v>1</v>
      </c>
    </row>
    <row r="138" spans="1:23" x14ac:dyDescent="0.35">
      <c r="A138" t="s">
        <v>534</v>
      </c>
      <c r="B138" s="2">
        <v>45851</v>
      </c>
      <c r="D138" t="s">
        <v>23</v>
      </c>
      <c r="E138">
        <v>21</v>
      </c>
      <c r="F138" t="s">
        <v>62</v>
      </c>
      <c r="G138" t="s">
        <v>37</v>
      </c>
      <c r="H138" t="s">
        <v>26</v>
      </c>
      <c r="I138" t="s">
        <v>48</v>
      </c>
      <c r="J138" t="s">
        <v>63</v>
      </c>
      <c r="K138">
        <v>1</v>
      </c>
      <c r="L138" t="s">
        <v>40</v>
      </c>
      <c r="M138">
        <v>28000</v>
      </c>
      <c r="N138">
        <v>11.3</v>
      </c>
      <c r="O138">
        <v>5.8</v>
      </c>
      <c r="P138">
        <v>0.5</v>
      </c>
      <c r="Q138">
        <v>0</v>
      </c>
      <c r="R138">
        <v>3</v>
      </c>
      <c r="S138">
        <v>2</v>
      </c>
      <c r="T138">
        <v>1</v>
      </c>
      <c r="U138" t="s">
        <v>30</v>
      </c>
      <c r="V138">
        <v>3</v>
      </c>
      <c r="W138">
        <f>COUNTIF($A$2:A138,A138)</f>
        <v>1</v>
      </c>
    </row>
    <row r="139" spans="1:23" x14ac:dyDescent="0.35">
      <c r="A139" t="s">
        <v>425</v>
      </c>
      <c r="B139" s="2">
        <v>41997</v>
      </c>
      <c r="D139" t="s">
        <v>23</v>
      </c>
      <c r="E139">
        <v>36</v>
      </c>
      <c r="F139" t="s">
        <v>36</v>
      </c>
      <c r="G139" t="s">
        <v>42</v>
      </c>
      <c r="H139" t="s">
        <v>58</v>
      </c>
      <c r="I139" t="s">
        <v>27</v>
      </c>
      <c r="J139" t="s">
        <v>28</v>
      </c>
      <c r="K139">
        <v>2</v>
      </c>
      <c r="L139" t="s">
        <v>50</v>
      </c>
      <c r="M139">
        <v>45000</v>
      </c>
      <c r="N139">
        <v>9.3000000000000007</v>
      </c>
      <c r="O139">
        <v>17.600000000000001</v>
      </c>
      <c r="P139">
        <v>11</v>
      </c>
      <c r="Q139">
        <v>1.4</v>
      </c>
      <c r="R139">
        <v>3</v>
      </c>
      <c r="S139">
        <v>4</v>
      </c>
      <c r="T139">
        <v>4</v>
      </c>
      <c r="U139" t="s">
        <v>23</v>
      </c>
      <c r="V139">
        <v>4</v>
      </c>
      <c r="W139">
        <f>COUNTIF($A$2:A139,A139)</f>
        <v>1</v>
      </c>
    </row>
    <row r="140" spans="1:23" x14ac:dyDescent="0.35">
      <c r="A140" t="s">
        <v>682</v>
      </c>
      <c r="B140" s="2">
        <v>44087</v>
      </c>
      <c r="D140" t="s">
        <v>23</v>
      </c>
      <c r="E140">
        <v>41</v>
      </c>
      <c r="F140" t="s">
        <v>36</v>
      </c>
      <c r="G140" t="s">
        <v>37</v>
      </c>
      <c r="H140" t="s">
        <v>54</v>
      </c>
      <c r="I140" t="s">
        <v>27</v>
      </c>
      <c r="J140" t="s">
        <v>95</v>
      </c>
      <c r="K140">
        <v>3</v>
      </c>
      <c r="L140" t="s">
        <v>40</v>
      </c>
      <c r="M140">
        <v>76000</v>
      </c>
      <c r="N140">
        <v>10.4</v>
      </c>
      <c r="O140">
        <v>10.7</v>
      </c>
      <c r="P140">
        <v>5.3</v>
      </c>
      <c r="Q140">
        <v>4.2</v>
      </c>
      <c r="R140">
        <v>4</v>
      </c>
      <c r="S140">
        <v>3</v>
      </c>
      <c r="T140">
        <v>3</v>
      </c>
      <c r="U140" t="s">
        <v>23</v>
      </c>
      <c r="V140">
        <v>2</v>
      </c>
      <c r="W140">
        <f>COUNTIF($A$2:A140,A140)</f>
        <v>1</v>
      </c>
    </row>
    <row r="141" spans="1:23" x14ac:dyDescent="0.35">
      <c r="A141" t="s">
        <v>1424</v>
      </c>
      <c r="B141" s="2">
        <v>43406</v>
      </c>
      <c r="D141" t="s">
        <v>23</v>
      </c>
      <c r="E141">
        <v>30</v>
      </c>
      <c r="F141" t="s">
        <v>62</v>
      </c>
      <c r="G141" t="s">
        <v>37</v>
      </c>
      <c r="H141" t="s">
        <v>54</v>
      </c>
      <c r="I141" t="s">
        <v>59</v>
      </c>
      <c r="J141" t="s">
        <v>86</v>
      </c>
      <c r="K141">
        <v>2</v>
      </c>
      <c r="L141" t="s">
        <v>84</v>
      </c>
      <c r="M141">
        <v>48000</v>
      </c>
      <c r="N141">
        <v>10.6</v>
      </c>
      <c r="O141">
        <v>14.9</v>
      </c>
      <c r="P141">
        <v>7.2</v>
      </c>
      <c r="Q141">
        <v>3.3</v>
      </c>
      <c r="R141">
        <v>4</v>
      </c>
      <c r="S141">
        <v>2</v>
      </c>
      <c r="T141">
        <v>2</v>
      </c>
      <c r="U141" t="s">
        <v>23</v>
      </c>
      <c r="V141">
        <v>3</v>
      </c>
      <c r="W141">
        <f>COUNTIF($A$2:A141,A141)</f>
        <v>1</v>
      </c>
    </row>
    <row r="142" spans="1:23" x14ac:dyDescent="0.35">
      <c r="A142" t="s">
        <v>563</v>
      </c>
      <c r="B142" s="2">
        <v>44301</v>
      </c>
      <c r="C142" s="2">
        <v>45958</v>
      </c>
      <c r="D142" t="s">
        <v>30</v>
      </c>
      <c r="E142">
        <v>35</v>
      </c>
      <c r="F142" t="s">
        <v>24</v>
      </c>
      <c r="G142" t="s">
        <v>37</v>
      </c>
      <c r="H142" t="s">
        <v>32</v>
      </c>
      <c r="I142" t="s">
        <v>38</v>
      </c>
      <c r="J142" t="s">
        <v>139</v>
      </c>
      <c r="K142">
        <v>1</v>
      </c>
      <c r="L142" t="s">
        <v>29</v>
      </c>
      <c r="M142">
        <v>56000</v>
      </c>
      <c r="N142">
        <v>12.5</v>
      </c>
      <c r="O142">
        <v>10.3</v>
      </c>
      <c r="P142">
        <v>4.5</v>
      </c>
      <c r="Q142">
        <v>2.5</v>
      </c>
      <c r="R142">
        <v>1</v>
      </c>
      <c r="S142">
        <v>3</v>
      </c>
      <c r="T142">
        <v>4</v>
      </c>
      <c r="U142" t="s">
        <v>23</v>
      </c>
      <c r="V142">
        <v>3</v>
      </c>
      <c r="W142">
        <f>COUNTIF($A$2:A142,A142)</f>
        <v>1</v>
      </c>
    </row>
    <row r="143" spans="1:23" x14ac:dyDescent="0.35">
      <c r="A143" t="s">
        <v>157</v>
      </c>
      <c r="B143" s="2">
        <v>42940</v>
      </c>
      <c r="D143" t="s">
        <v>23</v>
      </c>
      <c r="E143">
        <v>41</v>
      </c>
      <c r="F143" t="s">
        <v>36</v>
      </c>
      <c r="G143" t="s">
        <v>25</v>
      </c>
      <c r="H143" t="s">
        <v>54</v>
      </c>
      <c r="I143" t="s">
        <v>38</v>
      </c>
      <c r="J143" t="s">
        <v>52</v>
      </c>
      <c r="K143">
        <v>4</v>
      </c>
      <c r="L143" t="s">
        <v>34</v>
      </c>
      <c r="M143">
        <v>121000</v>
      </c>
      <c r="N143">
        <v>0.8</v>
      </c>
      <c r="O143">
        <v>11</v>
      </c>
      <c r="P143">
        <v>8.4</v>
      </c>
      <c r="Q143">
        <v>1.7</v>
      </c>
      <c r="R143">
        <v>3</v>
      </c>
      <c r="S143">
        <v>3</v>
      </c>
      <c r="T143">
        <v>3</v>
      </c>
      <c r="U143" t="s">
        <v>23</v>
      </c>
      <c r="V143">
        <v>3</v>
      </c>
      <c r="W143">
        <f>COUNTIF($A$2:A143,A143)</f>
        <v>1</v>
      </c>
    </row>
    <row r="144" spans="1:23" x14ac:dyDescent="0.35">
      <c r="A144" t="s">
        <v>1131</v>
      </c>
      <c r="B144" s="2">
        <v>45718</v>
      </c>
      <c r="D144" t="s">
        <v>23</v>
      </c>
      <c r="E144">
        <v>21</v>
      </c>
      <c r="F144" t="s">
        <v>62</v>
      </c>
      <c r="G144" t="s">
        <v>25</v>
      </c>
      <c r="H144" t="s">
        <v>54</v>
      </c>
      <c r="I144" t="s">
        <v>38</v>
      </c>
      <c r="J144" t="s">
        <v>52</v>
      </c>
      <c r="K144">
        <v>1</v>
      </c>
      <c r="L144" t="s">
        <v>84</v>
      </c>
      <c r="M144">
        <v>35000</v>
      </c>
      <c r="N144">
        <v>9.1</v>
      </c>
      <c r="O144">
        <v>1.2</v>
      </c>
      <c r="P144">
        <v>0.8</v>
      </c>
      <c r="Q144">
        <v>0</v>
      </c>
      <c r="R144">
        <v>2</v>
      </c>
      <c r="S144">
        <v>4</v>
      </c>
      <c r="T144">
        <v>1</v>
      </c>
      <c r="U144" t="s">
        <v>23</v>
      </c>
      <c r="V144">
        <v>4</v>
      </c>
      <c r="W144">
        <f>COUNTIF($A$2:A144,A144)</f>
        <v>1</v>
      </c>
    </row>
    <row r="145" spans="1:23" x14ac:dyDescent="0.35">
      <c r="A145" t="s">
        <v>456</v>
      </c>
      <c r="B145" s="2">
        <v>44290</v>
      </c>
      <c r="D145" t="s">
        <v>23</v>
      </c>
      <c r="E145">
        <v>35</v>
      </c>
      <c r="F145" t="s">
        <v>36</v>
      </c>
      <c r="G145" t="s">
        <v>42</v>
      </c>
      <c r="H145" t="s">
        <v>32</v>
      </c>
      <c r="I145" t="s">
        <v>55</v>
      </c>
      <c r="J145" t="s">
        <v>179</v>
      </c>
      <c r="K145">
        <v>2</v>
      </c>
      <c r="L145" t="s">
        <v>29</v>
      </c>
      <c r="M145">
        <v>60000</v>
      </c>
      <c r="N145">
        <v>12.3</v>
      </c>
      <c r="O145">
        <v>10.199999999999999</v>
      </c>
      <c r="P145">
        <v>4.7</v>
      </c>
      <c r="Q145">
        <v>1.2</v>
      </c>
      <c r="R145">
        <v>3</v>
      </c>
      <c r="S145">
        <v>4</v>
      </c>
      <c r="T145">
        <v>4</v>
      </c>
      <c r="U145" t="s">
        <v>23</v>
      </c>
      <c r="V145">
        <v>4</v>
      </c>
      <c r="W145">
        <f>COUNTIF($A$2:A145,A145)</f>
        <v>1</v>
      </c>
    </row>
    <row r="146" spans="1:23" x14ac:dyDescent="0.35">
      <c r="A146" t="s">
        <v>291</v>
      </c>
      <c r="B146" s="2">
        <v>42835</v>
      </c>
      <c r="D146" t="s">
        <v>23</v>
      </c>
      <c r="E146">
        <v>35</v>
      </c>
      <c r="F146" t="s">
        <v>62</v>
      </c>
      <c r="G146" t="s">
        <v>37</v>
      </c>
      <c r="H146" t="s">
        <v>26</v>
      </c>
      <c r="I146" t="s">
        <v>59</v>
      </c>
      <c r="J146" t="s">
        <v>150</v>
      </c>
      <c r="K146">
        <v>2</v>
      </c>
      <c r="L146" t="s">
        <v>34</v>
      </c>
      <c r="M146">
        <v>59000</v>
      </c>
      <c r="N146">
        <v>3.1</v>
      </c>
      <c r="O146">
        <v>13.9</v>
      </c>
      <c r="P146">
        <v>8.6999999999999993</v>
      </c>
      <c r="Q146">
        <v>0.4</v>
      </c>
      <c r="R146">
        <v>4</v>
      </c>
      <c r="S146">
        <v>1</v>
      </c>
      <c r="T146">
        <v>4</v>
      </c>
      <c r="U146" t="s">
        <v>23</v>
      </c>
      <c r="V146">
        <v>5</v>
      </c>
      <c r="W146">
        <f>COUNTIF($A$2:A146,A146)</f>
        <v>1</v>
      </c>
    </row>
    <row r="147" spans="1:23" x14ac:dyDescent="0.35">
      <c r="A147" t="s">
        <v>1338</v>
      </c>
      <c r="B147" s="2">
        <v>45268</v>
      </c>
      <c r="C147" s="2">
        <v>45984</v>
      </c>
      <c r="D147" t="s">
        <v>30</v>
      </c>
      <c r="E147">
        <v>35</v>
      </c>
      <c r="F147" t="s">
        <v>62</v>
      </c>
      <c r="G147" t="s">
        <v>42</v>
      </c>
      <c r="H147" t="s">
        <v>26</v>
      </c>
      <c r="I147" t="s">
        <v>55</v>
      </c>
      <c r="J147" t="s">
        <v>179</v>
      </c>
      <c r="K147">
        <v>1</v>
      </c>
      <c r="L147" t="s">
        <v>50</v>
      </c>
      <c r="M147">
        <v>35000</v>
      </c>
      <c r="N147">
        <v>11.5</v>
      </c>
      <c r="O147">
        <v>7.3</v>
      </c>
      <c r="P147">
        <v>2</v>
      </c>
      <c r="Q147">
        <v>1.2</v>
      </c>
      <c r="R147">
        <v>3</v>
      </c>
      <c r="S147">
        <v>3</v>
      </c>
      <c r="T147">
        <v>3</v>
      </c>
      <c r="U147" t="s">
        <v>30</v>
      </c>
      <c r="V147">
        <v>1</v>
      </c>
      <c r="W147">
        <f>COUNTIF($A$2:A147,A147)</f>
        <v>1</v>
      </c>
    </row>
    <row r="148" spans="1:23" x14ac:dyDescent="0.35">
      <c r="A148" t="s">
        <v>265</v>
      </c>
      <c r="B148" s="2">
        <v>44688</v>
      </c>
      <c r="D148" t="s">
        <v>23</v>
      </c>
      <c r="E148">
        <v>34</v>
      </c>
      <c r="F148" t="s">
        <v>62</v>
      </c>
      <c r="G148" t="s">
        <v>25</v>
      </c>
      <c r="H148" t="s">
        <v>58</v>
      </c>
      <c r="I148" t="s">
        <v>27</v>
      </c>
      <c r="J148" t="s">
        <v>28</v>
      </c>
      <c r="K148">
        <v>3</v>
      </c>
      <c r="L148" t="s">
        <v>84</v>
      </c>
      <c r="M148">
        <v>76000</v>
      </c>
      <c r="N148">
        <v>7.2</v>
      </c>
      <c r="O148">
        <v>11.2</v>
      </c>
      <c r="P148">
        <v>3.7</v>
      </c>
      <c r="Q148">
        <v>0.7</v>
      </c>
      <c r="R148">
        <v>3</v>
      </c>
      <c r="S148">
        <v>4</v>
      </c>
      <c r="T148">
        <v>3</v>
      </c>
      <c r="U148" t="s">
        <v>23</v>
      </c>
      <c r="V148">
        <v>3</v>
      </c>
      <c r="W148">
        <f>COUNTIF($A$2:A148,A148)</f>
        <v>1</v>
      </c>
    </row>
    <row r="149" spans="1:23" x14ac:dyDescent="0.35">
      <c r="A149" t="s">
        <v>520</v>
      </c>
      <c r="B149" s="2">
        <v>41813</v>
      </c>
      <c r="D149" t="s">
        <v>23</v>
      </c>
      <c r="E149">
        <v>39</v>
      </c>
      <c r="F149" t="s">
        <v>24</v>
      </c>
      <c r="G149" t="s">
        <v>37</v>
      </c>
      <c r="H149" t="s">
        <v>54</v>
      </c>
      <c r="I149" t="s">
        <v>68</v>
      </c>
      <c r="J149" t="s">
        <v>121</v>
      </c>
      <c r="K149">
        <v>1</v>
      </c>
      <c r="L149" t="s">
        <v>34</v>
      </c>
      <c r="M149">
        <v>26000</v>
      </c>
      <c r="N149">
        <v>9.3000000000000007</v>
      </c>
      <c r="O149">
        <v>13.9</v>
      </c>
      <c r="P149">
        <v>11.5</v>
      </c>
      <c r="Q149">
        <v>5</v>
      </c>
      <c r="R149">
        <v>2</v>
      </c>
      <c r="S149">
        <v>2</v>
      </c>
      <c r="T149">
        <v>4</v>
      </c>
      <c r="U149" t="s">
        <v>23</v>
      </c>
      <c r="V149">
        <v>4</v>
      </c>
      <c r="W149">
        <f>COUNTIF($A$2:A149,A149)</f>
        <v>1</v>
      </c>
    </row>
    <row r="150" spans="1:23" x14ac:dyDescent="0.35">
      <c r="A150" t="s">
        <v>1203</v>
      </c>
      <c r="B150" s="2">
        <v>45873</v>
      </c>
      <c r="D150" t="s">
        <v>23</v>
      </c>
      <c r="E150">
        <v>36</v>
      </c>
      <c r="F150" t="s">
        <v>24</v>
      </c>
      <c r="G150" t="s">
        <v>37</v>
      </c>
      <c r="H150" t="s">
        <v>32</v>
      </c>
      <c r="I150" t="s">
        <v>48</v>
      </c>
      <c r="J150" t="s">
        <v>201</v>
      </c>
      <c r="K150">
        <v>1</v>
      </c>
      <c r="L150" t="s">
        <v>29</v>
      </c>
      <c r="M150">
        <v>38000</v>
      </c>
      <c r="N150">
        <v>13.2</v>
      </c>
      <c r="O150">
        <v>6.7</v>
      </c>
      <c r="P150">
        <v>0.4</v>
      </c>
      <c r="Q150">
        <v>0</v>
      </c>
      <c r="R150">
        <v>3</v>
      </c>
      <c r="S150">
        <v>4</v>
      </c>
      <c r="T150">
        <v>2</v>
      </c>
      <c r="U150" t="s">
        <v>30</v>
      </c>
      <c r="V150">
        <v>4</v>
      </c>
      <c r="W150">
        <f>COUNTIF($A$2:A150,A150)</f>
        <v>1</v>
      </c>
    </row>
    <row r="151" spans="1:23" x14ac:dyDescent="0.35">
      <c r="A151" t="s">
        <v>1065</v>
      </c>
      <c r="B151" s="2">
        <v>42301</v>
      </c>
      <c r="D151" t="s">
        <v>23</v>
      </c>
      <c r="E151">
        <v>31</v>
      </c>
      <c r="F151" t="s">
        <v>24</v>
      </c>
      <c r="G151" t="s">
        <v>25</v>
      </c>
      <c r="H151" t="s">
        <v>54</v>
      </c>
      <c r="I151" t="s">
        <v>27</v>
      </c>
      <c r="J151" t="s">
        <v>33</v>
      </c>
      <c r="K151">
        <v>2</v>
      </c>
      <c r="L151" t="s">
        <v>50</v>
      </c>
      <c r="M151">
        <v>42000</v>
      </c>
      <c r="N151">
        <v>7.2</v>
      </c>
      <c r="O151">
        <v>15.5</v>
      </c>
      <c r="P151">
        <v>10.199999999999999</v>
      </c>
      <c r="Q151">
        <v>1.1000000000000001</v>
      </c>
      <c r="R151">
        <v>3</v>
      </c>
      <c r="S151">
        <v>4</v>
      </c>
      <c r="T151">
        <v>1</v>
      </c>
      <c r="U151" t="s">
        <v>23</v>
      </c>
      <c r="V151">
        <v>3</v>
      </c>
      <c r="W151">
        <f>COUNTIF($A$2:A151,A151)</f>
        <v>1</v>
      </c>
    </row>
    <row r="152" spans="1:23" x14ac:dyDescent="0.35">
      <c r="A152" t="s">
        <v>1307</v>
      </c>
      <c r="B152" s="2">
        <v>43491</v>
      </c>
      <c r="D152" t="s">
        <v>23</v>
      </c>
      <c r="E152">
        <v>38</v>
      </c>
      <c r="F152" t="s">
        <v>62</v>
      </c>
      <c r="G152" t="s">
        <v>42</v>
      </c>
      <c r="H152" t="s">
        <v>26</v>
      </c>
      <c r="I152" t="s">
        <v>68</v>
      </c>
      <c r="J152" t="s">
        <v>109</v>
      </c>
      <c r="K152">
        <v>3</v>
      </c>
      <c r="L152" t="s">
        <v>50</v>
      </c>
      <c r="M152">
        <v>69000</v>
      </c>
      <c r="N152">
        <v>12.5</v>
      </c>
      <c r="O152">
        <v>10</v>
      </c>
      <c r="P152">
        <v>6.9</v>
      </c>
      <c r="Q152">
        <v>4.4000000000000004</v>
      </c>
      <c r="R152">
        <v>3</v>
      </c>
      <c r="S152">
        <v>4</v>
      </c>
      <c r="T152">
        <v>3</v>
      </c>
      <c r="U152" t="s">
        <v>23</v>
      </c>
      <c r="V152">
        <v>2</v>
      </c>
      <c r="W152">
        <f>COUNTIF($A$2:A152,A152)</f>
        <v>1</v>
      </c>
    </row>
    <row r="153" spans="1:23" x14ac:dyDescent="0.35">
      <c r="A153" t="s">
        <v>993</v>
      </c>
      <c r="B153" s="2">
        <v>44457</v>
      </c>
      <c r="D153" t="s">
        <v>23</v>
      </c>
      <c r="E153">
        <v>36</v>
      </c>
      <c r="F153" t="s">
        <v>36</v>
      </c>
      <c r="G153" t="s">
        <v>25</v>
      </c>
      <c r="H153" t="s">
        <v>54</v>
      </c>
      <c r="I153" t="s">
        <v>48</v>
      </c>
      <c r="J153" t="s">
        <v>49</v>
      </c>
      <c r="K153">
        <v>4</v>
      </c>
      <c r="L153" t="s">
        <v>34</v>
      </c>
      <c r="M153">
        <v>132000</v>
      </c>
      <c r="N153">
        <v>5.9</v>
      </c>
      <c r="O153">
        <v>10.5</v>
      </c>
      <c r="P153">
        <v>4.3</v>
      </c>
      <c r="Q153">
        <v>0.1</v>
      </c>
      <c r="R153">
        <v>4</v>
      </c>
      <c r="S153">
        <v>3</v>
      </c>
      <c r="T153">
        <v>4</v>
      </c>
      <c r="U153" t="s">
        <v>23</v>
      </c>
      <c r="V153">
        <v>3</v>
      </c>
      <c r="W153">
        <f>COUNTIF($A$2:A153,A153)</f>
        <v>1</v>
      </c>
    </row>
    <row r="154" spans="1:23" x14ac:dyDescent="0.35">
      <c r="A154" t="s">
        <v>277</v>
      </c>
      <c r="B154" s="2">
        <v>45891</v>
      </c>
      <c r="D154" t="s">
        <v>23</v>
      </c>
      <c r="E154">
        <v>21</v>
      </c>
      <c r="F154" t="s">
        <v>36</v>
      </c>
      <c r="G154" t="s">
        <v>42</v>
      </c>
      <c r="H154" t="s">
        <v>26</v>
      </c>
      <c r="I154" t="s">
        <v>55</v>
      </c>
      <c r="J154" t="s">
        <v>80</v>
      </c>
      <c r="K154">
        <v>1</v>
      </c>
      <c r="L154" t="s">
        <v>50</v>
      </c>
      <c r="M154">
        <v>53000</v>
      </c>
      <c r="N154">
        <v>11.6</v>
      </c>
      <c r="O154">
        <v>1</v>
      </c>
      <c r="P154">
        <v>0.4</v>
      </c>
      <c r="Q154">
        <v>0</v>
      </c>
      <c r="R154">
        <v>4</v>
      </c>
      <c r="S154">
        <v>3</v>
      </c>
      <c r="T154">
        <v>3</v>
      </c>
      <c r="U154" t="s">
        <v>23</v>
      </c>
      <c r="V154">
        <v>4</v>
      </c>
      <c r="W154">
        <f>COUNTIF($A$2:A154,A154)</f>
        <v>1</v>
      </c>
    </row>
    <row r="155" spans="1:23" x14ac:dyDescent="0.35">
      <c r="A155" t="s">
        <v>337</v>
      </c>
      <c r="B155" s="2">
        <v>42659</v>
      </c>
      <c r="D155" t="s">
        <v>23</v>
      </c>
      <c r="E155">
        <v>35</v>
      </c>
      <c r="F155" t="s">
        <v>62</v>
      </c>
      <c r="G155" t="s">
        <v>25</v>
      </c>
      <c r="H155" t="s">
        <v>58</v>
      </c>
      <c r="I155" t="s">
        <v>38</v>
      </c>
      <c r="J155" t="s">
        <v>39</v>
      </c>
      <c r="K155">
        <v>2</v>
      </c>
      <c r="L155" t="s">
        <v>34</v>
      </c>
      <c r="M155" t="s">
        <v>338</v>
      </c>
      <c r="N155">
        <v>18.8</v>
      </c>
      <c r="O155">
        <v>13.7</v>
      </c>
      <c r="P155">
        <v>9.1999999999999993</v>
      </c>
      <c r="Q155">
        <v>3.1</v>
      </c>
      <c r="R155">
        <v>2</v>
      </c>
      <c r="S155">
        <v>2</v>
      </c>
      <c r="T155">
        <v>2</v>
      </c>
      <c r="U155" t="s">
        <v>30</v>
      </c>
      <c r="V155">
        <v>4</v>
      </c>
      <c r="W155">
        <f>COUNTIF($A$2:A155,A155)</f>
        <v>1</v>
      </c>
    </row>
    <row r="156" spans="1:23" x14ac:dyDescent="0.35">
      <c r="A156" t="s">
        <v>434</v>
      </c>
      <c r="B156" s="2">
        <v>42583</v>
      </c>
      <c r="D156" t="s">
        <v>23</v>
      </c>
      <c r="E156">
        <v>34</v>
      </c>
      <c r="F156" t="s">
        <v>36</v>
      </c>
      <c r="G156" t="s">
        <v>42</v>
      </c>
      <c r="H156" t="s">
        <v>32</v>
      </c>
      <c r="I156" t="s">
        <v>38</v>
      </c>
      <c r="J156" t="s">
        <v>39</v>
      </c>
      <c r="K156">
        <v>2</v>
      </c>
      <c r="L156" t="s">
        <v>50</v>
      </c>
      <c r="M156">
        <v>66000</v>
      </c>
      <c r="N156">
        <v>10.9</v>
      </c>
      <c r="O156">
        <v>11.4</v>
      </c>
      <c r="P156">
        <v>9.4</v>
      </c>
      <c r="Q156">
        <v>3.1</v>
      </c>
      <c r="R156">
        <v>3</v>
      </c>
      <c r="S156">
        <v>3</v>
      </c>
      <c r="T156">
        <v>2</v>
      </c>
      <c r="U156" t="s">
        <v>23</v>
      </c>
      <c r="V156">
        <v>3</v>
      </c>
      <c r="W156">
        <f>COUNTIF($A$2:A156,A156)</f>
        <v>1</v>
      </c>
    </row>
    <row r="157" spans="1:23" x14ac:dyDescent="0.35">
      <c r="A157" t="s">
        <v>941</v>
      </c>
      <c r="B157" s="2">
        <v>45238</v>
      </c>
      <c r="D157" t="s">
        <v>23</v>
      </c>
      <c r="E157">
        <v>27</v>
      </c>
      <c r="F157" t="s">
        <v>24</v>
      </c>
      <c r="G157" t="s">
        <v>42</v>
      </c>
      <c r="H157" t="s">
        <v>26</v>
      </c>
      <c r="I157" t="s">
        <v>55</v>
      </c>
      <c r="J157" t="s">
        <v>80</v>
      </c>
      <c r="K157">
        <v>1</v>
      </c>
      <c r="L157" t="s">
        <v>34</v>
      </c>
      <c r="M157">
        <v>43000</v>
      </c>
      <c r="N157">
        <v>16.5</v>
      </c>
      <c r="O157">
        <v>9.6999999999999993</v>
      </c>
      <c r="P157">
        <v>2.1</v>
      </c>
      <c r="Q157">
        <v>1.5</v>
      </c>
      <c r="R157">
        <v>4</v>
      </c>
      <c r="S157">
        <v>3</v>
      </c>
      <c r="T157">
        <v>3</v>
      </c>
      <c r="U157" t="s">
        <v>23</v>
      </c>
      <c r="V157">
        <v>3</v>
      </c>
      <c r="W157">
        <f>COUNTIF($A$2:A157,A157)</f>
        <v>1</v>
      </c>
    </row>
    <row r="158" spans="1:23" x14ac:dyDescent="0.35">
      <c r="A158" t="s">
        <v>180</v>
      </c>
      <c r="B158" s="2">
        <v>44505</v>
      </c>
      <c r="D158" t="s">
        <v>23</v>
      </c>
      <c r="E158">
        <v>44</v>
      </c>
      <c r="F158" t="s">
        <v>36</v>
      </c>
      <c r="G158" t="s">
        <v>37</v>
      </c>
      <c r="H158" t="s">
        <v>54</v>
      </c>
      <c r="I158" t="s">
        <v>68</v>
      </c>
      <c r="J158" t="s">
        <v>121</v>
      </c>
      <c r="K158">
        <v>4</v>
      </c>
      <c r="L158" t="s">
        <v>84</v>
      </c>
      <c r="M158">
        <v>106000</v>
      </c>
      <c r="N158">
        <v>5</v>
      </c>
      <c r="O158">
        <v>11.9</v>
      </c>
      <c r="P158">
        <v>4.2</v>
      </c>
      <c r="Q158">
        <v>0.6</v>
      </c>
      <c r="R158">
        <v>4</v>
      </c>
      <c r="S158">
        <v>3</v>
      </c>
      <c r="T158">
        <v>4</v>
      </c>
      <c r="U158" t="s">
        <v>23</v>
      </c>
      <c r="V158">
        <v>3</v>
      </c>
      <c r="W158">
        <f>COUNTIF($A$2:A158,A158)</f>
        <v>1</v>
      </c>
    </row>
    <row r="159" spans="1:23" x14ac:dyDescent="0.35">
      <c r="A159" t="s">
        <v>1457</v>
      </c>
      <c r="B159" s="2">
        <v>42571</v>
      </c>
      <c r="D159" t="s">
        <v>23</v>
      </c>
      <c r="E159">
        <v>33</v>
      </c>
      <c r="F159" t="s">
        <v>62</v>
      </c>
      <c r="G159" t="s">
        <v>37</v>
      </c>
      <c r="H159" t="s">
        <v>54</v>
      </c>
      <c r="I159" t="s">
        <v>68</v>
      </c>
      <c r="J159" t="s">
        <v>121</v>
      </c>
      <c r="K159">
        <v>5</v>
      </c>
      <c r="L159" t="s">
        <v>29</v>
      </c>
      <c r="M159">
        <v>163000</v>
      </c>
      <c r="N159">
        <v>2.2000000000000002</v>
      </c>
      <c r="O159">
        <v>12.4</v>
      </c>
      <c r="P159">
        <v>9.4</v>
      </c>
      <c r="Q159">
        <v>5.6</v>
      </c>
      <c r="R159">
        <v>3</v>
      </c>
      <c r="S159">
        <v>2</v>
      </c>
      <c r="T159">
        <v>4</v>
      </c>
      <c r="U159" t="s">
        <v>23</v>
      </c>
      <c r="V159">
        <v>3</v>
      </c>
      <c r="W159">
        <f>COUNTIF($A$2:A159,A159)</f>
        <v>1</v>
      </c>
    </row>
    <row r="160" spans="1:23" x14ac:dyDescent="0.35">
      <c r="A160" t="s">
        <v>286</v>
      </c>
      <c r="B160" s="2">
        <v>42361</v>
      </c>
      <c r="D160" t="s">
        <v>23</v>
      </c>
      <c r="E160">
        <v>32</v>
      </c>
      <c r="F160" t="s">
        <v>36</v>
      </c>
      <c r="G160" t="s">
        <v>42</v>
      </c>
      <c r="H160" t="s">
        <v>26</v>
      </c>
      <c r="I160" t="s">
        <v>55</v>
      </c>
      <c r="J160" t="s">
        <v>80</v>
      </c>
      <c r="K160">
        <v>3</v>
      </c>
      <c r="L160" t="s">
        <v>34</v>
      </c>
      <c r="M160">
        <v>86000</v>
      </c>
      <c r="N160">
        <v>5</v>
      </c>
      <c r="O160">
        <v>15.4</v>
      </c>
      <c r="P160">
        <v>10</v>
      </c>
      <c r="Q160">
        <v>0.8</v>
      </c>
      <c r="R160">
        <v>4</v>
      </c>
      <c r="S160">
        <v>3</v>
      </c>
      <c r="T160">
        <v>2</v>
      </c>
      <c r="U160" t="s">
        <v>30</v>
      </c>
      <c r="V160">
        <v>2</v>
      </c>
      <c r="W160">
        <f>COUNTIF($A$2:A160,A160)</f>
        <v>1</v>
      </c>
    </row>
    <row r="161" spans="1:23" x14ac:dyDescent="0.35">
      <c r="A161" t="s">
        <v>1474</v>
      </c>
      <c r="B161" s="2">
        <v>43629</v>
      </c>
      <c r="D161" t="s">
        <v>23</v>
      </c>
      <c r="E161">
        <v>39</v>
      </c>
      <c r="F161" t="s">
        <v>24</v>
      </c>
      <c r="G161" t="s">
        <v>37</v>
      </c>
      <c r="H161" t="s">
        <v>32</v>
      </c>
      <c r="I161" t="s">
        <v>27</v>
      </c>
      <c r="J161" t="s">
        <v>33</v>
      </c>
      <c r="K161">
        <v>3</v>
      </c>
      <c r="L161" t="s">
        <v>29</v>
      </c>
      <c r="M161">
        <v>74000</v>
      </c>
      <c r="N161">
        <v>3.8</v>
      </c>
      <c r="O161">
        <v>6.8</v>
      </c>
      <c r="P161">
        <v>6.6</v>
      </c>
      <c r="Q161">
        <v>5.8</v>
      </c>
      <c r="R161">
        <v>4</v>
      </c>
      <c r="S161">
        <v>3</v>
      </c>
      <c r="T161">
        <v>4</v>
      </c>
      <c r="U161" t="s">
        <v>23</v>
      </c>
      <c r="V161">
        <v>4</v>
      </c>
      <c r="W161">
        <f>COUNTIF($A$2:A161,A161)</f>
        <v>1</v>
      </c>
    </row>
    <row r="162" spans="1:23" x14ac:dyDescent="0.35">
      <c r="A162" t="s">
        <v>235</v>
      </c>
      <c r="B162" s="2">
        <v>43518</v>
      </c>
      <c r="D162" t="s">
        <v>23</v>
      </c>
      <c r="E162">
        <v>31</v>
      </c>
      <c r="F162" t="s">
        <v>24</v>
      </c>
      <c r="G162" t="s">
        <v>25</v>
      </c>
      <c r="H162" t="s">
        <v>32</v>
      </c>
      <c r="I162" t="s">
        <v>45</v>
      </c>
      <c r="J162" t="s">
        <v>77</v>
      </c>
      <c r="K162">
        <v>2</v>
      </c>
      <c r="L162" t="s">
        <v>34</v>
      </c>
      <c r="M162">
        <v>65000</v>
      </c>
      <c r="N162">
        <v>8</v>
      </c>
      <c r="O162">
        <v>14.6</v>
      </c>
      <c r="P162">
        <v>6.9</v>
      </c>
      <c r="Q162">
        <v>2</v>
      </c>
      <c r="R162">
        <v>3</v>
      </c>
      <c r="S162">
        <v>4</v>
      </c>
      <c r="T162">
        <v>2</v>
      </c>
      <c r="U162" t="s">
        <v>23</v>
      </c>
      <c r="V162">
        <v>2</v>
      </c>
      <c r="W162">
        <f>COUNTIF($A$2:A162,A162)</f>
        <v>1</v>
      </c>
    </row>
    <row r="163" spans="1:23" x14ac:dyDescent="0.35">
      <c r="A163" t="s">
        <v>820</v>
      </c>
      <c r="B163" s="2">
        <v>43257</v>
      </c>
      <c r="D163" t="s">
        <v>23</v>
      </c>
      <c r="E163">
        <v>31</v>
      </c>
      <c r="F163" t="s">
        <v>62</v>
      </c>
      <c r="G163" t="s">
        <v>37</v>
      </c>
      <c r="H163" t="s">
        <v>58</v>
      </c>
      <c r="I163" t="s">
        <v>68</v>
      </c>
      <c r="J163" t="s">
        <v>121</v>
      </c>
      <c r="K163">
        <v>3</v>
      </c>
      <c r="L163" t="s">
        <v>84</v>
      </c>
      <c r="M163">
        <v>74000</v>
      </c>
      <c r="N163">
        <v>0</v>
      </c>
      <c r="O163">
        <v>11.4</v>
      </c>
      <c r="P163">
        <v>7.6</v>
      </c>
      <c r="Q163">
        <v>1.8</v>
      </c>
      <c r="R163">
        <v>2</v>
      </c>
      <c r="S163">
        <v>4</v>
      </c>
      <c r="T163">
        <v>2</v>
      </c>
      <c r="U163" t="s">
        <v>23</v>
      </c>
      <c r="V163">
        <v>4</v>
      </c>
      <c r="W163">
        <f>COUNTIF($A$2:A163,A163)</f>
        <v>1</v>
      </c>
    </row>
    <row r="164" spans="1:23" x14ac:dyDescent="0.35">
      <c r="A164" t="s">
        <v>571</v>
      </c>
      <c r="B164" s="2">
        <v>43876</v>
      </c>
      <c r="D164" t="s">
        <v>23</v>
      </c>
      <c r="E164">
        <v>31</v>
      </c>
      <c r="F164" t="s">
        <v>36</v>
      </c>
      <c r="G164" t="s">
        <v>25</v>
      </c>
      <c r="H164" t="s">
        <v>26</v>
      </c>
      <c r="I164" t="s">
        <v>68</v>
      </c>
      <c r="J164" t="s">
        <v>121</v>
      </c>
      <c r="K164">
        <v>3</v>
      </c>
      <c r="L164" t="s">
        <v>29</v>
      </c>
      <c r="M164">
        <v>83000</v>
      </c>
      <c r="N164">
        <v>16.399999999999999</v>
      </c>
      <c r="O164">
        <v>9.5</v>
      </c>
      <c r="P164">
        <v>5.9</v>
      </c>
      <c r="Q164">
        <v>0.4</v>
      </c>
      <c r="R164">
        <v>2</v>
      </c>
      <c r="S164">
        <v>1</v>
      </c>
      <c r="T164">
        <v>3</v>
      </c>
      <c r="U164" t="s">
        <v>23</v>
      </c>
      <c r="V164">
        <v>1</v>
      </c>
      <c r="W164">
        <f>COUNTIF($A$2:A164,A164)</f>
        <v>1</v>
      </c>
    </row>
    <row r="165" spans="1:23" x14ac:dyDescent="0.35">
      <c r="A165" t="s">
        <v>1057</v>
      </c>
      <c r="B165" s="2">
        <v>43019</v>
      </c>
      <c r="D165" t="s">
        <v>23</v>
      </c>
      <c r="E165">
        <v>31</v>
      </c>
      <c r="F165" t="s">
        <v>62</v>
      </c>
      <c r="G165" t="s">
        <v>42</v>
      </c>
      <c r="H165" t="s">
        <v>54</v>
      </c>
      <c r="I165" t="s">
        <v>59</v>
      </c>
      <c r="J165" t="s">
        <v>86</v>
      </c>
      <c r="K165">
        <v>4</v>
      </c>
      <c r="L165" t="s">
        <v>50</v>
      </c>
      <c r="M165">
        <v>98000</v>
      </c>
      <c r="N165">
        <v>19.3</v>
      </c>
      <c r="O165">
        <v>11.6</v>
      </c>
      <c r="P165">
        <v>8.1999999999999993</v>
      </c>
      <c r="Q165">
        <v>2.8</v>
      </c>
      <c r="R165">
        <v>3</v>
      </c>
      <c r="S165">
        <v>4</v>
      </c>
      <c r="T165">
        <v>3</v>
      </c>
      <c r="U165" t="s">
        <v>23</v>
      </c>
      <c r="V165">
        <v>3</v>
      </c>
      <c r="W165">
        <f>COUNTIF($A$2:A165,A165)</f>
        <v>1</v>
      </c>
    </row>
    <row r="166" spans="1:23" x14ac:dyDescent="0.35">
      <c r="A166" t="s">
        <v>873</v>
      </c>
      <c r="B166" s="2">
        <v>44077</v>
      </c>
      <c r="D166" t="s">
        <v>23</v>
      </c>
      <c r="E166">
        <v>33</v>
      </c>
      <c r="F166" t="s">
        <v>36</v>
      </c>
      <c r="G166" t="s">
        <v>42</v>
      </c>
      <c r="H166" t="s">
        <v>32</v>
      </c>
      <c r="I166" t="s">
        <v>45</v>
      </c>
      <c r="J166" t="s">
        <v>97</v>
      </c>
      <c r="K166">
        <v>2</v>
      </c>
      <c r="L166" t="s">
        <v>34</v>
      </c>
      <c r="M166">
        <v>49000</v>
      </c>
      <c r="N166">
        <v>9.8000000000000007</v>
      </c>
      <c r="O166">
        <v>11</v>
      </c>
      <c r="P166">
        <v>5.3</v>
      </c>
      <c r="Q166">
        <v>4.2</v>
      </c>
      <c r="R166">
        <v>2</v>
      </c>
      <c r="S166">
        <v>3</v>
      </c>
      <c r="T166">
        <v>4</v>
      </c>
      <c r="U166" t="s">
        <v>30</v>
      </c>
      <c r="V166">
        <v>4</v>
      </c>
      <c r="W166">
        <f>COUNTIF($A$2:A166,A166)</f>
        <v>1</v>
      </c>
    </row>
    <row r="167" spans="1:23" x14ac:dyDescent="0.35">
      <c r="A167" t="s">
        <v>1502</v>
      </c>
      <c r="B167" s="2">
        <v>44358</v>
      </c>
      <c r="D167" t="s">
        <v>23</v>
      </c>
      <c r="E167">
        <v>29</v>
      </c>
      <c r="F167" t="s">
        <v>62</v>
      </c>
      <c r="G167" t="s">
        <v>25</v>
      </c>
      <c r="H167" t="s">
        <v>58</v>
      </c>
      <c r="I167" t="s">
        <v>38</v>
      </c>
      <c r="J167" t="s">
        <v>39</v>
      </c>
      <c r="K167">
        <v>3</v>
      </c>
      <c r="L167" t="s">
        <v>66</v>
      </c>
      <c r="M167">
        <v>81000</v>
      </c>
      <c r="N167">
        <v>8.9</v>
      </c>
      <c r="O167">
        <v>7.7</v>
      </c>
      <c r="P167">
        <v>4.5999999999999996</v>
      </c>
      <c r="Q167">
        <v>0.5</v>
      </c>
      <c r="R167">
        <v>3</v>
      </c>
      <c r="S167">
        <v>3</v>
      </c>
      <c r="T167">
        <v>3</v>
      </c>
      <c r="U167" t="s">
        <v>23</v>
      </c>
      <c r="V167">
        <v>3</v>
      </c>
      <c r="W167">
        <f>COUNTIF($A$2:A167,A167)</f>
        <v>1</v>
      </c>
    </row>
    <row r="168" spans="1:23" x14ac:dyDescent="0.35">
      <c r="A168" t="s">
        <v>957</v>
      </c>
      <c r="B168" s="2">
        <v>45032</v>
      </c>
      <c r="D168" t="s">
        <v>23</v>
      </c>
      <c r="E168">
        <v>28</v>
      </c>
      <c r="F168" t="s">
        <v>36</v>
      </c>
      <c r="G168" t="s">
        <v>25</v>
      </c>
      <c r="H168" t="s">
        <v>32</v>
      </c>
      <c r="I168" t="s">
        <v>27</v>
      </c>
      <c r="J168" t="s">
        <v>43</v>
      </c>
      <c r="K168">
        <v>3</v>
      </c>
      <c r="L168" t="s">
        <v>66</v>
      </c>
      <c r="M168">
        <v>75000</v>
      </c>
      <c r="N168">
        <v>8</v>
      </c>
      <c r="O168">
        <v>3.8</v>
      </c>
      <c r="P168">
        <v>2.7</v>
      </c>
      <c r="Q168">
        <v>1</v>
      </c>
      <c r="R168">
        <v>2</v>
      </c>
      <c r="S168">
        <v>3</v>
      </c>
      <c r="T168">
        <v>3</v>
      </c>
      <c r="U168" t="s">
        <v>30</v>
      </c>
      <c r="V168">
        <v>3</v>
      </c>
      <c r="W168">
        <f>COUNTIF($A$2:A168,A168)</f>
        <v>1</v>
      </c>
    </row>
    <row r="169" spans="1:23" x14ac:dyDescent="0.35">
      <c r="A169" t="s">
        <v>444</v>
      </c>
      <c r="B169" s="2">
        <v>45839</v>
      </c>
      <c r="D169" t="s">
        <v>23</v>
      </c>
      <c r="E169">
        <v>21</v>
      </c>
      <c r="F169" t="s">
        <v>62</v>
      </c>
      <c r="G169" t="s">
        <v>25</v>
      </c>
      <c r="H169" t="s">
        <v>54</v>
      </c>
      <c r="I169" t="s">
        <v>55</v>
      </c>
      <c r="J169" t="s">
        <v>80</v>
      </c>
      <c r="K169">
        <v>1</v>
      </c>
      <c r="L169" t="s">
        <v>34</v>
      </c>
      <c r="M169">
        <v>49000</v>
      </c>
      <c r="N169">
        <v>14</v>
      </c>
      <c r="O169">
        <v>7.4</v>
      </c>
      <c r="P169">
        <v>0.5</v>
      </c>
      <c r="Q169">
        <v>0</v>
      </c>
      <c r="R169">
        <v>4</v>
      </c>
      <c r="S169">
        <v>3</v>
      </c>
      <c r="T169">
        <v>2</v>
      </c>
      <c r="U169" t="s">
        <v>30</v>
      </c>
      <c r="V169">
        <v>3</v>
      </c>
      <c r="W169">
        <f>COUNTIF($A$2:A169,A169)</f>
        <v>1</v>
      </c>
    </row>
    <row r="170" spans="1:23" x14ac:dyDescent="0.35">
      <c r="A170" t="s">
        <v>1069</v>
      </c>
      <c r="B170" s="2">
        <v>42630</v>
      </c>
      <c r="C170" s="2">
        <v>45770</v>
      </c>
      <c r="D170" t="s">
        <v>30</v>
      </c>
      <c r="E170">
        <v>31</v>
      </c>
      <c r="F170" t="s">
        <v>62</v>
      </c>
      <c r="G170" t="s">
        <v>42</v>
      </c>
      <c r="H170" t="s">
        <v>26</v>
      </c>
      <c r="I170" t="s">
        <v>45</v>
      </c>
      <c r="J170" t="s">
        <v>46</v>
      </c>
      <c r="K170">
        <v>2</v>
      </c>
      <c r="L170" t="s">
        <v>66</v>
      </c>
      <c r="M170">
        <v>46000</v>
      </c>
      <c r="N170">
        <v>3.4</v>
      </c>
      <c r="O170">
        <v>10.9</v>
      </c>
      <c r="P170">
        <v>8.6</v>
      </c>
      <c r="Q170">
        <v>1.6</v>
      </c>
      <c r="R170">
        <v>2</v>
      </c>
      <c r="S170">
        <v>3</v>
      </c>
      <c r="T170">
        <v>2</v>
      </c>
      <c r="U170" t="s">
        <v>23</v>
      </c>
      <c r="V170">
        <v>3</v>
      </c>
      <c r="W170">
        <f>COUNTIF($A$2:A170,A170)</f>
        <v>1</v>
      </c>
    </row>
    <row r="171" spans="1:23" x14ac:dyDescent="0.35">
      <c r="A171" t="s">
        <v>1554</v>
      </c>
      <c r="B171" s="2">
        <v>44582</v>
      </c>
      <c r="D171" t="s">
        <v>23</v>
      </c>
      <c r="E171">
        <v>25</v>
      </c>
      <c r="F171" t="s">
        <v>62</v>
      </c>
      <c r="G171" t="s">
        <v>37</v>
      </c>
      <c r="H171" t="s">
        <v>58</v>
      </c>
      <c r="I171" t="s">
        <v>38</v>
      </c>
      <c r="J171" t="s">
        <v>39</v>
      </c>
      <c r="K171">
        <v>1</v>
      </c>
      <c r="L171" t="s">
        <v>50</v>
      </c>
      <c r="M171">
        <v>54000</v>
      </c>
      <c r="N171">
        <v>12.7</v>
      </c>
      <c r="O171">
        <v>4.3</v>
      </c>
      <c r="P171">
        <v>3.9</v>
      </c>
      <c r="Q171">
        <v>2.8</v>
      </c>
      <c r="R171">
        <v>3</v>
      </c>
      <c r="S171">
        <v>3</v>
      </c>
      <c r="T171">
        <v>4</v>
      </c>
      <c r="U171" t="s">
        <v>23</v>
      </c>
      <c r="V171">
        <v>2</v>
      </c>
      <c r="W171">
        <f>COUNTIF($A$2:A171,A171)</f>
        <v>1</v>
      </c>
    </row>
    <row r="172" spans="1:23" x14ac:dyDescent="0.35">
      <c r="A172" t="s">
        <v>1350</v>
      </c>
      <c r="B172" s="2">
        <v>42423</v>
      </c>
      <c r="D172" t="s">
        <v>23</v>
      </c>
      <c r="E172">
        <v>38</v>
      </c>
      <c r="F172" t="s">
        <v>62</v>
      </c>
      <c r="G172" t="s">
        <v>42</v>
      </c>
      <c r="H172" t="s">
        <v>32</v>
      </c>
      <c r="I172" t="s">
        <v>48</v>
      </c>
      <c r="J172" t="s">
        <v>129</v>
      </c>
      <c r="K172">
        <v>2</v>
      </c>
      <c r="L172" t="s">
        <v>66</v>
      </c>
      <c r="M172">
        <v>45000</v>
      </c>
      <c r="N172">
        <v>6.9</v>
      </c>
      <c r="O172">
        <v>11.7</v>
      </c>
      <c r="P172">
        <v>9.9</v>
      </c>
      <c r="Q172">
        <v>4.9000000000000004</v>
      </c>
      <c r="R172">
        <v>4</v>
      </c>
      <c r="S172">
        <v>3</v>
      </c>
      <c r="T172">
        <v>3</v>
      </c>
      <c r="U172" t="s">
        <v>23</v>
      </c>
      <c r="V172">
        <v>4</v>
      </c>
      <c r="W172">
        <f>COUNTIF($A$2:A172,A172)</f>
        <v>1</v>
      </c>
    </row>
    <row r="173" spans="1:23" x14ac:dyDescent="0.35">
      <c r="A173" t="s">
        <v>499</v>
      </c>
      <c r="B173" s="2">
        <v>44814</v>
      </c>
      <c r="D173" t="s">
        <v>23</v>
      </c>
      <c r="E173">
        <v>24</v>
      </c>
      <c r="F173" t="s">
        <v>62</v>
      </c>
      <c r="G173" t="s">
        <v>25</v>
      </c>
      <c r="H173" t="s">
        <v>26</v>
      </c>
      <c r="I173" t="s">
        <v>55</v>
      </c>
      <c r="J173" t="s">
        <v>179</v>
      </c>
      <c r="K173">
        <v>1</v>
      </c>
      <c r="L173" t="s">
        <v>40</v>
      </c>
      <c r="M173">
        <v>46000</v>
      </c>
      <c r="N173">
        <v>8</v>
      </c>
      <c r="O173">
        <v>8.1</v>
      </c>
      <c r="P173">
        <v>3.3</v>
      </c>
      <c r="Q173">
        <v>0.6</v>
      </c>
      <c r="R173">
        <v>3</v>
      </c>
      <c r="S173">
        <v>4</v>
      </c>
      <c r="T173">
        <v>3</v>
      </c>
      <c r="U173" t="s">
        <v>23</v>
      </c>
      <c r="V173">
        <v>4</v>
      </c>
      <c r="W173">
        <f>COUNTIF($A$2:A173,A173)</f>
        <v>1</v>
      </c>
    </row>
    <row r="174" spans="1:23" x14ac:dyDescent="0.35">
      <c r="A174" t="s">
        <v>189</v>
      </c>
      <c r="B174" s="2">
        <v>41672</v>
      </c>
      <c r="D174" t="s">
        <v>23</v>
      </c>
      <c r="E174">
        <v>38</v>
      </c>
      <c r="F174" t="s">
        <v>36</v>
      </c>
      <c r="G174" t="s">
        <v>37</v>
      </c>
      <c r="H174" t="s">
        <v>58</v>
      </c>
      <c r="I174" t="s">
        <v>59</v>
      </c>
      <c r="J174" t="s">
        <v>60</v>
      </c>
      <c r="K174">
        <v>4</v>
      </c>
      <c r="L174" t="s">
        <v>29</v>
      </c>
      <c r="M174">
        <v>112000</v>
      </c>
      <c r="N174">
        <v>7.6</v>
      </c>
      <c r="O174">
        <v>13.9</v>
      </c>
      <c r="P174">
        <v>11.9</v>
      </c>
      <c r="Q174">
        <v>4.3</v>
      </c>
      <c r="R174">
        <v>2</v>
      </c>
      <c r="S174">
        <v>4</v>
      </c>
      <c r="T174">
        <v>4</v>
      </c>
      <c r="U174" t="s">
        <v>23</v>
      </c>
      <c r="V174">
        <v>4</v>
      </c>
      <c r="W174">
        <f>COUNTIF($A$2:A174,A174)</f>
        <v>1</v>
      </c>
    </row>
    <row r="175" spans="1:23" x14ac:dyDescent="0.35">
      <c r="A175" t="s">
        <v>1189</v>
      </c>
      <c r="B175" s="2">
        <v>45137</v>
      </c>
      <c r="C175" s="2">
        <v>45921</v>
      </c>
      <c r="D175" t="s">
        <v>30</v>
      </c>
      <c r="E175">
        <v>25</v>
      </c>
      <c r="F175" t="s">
        <v>62</v>
      </c>
      <c r="G175" t="s">
        <v>37</v>
      </c>
      <c r="H175" t="s">
        <v>26</v>
      </c>
      <c r="I175" t="s">
        <v>48</v>
      </c>
      <c r="J175" t="s">
        <v>201</v>
      </c>
      <c r="K175">
        <v>1</v>
      </c>
      <c r="L175" t="s">
        <v>29</v>
      </c>
      <c r="M175">
        <v>41000</v>
      </c>
      <c r="N175">
        <v>11.4</v>
      </c>
      <c r="O175">
        <v>8.1</v>
      </c>
      <c r="P175">
        <v>2.1</v>
      </c>
      <c r="Q175">
        <v>1.5</v>
      </c>
      <c r="R175">
        <v>4</v>
      </c>
      <c r="S175">
        <v>4</v>
      </c>
      <c r="T175">
        <v>3</v>
      </c>
      <c r="U175" t="s">
        <v>23</v>
      </c>
      <c r="V175">
        <v>3</v>
      </c>
      <c r="W175">
        <f>COUNTIF($A$2:A175,A175)</f>
        <v>1</v>
      </c>
    </row>
    <row r="176" spans="1:23" x14ac:dyDescent="0.35">
      <c r="A176" t="s">
        <v>857</v>
      </c>
      <c r="B176" s="2">
        <v>42513</v>
      </c>
      <c r="D176" t="s">
        <v>23</v>
      </c>
      <c r="E176">
        <v>35</v>
      </c>
      <c r="F176" t="s">
        <v>36</v>
      </c>
      <c r="G176" t="s">
        <v>42</v>
      </c>
      <c r="H176" t="s">
        <v>26</v>
      </c>
      <c r="I176" t="s">
        <v>48</v>
      </c>
      <c r="J176" t="s">
        <v>129</v>
      </c>
      <c r="K176">
        <v>4</v>
      </c>
      <c r="L176" t="s">
        <v>50</v>
      </c>
      <c r="M176">
        <v>104000</v>
      </c>
      <c r="N176">
        <v>12.7</v>
      </c>
      <c r="O176">
        <v>13.6</v>
      </c>
      <c r="P176">
        <v>9.6</v>
      </c>
      <c r="Q176">
        <v>1.9</v>
      </c>
      <c r="R176">
        <v>4</v>
      </c>
      <c r="S176">
        <v>3</v>
      </c>
      <c r="T176">
        <v>3</v>
      </c>
      <c r="U176" t="s">
        <v>23</v>
      </c>
      <c r="V176">
        <v>2</v>
      </c>
      <c r="W176">
        <f>COUNTIF($A$2:A176,A176)</f>
        <v>1</v>
      </c>
    </row>
    <row r="177" spans="1:23" x14ac:dyDescent="0.35">
      <c r="A177" t="s">
        <v>1063</v>
      </c>
      <c r="B177" s="2">
        <v>42959</v>
      </c>
      <c r="D177" t="s">
        <v>23</v>
      </c>
      <c r="E177">
        <v>29</v>
      </c>
      <c r="F177" t="s">
        <v>36</v>
      </c>
      <c r="G177" t="s">
        <v>37</v>
      </c>
      <c r="H177" t="s">
        <v>58</v>
      </c>
      <c r="I177" t="s">
        <v>38</v>
      </c>
      <c r="J177" t="s">
        <v>52</v>
      </c>
      <c r="K177">
        <v>1</v>
      </c>
      <c r="L177" t="s">
        <v>84</v>
      </c>
      <c r="M177">
        <v>47000</v>
      </c>
      <c r="N177">
        <v>6.2</v>
      </c>
      <c r="O177">
        <v>11.8</v>
      </c>
      <c r="P177">
        <v>8.4</v>
      </c>
      <c r="Q177">
        <v>6</v>
      </c>
      <c r="R177">
        <v>3</v>
      </c>
      <c r="S177">
        <v>4</v>
      </c>
      <c r="T177">
        <v>4</v>
      </c>
      <c r="U177" t="s">
        <v>30</v>
      </c>
      <c r="V177">
        <v>3</v>
      </c>
      <c r="W177">
        <f>COUNTIF($A$2:A177,A177)</f>
        <v>1</v>
      </c>
    </row>
    <row r="178" spans="1:23" x14ac:dyDescent="0.35">
      <c r="A178" t="s">
        <v>1580</v>
      </c>
      <c r="B178" s="2">
        <v>45500</v>
      </c>
      <c r="D178" t="s">
        <v>23</v>
      </c>
      <c r="E178">
        <v>22</v>
      </c>
      <c r="F178" t="s">
        <v>24</v>
      </c>
      <c r="G178" t="s">
        <v>42</v>
      </c>
      <c r="H178" t="s">
        <v>26</v>
      </c>
      <c r="I178" t="s">
        <v>38</v>
      </c>
      <c r="J178" t="s">
        <v>39</v>
      </c>
      <c r="K178">
        <v>1</v>
      </c>
      <c r="L178" t="s">
        <v>40</v>
      </c>
      <c r="M178">
        <v>43000</v>
      </c>
      <c r="N178">
        <v>3.9</v>
      </c>
      <c r="O178">
        <v>7.2</v>
      </c>
      <c r="P178">
        <v>1.4</v>
      </c>
      <c r="Q178">
        <v>1.1000000000000001</v>
      </c>
      <c r="R178">
        <v>1</v>
      </c>
      <c r="S178">
        <v>3</v>
      </c>
      <c r="T178">
        <v>2</v>
      </c>
      <c r="U178" t="s">
        <v>23</v>
      </c>
      <c r="V178">
        <v>2</v>
      </c>
      <c r="W178">
        <f>COUNTIF($A$2:A178,A178)</f>
        <v>1</v>
      </c>
    </row>
    <row r="179" spans="1:23" x14ac:dyDescent="0.35">
      <c r="A179" t="s">
        <v>351</v>
      </c>
      <c r="B179" s="2">
        <v>45780</v>
      </c>
      <c r="D179" t="s">
        <v>23</v>
      </c>
      <c r="E179">
        <v>21</v>
      </c>
      <c r="F179" t="s">
        <v>24</v>
      </c>
      <c r="G179" t="s">
        <v>25</v>
      </c>
      <c r="H179" t="s">
        <v>26</v>
      </c>
      <c r="I179" t="s">
        <v>27</v>
      </c>
      <c r="J179" t="s">
        <v>95</v>
      </c>
      <c r="K179">
        <v>1</v>
      </c>
      <c r="L179" t="s">
        <v>50</v>
      </c>
      <c r="M179">
        <v>47000</v>
      </c>
      <c r="N179">
        <v>9.8000000000000007</v>
      </c>
      <c r="O179">
        <v>1.6</v>
      </c>
      <c r="P179">
        <v>0.7</v>
      </c>
      <c r="Q179">
        <v>0</v>
      </c>
      <c r="R179">
        <v>1</v>
      </c>
      <c r="S179">
        <v>3</v>
      </c>
      <c r="T179">
        <v>3</v>
      </c>
      <c r="U179" t="s">
        <v>23</v>
      </c>
      <c r="V179">
        <v>3</v>
      </c>
      <c r="W179">
        <f>COUNTIF($A$2:A179,A179)</f>
        <v>1</v>
      </c>
    </row>
    <row r="180" spans="1:23" x14ac:dyDescent="0.35">
      <c r="A180" t="s">
        <v>1155</v>
      </c>
      <c r="B180" s="2">
        <v>45477</v>
      </c>
      <c r="C180" s="2">
        <v>46004</v>
      </c>
      <c r="D180" t="s">
        <v>30</v>
      </c>
      <c r="E180">
        <v>29</v>
      </c>
      <c r="F180" t="s">
        <v>62</v>
      </c>
      <c r="G180" t="s">
        <v>37</v>
      </c>
      <c r="H180" t="s">
        <v>32</v>
      </c>
      <c r="I180" t="s">
        <v>68</v>
      </c>
      <c r="J180" t="s">
        <v>69</v>
      </c>
      <c r="K180">
        <v>4</v>
      </c>
      <c r="L180" t="s">
        <v>34</v>
      </c>
      <c r="M180">
        <v>114000</v>
      </c>
      <c r="N180">
        <v>8.8000000000000007</v>
      </c>
      <c r="O180">
        <v>2.6</v>
      </c>
      <c r="P180">
        <v>1.4</v>
      </c>
      <c r="Q180">
        <v>0.7</v>
      </c>
      <c r="R180">
        <v>4</v>
      </c>
      <c r="S180">
        <v>1</v>
      </c>
      <c r="T180">
        <v>3</v>
      </c>
      <c r="U180" t="s">
        <v>23</v>
      </c>
      <c r="V180">
        <v>3</v>
      </c>
      <c r="W180">
        <f>COUNTIF($A$2:A180,A180)</f>
        <v>1</v>
      </c>
    </row>
    <row r="181" spans="1:23" x14ac:dyDescent="0.35">
      <c r="A181" t="s">
        <v>1268</v>
      </c>
      <c r="B181" s="2">
        <v>45542</v>
      </c>
      <c r="D181" t="s">
        <v>23</v>
      </c>
      <c r="E181">
        <v>34</v>
      </c>
      <c r="F181" t="s">
        <v>24</v>
      </c>
      <c r="G181" t="s">
        <v>37</v>
      </c>
      <c r="H181" t="s">
        <v>58</v>
      </c>
      <c r="I181" t="s">
        <v>27</v>
      </c>
      <c r="J181" t="s">
        <v>33</v>
      </c>
      <c r="K181">
        <v>4</v>
      </c>
      <c r="L181" t="s">
        <v>29</v>
      </c>
      <c r="M181">
        <v>107000</v>
      </c>
      <c r="N181">
        <v>7.5</v>
      </c>
      <c r="O181">
        <v>4.4000000000000004</v>
      </c>
      <c r="P181">
        <v>1.3</v>
      </c>
      <c r="Q181">
        <v>1.3</v>
      </c>
      <c r="R181">
        <v>4</v>
      </c>
      <c r="S181">
        <v>3</v>
      </c>
      <c r="T181">
        <v>2</v>
      </c>
      <c r="U181" t="s">
        <v>30</v>
      </c>
      <c r="V181">
        <v>3</v>
      </c>
      <c r="W181">
        <f>COUNTIF($A$2:A181,A181)</f>
        <v>1</v>
      </c>
    </row>
    <row r="182" spans="1:23" x14ac:dyDescent="0.35">
      <c r="A182" t="s">
        <v>751</v>
      </c>
      <c r="B182" s="2">
        <v>43319</v>
      </c>
      <c r="D182" t="s">
        <v>23</v>
      </c>
      <c r="E182">
        <v>35</v>
      </c>
      <c r="F182" t="s">
        <v>62</v>
      </c>
      <c r="G182" t="s">
        <v>25</v>
      </c>
      <c r="H182" t="s">
        <v>26</v>
      </c>
      <c r="I182" t="s">
        <v>752</v>
      </c>
      <c r="J182" t="s">
        <v>39</v>
      </c>
      <c r="K182">
        <v>2</v>
      </c>
      <c r="L182" t="s">
        <v>66</v>
      </c>
      <c r="M182">
        <v>44000</v>
      </c>
      <c r="N182">
        <v>3.6</v>
      </c>
      <c r="O182">
        <v>13.7</v>
      </c>
      <c r="P182">
        <v>7.4</v>
      </c>
      <c r="Q182">
        <v>4.8</v>
      </c>
      <c r="R182">
        <v>3</v>
      </c>
      <c r="S182">
        <v>2</v>
      </c>
      <c r="T182">
        <v>3</v>
      </c>
      <c r="U182" t="s">
        <v>30</v>
      </c>
      <c r="V182">
        <v>3</v>
      </c>
      <c r="W182">
        <f>COUNTIF($A$2:A182,A182)</f>
        <v>1</v>
      </c>
    </row>
    <row r="183" spans="1:23" x14ac:dyDescent="0.35">
      <c r="A183" t="s">
        <v>1518</v>
      </c>
      <c r="B183" s="2">
        <v>45349</v>
      </c>
      <c r="D183" t="s">
        <v>23</v>
      </c>
      <c r="E183">
        <v>34</v>
      </c>
      <c r="F183" t="s">
        <v>24</v>
      </c>
      <c r="G183" t="s">
        <v>37</v>
      </c>
      <c r="H183" t="s">
        <v>58</v>
      </c>
      <c r="I183" t="s">
        <v>38</v>
      </c>
      <c r="J183" t="s">
        <v>39</v>
      </c>
      <c r="K183">
        <v>4</v>
      </c>
      <c r="L183" t="s">
        <v>40</v>
      </c>
      <c r="M183">
        <v>123000</v>
      </c>
      <c r="N183">
        <v>9.1</v>
      </c>
      <c r="O183">
        <v>7.3</v>
      </c>
      <c r="P183">
        <v>1.8</v>
      </c>
      <c r="Q183">
        <v>1.4</v>
      </c>
      <c r="R183">
        <v>3</v>
      </c>
      <c r="S183">
        <v>4</v>
      </c>
      <c r="T183">
        <v>4</v>
      </c>
      <c r="U183" t="s">
        <v>23</v>
      </c>
      <c r="V183">
        <v>1</v>
      </c>
      <c r="W183">
        <f>COUNTIF($A$2:A183,A183)</f>
        <v>1</v>
      </c>
    </row>
    <row r="184" spans="1:23" x14ac:dyDescent="0.35">
      <c r="A184" t="s">
        <v>191</v>
      </c>
      <c r="B184" s="2">
        <v>44648</v>
      </c>
      <c r="D184" t="s">
        <v>23</v>
      </c>
      <c r="E184">
        <v>29</v>
      </c>
      <c r="F184" t="s">
        <v>24</v>
      </c>
      <c r="G184" t="s">
        <v>42</v>
      </c>
      <c r="H184" t="s">
        <v>26</v>
      </c>
      <c r="I184" t="s">
        <v>38</v>
      </c>
      <c r="J184" t="s">
        <v>118</v>
      </c>
      <c r="K184">
        <v>4</v>
      </c>
      <c r="L184" t="s">
        <v>66</v>
      </c>
      <c r="M184">
        <v>117000</v>
      </c>
      <c r="N184">
        <v>9.8000000000000007</v>
      </c>
      <c r="O184">
        <v>7.2</v>
      </c>
      <c r="P184">
        <v>3.8</v>
      </c>
      <c r="Q184">
        <v>1.5</v>
      </c>
      <c r="R184">
        <v>3</v>
      </c>
      <c r="S184">
        <v>3</v>
      </c>
      <c r="T184">
        <v>3</v>
      </c>
      <c r="U184" t="s">
        <v>23</v>
      </c>
      <c r="V184">
        <v>2</v>
      </c>
      <c r="W184">
        <f>COUNTIF($A$2:A184,A184)</f>
        <v>1</v>
      </c>
    </row>
    <row r="185" spans="1:23" x14ac:dyDescent="0.35">
      <c r="A185" t="s">
        <v>1026</v>
      </c>
      <c r="B185" s="2">
        <v>44243</v>
      </c>
      <c r="D185" t="s">
        <v>23</v>
      </c>
      <c r="E185">
        <v>36</v>
      </c>
      <c r="F185" t="s">
        <v>24</v>
      </c>
      <c r="G185" t="s">
        <v>42</v>
      </c>
      <c r="H185" t="s">
        <v>26</v>
      </c>
      <c r="I185" t="s">
        <v>55</v>
      </c>
      <c r="J185" t="s">
        <v>179</v>
      </c>
      <c r="K185">
        <v>3</v>
      </c>
      <c r="L185" t="s">
        <v>34</v>
      </c>
      <c r="M185">
        <v>74000</v>
      </c>
      <c r="N185">
        <v>13.1</v>
      </c>
      <c r="O185">
        <v>5.4</v>
      </c>
      <c r="P185">
        <v>4.9000000000000004</v>
      </c>
      <c r="Q185">
        <v>3.4</v>
      </c>
      <c r="R185">
        <v>4</v>
      </c>
      <c r="S185">
        <v>3</v>
      </c>
      <c r="T185">
        <v>4</v>
      </c>
      <c r="U185" t="s">
        <v>23</v>
      </c>
      <c r="V185">
        <v>2</v>
      </c>
      <c r="W185">
        <f>COUNTIF($A$2:A185,A185)</f>
        <v>1</v>
      </c>
    </row>
    <row r="186" spans="1:23" x14ac:dyDescent="0.35">
      <c r="A186" t="s">
        <v>1491</v>
      </c>
      <c r="B186" s="2">
        <v>42743</v>
      </c>
      <c r="D186" t="s">
        <v>23</v>
      </c>
      <c r="E186">
        <v>35</v>
      </c>
      <c r="F186" t="s">
        <v>62</v>
      </c>
      <c r="G186" t="s">
        <v>42</v>
      </c>
      <c r="H186" t="s">
        <v>32</v>
      </c>
      <c r="I186" t="s">
        <v>27</v>
      </c>
      <c r="J186" t="s">
        <v>43</v>
      </c>
      <c r="K186">
        <v>2</v>
      </c>
      <c r="L186" t="s">
        <v>84</v>
      </c>
      <c r="M186">
        <v>59000</v>
      </c>
      <c r="N186">
        <v>15.7</v>
      </c>
      <c r="O186">
        <v>14.6</v>
      </c>
      <c r="P186">
        <v>9</v>
      </c>
      <c r="Q186">
        <v>1</v>
      </c>
      <c r="R186">
        <v>2</v>
      </c>
      <c r="S186">
        <v>4</v>
      </c>
      <c r="T186">
        <v>3</v>
      </c>
      <c r="U186" t="s">
        <v>23</v>
      </c>
      <c r="V186">
        <v>4</v>
      </c>
      <c r="W186">
        <f>COUNTIF($A$2:A186,A186)</f>
        <v>1</v>
      </c>
    </row>
    <row r="187" spans="1:23" x14ac:dyDescent="0.35">
      <c r="A187" t="s">
        <v>878</v>
      </c>
      <c r="B187" s="2">
        <v>45726</v>
      </c>
      <c r="D187" t="s">
        <v>23</v>
      </c>
      <c r="E187">
        <v>21</v>
      </c>
      <c r="F187" t="s">
        <v>36</v>
      </c>
      <c r="G187" t="s">
        <v>42</v>
      </c>
      <c r="H187" t="s">
        <v>58</v>
      </c>
      <c r="I187" t="s">
        <v>55</v>
      </c>
      <c r="J187" t="s">
        <v>88</v>
      </c>
      <c r="K187">
        <v>1</v>
      </c>
      <c r="L187" t="s">
        <v>50</v>
      </c>
      <c r="M187">
        <v>28000</v>
      </c>
      <c r="N187">
        <v>6.5</v>
      </c>
      <c r="O187">
        <v>4.2</v>
      </c>
      <c r="P187">
        <v>0.8</v>
      </c>
      <c r="Q187">
        <v>0</v>
      </c>
      <c r="R187">
        <v>4</v>
      </c>
      <c r="S187">
        <v>3</v>
      </c>
      <c r="T187">
        <v>4</v>
      </c>
      <c r="U187" t="s">
        <v>30</v>
      </c>
      <c r="V187">
        <v>4</v>
      </c>
      <c r="W187">
        <f>COUNTIF($A$2:A187,A187)</f>
        <v>1</v>
      </c>
    </row>
    <row r="188" spans="1:23" x14ac:dyDescent="0.35">
      <c r="A188" t="s">
        <v>967</v>
      </c>
      <c r="B188" s="2">
        <v>44823</v>
      </c>
      <c r="D188" t="s">
        <v>23</v>
      </c>
      <c r="E188">
        <v>37</v>
      </c>
      <c r="F188" t="s">
        <v>36</v>
      </c>
      <c r="G188" t="s">
        <v>42</v>
      </c>
      <c r="H188" t="s">
        <v>54</v>
      </c>
      <c r="I188" t="s">
        <v>48</v>
      </c>
      <c r="J188" t="s">
        <v>49</v>
      </c>
      <c r="K188">
        <v>2</v>
      </c>
      <c r="L188" t="s">
        <v>40</v>
      </c>
      <c r="M188">
        <v>48000</v>
      </c>
      <c r="N188">
        <v>9.6999999999999993</v>
      </c>
      <c r="O188">
        <v>5.0999999999999996</v>
      </c>
      <c r="P188">
        <v>3.3</v>
      </c>
      <c r="Q188">
        <v>1.7</v>
      </c>
      <c r="R188">
        <v>3</v>
      </c>
      <c r="S188">
        <v>1</v>
      </c>
      <c r="T188">
        <v>4</v>
      </c>
      <c r="U188" t="s">
        <v>30</v>
      </c>
      <c r="V188">
        <v>3</v>
      </c>
      <c r="W188">
        <f>COUNTIF($A$2:A188,A188)</f>
        <v>1</v>
      </c>
    </row>
    <row r="189" spans="1:23" x14ac:dyDescent="0.35">
      <c r="A189" t="s">
        <v>1496</v>
      </c>
      <c r="B189" s="2">
        <v>43009</v>
      </c>
      <c r="D189" t="s">
        <v>23</v>
      </c>
      <c r="E189">
        <v>29</v>
      </c>
      <c r="F189" t="s">
        <v>62</v>
      </c>
      <c r="G189" t="s">
        <v>25</v>
      </c>
      <c r="H189" t="s">
        <v>26</v>
      </c>
      <c r="I189" t="s">
        <v>55</v>
      </c>
      <c r="J189" t="s">
        <v>56</v>
      </c>
      <c r="K189">
        <v>3</v>
      </c>
      <c r="L189" t="s">
        <v>40</v>
      </c>
      <c r="M189">
        <v>77000</v>
      </c>
      <c r="N189">
        <v>5.3</v>
      </c>
      <c r="O189">
        <v>11.6</v>
      </c>
      <c r="P189">
        <v>8.1999999999999993</v>
      </c>
      <c r="Q189">
        <v>4.3</v>
      </c>
      <c r="R189">
        <v>3</v>
      </c>
      <c r="S189">
        <v>3</v>
      </c>
      <c r="T189">
        <v>2</v>
      </c>
      <c r="U189" t="s">
        <v>23</v>
      </c>
      <c r="V189">
        <v>3</v>
      </c>
      <c r="W189">
        <f>COUNTIF($A$2:A189,A189)</f>
        <v>1</v>
      </c>
    </row>
    <row r="190" spans="1:23" x14ac:dyDescent="0.35">
      <c r="A190" t="s">
        <v>643</v>
      </c>
      <c r="B190" s="2">
        <v>43927</v>
      </c>
      <c r="D190" t="s">
        <v>23</v>
      </c>
      <c r="E190">
        <v>26</v>
      </c>
      <c r="F190" t="s">
        <v>62</v>
      </c>
      <c r="G190" t="s">
        <v>42</v>
      </c>
      <c r="H190" t="s">
        <v>32</v>
      </c>
      <c r="I190" t="s">
        <v>55</v>
      </c>
      <c r="J190" t="s">
        <v>56</v>
      </c>
      <c r="K190">
        <v>1</v>
      </c>
      <c r="L190" t="s">
        <v>34</v>
      </c>
      <c r="M190">
        <v>49000</v>
      </c>
      <c r="N190">
        <v>5.2</v>
      </c>
      <c r="O190">
        <v>12.5</v>
      </c>
      <c r="P190">
        <v>5.7</v>
      </c>
      <c r="Q190">
        <v>1.9</v>
      </c>
      <c r="R190">
        <v>3</v>
      </c>
      <c r="S190">
        <v>3</v>
      </c>
      <c r="T190">
        <v>1</v>
      </c>
      <c r="U190" t="s">
        <v>30</v>
      </c>
      <c r="V190">
        <v>3</v>
      </c>
      <c r="W190">
        <f>COUNTIF($A$2:A190,A190)</f>
        <v>1</v>
      </c>
    </row>
    <row r="191" spans="1:23" x14ac:dyDescent="0.35">
      <c r="A191" t="s">
        <v>1463</v>
      </c>
      <c r="B191" s="2">
        <v>42597</v>
      </c>
      <c r="D191" t="s">
        <v>23</v>
      </c>
      <c r="E191">
        <v>36</v>
      </c>
      <c r="F191" t="s">
        <v>62</v>
      </c>
      <c r="G191" t="s">
        <v>37</v>
      </c>
      <c r="H191" t="s">
        <v>58</v>
      </c>
      <c r="I191" t="s">
        <v>68</v>
      </c>
      <c r="J191" t="s">
        <v>121</v>
      </c>
      <c r="K191">
        <v>5</v>
      </c>
      <c r="L191" t="s">
        <v>50</v>
      </c>
      <c r="M191">
        <v>155000</v>
      </c>
      <c r="N191">
        <v>5.6</v>
      </c>
      <c r="O191">
        <v>10.6</v>
      </c>
      <c r="P191">
        <v>9.4</v>
      </c>
      <c r="Q191">
        <v>5.6</v>
      </c>
      <c r="R191">
        <v>3</v>
      </c>
      <c r="S191">
        <v>1</v>
      </c>
      <c r="T191">
        <v>3</v>
      </c>
      <c r="U191" t="s">
        <v>23</v>
      </c>
      <c r="V191">
        <v>4</v>
      </c>
      <c r="W191">
        <f>COUNTIF($A$2:A191,A191)</f>
        <v>1</v>
      </c>
    </row>
    <row r="192" spans="1:23" x14ac:dyDescent="0.35">
      <c r="A192" t="s">
        <v>1154</v>
      </c>
      <c r="B192" s="2">
        <v>43602</v>
      </c>
      <c r="D192" t="s">
        <v>23</v>
      </c>
      <c r="E192">
        <v>29</v>
      </c>
      <c r="F192" t="s">
        <v>24</v>
      </c>
      <c r="G192" t="s">
        <v>25</v>
      </c>
      <c r="H192" t="s">
        <v>54</v>
      </c>
      <c r="I192" t="s">
        <v>59</v>
      </c>
      <c r="J192" t="s">
        <v>60</v>
      </c>
      <c r="K192">
        <v>4</v>
      </c>
      <c r="L192" t="s">
        <v>29</v>
      </c>
      <c r="M192">
        <v>109000</v>
      </c>
      <c r="N192">
        <v>19.2</v>
      </c>
      <c r="O192">
        <v>10.6</v>
      </c>
      <c r="P192">
        <v>6.6</v>
      </c>
      <c r="Q192">
        <v>0.4</v>
      </c>
      <c r="R192">
        <v>3</v>
      </c>
      <c r="S192">
        <v>4</v>
      </c>
      <c r="T192">
        <v>3</v>
      </c>
      <c r="U192" t="s">
        <v>30</v>
      </c>
      <c r="V192">
        <v>2</v>
      </c>
      <c r="W192">
        <f>COUNTIF($A$2:A192,A192)</f>
        <v>1</v>
      </c>
    </row>
    <row r="193" spans="1:23" x14ac:dyDescent="0.35">
      <c r="A193" t="s">
        <v>120</v>
      </c>
      <c r="B193" s="2">
        <v>45550</v>
      </c>
      <c r="D193" t="s">
        <v>23</v>
      </c>
      <c r="E193">
        <v>41</v>
      </c>
      <c r="F193" t="s">
        <v>36</v>
      </c>
      <c r="G193" t="s">
        <v>42</v>
      </c>
      <c r="H193" t="s">
        <v>54</v>
      </c>
      <c r="I193" t="s">
        <v>68</v>
      </c>
      <c r="J193" t="s">
        <v>121</v>
      </c>
      <c r="K193">
        <v>5</v>
      </c>
      <c r="L193" t="s">
        <v>29</v>
      </c>
      <c r="M193">
        <v>147000</v>
      </c>
      <c r="N193">
        <v>8.9</v>
      </c>
      <c r="O193">
        <v>1.9</v>
      </c>
      <c r="P193">
        <v>1.3</v>
      </c>
      <c r="Q193">
        <v>0.7</v>
      </c>
      <c r="R193">
        <v>2</v>
      </c>
      <c r="S193">
        <v>3</v>
      </c>
      <c r="T193">
        <v>4</v>
      </c>
      <c r="U193" t="s">
        <v>30</v>
      </c>
      <c r="V193">
        <v>3</v>
      </c>
      <c r="W193">
        <f>COUNTIF($A$2:A193,A193)</f>
        <v>1</v>
      </c>
    </row>
    <row r="194" spans="1:23" x14ac:dyDescent="0.35">
      <c r="A194" t="s">
        <v>1574</v>
      </c>
      <c r="B194" s="2">
        <v>45049</v>
      </c>
      <c r="D194" t="s">
        <v>23</v>
      </c>
      <c r="E194">
        <v>29</v>
      </c>
      <c r="F194" t="s">
        <v>62</v>
      </c>
      <c r="G194" t="s">
        <v>42</v>
      </c>
      <c r="H194" t="s">
        <v>32</v>
      </c>
      <c r="I194" t="s">
        <v>59</v>
      </c>
      <c r="J194" t="s">
        <v>150</v>
      </c>
      <c r="K194">
        <v>2</v>
      </c>
      <c r="L194" t="s">
        <v>34</v>
      </c>
      <c r="M194">
        <v>68000</v>
      </c>
      <c r="N194">
        <v>11.8</v>
      </c>
      <c r="O194">
        <v>7.3</v>
      </c>
      <c r="P194">
        <v>2.7</v>
      </c>
      <c r="Q194">
        <v>0.4</v>
      </c>
      <c r="R194">
        <v>2</v>
      </c>
      <c r="S194">
        <v>2</v>
      </c>
      <c r="T194">
        <v>3</v>
      </c>
      <c r="U194" t="s">
        <v>30</v>
      </c>
      <c r="V194">
        <v>3</v>
      </c>
      <c r="W194">
        <f>COUNTIF($A$2:A194,A194)</f>
        <v>1</v>
      </c>
    </row>
    <row r="195" spans="1:23" x14ac:dyDescent="0.35">
      <c r="A195" t="s">
        <v>528</v>
      </c>
      <c r="B195" s="2">
        <v>45400</v>
      </c>
      <c r="D195" t="s">
        <v>23</v>
      </c>
      <c r="E195">
        <v>37</v>
      </c>
      <c r="F195" t="s">
        <v>24</v>
      </c>
      <c r="G195" t="s">
        <v>42</v>
      </c>
      <c r="H195" t="s">
        <v>54</v>
      </c>
      <c r="I195" t="s">
        <v>68</v>
      </c>
      <c r="J195" t="s">
        <v>121</v>
      </c>
      <c r="K195">
        <v>2</v>
      </c>
      <c r="L195" t="s">
        <v>66</v>
      </c>
      <c r="M195">
        <v>62000</v>
      </c>
      <c r="N195">
        <v>11.5</v>
      </c>
      <c r="O195">
        <v>7.3</v>
      </c>
      <c r="P195">
        <v>1.7</v>
      </c>
      <c r="Q195">
        <v>0.1</v>
      </c>
      <c r="R195">
        <v>3</v>
      </c>
      <c r="S195">
        <v>4</v>
      </c>
      <c r="T195">
        <v>3</v>
      </c>
      <c r="U195" t="s">
        <v>30</v>
      </c>
      <c r="V195">
        <v>2</v>
      </c>
      <c r="W195">
        <f>COUNTIF($A$2:A195,A195)</f>
        <v>1</v>
      </c>
    </row>
    <row r="196" spans="1:23" x14ac:dyDescent="0.35">
      <c r="A196" t="s">
        <v>1146</v>
      </c>
      <c r="B196" s="2">
        <v>43127</v>
      </c>
      <c r="D196" t="s">
        <v>23</v>
      </c>
      <c r="E196">
        <v>28</v>
      </c>
      <c r="F196" t="s">
        <v>24</v>
      </c>
      <c r="G196" t="s">
        <v>37</v>
      </c>
      <c r="H196" t="s">
        <v>32</v>
      </c>
      <c r="I196" t="s">
        <v>38</v>
      </c>
      <c r="J196" t="s">
        <v>39</v>
      </c>
      <c r="K196">
        <v>2</v>
      </c>
      <c r="L196" t="s">
        <v>40</v>
      </c>
      <c r="M196">
        <v>57000</v>
      </c>
      <c r="N196">
        <v>8.6999999999999993</v>
      </c>
      <c r="O196">
        <v>13.9</v>
      </c>
      <c r="P196">
        <v>7.9</v>
      </c>
      <c r="Q196">
        <v>1.5</v>
      </c>
      <c r="R196">
        <v>3</v>
      </c>
      <c r="S196">
        <v>3</v>
      </c>
      <c r="T196">
        <v>4</v>
      </c>
      <c r="U196" t="s">
        <v>30</v>
      </c>
      <c r="V196">
        <v>2</v>
      </c>
      <c r="W196">
        <f>COUNTIF($A$2:A196,A196)</f>
        <v>1</v>
      </c>
    </row>
    <row r="197" spans="1:23" x14ac:dyDescent="0.35">
      <c r="A197" t="s">
        <v>1103</v>
      </c>
      <c r="B197" s="2">
        <v>43219</v>
      </c>
      <c r="D197" t="s">
        <v>23</v>
      </c>
      <c r="E197">
        <v>34</v>
      </c>
      <c r="F197" t="s">
        <v>24</v>
      </c>
      <c r="G197" t="s">
        <v>37</v>
      </c>
      <c r="H197" t="s">
        <v>58</v>
      </c>
      <c r="I197" t="s">
        <v>55</v>
      </c>
      <c r="J197" t="s">
        <v>80</v>
      </c>
      <c r="K197">
        <v>2</v>
      </c>
      <c r="L197" t="s">
        <v>50</v>
      </c>
      <c r="M197">
        <v>50000</v>
      </c>
      <c r="N197">
        <v>10.5</v>
      </c>
      <c r="O197">
        <v>14.2</v>
      </c>
      <c r="P197">
        <v>7.7</v>
      </c>
      <c r="Q197">
        <v>0.1</v>
      </c>
      <c r="R197">
        <v>3</v>
      </c>
      <c r="S197">
        <v>1</v>
      </c>
      <c r="T197">
        <v>4</v>
      </c>
      <c r="U197" t="s">
        <v>23</v>
      </c>
      <c r="V197">
        <v>3</v>
      </c>
      <c r="W197">
        <f>COUNTIF($A$2:A197,A197)</f>
        <v>1</v>
      </c>
    </row>
    <row r="198" spans="1:23" x14ac:dyDescent="0.35">
      <c r="A198" t="s">
        <v>669</v>
      </c>
      <c r="B198" s="2">
        <v>41964</v>
      </c>
      <c r="D198" t="s">
        <v>23</v>
      </c>
      <c r="E198">
        <v>37</v>
      </c>
      <c r="F198" t="s">
        <v>36</v>
      </c>
      <c r="G198" t="s">
        <v>37</v>
      </c>
      <c r="H198" t="s">
        <v>26</v>
      </c>
      <c r="I198" t="s">
        <v>38</v>
      </c>
      <c r="J198" t="s">
        <v>52</v>
      </c>
      <c r="K198">
        <v>1</v>
      </c>
      <c r="L198" t="s">
        <v>66</v>
      </c>
      <c r="M198">
        <v>48000</v>
      </c>
      <c r="N198">
        <v>12.3</v>
      </c>
      <c r="O198">
        <v>14.2</v>
      </c>
      <c r="P198">
        <v>11.1</v>
      </c>
      <c r="Q198">
        <v>2.6</v>
      </c>
      <c r="R198">
        <v>3</v>
      </c>
      <c r="S198">
        <v>3</v>
      </c>
      <c r="T198">
        <v>4</v>
      </c>
      <c r="U198" t="s">
        <v>23</v>
      </c>
      <c r="V198">
        <v>3</v>
      </c>
      <c r="W198">
        <f>COUNTIF($A$2:A198,A198)</f>
        <v>1</v>
      </c>
    </row>
    <row r="199" spans="1:23" x14ac:dyDescent="0.35">
      <c r="A199" t="s">
        <v>877</v>
      </c>
      <c r="B199" s="2">
        <v>43781</v>
      </c>
      <c r="C199" s="2">
        <v>45854</v>
      </c>
      <c r="D199" t="s">
        <v>30</v>
      </c>
      <c r="E199">
        <v>33</v>
      </c>
      <c r="F199" t="s">
        <v>62</v>
      </c>
      <c r="G199" t="s">
        <v>37</v>
      </c>
      <c r="H199" t="s">
        <v>54</v>
      </c>
      <c r="I199" t="s">
        <v>27</v>
      </c>
      <c r="J199" t="s">
        <v>95</v>
      </c>
      <c r="K199">
        <v>3</v>
      </c>
      <c r="L199" t="s">
        <v>29</v>
      </c>
      <c r="M199">
        <v>59000</v>
      </c>
      <c r="N199">
        <v>10.7</v>
      </c>
      <c r="O199">
        <v>6.8</v>
      </c>
      <c r="P199">
        <v>5.7</v>
      </c>
      <c r="Q199">
        <v>1.1000000000000001</v>
      </c>
      <c r="R199">
        <v>3</v>
      </c>
      <c r="S199">
        <v>4</v>
      </c>
      <c r="T199">
        <v>3</v>
      </c>
      <c r="U199" t="s">
        <v>23</v>
      </c>
      <c r="V199">
        <v>4</v>
      </c>
      <c r="W199">
        <f>COUNTIF($A$2:A199,A199)</f>
        <v>1</v>
      </c>
    </row>
    <row r="200" spans="1:23" x14ac:dyDescent="0.35">
      <c r="A200" t="s">
        <v>1388</v>
      </c>
      <c r="B200" s="2">
        <v>43842</v>
      </c>
      <c r="D200" t="s">
        <v>23</v>
      </c>
      <c r="E200">
        <v>35</v>
      </c>
      <c r="F200" t="s">
        <v>24</v>
      </c>
      <c r="G200" t="s">
        <v>42</v>
      </c>
      <c r="H200" t="s">
        <v>58</v>
      </c>
      <c r="I200" t="s">
        <v>68</v>
      </c>
      <c r="J200" t="s">
        <v>121</v>
      </c>
      <c r="K200">
        <v>3</v>
      </c>
      <c r="L200" t="s">
        <v>66</v>
      </c>
      <c r="M200">
        <v>65000</v>
      </c>
      <c r="N200">
        <v>4.7</v>
      </c>
      <c r="O200">
        <v>7.4</v>
      </c>
      <c r="P200">
        <v>6</v>
      </c>
      <c r="Q200">
        <v>1.9</v>
      </c>
      <c r="R200">
        <v>3</v>
      </c>
      <c r="S200">
        <v>2</v>
      </c>
      <c r="T200">
        <v>4</v>
      </c>
      <c r="U200" t="s">
        <v>23</v>
      </c>
      <c r="V200">
        <v>4</v>
      </c>
      <c r="W200">
        <f>COUNTIF($A$2:A200,A200)</f>
        <v>1</v>
      </c>
    </row>
    <row r="201" spans="1:23" x14ac:dyDescent="0.35">
      <c r="A201" t="s">
        <v>450</v>
      </c>
      <c r="B201" s="2">
        <v>43106</v>
      </c>
      <c r="D201" t="s">
        <v>23</v>
      </c>
      <c r="E201">
        <v>33</v>
      </c>
      <c r="F201" t="s">
        <v>36</v>
      </c>
      <c r="G201" t="s">
        <v>37</v>
      </c>
      <c r="H201" t="s">
        <v>32</v>
      </c>
      <c r="I201" t="s">
        <v>55</v>
      </c>
      <c r="J201" t="s">
        <v>179</v>
      </c>
      <c r="K201">
        <v>2</v>
      </c>
      <c r="L201" t="s">
        <v>40</v>
      </c>
      <c r="M201">
        <v>68000</v>
      </c>
      <c r="N201">
        <v>9.1</v>
      </c>
      <c r="O201">
        <v>8.4</v>
      </c>
      <c r="P201">
        <v>8</v>
      </c>
      <c r="Q201">
        <v>6</v>
      </c>
      <c r="R201">
        <v>4</v>
      </c>
      <c r="S201">
        <v>2</v>
      </c>
      <c r="T201">
        <v>4</v>
      </c>
      <c r="U201" t="s">
        <v>30</v>
      </c>
      <c r="V201">
        <v>4</v>
      </c>
      <c r="W201">
        <f>COUNTIF($A$2:A201,A201)</f>
        <v>1</v>
      </c>
    </row>
    <row r="202" spans="1:23" x14ac:dyDescent="0.35">
      <c r="A202" t="s">
        <v>1209</v>
      </c>
      <c r="B202" s="2">
        <v>42932</v>
      </c>
      <c r="D202" t="s">
        <v>23</v>
      </c>
      <c r="E202">
        <v>40</v>
      </c>
      <c r="F202" t="s">
        <v>36</v>
      </c>
      <c r="G202" t="s">
        <v>25</v>
      </c>
      <c r="H202" t="s">
        <v>58</v>
      </c>
      <c r="I202" t="s">
        <v>27</v>
      </c>
      <c r="J202" t="s">
        <v>28</v>
      </c>
      <c r="K202">
        <v>4</v>
      </c>
      <c r="L202" t="s">
        <v>40</v>
      </c>
      <c r="M202">
        <v>101000</v>
      </c>
      <c r="N202">
        <v>9.4</v>
      </c>
      <c r="O202">
        <v>16</v>
      </c>
      <c r="P202">
        <v>8.5</v>
      </c>
      <c r="Q202">
        <v>3.4</v>
      </c>
      <c r="R202">
        <v>1</v>
      </c>
      <c r="S202">
        <v>3</v>
      </c>
      <c r="T202">
        <v>2</v>
      </c>
      <c r="U202" t="s">
        <v>23</v>
      </c>
      <c r="V202">
        <v>5</v>
      </c>
      <c r="W202">
        <f>COUNTIF($A$2:A202,A202)</f>
        <v>1</v>
      </c>
    </row>
    <row r="203" spans="1:23" x14ac:dyDescent="0.35">
      <c r="A203" t="s">
        <v>167</v>
      </c>
      <c r="B203" s="2">
        <v>45089</v>
      </c>
      <c r="C203" s="2">
        <v>45972</v>
      </c>
      <c r="D203" t="s">
        <v>30</v>
      </c>
      <c r="E203">
        <v>30</v>
      </c>
      <c r="F203" t="s">
        <v>36</v>
      </c>
      <c r="G203" t="s">
        <v>37</v>
      </c>
      <c r="H203" t="s">
        <v>26</v>
      </c>
      <c r="I203" t="s">
        <v>48</v>
      </c>
      <c r="J203" t="s">
        <v>63</v>
      </c>
      <c r="K203">
        <v>1</v>
      </c>
      <c r="L203" t="s">
        <v>40</v>
      </c>
      <c r="M203">
        <v>32000</v>
      </c>
      <c r="N203">
        <v>9.9</v>
      </c>
      <c r="O203">
        <v>4</v>
      </c>
      <c r="P203">
        <v>2.4</v>
      </c>
      <c r="Q203">
        <v>0.3</v>
      </c>
      <c r="R203">
        <v>3</v>
      </c>
      <c r="S203">
        <v>3</v>
      </c>
      <c r="T203">
        <v>4</v>
      </c>
      <c r="U203" t="s">
        <v>30</v>
      </c>
      <c r="V203">
        <v>4</v>
      </c>
      <c r="W203">
        <f>COUNTIF($A$2:A203,A203)</f>
        <v>1</v>
      </c>
    </row>
    <row r="204" spans="1:23" x14ac:dyDescent="0.35">
      <c r="A204" t="s">
        <v>560</v>
      </c>
      <c r="B204" s="2">
        <v>42296</v>
      </c>
      <c r="D204" t="s">
        <v>23</v>
      </c>
      <c r="E204">
        <v>42</v>
      </c>
      <c r="F204" t="s">
        <v>24</v>
      </c>
      <c r="G204" t="s">
        <v>25</v>
      </c>
      <c r="H204" t="s">
        <v>54</v>
      </c>
      <c r="I204" t="s">
        <v>27</v>
      </c>
      <c r="J204" t="s">
        <v>95</v>
      </c>
      <c r="K204">
        <v>3</v>
      </c>
      <c r="L204" t="s">
        <v>29</v>
      </c>
      <c r="M204">
        <v>66000</v>
      </c>
      <c r="N204">
        <v>8.3000000000000007</v>
      </c>
      <c r="O204">
        <v>17.7</v>
      </c>
      <c r="P204">
        <v>10.199999999999999</v>
      </c>
      <c r="Q204">
        <v>2.4</v>
      </c>
      <c r="R204">
        <v>4</v>
      </c>
      <c r="S204">
        <v>2</v>
      </c>
      <c r="T204">
        <v>3</v>
      </c>
      <c r="U204" t="s">
        <v>23</v>
      </c>
      <c r="V204">
        <v>2</v>
      </c>
      <c r="W204">
        <f>COUNTIF($A$2:A204,A204)</f>
        <v>1</v>
      </c>
    </row>
    <row r="205" spans="1:23" x14ac:dyDescent="0.35">
      <c r="A205" t="s">
        <v>227</v>
      </c>
      <c r="B205" s="2">
        <v>41773</v>
      </c>
      <c r="D205" t="s">
        <v>23</v>
      </c>
      <c r="E205">
        <v>43</v>
      </c>
      <c r="F205" t="s">
        <v>24</v>
      </c>
      <c r="G205" t="s">
        <v>37</v>
      </c>
      <c r="H205" t="s">
        <v>26</v>
      </c>
      <c r="I205" t="s">
        <v>48</v>
      </c>
      <c r="J205" t="s">
        <v>129</v>
      </c>
      <c r="K205">
        <v>2</v>
      </c>
      <c r="L205" t="s">
        <v>29</v>
      </c>
      <c r="M205">
        <v>57000</v>
      </c>
      <c r="N205">
        <v>13.1</v>
      </c>
      <c r="O205">
        <v>13.4</v>
      </c>
      <c r="P205">
        <v>11.6</v>
      </c>
      <c r="Q205">
        <v>3.5</v>
      </c>
      <c r="R205">
        <v>4</v>
      </c>
      <c r="S205">
        <v>2</v>
      </c>
      <c r="T205">
        <v>3</v>
      </c>
      <c r="U205" t="s">
        <v>23</v>
      </c>
      <c r="V205">
        <v>4</v>
      </c>
      <c r="W205">
        <f>COUNTIF($A$2:A205,A205)</f>
        <v>1</v>
      </c>
    </row>
    <row r="206" spans="1:23" x14ac:dyDescent="0.35">
      <c r="A206" t="s">
        <v>962</v>
      </c>
      <c r="B206" s="2">
        <v>42619</v>
      </c>
      <c r="D206" t="s">
        <v>23</v>
      </c>
      <c r="E206">
        <v>35</v>
      </c>
      <c r="F206" t="s">
        <v>36</v>
      </c>
      <c r="G206" t="s">
        <v>25</v>
      </c>
      <c r="H206" t="s">
        <v>26</v>
      </c>
      <c r="I206" t="s">
        <v>27</v>
      </c>
      <c r="J206" t="s">
        <v>33</v>
      </c>
      <c r="K206">
        <v>4</v>
      </c>
      <c r="L206" t="s">
        <v>40</v>
      </c>
      <c r="M206">
        <v>114000</v>
      </c>
      <c r="N206">
        <v>9.3000000000000007</v>
      </c>
      <c r="O206">
        <v>15.8</v>
      </c>
      <c r="P206">
        <v>9.3000000000000007</v>
      </c>
      <c r="Q206">
        <v>3.7</v>
      </c>
      <c r="R206">
        <v>2</v>
      </c>
      <c r="S206">
        <v>3</v>
      </c>
      <c r="T206">
        <v>2</v>
      </c>
      <c r="U206" t="s">
        <v>23</v>
      </c>
      <c r="V206">
        <v>3</v>
      </c>
      <c r="W206">
        <f>COUNTIF($A$2:A206,A206)</f>
        <v>1</v>
      </c>
    </row>
    <row r="207" spans="1:23" x14ac:dyDescent="0.35">
      <c r="A207" t="s">
        <v>1167</v>
      </c>
      <c r="B207" s="2">
        <v>43100</v>
      </c>
      <c r="D207" t="s">
        <v>23</v>
      </c>
      <c r="E207">
        <v>29</v>
      </c>
      <c r="F207" t="s">
        <v>36</v>
      </c>
      <c r="G207" t="s">
        <v>37</v>
      </c>
      <c r="H207" t="s">
        <v>26</v>
      </c>
      <c r="I207" t="s">
        <v>68</v>
      </c>
      <c r="J207" t="s">
        <v>69</v>
      </c>
      <c r="K207">
        <v>2</v>
      </c>
      <c r="L207" t="s">
        <v>50</v>
      </c>
      <c r="M207">
        <v>65000</v>
      </c>
      <c r="N207">
        <v>18.2</v>
      </c>
      <c r="O207">
        <v>15.1</v>
      </c>
      <c r="P207">
        <v>8</v>
      </c>
      <c r="Q207">
        <v>2.7</v>
      </c>
      <c r="R207">
        <v>3</v>
      </c>
      <c r="S207">
        <v>3</v>
      </c>
      <c r="T207">
        <v>2</v>
      </c>
      <c r="U207" t="s">
        <v>30</v>
      </c>
      <c r="V207">
        <v>2</v>
      </c>
      <c r="W207">
        <f>COUNTIF($A$2:A207,A207)</f>
        <v>1</v>
      </c>
    </row>
    <row r="208" spans="1:23" x14ac:dyDescent="0.35">
      <c r="A208" t="s">
        <v>1120</v>
      </c>
      <c r="B208" s="2">
        <v>42479</v>
      </c>
      <c r="D208" t="s">
        <v>23</v>
      </c>
      <c r="E208">
        <v>30</v>
      </c>
      <c r="F208" t="s">
        <v>62</v>
      </c>
      <c r="G208" t="s">
        <v>37</v>
      </c>
      <c r="H208" t="s">
        <v>32</v>
      </c>
      <c r="I208" t="s">
        <v>48</v>
      </c>
      <c r="J208" t="s">
        <v>201</v>
      </c>
      <c r="K208">
        <v>3</v>
      </c>
      <c r="L208" t="s">
        <v>34</v>
      </c>
      <c r="M208">
        <v>93000</v>
      </c>
      <c r="N208">
        <v>15.3</v>
      </c>
      <c r="O208">
        <v>14.1</v>
      </c>
      <c r="P208">
        <v>9.6999999999999993</v>
      </c>
      <c r="Q208">
        <v>0.6</v>
      </c>
      <c r="R208">
        <v>3</v>
      </c>
      <c r="S208">
        <v>3</v>
      </c>
      <c r="T208">
        <v>4</v>
      </c>
      <c r="U208" t="s">
        <v>23</v>
      </c>
      <c r="V208">
        <v>4</v>
      </c>
      <c r="W208">
        <f>COUNTIF($A$2:A208,A208)</f>
        <v>1</v>
      </c>
    </row>
    <row r="209" spans="1:23" x14ac:dyDescent="0.35">
      <c r="A209" t="s">
        <v>575</v>
      </c>
      <c r="B209" s="2">
        <v>44784</v>
      </c>
      <c r="D209" t="s">
        <v>23</v>
      </c>
      <c r="E209">
        <v>30</v>
      </c>
      <c r="F209" t="s">
        <v>62</v>
      </c>
      <c r="G209" t="s">
        <v>25</v>
      </c>
      <c r="H209" t="s">
        <v>54</v>
      </c>
      <c r="I209" t="s">
        <v>38</v>
      </c>
      <c r="J209" t="s">
        <v>118</v>
      </c>
      <c r="K209">
        <v>2</v>
      </c>
      <c r="L209" t="s">
        <v>29</v>
      </c>
      <c r="M209">
        <v>57000</v>
      </c>
      <c r="N209">
        <v>3.6</v>
      </c>
      <c r="O209">
        <v>6.4</v>
      </c>
      <c r="P209">
        <v>3.4</v>
      </c>
      <c r="Q209">
        <v>2.5</v>
      </c>
      <c r="R209">
        <v>1</v>
      </c>
      <c r="S209">
        <v>3</v>
      </c>
      <c r="T209">
        <v>4</v>
      </c>
      <c r="U209" t="s">
        <v>23</v>
      </c>
      <c r="V209">
        <v>2</v>
      </c>
      <c r="W209">
        <f>COUNTIF($A$2:A209,A209)</f>
        <v>1</v>
      </c>
    </row>
    <row r="210" spans="1:23" x14ac:dyDescent="0.35">
      <c r="A210" t="s">
        <v>218</v>
      </c>
      <c r="B210" s="2">
        <v>43951</v>
      </c>
      <c r="C210" s="2">
        <v>45709</v>
      </c>
      <c r="D210" t="s">
        <v>30</v>
      </c>
      <c r="E210">
        <v>26</v>
      </c>
      <c r="F210" t="s">
        <v>62</v>
      </c>
      <c r="H210" t="s">
        <v>58</v>
      </c>
      <c r="I210" t="s">
        <v>38</v>
      </c>
      <c r="J210" t="s">
        <v>52</v>
      </c>
      <c r="K210">
        <v>1</v>
      </c>
      <c r="L210" t="s">
        <v>84</v>
      </c>
      <c r="M210">
        <v>31000</v>
      </c>
      <c r="N210">
        <v>8.9</v>
      </c>
      <c r="O210">
        <v>7.5</v>
      </c>
      <c r="P210">
        <v>4.8</v>
      </c>
      <c r="Q210">
        <v>4.7</v>
      </c>
      <c r="R210">
        <v>4</v>
      </c>
      <c r="S210">
        <v>3</v>
      </c>
      <c r="T210">
        <v>3</v>
      </c>
      <c r="U210" t="s">
        <v>30</v>
      </c>
      <c r="V210">
        <v>5</v>
      </c>
      <c r="W210">
        <f>COUNTIF($A$2:A210,A210)</f>
        <v>1</v>
      </c>
    </row>
    <row r="211" spans="1:23" x14ac:dyDescent="0.35">
      <c r="A211" t="s">
        <v>1148</v>
      </c>
      <c r="B211" s="2">
        <v>43470</v>
      </c>
      <c r="D211" t="s">
        <v>23</v>
      </c>
      <c r="E211">
        <v>44</v>
      </c>
      <c r="F211" t="s">
        <v>24</v>
      </c>
      <c r="G211" t="s">
        <v>37</v>
      </c>
      <c r="H211" t="s">
        <v>32</v>
      </c>
      <c r="I211" t="s">
        <v>55</v>
      </c>
      <c r="J211" t="s">
        <v>56</v>
      </c>
      <c r="K211">
        <v>1</v>
      </c>
      <c r="L211" t="s">
        <v>29</v>
      </c>
      <c r="M211">
        <v>30000</v>
      </c>
      <c r="N211">
        <v>12.9</v>
      </c>
      <c r="O211">
        <v>10.4</v>
      </c>
      <c r="P211">
        <v>7</v>
      </c>
      <c r="Q211">
        <v>1.8</v>
      </c>
      <c r="R211">
        <v>2</v>
      </c>
      <c r="S211">
        <v>3</v>
      </c>
      <c r="T211">
        <v>3</v>
      </c>
      <c r="U211" t="s">
        <v>23</v>
      </c>
      <c r="V211">
        <v>3</v>
      </c>
      <c r="W211">
        <f>COUNTIF($A$2:A211,A211)</f>
        <v>1</v>
      </c>
    </row>
    <row r="212" spans="1:23" x14ac:dyDescent="0.35">
      <c r="A212" t="s">
        <v>1129</v>
      </c>
      <c r="B212" s="2">
        <v>45419</v>
      </c>
      <c r="D212" t="s">
        <v>23</v>
      </c>
      <c r="E212">
        <v>33</v>
      </c>
      <c r="F212" t="s">
        <v>24</v>
      </c>
      <c r="G212" t="s">
        <v>42</v>
      </c>
      <c r="H212" t="s">
        <v>26</v>
      </c>
      <c r="I212" t="s">
        <v>68</v>
      </c>
      <c r="J212" t="s">
        <v>102</v>
      </c>
      <c r="K212">
        <v>3</v>
      </c>
      <c r="L212" t="s">
        <v>84</v>
      </c>
      <c r="M212">
        <v>83000</v>
      </c>
      <c r="N212">
        <v>4.5</v>
      </c>
      <c r="O212">
        <v>3.8</v>
      </c>
      <c r="P212">
        <v>1.7</v>
      </c>
      <c r="Q212">
        <v>1.1000000000000001</v>
      </c>
      <c r="R212">
        <v>3</v>
      </c>
      <c r="S212">
        <v>3</v>
      </c>
      <c r="T212">
        <v>3</v>
      </c>
      <c r="U212" t="s">
        <v>23</v>
      </c>
      <c r="V212">
        <v>3</v>
      </c>
      <c r="W212">
        <f>COUNTIF($A$2:A212,A212)</f>
        <v>1</v>
      </c>
    </row>
    <row r="213" spans="1:23" x14ac:dyDescent="0.35">
      <c r="A213" t="s">
        <v>283</v>
      </c>
      <c r="B213" s="2">
        <v>42336</v>
      </c>
      <c r="D213" t="s">
        <v>23</v>
      </c>
      <c r="E213">
        <v>34</v>
      </c>
      <c r="F213" t="s">
        <v>24</v>
      </c>
      <c r="G213" t="s">
        <v>25</v>
      </c>
      <c r="H213" t="s">
        <v>26</v>
      </c>
      <c r="I213" t="s">
        <v>48</v>
      </c>
      <c r="J213" t="s">
        <v>201</v>
      </c>
      <c r="K213">
        <v>2</v>
      </c>
      <c r="L213" t="s">
        <v>34</v>
      </c>
      <c r="M213">
        <v>59000</v>
      </c>
      <c r="N213">
        <v>10.199999999999999</v>
      </c>
      <c r="O213">
        <v>10.9</v>
      </c>
      <c r="P213">
        <v>10.1</v>
      </c>
      <c r="Q213">
        <v>4</v>
      </c>
      <c r="R213">
        <v>2</v>
      </c>
      <c r="S213">
        <v>4</v>
      </c>
      <c r="T213">
        <v>3</v>
      </c>
      <c r="U213" t="s">
        <v>23</v>
      </c>
      <c r="V213">
        <v>4</v>
      </c>
      <c r="W213">
        <f>COUNTIF($A$2:A213,A213)</f>
        <v>1</v>
      </c>
    </row>
    <row r="214" spans="1:23" x14ac:dyDescent="0.35">
      <c r="A214" t="s">
        <v>1284</v>
      </c>
      <c r="B214" s="2">
        <v>43730</v>
      </c>
      <c r="D214" t="s">
        <v>23</v>
      </c>
      <c r="E214">
        <v>29</v>
      </c>
      <c r="F214" t="s">
        <v>62</v>
      </c>
      <c r="G214" t="s">
        <v>25</v>
      </c>
      <c r="H214" t="s">
        <v>32</v>
      </c>
      <c r="I214" t="s">
        <v>59</v>
      </c>
      <c r="J214" t="s">
        <v>60</v>
      </c>
      <c r="K214">
        <v>5</v>
      </c>
      <c r="L214" t="s">
        <v>50</v>
      </c>
      <c r="M214">
        <v>146000</v>
      </c>
      <c r="N214">
        <v>6.5</v>
      </c>
      <c r="O214">
        <v>8.6999999999999993</v>
      </c>
      <c r="P214">
        <v>6.3</v>
      </c>
      <c r="Q214">
        <v>2.4</v>
      </c>
      <c r="R214">
        <v>3</v>
      </c>
      <c r="S214">
        <v>4</v>
      </c>
      <c r="T214">
        <v>1</v>
      </c>
      <c r="U214" t="s">
        <v>23</v>
      </c>
      <c r="V214">
        <v>4</v>
      </c>
      <c r="W214">
        <f>COUNTIF($A$2:A214,A214)</f>
        <v>1</v>
      </c>
    </row>
    <row r="215" spans="1:23" x14ac:dyDescent="0.35">
      <c r="A215" t="s">
        <v>485</v>
      </c>
      <c r="B215" s="2">
        <v>42785</v>
      </c>
      <c r="D215" t="s">
        <v>23</v>
      </c>
      <c r="E215">
        <v>29</v>
      </c>
      <c r="F215" t="s">
        <v>62</v>
      </c>
      <c r="G215" t="s">
        <v>42</v>
      </c>
      <c r="H215" t="s">
        <v>58</v>
      </c>
      <c r="I215" t="s">
        <v>59</v>
      </c>
      <c r="J215" t="s">
        <v>60</v>
      </c>
      <c r="K215">
        <v>2</v>
      </c>
      <c r="L215" t="s">
        <v>29</v>
      </c>
      <c r="M215">
        <v>62000</v>
      </c>
      <c r="N215">
        <v>14.7</v>
      </c>
      <c r="O215">
        <v>12.2</v>
      </c>
      <c r="P215">
        <v>8.9</v>
      </c>
      <c r="Q215">
        <v>5.9</v>
      </c>
      <c r="R215">
        <v>4</v>
      </c>
      <c r="S215">
        <v>3</v>
      </c>
      <c r="T215">
        <v>4</v>
      </c>
      <c r="U215" t="s">
        <v>23</v>
      </c>
      <c r="V215">
        <v>4</v>
      </c>
      <c r="W215">
        <f>COUNTIF($A$2:A215,A215)</f>
        <v>1</v>
      </c>
    </row>
    <row r="216" spans="1:23" x14ac:dyDescent="0.35">
      <c r="A216" t="s">
        <v>304</v>
      </c>
      <c r="B216" s="2">
        <v>45700</v>
      </c>
      <c r="D216" t="s">
        <v>23</v>
      </c>
      <c r="E216">
        <v>27</v>
      </c>
      <c r="F216" t="s">
        <v>36</v>
      </c>
      <c r="G216" t="s">
        <v>37</v>
      </c>
      <c r="H216" t="s">
        <v>54</v>
      </c>
      <c r="I216" t="s">
        <v>59</v>
      </c>
      <c r="J216" t="s">
        <v>75</v>
      </c>
      <c r="K216">
        <v>1</v>
      </c>
      <c r="L216" t="s">
        <v>40</v>
      </c>
      <c r="M216">
        <v>37000</v>
      </c>
      <c r="N216">
        <v>6.8</v>
      </c>
      <c r="O216">
        <v>5</v>
      </c>
      <c r="P216">
        <v>0.9</v>
      </c>
      <c r="Q216">
        <v>0</v>
      </c>
      <c r="R216">
        <v>3</v>
      </c>
      <c r="S216">
        <v>1</v>
      </c>
      <c r="T216">
        <v>3</v>
      </c>
      <c r="U216" t="s">
        <v>23</v>
      </c>
      <c r="V216">
        <v>4</v>
      </c>
      <c r="W216">
        <f>COUNTIF($A$2:A216,A216)</f>
        <v>1</v>
      </c>
    </row>
    <row r="217" spans="1:23" x14ac:dyDescent="0.35">
      <c r="A217" t="s">
        <v>653</v>
      </c>
      <c r="B217" s="2">
        <v>43508</v>
      </c>
      <c r="D217" t="s">
        <v>23</v>
      </c>
      <c r="E217">
        <v>34</v>
      </c>
      <c r="F217" t="s">
        <v>24</v>
      </c>
      <c r="G217" t="s">
        <v>37</v>
      </c>
      <c r="H217" t="s">
        <v>58</v>
      </c>
      <c r="I217" t="s">
        <v>55</v>
      </c>
      <c r="J217" t="s">
        <v>56</v>
      </c>
      <c r="K217">
        <v>4</v>
      </c>
      <c r="L217" t="s">
        <v>34</v>
      </c>
      <c r="M217">
        <v>115000</v>
      </c>
      <c r="N217">
        <v>15.2</v>
      </c>
      <c r="O217">
        <v>9.6</v>
      </c>
      <c r="P217">
        <v>6.9</v>
      </c>
      <c r="Q217">
        <v>2.5</v>
      </c>
      <c r="R217">
        <v>3</v>
      </c>
      <c r="S217">
        <v>3</v>
      </c>
      <c r="T217">
        <v>3</v>
      </c>
      <c r="U217" t="s">
        <v>30</v>
      </c>
      <c r="V217">
        <v>4</v>
      </c>
      <c r="W217">
        <f>COUNTIF($A$2:A217,A217)</f>
        <v>1</v>
      </c>
    </row>
    <row r="218" spans="1:23" x14ac:dyDescent="0.35">
      <c r="A218" t="s">
        <v>916</v>
      </c>
      <c r="B218" s="2">
        <v>43086</v>
      </c>
      <c r="D218" t="s">
        <v>23</v>
      </c>
      <c r="E218">
        <v>29</v>
      </c>
      <c r="F218" t="s">
        <v>36</v>
      </c>
      <c r="G218" t="s">
        <v>42</v>
      </c>
      <c r="H218" t="s">
        <v>26</v>
      </c>
      <c r="I218" t="s">
        <v>55</v>
      </c>
      <c r="J218" t="s">
        <v>80</v>
      </c>
      <c r="K218">
        <v>1</v>
      </c>
      <c r="L218" t="s">
        <v>40</v>
      </c>
      <c r="M218">
        <v>36000</v>
      </c>
      <c r="N218">
        <v>10.1</v>
      </c>
      <c r="O218">
        <v>15.4</v>
      </c>
      <c r="P218">
        <v>8</v>
      </c>
      <c r="Q218">
        <v>5.4</v>
      </c>
      <c r="R218">
        <v>2</v>
      </c>
      <c r="S218">
        <v>1</v>
      </c>
      <c r="T218">
        <v>4</v>
      </c>
      <c r="U218" t="s">
        <v>23</v>
      </c>
      <c r="V218">
        <v>3</v>
      </c>
      <c r="W218">
        <f>COUNTIF($A$2:A218,A218)</f>
        <v>1</v>
      </c>
    </row>
    <row r="219" spans="1:23" x14ac:dyDescent="0.35">
      <c r="A219" t="s">
        <v>1029</v>
      </c>
      <c r="B219" s="2">
        <v>44019</v>
      </c>
      <c r="D219" t="s">
        <v>23</v>
      </c>
      <c r="E219">
        <v>38</v>
      </c>
      <c r="F219" t="s">
        <v>62</v>
      </c>
      <c r="G219" t="s">
        <v>42</v>
      </c>
      <c r="H219" t="s">
        <v>26</v>
      </c>
      <c r="I219" t="s">
        <v>55</v>
      </c>
      <c r="J219" t="s">
        <v>88</v>
      </c>
      <c r="K219">
        <v>5</v>
      </c>
      <c r="L219" t="s">
        <v>66</v>
      </c>
      <c r="M219">
        <v>197000</v>
      </c>
      <c r="N219">
        <v>8.3000000000000007</v>
      </c>
      <c r="O219">
        <v>10.6</v>
      </c>
      <c r="P219">
        <v>5.5</v>
      </c>
      <c r="Q219">
        <v>1</v>
      </c>
      <c r="R219">
        <v>3</v>
      </c>
      <c r="S219">
        <v>2</v>
      </c>
      <c r="T219">
        <v>4</v>
      </c>
      <c r="U219" t="s">
        <v>23</v>
      </c>
      <c r="V219">
        <v>4</v>
      </c>
      <c r="W219">
        <f>COUNTIF($A$2:A219,A219)</f>
        <v>1</v>
      </c>
    </row>
    <row r="220" spans="1:23" x14ac:dyDescent="0.35">
      <c r="A220" t="s">
        <v>684</v>
      </c>
      <c r="B220" s="2">
        <v>45848</v>
      </c>
      <c r="D220" t="s">
        <v>23</v>
      </c>
      <c r="E220">
        <v>23</v>
      </c>
      <c r="F220" t="s">
        <v>24</v>
      </c>
      <c r="G220" t="s">
        <v>37</v>
      </c>
      <c r="H220" t="s">
        <v>26</v>
      </c>
      <c r="I220" t="s">
        <v>59</v>
      </c>
      <c r="J220" t="s">
        <v>86</v>
      </c>
      <c r="K220">
        <v>1</v>
      </c>
      <c r="L220" t="s">
        <v>34</v>
      </c>
      <c r="M220">
        <v>26000</v>
      </c>
      <c r="N220">
        <v>8.9</v>
      </c>
      <c r="O220">
        <v>4.7</v>
      </c>
      <c r="P220">
        <v>0.5</v>
      </c>
      <c r="Q220">
        <v>0</v>
      </c>
      <c r="R220">
        <v>3</v>
      </c>
      <c r="S220">
        <v>2</v>
      </c>
      <c r="T220">
        <v>4</v>
      </c>
      <c r="U220" t="s">
        <v>23</v>
      </c>
      <c r="V220">
        <v>3</v>
      </c>
      <c r="W220">
        <f>COUNTIF($A$2:A220,A220)</f>
        <v>1</v>
      </c>
    </row>
    <row r="221" spans="1:23" x14ac:dyDescent="0.35">
      <c r="A221" t="s">
        <v>655</v>
      </c>
      <c r="B221" s="2">
        <v>45042</v>
      </c>
      <c r="D221" t="s">
        <v>23</v>
      </c>
      <c r="E221">
        <v>29</v>
      </c>
      <c r="F221" t="s">
        <v>36</v>
      </c>
      <c r="G221" t="s">
        <v>25</v>
      </c>
      <c r="H221" t="s">
        <v>58</v>
      </c>
      <c r="I221" t="s">
        <v>38</v>
      </c>
      <c r="J221" t="s">
        <v>39</v>
      </c>
      <c r="K221">
        <v>3</v>
      </c>
      <c r="L221" t="s">
        <v>84</v>
      </c>
      <c r="M221">
        <v>88000</v>
      </c>
      <c r="N221">
        <v>8.9</v>
      </c>
      <c r="O221">
        <v>3.7</v>
      </c>
      <c r="P221">
        <v>2.7</v>
      </c>
      <c r="Q221">
        <v>0.1</v>
      </c>
      <c r="R221">
        <v>3</v>
      </c>
      <c r="S221">
        <v>3</v>
      </c>
      <c r="T221">
        <v>3</v>
      </c>
      <c r="U221" t="s">
        <v>23</v>
      </c>
      <c r="V221">
        <v>3</v>
      </c>
      <c r="W221">
        <f>COUNTIF($A$2:A221,A221)</f>
        <v>1</v>
      </c>
    </row>
    <row r="222" spans="1:23" x14ac:dyDescent="0.35">
      <c r="A222" t="s">
        <v>1101</v>
      </c>
      <c r="B222" s="2">
        <v>42969</v>
      </c>
      <c r="D222" t="s">
        <v>23</v>
      </c>
      <c r="E222">
        <v>51</v>
      </c>
      <c r="F222" t="s">
        <v>36</v>
      </c>
      <c r="G222" t="s">
        <v>25</v>
      </c>
      <c r="H222" t="s">
        <v>54</v>
      </c>
      <c r="I222" t="s">
        <v>55</v>
      </c>
      <c r="J222" t="s">
        <v>88</v>
      </c>
      <c r="K222">
        <v>3</v>
      </c>
      <c r="L222" t="s">
        <v>66</v>
      </c>
      <c r="M222">
        <v>85000</v>
      </c>
      <c r="N222">
        <v>7</v>
      </c>
      <c r="O222">
        <v>12.9</v>
      </c>
      <c r="P222">
        <v>8.4</v>
      </c>
      <c r="Q222">
        <v>5.8</v>
      </c>
      <c r="R222">
        <v>3</v>
      </c>
      <c r="S222">
        <v>4</v>
      </c>
      <c r="T222">
        <v>3</v>
      </c>
      <c r="U222" t="s">
        <v>23</v>
      </c>
      <c r="V222">
        <v>4</v>
      </c>
      <c r="W222">
        <f>COUNTIF($A$2:A222,A222)</f>
        <v>1</v>
      </c>
    </row>
    <row r="223" spans="1:23" x14ac:dyDescent="0.35">
      <c r="A223" t="s">
        <v>795</v>
      </c>
      <c r="B223" s="2">
        <v>45347</v>
      </c>
      <c r="D223" t="s">
        <v>23</v>
      </c>
      <c r="E223">
        <v>38</v>
      </c>
      <c r="F223" t="s">
        <v>36</v>
      </c>
      <c r="G223" t="s">
        <v>42</v>
      </c>
      <c r="H223" t="s">
        <v>54</v>
      </c>
      <c r="I223" t="s">
        <v>38</v>
      </c>
      <c r="J223" t="s">
        <v>118</v>
      </c>
      <c r="K223">
        <v>3</v>
      </c>
      <c r="L223" t="s">
        <v>84</v>
      </c>
      <c r="M223">
        <v>103000</v>
      </c>
      <c r="N223">
        <v>11.3</v>
      </c>
      <c r="O223">
        <v>6.7</v>
      </c>
      <c r="P223">
        <v>1.8</v>
      </c>
      <c r="Q223">
        <v>1.7</v>
      </c>
      <c r="R223">
        <v>4</v>
      </c>
      <c r="S223">
        <v>3</v>
      </c>
      <c r="T223">
        <v>3</v>
      </c>
      <c r="U223" t="s">
        <v>30</v>
      </c>
      <c r="V223">
        <v>3</v>
      </c>
      <c r="W223">
        <f>COUNTIF($A$2:A223,A223)</f>
        <v>1</v>
      </c>
    </row>
    <row r="224" spans="1:23" x14ac:dyDescent="0.35">
      <c r="A224" t="s">
        <v>297</v>
      </c>
      <c r="B224" s="2">
        <v>43688</v>
      </c>
      <c r="C224" s="2">
        <v>45997</v>
      </c>
      <c r="D224" t="s">
        <v>30</v>
      </c>
      <c r="E224">
        <v>37</v>
      </c>
      <c r="F224" t="s">
        <v>62</v>
      </c>
      <c r="G224" t="s">
        <v>37</v>
      </c>
      <c r="H224" t="s">
        <v>54</v>
      </c>
      <c r="I224" t="s">
        <v>55</v>
      </c>
      <c r="J224" t="s">
        <v>80</v>
      </c>
      <c r="K224">
        <v>2</v>
      </c>
      <c r="L224" t="s">
        <v>50</v>
      </c>
      <c r="M224">
        <v>72000</v>
      </c>
      <c r="N224">
        <v>12.3</v>
      </c>
      <c r="O224">
        <v>14.1</v>
      </c>
      <c r="P224">
        <v>6.3</v>
      </c>
      <c r="Q224">
        <v>5</v>
      </c>
      <c r="R224">
        <v>3</v>
      </c>
      <c r="S224">
        <v>3</v>
      </c>
      <c r="T224">
        <v>3</v>
      </c>
      <c r="U224" t="s">
        <v>23</v>
      </c>
      <c r="V224">
        <v>3</v>
      </c>
      <c r="W224">
        <f>COUNTIF($A$2:A224,A224)</f>
        <v>1</v>
      </c>
    </row>
    <row r="225" spans="1:23" x14ac:dyDescent="0.35">
      <c r="A225" t="s">
        <v>433</v>
      </c>
      <c r="B225" s="2">
        <v>42231</v>
      </c>
      <c r="D225" t="s">
        <v>23</v>
      </c>
      <c r="E225">
        <v>40</v>
      </c>
      <c r="F225" t="s">
        <v>62</v>
      </c>
      <c r="G225" t="s">
        <v>42</v>
      </c>
      <c r="H225" t="s">
        <v>58</v>
      </c>
      <c r="I225" t="s">
        <v>68</v>
      </c>
      <c r="J225" t="s">
        <v>69</v>
      </c>
      <c r="K225">
        <v>3</v>
      </c>
      <c r="L225" t="s">
        <v>29</v>
      </c>
      <c r="M225">
        <v>87000</v>
      </c>
      <c r="N225">
        <v>14.5</v>
      </c>
      <c r="O225">
        <v>12.8</v>
      </c>
      <c r="P225">
        <v>10.4</v>
      </c>
      <c r="Q225">
        <v>0.9</v>
      </c>
      <c r="R225">
        <v>3</v>
      </c>
      <c r="S225">
        <v>4</v>
      </c>
      <c r="T225">
        <v>4</v>
      </c>
      <c r="U225" t="s">
        <v>30</v>
      </c>
      <c r="V225">
        <v>4</v>
      </c>
      <c r="W225">
        <f>COUNTIF($A$2:A225,A225)</f>
        <v>1</v>
      </c>
    </row>
    <row r="226" spans="1:23" x14ac:dyDescent="0.35">
      <c r="A226" t="s">
        <v>53</v>
      </c>
      <c r="B226" s="2">
        <v>41650</v>
      </c>
      <c r="D226" t="s">
        <v>23</v>
      </c>
      <c r="E226">
        <v>32</v>
      </c>
      <c r="F226" t="s">
        <v>24</v>
      </c>
      <c r="G226" t="s">
        <v>25</v>
      </c>
      <c r="H226" t="s">
        <v>54</v>
      </c>
      <c r="I226" t="s">
        <v>55</v>
      </c>
      <c r="J226" t="s">
        <v>56</v>
      </c>
      <c r="K226">
        <v>3</v>
      </c>
      <c r="L226" t="s">
        <v>29</v>
      </c>
      <c r="M226">
        <v>91000</v>
      </c>
      <c r="N226">
        <v>13.8</v>
      </c>
      <c r="O226">
        <v>12.3</v>
      </c>
      <c r="P226">
        <v>12</v>
      </c>
      <c r="Q226">
        <v>4.2</v>
      </c>
      <c r="R226">
        <v>3</v>
      </c>
      <c r="S226">
        <v>3</v>
      </c>
      <c r="T226">
        <v>2</v>
      </c>
      <c r="U226" t="s">
        <v>30</v>
      </c>
      <c r="V226">
        <v>4</v>
      </c>
      <c r="W226">
        <f>COUNTIF($A$2:A226,A226)</f>
        <v>1</v>
      </c>
    </row>
    <row r="227" spans="1:23" x14ac:dyDescent="0.35">
      <c r="A227" t="s">
        <v>464</v>
      </c>
      <c r="B227" s="2">
        <v>42321</v>
      </c>
      <c r="C227" s="2">
        <v>45723</v>
      </c>
      <c r="D227" t="s">
        <v>30</v>
      </c>
      <c r="E227">
        <v>36</v>
      </c>
      <c r="F227" t="s">
        <v>36</v>
      </c>
      <c r="G227" t="s">
        <v>25</v>
      </c>
      <c r="H227" t="s">
        <v>26</v>
      </c>
      <c r="I227" t="s">
        <v>68</v>
      </c>
      <c r="J227" t="s">
        <v>69</v>
      </c>
      <c r="K227">
        <v>4</v>
      </c>
      <c r="L227" t="s">
        <v>40</v>
      </c>
      <c r="M227">
        <v>107000</v>
      </c>
      <c r="N227">
        <v>9.1</v>
      </c>
      <c r="O227">
        <v>15.2</v>
      </c>
      <c r="P227">
        <v>9.3000000000000007</v>
      </c>
      <c r="Q227">
        <v>4.4000000000000004</v>
      </c>
      <c r="R227">
        <v>2</v>
      </c>
      <c r="S227">
        <v>3</v>
      </c>
      <c r="T227">
        <v>4</v>
      </c>
      <c r="U227" t="s">
        <v>23</v>
      </c>
      <c r="V227">
        <v>5</v>
      </c>
      <c r="W227">
        <f>COUNTIF($A$2:A227,A227)</f>
        <v>1</v>
      </c>
    </row>
    <row r="228" spans="1:23" x14ac:dyDescent="0.35">
      <c r="A228" t="s">
        <v>1096</v>
      </c>
      <c r="B228" s="2">
        <v>44601</v>
      </c>
      <c r="D228" t="s">
        <v>23</v>
      </c>
      <c r="E228">
        <v>34</v>
      </c>
      <c r="F228" t="s">
        <v>62</v>
      </c>
      <c r="G228" t="s">
        <v>37</v>
      </c>
      <c r="H228" t="s">
        <v>54</v>
      </c>
      <c r="I228" t="s">
        <v>68</v>
      </c>
      <c r="J228" t="s">
        <v>109</v>
      </c>
      <c r="K228">
        <v>3</v>
      </c>
      <c r="L228" t="s">
        <v>40</v>
      </c>
      <c r="M228">
        <v>77000</v>
      </c>
      <c r="N228">
        <v>3.6</v>
      </c>
      <c r="O228">
        <v>6.2</v>
      </c>
      <c r="P228">
        <v>3.9</v>
      </c>
      <c r="Q228">
        <v>3.3</v>
      </c>
      <c r="R228">
        <v>3</v>
      </c>
      <c r="S228">
        <v>3</v>
      </c>
      <c r="T228">
        <v>4</v>
      </c>
      <c r="U228" t="s">
        <v>23</v>
      </c>
      <c r="V228">
        <v>4</v>
      </c>
      <c r="W228">
        <f>COUNTIF($A$2:A228,A228)</f>
        <v>1</v>
      </c>
    </row>
    <row r="229" spans="1:23" x14ac:dyDescent="0.35">
      <c r="A229" t="s">
        <v>1246</v>
      </c>
      <c r="B229" s="2">
        <v>44282</v>
      </c>
      <c r="D229" t="s">
        <v>23</v>
      </c>
      <c r="E229">
        <v>38</v>
      </c>
      <c r="F229" t="s">
        <v>36</v>
      </c>
      <c r="G229" t="s">
        <v>37</v>
      </c>
      <c r="H229" t="s">
        <v>58</v>
      </c>
      <c r="I229" t="s">
        <v>27</v>
      </c>
      <c r="J229" t="s">
        <v>43</v>
      </c>
      <c r="K229">
        <v>4</v>
      </c>
      <c r="L229" t="s">
        <v>29</v>
      </c>
      <c r="M229">
        <v>125000</v>
      </c>
      <c r="N229">
        <v>7.8</v>
      </c>
      <c r="O229">
        <v>5.9</v>
      </c>
      <c r="P229">
        <v>4.8</v>
      </c>
      <c r="Q229">
        <v>1</v>
      </c>
      <c r="R229">
        <v>1</v>
      </c>
      <c r="S229">
        <v>3</v>
      </c>
      <c r="T229">
        <v>3</v>
      </c>
      <c r="U229" t="s">
        <v>23</v>
      </c>
      <c r="V229">
        <v>5</v>
      </c>
      <c r="W229">
        <f>COUNTIF($A$2:A229,A229)</f>
        <v>1</v>
      </c>
    </row>
    <row r="230" spans="1:23" x14ac:dyDescent="0.35">
      <c r="A230" t="s">
        <v>1174</v>
      </c>
      <c r="B230" s="2">
        <v>43216</v>
      </c>
      <c r="C230" s="2">
        <v>45798</v>
      </c>
      <c r="D230" t="s">
        <v>30</v>
      </c>
      <c r="E230">
        <v>35</v>
      </c>
      <c r="F230" t="s">
        <v>24</v>
      </c>
      <c r="G230" t="s">
        <v>37</v>
      </c>
      <c r="H230" t="s">
        <v>54</v>
      </c>
      <c r="I230" t="s">
        <v>55</v>
      </c>
      <c r="J230" t="s">
        <v>56</v>
      </c>
      <c r="K230">
        <v>3</v>
      </c>
      <c r="L230" t="s">
        <v>29</v>
      </c>
      <c r="M230">
        <v>104000</v>
      </c>
      <c r="N230">
        <v>8.6</v>
      </c>
      <c r="O230">
        <v>8.6999999999999993</v>
      </c>
      <c r="P230">
        <v>7.1</v>
      </c>
      <c r="Q230">
        <v>4.5999999999999996</v>
      </c>
      <c r="R230">
        <v>3</v>
      </c>
      <c r="S230">
        <v>3</v>
      </c>
      <c r="T230">
        <v>2</v>
      </c>
      <c r="U230" t="s">
        <v>30</v>
      </c>
      <c r="V230">
        <v>4</v>
      </c>
      <c r="W230">
        <f>COUNTIF($A$2:A230,A230)</f>
        <v>1</v>
      </c>
    </row>
    <row r="231" spans="1:23" x14ac:dyDescent="0.35">
      <c r="A231" t="s">
        <v>1506</v>
      </c>
      <c r="B231" s="2">
        <v>43873</v>
      </c>
      <c r="D231" t="s">
        <v>23</v>
      </c>
      <c r="E231">
        <v>37</v>
      </c>
      <c r="F231" t="s">
        <v>24</v>
      </c>
      <c r="G231" t="s">
        <v>25</v>
      </c>
      <c r="H231" t="s">
        <v>32</v>
      </c>
      <c r="I231" t="s">
        <v>48</v>
      </c>
      <c r="J231" t="s">
        <v>201</v>
      </c>
      <c r="K231">
        <v>2</v>
      </c>
      <c r="L231" t="s">
        <v>40</v>
      </c>
      <c r="M231">
        <v>57000</v>
      </c>
      <c r="N231">
        <v>7.2</v>
      </c>
      <c r="O231">
        <v>13.5</v>
      </c>
      <c r="P231">
        <v>5.9</v>
      </c>
      <c r="Q231">
        <v>5.3</v>
      </c>
      <c r="R231">
        <v>3</v>
      </c>
      <c r="S231">
        <v>4</v>
      </c>
      <c r="T231">
        <v>3</v>
      </c>
      <c r="U231" t="s">
        <v>30</v>
      </c>
      <c r="V231">
        <v>1</v>
      </c>
      <c r="W231">
        <f>COUNTIF($A$2:A231,A231)</f>
        <v>1</v>
      </c>
    </row>
    <row r="232" spans="1:23" x14ac:dyDescent="0.35">
      <c r="A232" t="s">
        <v>661</v>
      </c>
      <c r="B232" s="2">
        <v>45474</v>
      </c>
      <c r="C232" s="2">
        <v>45681</v>
      </c>
      <c r="D232" t="s">
        <v>30</v>
      </c>
      <c r="E232">
        <v>41</v>
      </c>
      <c r="F232" t="s">
        <v>62</v>
      </c>
      <c r="G232" t="s">
        <v>37</v>
      </c>
      <c r="H232" t="s">
        <v>58</v>
      </c>
      <c r="I232" t="s">
        <v>45</v>
      </c>
      <c r="J232" t="s">
        <v>77</v>
      </c>
      <c r="K232">
        <v>2</v>
      </c>
      <c r="L232" t="s">
        <v>34</v>
      </c>
      <c r="M232">
        <v>40000</v>
      </c>
      <c r="N232">
        <v>9.5</v>
      </c>
      <c r="O232">
        <v>3</v>
      </c>
      <c r="P232">
        <v>0.6</v>
      </c>
      <c r="Q232">
        <v>0</v>
      </c>
      <c r="R232">
        <v>3</v>
      </c>
      <c r="S232">
        <v>3</v>
      </c>
      <c r="T232">
        <v>3</v>
      </c>
      <c r="U232" t="s">
        <v>23</v>
      </c>
      <c r="V232">
        <v>3</v>
      </c>
      <c r="W232">
        <f>COUNTIF($A$2:A232,A232)</f>
        <v>1</v>
      </c>
    </row>
    <row r="233" spans="1:23" x14ac:dyDescent="0.35">
      <c r="A233" t="s">
        <v>1059</v>
      </c>
      <c r="B233" s="2">
        <v>42037</v>
      </c>
      <c r="D233" t="s">
        <v>23</v>
      </c>
      <c r="E233">
        <v>41</v>
      </c>
      <c r="F233" t="s">
        <v>62</v>
      </c>
      <c r="G233" t="s">
        <v>25</v>
      </c>
      <c r="H233" t="s">
        <v>26</v>
      </c>
      <c r="I233" t="s">
        <v>68</v>
      </c>
      <c r="J233" t="s">
        <v>109</v>
      </c>
      <c r="K233">
        <v>2</v>
      </c>
      <c r="L233" t="s">
        <v>34</v>
      </c>
      <c r="M233">
        <v>39000</v>
      </c>
      <c r="N233">
        <v>6.8</v>
      </c>
      <c r="O233">
        <v>18.8</v>
      </c>
      <c r="P233">
        <v>10.9</v>
      </c>
      <c r="Q233">
        <v>1.3</v>
      </c>
      <c r="R233">
        <v>1</v>
      </c>
      <c r="S233">
        <v>1</v>
      </c>
      <c r="T233">
        <v>3</v>
      </c>
      <c r="U233" t="s">
        <v>23</v>
      </c>
      <c r="V233">
        <v>2</v>
      </c>
      <c r="W233">
        <f>COUNTIF($A$2:A233,A233)</f>
        <v>1</v>
      </c>
    </row>
    <row r="234" spans="1:23" x14ac:dyDescent="0.35">
      <c r="A234" t="s">
        <v>773</v>
      </c>
      <c r="B234" s="2">
        <v>43250</v>
      </c>
      <c r="C234" s="2">
        <v>45668</v>
      </c>
      <c r="D234" t="s">
        <v>30</v>
      </c>
      <c r="E234">
        <v>44</v>
      </c>
      <c r="F234" t="s">
        <v>62</v>
      </c>
      <c r="G234" t="s">
        <v>37</v>
      </c>
      <c r="H234" t="s">
        <v>32</v>
      </c>
      <c r="I234" t="s">
        <v>45</v>
      </c>
      <c r="J234" t="s">
        <v>77</v>
      </c>
      <c r="K234">
        <v>3</v>
      </c>
      <c r="L234" t="s">
        <v>29</v>
      </c>
      <c r="M234">
        <v>71000</v>
      </c>
      <c r="N234">
        <v>6.8</v>
      </c>
      <c r="O234">
        <v>7</v>
      </c>
      <c r="P234">
        <v>6.6</v>
      </c>
      <c r="Q234">
        <v>0.7</v>
      </c>
      <c r="R234">
        <v>1</v>
      </c>
      <c r="S234">
        <v>3</v>
      </c>
      <c r="T234">
        <v>2</v>
      </c>
      <c r="U234" t="s">
        <v>23</v>
      </c>
      <c r="V234">
        <v>3</v>
      </c>
      <c r="W234">
        <f>COUNTIF($A$2:A234,A234)</f>
        <v>1</v>
      </c>
    </row>
    <row r="235" spans="1:23" x14ac:dyDescent="0.35">
      <c r="A235" t="s">
        <v>163</v>
      </c>
      <c r="B235" s="2">
        <v>45616</v>
      </c>
      <c r="D235" t="s">
        <v>23</v>
      </c>
      <c r="E235">
        <v>23</v>
      </c>
      <c r="F235" t="s">
        <v>24</v>
      </c>
      <c r="G235" t="s">
        <v>42</v>
      </c>
      <c r="H235" t="s">
        <v>26</v>
      </c>
      <c r="I235" t="s">
        <v>45</v>
      </c>
      <c r="J235" t="s">
        <v>164</v>
      </c>
      <c r="K235">
        <v>1</v>
      </c>
      <c r="L235" t="s">
        <v>50</v>
      </c>
      <c r="M235">
        <v>22000</v>
      </c>
      <c r="N235">
        <v>10.8</v>
      </c>
      <c r="O235">
        <v>6</v>
      </c>
      <c r="P235">
        <v>1.1000000000000001</v>
      </c>
      <c r="Q235">
        <v>0.2</v>
      </c>
      <c r="R235">
        <v>3</v>
      </c>
      <c r="S235">
        <v>4</v>
      </c>
      <c r="T235">
        <v>2</v>
      </c>
      <c r="U235" t="s">
        <v>23</v>
      </c>
      <c r="V235">
        <v>4</v>
      </c>
      <c r="W235">
        <f>COUNTIF($A$2:A235,A235)</f>
        <v>1</v>
      </c>
    </row>
    <row r="236" spans="1:23" x14ac:dyDescent="0.35">
      <c r="A236" t="s">
        <v>73</v>
      </c>
      <c r="B236" s="2">
        <v>44645</v>
      </c>
      <c r="D236" t="s">
        <v>23</v>
      </c>
      <c r="E236">
        <v>26</v>
      </c>
      <c r="F236" t="s">
        <v>62</v>
      </c>
      <c r="G236" t="s">
        <v>42</v>
      </c>
      <c r="H236" t="s">
        <v>58</v>
      </c>
      <c r="I236" t="s">
        <v>48</v>
      </c>
      <c r="J236" t="s">
        <v>49</v>
      </c>
      <c r="K236">
        <v>1</v>
      </c>
      <c r="L236" t="s">
        <v>40</v>
      </c>
      <c r="M236">
        <v>41000</v>
      </c>
      <c r="N236">
        <v>10</v>
      </c>
      <c r="O236">
        <v>6.6</v>
      </c>
      <c r="P236">
        <v>3.8</v>
      </c>
      <c r="Q236">
        <v>1.6</v>
      </c>
      <c r="R236">
        <v>4</v>
      </c>
      <c r="S236">
        <v>2</v>
      </c>
      <c r="T236">
        <v>3</v>
      </c>
      <c r="U236" t="s">
        <v>23</v>
      </c>
      <c r="V236">
        <v>5</v>
      </c>
      <c r="W236">
        <f>COUNTIF($A$2:A236,A236)</f>
        <v>1</v>
      </c>
    </row>
    <row r="237" spans="1:23" x14ac:dyDescent="0.35">
      <c r="A237" t="s">
        <v>689</v>
      </c>
      <c r="B237" s="2">
        <v>45005</v>
      </c>
      <c r="D237" t="s">
        <v>23</v>
      </c>
      <c r="E237">
        <v>24</v>
      </c>
      <c r="F237" t="s">
        <v>36</v>
      </c>
      <c r="G237" t="s">
        <v>25</v>
      </c>
      <c r="H237" t="s">
        <v>32</v>
      </c>
      <c r="I237" t="s">
        <v>38</v>
      </c>
      <c r="J237" t="s">
        <v>118</v>
      </c>
      <c r="K237">
        <v>1</v>
      </c>
      <c r="L237" t="s">
        <v>34</v>
      </c>
      <c r="M237">
        <v>46000</v>
      </c>
      <c r="N237">
        <v>11.6</v>
      </c>
      <c r="O237">
        <v>4</v>
      </c>
      <c r="P237">
        <v>2.8</v>
      </c>
      <c r="Q237">
        <v>0.3</v>
      </c>
      <c r="R237">
        <v>4</v>
      </c>
      <c r="S237">
        <v>3</v>
      </c>
      <c r="T237">
        <v>3</v>
      </c>
      <c r="U237" t="s">
        <v>23</v>
      </c>
      <c r="V237">
        <v>2</v>
      </c>
      <c r="W237">
        <f>COUNTIF($A$2:A237,A237)</f>
        <v>1</v>
      </c>
    </row>
    <row r="238" spans="1:23" x14ac:dyDescent="0.35">
      <c r="A238" t="s">
        <v>496</v>
      </c>
      <c r="B238" s="2">
        <v>45486</v>
      </c>
      <c r="D238" t="s">
        <v>23</v>
      </c>
      <c r="E238">
        <v>46</v>
      </c>
      <c r="F238" t="s">
        <v>24</v>
      </c>
      <c r="G238" t="s">
        <v>37</v>
      </c>
      <c r="H238" t="s">
        <v>32</v>
      </c>
      <c r="I238" t="s">
        <v>68</v>
      </c>
      <c r="J238" t="s">
        <v>69</v>
      </c>
      <c r="K238">
        <v>3</v>
      </c>
      <c r="L238" t="s">
        <v>29</v>
      </c>
      <c r="M238">
        <v>67000</v>
      </c>
      <c r="N238">
        <v>2.9</v>
      </c>
      <c r="O238">
        <v>7.9</v>
      </c>
      <c r="P238">
        <v>1.5</v>
      </c>
      <c r="Q238">
        <v>0.5</v>
      </c>
      <c r="R238">
        <v>1</v>
      </c>
      <c r="S238">
        <v>3</v>
      </c>
      <c r="T238">
        <v>2</v>
      </c>
      <c r="U238" t="s">
        <v>30</v>
      </c>
      <c r="V238">
        <v>4</v>
      </c>
      <c r="W238">
        <f>COUNTIF($A$2:A238,A238)</f>
        <v>1</v>
      </c>
    </row>
    <row r="239" spans="1:23" x14ac:dyDescent="0.35">
      <c r="A239" t="s">
        <v>691</v>
      </c>
      <c r="B239" s="2">
        <v>42090</v>
      </c>
      <c r="D239" t="s">
        <v>23</v>
      </c>
      <c r="E239">
        <v>33</v>
      </c>
      <c r="F239" t="s">
        <v>36</v>
      </c>
      <c r="G239" t="s">
        <v>25</v>
      </c>
      <c r="H239" t="s">
        <v>54</v>
      </c>
      <c r="I239" t="s">
        <v>45</v>
      </c>
      <c r="J239" t="s">
        <v>97</v>
      </c>
      <c r="K239">
        <v>2</v>
      </c>
      <c r="L239" t="s">
        <v>34</v>
      </c>
      <c r="M239">
        <v>52000</v>
      </c>
      <c r="N239">
        <v>8</v>
      </c>
      <c r="O239">
        <v>13.7</v>
      </c>
      <c r="P239">
        <v>10.8</v>
      </c>
      <c r="Q239">
        <v>2.1</v>
      </c>
      <c r="R239">
        <v>3</v>
      </c>
      <c r="S239">
        <v>2</v>
      </c>
      <c r="T239">
        <v>3</v>
      </c>
      <c r="U239" t="s">
        <v>23</v>
      </c>
      <c r="V239">
        <v>3</v>
      </c>
      <c r="W239">
        <f>COUNTIF($A$2:A239,A239)</f>
        <v>1</v>
      </c>
    </row>
    <row r="240" spans="1:23" x14ac:dyDescent="0.35">
      <c r="A240" t="s">
        <v>1378</v>
      </c>
      <c r="B240" s="2">
        <v>45760</v>
      </c>
      <c r="D240" t="s">
        <v>23</v>
      </c>
      <c r="E240">
        <v>24</v>
      </c>
      <c r="F240" t="s">
        <v>24</v>
      </c>
      <c r="G240" t="s">
        <v>25</v>
      </c>
      <c r="H240" t="s">
        <v>54</v>
      </c>
      <c r="I240" t="s">
        <v>45</v>
      </c>
      <c r="J240" t="s">
        <v>97</v>
      </c>
      <c r="K240">
        <v>1</v>
      </c>
      <c r="L240" t="s">
        <v>84</v>
      </c>
      <c r="M240">
        <v>44000</v>
      </c>
      <c r="N240">
        <v>8.6999999999999993</v>
      </c>
      <c r="O240">
        <v>2</v>
      </c>
      <c r="P240">
        <v>0.7</v>
      </c>
      <c r="Q240">
        <v>0</v>
      </c>
      <c r="R240">
        <v>1</v>
      </c>
      <c r="S240">
        <v>3</v>
      </c>
      <c r="T240">
        <v>4</v>
      </c>
      <c r="U240" t="s">
        <v>23</v>
      </c>
      <c r="V240">
        <v>4</v>
      </c>
      <c r="W240">
        <f>COUNTIF($A$2:A240,A240)</f>
        <v>1</v>
      </c>
    </row>
    <row r="241" spans="1:23" x14ac:dyDescent="0.35">
      <c r="A241" t="s">
        <v>1555</v>
      </c>
      <c r="B241" s="2">
        <v>42153</v>
      </c>
      <c r="D241" t="s">
        <v>23</v>
      </c>
      <c r="E241">
        <v>35</v>
      </c>
      <c r="F241" t="s">
        <v>24</v>
      </c>
      <c r="G241" t="s">
        <v>25</v>
      </c>
      <c r="H241" t="s">
        <v>32</v>
      </c>
      <c r="I241" t="s">
        <v>27</v>
      </c>
      <c r="J241" t="s">
        <v>43</v>
      </c>
      <c r="K241">
        <v>4</v>
      </c>
      <c r="L241" t="s">
        <v>29</v>
      </c>
      <c r="M241">
        <v>110000</v>
      </c>
      <c r="N241">
        <v>11.3</v>
      </c>
      <c r="O241">
        <v>14.5</v>
      </c>
      <c r="P241">
        <v>10.6</v>
      </c>
      <c r="Q241">
        <v>5.3</v>
      </c>
      <c r="R241">
        <v>4</v>
      </c>
      <c r="S241">
        <v>3</v>
      </c>
      <c r="T241">
        <v>2</v>
      </c>
      <c r="U241" t="s">
        <v>23</v>
      </c>
      <c r="V241">
        <v>4</v>
      </c>
      <c r="W241">
        <f>COUNTIF($A$2:A241,A241)</f>
        <v>1</v>
      </c>
    </row>
    <row r="242" spans="1:23" x14ac:dyDescent="0.35">
      <c r="A242" t="s">
        <v>1477</v>
      </c>
      <c r="B242" s="2">
        <v>42972</v>
      </c>
      <c r="D242" t="s">
        <v>23</v>
      </c>
      <c r="E242">
        <v>37</v>
      </c>
      <c r="F242" t="s">
        <v>62</v>
      </c>
      <c r="G242" t="s">
        <v>37</v>
      </c>
      <c r="H242" t="s">
        <v>26</v>
      </c>
      <c r="I242" t="s">
        <v>59</v>
      </c>
      <c r="J242" t="s">
        <v>150</v>
      </c>
      <c r="K242">
        <v>3</v>
      </c>
      <c r="L242" t="s">
        <v>29</v>
      </c>
      <c r="M242">
        <v>87000</v>
      </c>
      <c r="N242">
        <v>9.8000000000000007</v>
      </c>
      <c r="O242">
        <v>12.2</v>
      </c>
      <c r="P242">
        <v>8.4</v>
      </c>
      <c r="Q242">
        <v>4</v>
      </c>
      <c r="R242">
        <v>3</v>
      </c>
      <c r="S242">
        <v>3</v>
      </c>
      <c r="T242">
        <v>2</v>
      </c>
      <c r="U242" t="s">
        <v>23</v>
      </c>
      <c r="V242">
        <v>4</v>
      </c>
      <c r="W242">
        <f>COUNTIF($A$2:A242,A242)</f>
        <v>1</v>
      </c>
    </row>
    <row r="243" spans="1:23" x14ac:dyDescent="0.35">
      <c r="A243" t="s">
        <v>1081</v>
      </c>
      <c r="B243" s="2">
        <v>42198</v>
      </c>
      <c r="D243" t="s">
        <v>23</v>
      </c>
      <c r="E243">
        <v>32</v>
      </c>
      <c r="F243" t="s">
        <v>24</v>
      </c>
      <c r="G243" t="s">
        <v>37</v>
      </c>
      <c r="H243" t="s">
        <v>54</v>
      </c>
      <c r="I243" t="s">
        <v>55</v>
      </c>
      <c r="J243" t="s">
        <v>80</v>
      </c>
      <c r="K243">
        <v>4</v>
      </c>
      <c r="L243" t="s">
        <v>34</v>
      </c>
      <c r="M243">
        <v>142000</v>
      </c>
      <c r="N243">
        <v>6.3</v>
      </c>
      <c r="O243">
        <v>18.2</v>
      </c>
      <c r="P243">
        <v>10.5</v>
      </c>
      <c r="Q243">
        <v>0.3</v>
      </c>
      <c r="R243">
        <v>3</v>
      </c>
      <c r="S243">
        <v>2</v>
      </c>
      <c r="T243">
        <v>3</v>
      </c>
      <c r="U243" t="s">
        <v>30</v>
      </c>
      <c r="V243">
        <v>3</v>
      </c>
      <c r="W243">
        <f>COUNTIF($A$2:A243,A243)</f>
        <v>1</v>
      </c>
    </row>
    <row r="244" spans="1:23" x14ac:dyDescent="0.35">
      <c r="A244" t="s">
        <v>1467</v>
      </c>
      <c r="B244" s="2">
        <v>43783</v>
      </c>
      <c r="D244" t="s">
        <v>23</v>
      </c>
      <c r="E244">
        <v>33</v>
      </c>
      <c r="F244" t="s">
        <v>62</v>
      </c>
      <c r="G244" t="s">
        <v>25</v>
      </c>
      <c r="H244" t="s">
        <v>58</v>
      </c>
      <c r="I244" t="s">
        <v>59</v>
      </c>
      <c r="J244" t="s">
        <v>60</v>
      </c>
      <c r="K244">
        <v>1</v>
      </c>
      <c r="L244" t="s">
        <v>66</v>
      </c>
      <c r="M244">
        <v>22000</v>
      </c>
      <c r="N244">
        <v>9.5</v>
      </c>
      <c r="O244">
        <v>6.3</v>
      </c>
      <c r="P244">
        <v>6.1</v>
      </c>
      <c r="Q244">
        <v>2.4</v>
      </c>
      <c r="R244">
        <v>4</v>
      </c>
      <c r="S244">
        <v>1</v>
      </c>
      <c r="T244">
        <v>3</v>
      </c>
      <c r="U244" t="s">
        <v>23</v>
      </c>
      <c r="V244">
        <v>4</v>
      </c>
      <c r="W244">
        <f>COUNTIF($A$2:A244,A244)</f>
        <v>1</v>
      </c>
    </row>
    <row r="245" spans="1:23" x14ac:dyDescent="0.35">
      <c r="A245" t="s">
        <v>1395</v>
      </c>
      <c r="B245" s="2">
        <v>43963</v>
      </c>
      <c r="D245" t="s">
        <v>23</v>
      </c>
      <c r="E245">
        <v>39</v>
      </c>
      <c r="F245" t="s">
        <v>36</v>
      </c>
      <c r="G245" t="s">
        <v>25</v>
      </c>
      <c r="H245" t="s">
        <v>54</v>
      </c>
      <c r="I245" t="s">
        <v>27</v>
      </c>
      <c r="J245" t="s">
        <v>95</v>
      </c>
      <c r="K245">
        <v>3</v>
      </c>
      <c r="L245" t="s">
        <v>50</v>
      </c>
      <c r="M245">
        <v>68000</v>
      </c>
      <c r="N245">
        <v>7.2</v>
      </c>
      <c r="O245">
        <v>12.4</v>
      </c>
      <c r="P245">
        <v>5.6</v>
      </c>
      <c r="Q245">
        <v>1.9</v>
      </c>
      <c r="R245">
        <v>4</v>
      </c>
      <c r="S245">
        <v>4</v>
      </c>
      <c r="T245">
        <v>3</v>
      </c>
      <c r="U245" t="s">
        <v>23</v>
      </c>
      <c r="V245">
        <v>4</v>
      </c>
      <c r="W245">
        <f>COUNTIF($A$2:A245,A245)</f>
        <v>1</v>
      </c>
    </row>
    <row r="246" spans="1:23" x14ac:dyDescent="0.35">
      <c r="A246" t="s">
        <v>1576</v>
      </c>
      <c r="B246" s="2">
        <v>44655</v>
      </c>
      <c r="D246" t="s">
        <v>23</v>
      </c>
      <c r="E246">
        <v>30</v>
      </c>
      <c r="F246" t="s">
        <v>62</v>
      </c>
      <c r="G246" t="s">
        <v>25</v>
      </c>
      <c r="H246" t="s">
        <v>54</v>
      </c>
      <c r="I246" t="s">
        <v>38</v>
      </c>
      <c r="J246" t="s">
        <v>139</v>
      </c>
      <c r="K246">
        <v>1</v>
      </c>
      <c r="L246" t="s">
        <v>50</v>
      </c>
      <c r="M246">
        <v>22000</v>
      </c>
      <c r="N246">
        <v>2.7</v>
      </c>
      <c r="O246">
        <v>6.7</v>
      </c>
      <c r="P246">
        <v>3.7</v>
      </c>
      <c r="Q246">
        <v>0.4</v>
      </c>
      <c r="R246">
        <v>4</v>
      </c>
      <c r="S246">
        <v>4</v>
      </c>
      <c r="T246">
        <v>3</v>
      </c>
      <c r="U246" t="s">
        <v>23</v>
      </c>
      <c r="V246">
        <v>4</v>
      </c>
      <c r="W246">
        <f>COUNTIF($A$2:A246,A246)</f>
        <v>1</v>
      </c>
    </row>
    <row r="247" spans="1:23" x14ac:dyDescent="0.35">
      <c r="A247" t="s">
        <v>452</v>
      </c>
      <c r="B247" s="2">
        <v>41938</v>
      </c>
      <c r="D247" t="s">
        <v>23</v>
      </c>
      <c r="E247">
        <v>39</v>
      </c>
      <c r="F247" t="s">
        <v>62</v>
      </c>
      <c r="G247" t="s">
        <v>37</v>
      </c>
      <c r="H247" t="s">
        <v>54</v>
      </c>
      <c r="I247" t="s">
        <v>68</v>
      </c>
      <c r="J247" t="s">
        <v>109</v>
      </c>
      <c r="K247">
        <v>2</v>
      </c>
      <c r="L247" t="s">
        <v>34</v>
      </c>
      <c r="M247">
        <v>57000</v>
      </c>
      <c r="N247">
        <v>5.0999999999999996</v>
      </c>
      <c r="O247">
        <v>16.899999999999999</v>
      </c>
      <c r="P247">
        <v>11.2</v>
      </c>
      <c r="Q247">
        <v>0.6</v>
      </c>
      <c r="R247">
        <v>3</v>
      </c>
      <c r="S247">
        <v>3</v>
      </c>
      <c r="T247">
        <v>4</v>
      </c>
      <c r="U247" t="s">
        <v>23</v>
      </c>
      <c r="V247">
        <v>4</v>
      </c>
      <c r="W247">
        <f>COUNTIF($A$2:A247,A247)</f>
        <v>1</v>
      </c>
    </row>
    <row r="248" spans="1:23" x14ac:dyDescent="0.35">
      <c r="A248" t="s">
        <v>1337</v>
      </c>
      <c r="B248" s="2">
        <v>45894</v>
      </c>
      <c r="D248" t="s">
        <v>23</v>
      </c>
      <c r="E248">
        <v>33</v>
      </c>
      <c r="F248" t="s">
        <v>24</v>
      </c>
      <c r="G248" t="s">
        <v>25</v>
      </c>
      <c r="H248" t="s">
        <v>32</v>
      </c>
      <c r="I248" t="s">
        <v>45</v>
      </c>
      <c r="J248" t="s">
        <v>97</v>
      </c>
      <c r="K248">
        <v>5</v>
      </c>
      <c r="L248" t="s">
        <v>50</v>
      </c>
      <c r="M248">
        <v>134000</v>
      </c>
      <c r="N248">
        <v>15</v>
      </c>
      <c r="O248">
        <v>5</v>
      </c>
      <c r="P248">
        <v>0.4</v>
      </c>
      <c r="Q248">
        <v>0</v>
      </c>
      <c r="R248">
        <v>3</v>
      </c>
      <c r="S248">
        <v>4</v>
      </c>
      <c r="T248">
        <v>4</v>
      </c>
      <c r="U248" t="s">
        <v>23</v>
      </c>
      <c r="V248">
        <v>4</v>
      </c>
      <c r="W248">
        <f>COUNTIF($A$2:A248,A248)</f>
        <v>1</v>
      </c>
    </row>
    <row r="249" spans="1:23" x14ac:dyDescent="0.35">
      <c r="A249" t="s">
        <v>910</v>
      </c>
      <c r="B249" s="2">
        <v>44410</v>
      </c>
      <c r="D249" t="s">
        <v>23</v>
      </c>
      <c r="E249">
        <v>31</v>
      </c>
      <c r="F249" t="s">
        <v>36</v>
      </c>
      <c r="G249" t="s">
        <v>25</v>
      </c>
      <c r="H249" t="s">
        <v>58</v>
      </c>
      <c r="I249" t="s">
        <v>48</v>
      </c>
      <c r="J249" t="s">
        <v>129</v>
      </c>
      <c r="K249">
        <v>3</v>
      </c>
      <c r="L249" t="s">
        <v>29</v>
      </c>
      <c r="M249">
        <v>80000</v>
      </c>
      <c r="N249">
        <v>9.8000000000000007</v>
      </c>
      <c r="O249">
        <v>6.6</v>
      </c>
      <c r="P249">
        <v>4.4000000000000004</v>
      </c>
      <c r="Q249">
        <v>4.2</v>
      </c>
      <c r="R249">
        <v>4</v>
      </c>
      <c r="S249">
        <v>4</v>
      </c>
      <c r="T249">
        <v>3</v>
      </c>
      <c r="U249" t="s">
        <v>23</v>
      </c>
      <c r="V249">
        <v>2</v>
      </c>
      <c r="W249">
        <f>COUNTIF($A$2:A249,A249)</f>
        <v>1</v>
      </c>
    </row>
    <row r="250" spans="1:23" x14ac:dyDescent="0.35">
      <c r="A250" t="s">
        <v>475</v>
      </c>
      <c r="B250" s="2">
        <v>42257</v>
      </c>
      <c r="D250" t="s">
        <v>23</v>
      </c>
      <c r="E250">
        <v>31</v>
      </c>
      <c r="F250" t="s">
        <v>24</v>
      </c>
      <c r="G250" t="s">
        <v>25</v>
      </c>
      <c r="H250" t="s">
        <v>58</v>
      </c>
      <c r="I250" t="s">
        <v>27</v>
      </c>
      <c r="J250" t="s">
        <v>28</v>
      </c>
      <c r="K250">
        <v>3</v>
      </c>
      <c r="L250" t="s">
        <v>29</v>
      </c>
      <c r="M250">
        <v>67000</v>
      </c>
      <c r="N250">
        <v>5</v>
      </c>
      <c r="O250">
        <v>12.6</v>
      </c>
      <c r="P250">
        <v>10.3</v>
      </c>
      <c r="Q250">
        <v>2.1</v>
      </c>
      <c r="R250">
        <v>2</v>
      </c>
      <c r="S250">
        <v>3</v>
      </c>
      <c r="T250">
        <v>4</v>
      </c>
      <c r="U250" t="s">
        <v>23</v>
      </c>
      <c r="V250">
        <v>4</v>
      </c>
      <c r="W250">
        <f>COUNTIF($A$2:A250,A250)</f>
        <v>1</v>
      </c>
    </row>
    <row r="251" spans="1:23" x14ac:dyDescent="0.35">
      <c r="A251" t="s">
        <v>426</v>
      </c>
      <c r="B251" s="2">
        <v>43422</v>
      </c>
      <c r="D251" t="s">
        <v>23</v>
      </c>
      <c r="E251">
        <v>46</v>
      </c>
      <c r="F251" t="s">
        <v>24</v>
      </c>
      <c r="G251" t="s">
        <v>37</v>
      </c>
      <c r="H251" t="s">
        <v>54</v>
      </c>
      <c r="I251" t="s">
        <v>38</v>
      </c>
      <c r="J251" t="s">
        <v>39</v>
      </c>
      <c r="K251">
        <v>3</v>
      </c>
      <c r="L251" t="s">
        <v>40</v>
      </c>
      <c r="M251">
        <v>92000</v>
      </c>
      <c r="N251">
        <v>6.7</v>
      </c>
      <c r="O251">
        <v>14.3</v>
      </c>
      <c r="P251">
        <v>7.1</v>
      </c>
      <c r="Q251">
        <v>3.2</v>
      </c>
      <c r="R251">
        <v>3</v>
      </c>
      <c r="S251">
        <v>4</v>
      </c>
      <c r="T251">
        <v>3</v>
      </c>
      <c r="U251" t="s">
        <v>23</v>
      </c>
      <c r="V251">
        <v>1</v>
      </c>
      <c r="W251">
        <f>COUNTIF($A$2:A251,A251)</f>
        <v>1</v>
      </c>
    </row>
    <row r="252" spans="1:23" x14ac:dyDescent="0.35">
      <c r="A252" t="s">
        <v>1385</v>
      </c>
      <c r="B252" s="2">
        <v>42707</v>
      </c>
      <c r="D252" t="s">
        <v>23</v>
      </c>
      <c r="E252">
        <v>43</v>
      </c>
      <c r="F252" t="s">
        <v>36</v>
      </c>
      <c r="G252" t="s">
        <v>37</v>
      </c>
      <c r="H252" t="s">
        <v>32</v>
      </c>
      <c r="I252" t="s">
        <v>38</v>
      </c>
      <c r="J252" t="s">
        <v>118</v>
      </c>
      <c r="K252">
        <v>2</v>
      </c>
      <c r="L252" t="s">
        <v>29</v>
      </c>
      <c r="M252">
        <v>68000</v>
      </c>
      <c r="N252">
        <v>9.1999999999999993</v>
      </c>
      <c r="O252">
        <v>15.8</v>
      </c>
      <c r="P252">
        <v>9.1</v>
      </c>
      <c r="Q252">
        <v>4.0999999999999996</v>
      </c>
      <c r="R252">
        <v>3</v>
      </c>
      <c r="S252">
        <v>3</v>
      </c>
      <c r="T252">
        <v>3</v>
      </c>
      <c r="U252" t="s">
        <v>30</v>
      </c>
      <c r="V252">
        <v>1</v>
      </c>
      <c r="W252">
        <f>COUNTIF($A$2:A252,A252)</f>
        <v>1</v>
      </c>
    </row>
    <row r="253" spans="1:23" x14ac:dyDescent="0.35">
      <c r="A253" t="s">
        <v>1282</v>
      </c>
      <c r="B253" s="2">
        <v>42561</v>
      </c>
      <c r="D253" t="s">
        <v>23</v>
      </c>
      <c r="E253">
        <v>38</v>
      </c>
      <c r="F253" t="s">
        <v>62</v>
      </c>
      <c r="G253" t="s">
        <v>37</v>
      </c>
      <c r="H253" t="s">
        <v>26</v>
      </c>
      <c r="I253" t="s">
        <v>45</v>
      </c>
      <c r="J253" t="s">
        <v>46</v>
      </c>
      <c r="K253">
        <v>2</v>
      </c>
      <c r="L253" t="s">
        <v>29</v>
      </c>
      <c r="M253">
        <v>53000</v>
      </c>
      <c r="N253">
        <v>12.6</v>
      </c>
      <c r="O253">
        <v>16.899999999999999</v>
      </c>
      <c r="P253">
        <v>9.5</v>
      </c>
      <c r="Q253">
        <v>2.2999999999999998</v>
      </c>
      <c r="R253">
        <v>3</v>
      </c>
      <c r="S253">
        <v>4</v>
      </c>
      <c r="T253">
        <v>4</v>
      </c>
      <c r="U253" t="s">
        <v>23</v>
      </c>
      <c r="V253">
        <v>3</v>
      </c>
      <c r="W253">
        <f>COUNTIF($A$2:A253,A253)</f>
        <v>1</v>
      </c>
    </row>
    <row r="254" spans="1:23" x14ac:dyDescent="0.35">
      <c r="A254" t="s">
        <v>1377</v>
      </c>
      <c r="B254" s="2">
        <v>42576</v>
      </c>
      <c r="D254" t="s">
        <v>23</v>
      </c>
      <c r="E254">
        <v>40</v>
      </c>
      <c r="F254" t="s">
        <v>62</v>
      </c>
      <c r="G254" t="s">
        <v>37</v>
      </c>
      <c r="H254" t="s">
        <v>58</v>
      </c>
      <c r="I254" t="s">
        <v>68</v>
      </c>
      <c r="J254" t="s">
        <v>109</v>
      </c>
      <c r="K254">
        <v>3</v>
      </c>
      <c r="L254" t="s">
        <v>34</v>
      </c>
      <c r="M254">
        <v>72000</v>
      </c>
      <c r="N254">
        <v>14.3</v>
      </c>
      <c r="O254">
        <v>15.1</v>
      </c>
      <c r="P254">
        <v>9.4</v>
      </c>
      <c r="Q254">
        <v>3.9</v>
      </c>
      <c r="R254">
        <v>4</v>
      </c>
      <c r="S254">
        <v>4</v>
      </c>
      <c r="T254">
        <v>3</v>
      </c>
      <c r="U254" t="s">
        <v>23</v>
      </c>
      <c r="V254">
        <v>4</v>
      </c>
      <c r="W254">
        <f>COUNTIF($A$2:A254,A254)</f>
        <v>1</v>
      </c>
    </row>
    <row r="255" spans="1:23" x14ac:dyDescent="0.35">
      <c r="A255" t="s">
        <v>107</v>
      </c>
      <c r="B255" s="2">
        <v>45170</v>
      </c>
      <c r="D255" t="s">
        <v>23</v>
      </c>
      <c r="E255">
        <v>48</v>
      </c>
      <c r="F255" t="s">
        <v>62</v>
      </c>
      <c r="G255" t="s">
        <v>37</v>
      </c>
      <c r="H255" t="s">
        <v>26</v>
      </c>
      <c r="I255" t="s">
        <v>55</v>
      </c>
      <c r="J255" t="s">
        <v>56</v>
      </c>
      <c r="K255">
        <v>2</v>
      </c>
      <c r="L255" t="s">
        <v>40</v>
      </c>
      <c r="M255">
        <v>55000</v>
      </c>
      <c r="N255">
        <v>15.9</v>
      </c>
      <c r="O255">
        <v>6.8</v>
      </c>
      <c r="P255">
        <v>2.2999999999999998</v>
      </c>
      <c r="Q255">
        <v>0.3</v>
      </c>
      <c r="R255">
        <v>3</v>
      </c>
      <c r="S255">
        <v>3</v>
      </c>
      <c r="T255">
        <v>2</v>
      </c>
      <c r="U255" t="s">
        <v>23</v>
      </c>
      <c r="V255">
        <v>3</v>
      </c>
      <c r="W255">
        <f>COUNTIF($A$2:A255,A255)</f>
        <v>1</v>
      </c>
    </row>
    <row r="256" spans="1:23" x14ac:dyDescent="0.35">
      <c r="A256" t="s">
        <v>405</v>
      </c>
      <c r="B256" s="2">
        <v>44154</v>
      </c>
      <c r="D256" t="s">
        <v>23</v>
      </c>
      <c r="E256">
        <v>28</v>
      </c>
      <c r="F256" t="s">
        <v>62</v>
      </c>
      <c r="G256" t="s">
        <v>37</v>
      </c>
      <c r="H256" t="s">
        <v>32</v>
      </c>
      <c r="I256" t="s">
        <v>68</v>
      </c>
      <c r="J256" t="s">
        <v>102</v>
      </c>
      <c r="K256">
        <v>3</v>
      </c>
      <c r="L256" t="s">
        <v>34</v>
      </c>
      <c r="M256">
        <v>72000</v>
      </c>
      <c r="N256">
        <v>7.7</v>
      </c>
      <c r="O256">
        <v>9.5</v>
      </c>
      <c r="P256">
        <v>5.0999999999999996</v>
      </c>
      <c r="Q256">
        <v>0.4</v>
      </c>
      <c r="R256">
        <v>3</v>
      </c>
      <c r="S256">
        <v>3</v>
      </c>
      <c r="T256">
        <v>3</v>
      </c>
      <c r="U256" t="s">
        <v>23</v>
      </c>
      <c r="V256">
        <v>5</v>
      </c>
      <c r="W256">
        <f>COUNTIF($A$2:A256,A256)</f>
        <v>1</v>
      </c>
    </row>
    <row r="257" spans="1:23" x14ac:dyDescent="0.35">
      <c r="A257" t="s">
        <v>1320</v>
      </c>
      <c r="B257" s="2">
        <v>44968</v>
      </c>
      <c r="D257" t="s">
        <v>23</v>
      </c>
      <c r="E257">
        <v>37</v>
      </c>
      <c r="F257" t="s">
        <v>62</v>
      </c>
      <c r="G257" t="s">
        <v>37</v>
      </c>
      <c r="H257" t="s">
        <v>26</v>
      </c>
      <c r="I257" t="s">
        <v>27</v>
      </c>
      <c r="J257" t="s">
        <v>33</v>
      </c>
      <c r="K257">
        <v>1</v>
      </c>
      <c r="L257" t="s">
        <v>29</v>
      </c>
      <c r="M257">
        <v>27000</v>
      </c>
      <c r="N257">
        <v>8.9</v>
      </c>
      <c r="O257">
        <v>4.5999999999999996</v>
      </c>
      <c r="P257">
        <v>2.9</v>
      </c>
      <c r="Q257">
        <v>2.2000000000000002</v>
      </c>
      <c r="R257">
        <v>3</v>
      </c>
      <c r="S257">
        <v>3</v>
      </c>
      <c r="T257">
        <v>4</v>
      </c>
      <c r="U257" t="s">
        <v>30</v>
      </c>
      <c r="V257">
        <v>4</v>
      </c>
      <c r="W257">
        <f>COUNTIF($A$2:A257,A257)</f>
        <v>1</v>
      </c>
    </row>
    <row r="258" spans="1:23" x14ac:dyDescent="0.35">
      <c r="A258" t="s">
        <v>882</v>
      </c>
      <c r="B258" s="2">
        <v>43168</v>
      </c>
      <c r="C258" s="2">
        <v>45822</v>
      </c>
      <c r="D258" t="s">
        <v>30</v>
      </c>
      <c r="E258">
        <v>45</v>
      </c>
      <c r="F258" t="s">
        <v>24</v>
      </c>
      <c r="G258" t="s">
        <v>25</v>
      </c>
      <c r="H258" t="s">
        <v>58</v>
      </c>
      <c r="I258" t="s">
        <v>68</v>
      </c>
      <c r="J258" t="s">
        <v>121</v>
      </c>
      <c r="K258">
        <v>2</v>
      </c>
      <c r="L258" t="s">
        <v>66</v>
      </c>
      <c r="M258">
        <v>57000</v>
      </c>
      <c r="N258">
        <v>9.1999999999999993</v>
      </c>
      <c r="O258">
        <v>10.3</v>
      </c>
      <c r="P258">
        <v>7.3</v>
      </c>
      <c r="Q258">
        <v>4.8</v>
      </c>
      <c r="R258">
        <v>2</v>
      </c>
      <c r="S258">
        <v>2</v>
      </c>
      <c r="T258">
        <v>2</v>
      </c>
      <c r="U258" t="s">
        <v>23</v>
      </c>
      <c r="V258">
        <v>4</v>
      </c>
      <c r="W258">
        <f>COUNTIF($A$2:A258,A258)</f>
        <v>1</v>
      </c>
    </row>
    <row r="259" spans="1:23" x14ac:dyDescent="0.35">
      <c r="A259" t="s">
        <v>376</v>
      </c>
      <c r="B259" s="2">
        <v>44646</v>
      </c>
      <c r="C259" s="2">
        <v>45707</v>
      </c>
      <c r="D259" t="s">
        <v>30</v>
      </c>
      <c r="E259">
        <v>37</v>
      </c>
      <c r="F259" t="s">
        <v>62</v>
      </c>
      <c r="G259" t="s">
        <v>25</v>
      </c>
      <c r="H259" t="s">
        <v>32</v>
      </c>
      <c r="I259" t="s">
        <v>59</v>
      </c>
      <c r="J259" t="s">
        <v>60</v>
      </c>
      <c r="K259">
        <v>3</v>
      </c>
      <c r="L259" t="s">
        <v>29</v>
      </c>
      <c r="M259">
        <v>66000</v>
      </c>
      <c r="N259">
        <v>8</v>
      </c>
      <c r="O259">
        <v>4.2</v>
      </c>
      <c r="P259">
        <v>2.9</v>
      </c>
      <c r="Q259">
        <v>2.8</v>
      </c>
      <c r="R259">
        <v>3</v>
      </c>
      <c r="S259">
        <v>3</v>
      </c>
      <c r="T259">
        <v>1</v>
      </c>
      <c r="U259" t="s">
        <v>23</v>
      </c>
      <c r="V259">
        <v>2</v>
      </c>
      <c r="W259">
        <f>COUNTIF($A$2:A259,A259)</f>
        <v>1</v>
      </c>
    </row>
    <row r="260" spans="1:23" x14ac:dyDescent="0.35">
      <c r="A260" t="s">
        <v>705</v>
      </c>
      <c r="B260" s="2">
        <v>42371</v>
      </c>
      <c r="D260" t="s">
        <v>23</v>
      </c>
      <c r="E260">
        <v>36</v>
      </c>
      <c r="F260" t="s">
        <v>24</v>
      </c>
      <c r="G260" t="s">
        <v>37</v>
      </c>
      <c r="H260" t="s">
        <v>26</v>
      </c>
      <c r="I260" t="s">
        <v>48</v>
      </c>
      <c r="J260" t="s">
        <v>63</v>
      </c>
      <c r="K260">
        <v>2</v>
      </c>
      <c r="L260" t="s">
        <v>50</v>
      </c>
      <c r="M260">
        <v>61000</v>
      </c>
      <c r="N260">
        <v>7.1</v>
      </c>
      <c r="O260">
        <v>16.5</v>
      </c>
      <c r="P260">
        <v>10</v>
      </c>
      <c r="Q260">
        <v>0.4</v>
      </c>
      <c r="R260">
        <v>4</v>
      </c>
      <c r="S260">
        <v>3</v>
      </c>
      <c r="T260">
        <v>1</v>
      </c>
      <c r="U260" t="s">
        <v>23</v>
      </c>
      <c r="V260">
        <v>4</v>
      </c>
      <c r="W260">
        <f>COUNTIF($A$2:A260,A260)</f>
        <v>1</v>
      </c>
    </row>
    <row r="261" spans="1:23" x14ac:dyDescent="0.35">
      <c r="A261" t="s">
        <v>519</v>
      </c>
      <c r="B261" s="2">
        <v>45159</v>
      </c>
      <c r="D261" t="s">
        <v>23</v>
      </c>
      <c r="E261">
        <v>24</v>
      </c>
      <c r="F261" t="s">
        <v>62</v>
      </c>
      <c r="G261" t="s">
        <v>37</v>
      </c>
      <c r="H261" t="s">
        <v>26</v>
      </c>
      <c r="I261" t="s">
        <v>55</v>
      </c>
      <c r="J261" t="s">
        <v>88</v>
      </c>
      <c r="K261">
        <v>1</v>
      </c>
      <c r="L261" t="s">
        <v>29</v>
      </c>
      <c r="M261">
        <v>26000</v>
      </c>
      <c r="N261">
        <v>9.9</v>
      </c>
      <c r="O261">
        <v>5.5</v>
      </c>
      <c r="P261">
        <v>2.4</v>
      </c>
      <c r="Q261">
        <v>1.5</v>
      </c>
      <c r="R261">
        <v>2</v>
      </c>
      <c r="S261">
        <v>3</v>
      </c>
      <c r="T261">
        <v>1</v>
      </c>
      <c r="U261" t="s">
        <v>23</v>
      </c>
      <c r="V261">
        <v>4</v>
      </c>
      <c r="W261">
        <f>COUNTIF($A$2:A261,A261)</f>
        <v>1</v>
      </c>
    </row>
    <row r="262" spans="1:23" x14ac:dyDescent="0.35">
      <c r="A262" t="s">
        <v>182</v>
      </c>
      <c r="B262" s="2">
        <v>45603</v>
      </c>
      <c r="D262" t="s">
        <v>23</v>
      </c>
      <c r="E262">
        <v>45</v>
      </c>
      <c r="F262" t="s">
        <v>62</v>
      </c>
      <c r="G262" t="s">
        <v>37</v>
      </c>
      <c r="H262" t="s">
        <v>54</v>
      </c>
      <c r="I262" t="s">
        <v>27</v>
      </c>
      <c r="J262" t="s">
        <v>43</v>
      </c>
      <c r="K262">
        <v>3</v>
      </c>
      <c r="L262" t="s">
        <v>40</v>
      </c>
      <c r="M262">
        <v>69000</v>
      </c>
      <c r="N262">
        <v>13.3</v>
      </c>
      <c r="O262">
        <v>3.6</v>
      </c>
      <c r="P262">
        <v>1.1000000000000001</v>
      </c>
      <c r="Q262">
        <v>0.1</v>
      </c>
      <c r="R262">
        <v>2</v>
      </c>
      <c r="S262">
        <v>4</v>
      </c>
      <c r="T262">
        <v>3</v>
      </c>
      <c r="U262" t="s">
        <v>23</v>
      </c>
      <c r="V262">
        <v>3</v>
      </c>
      <c r="W262">
        <f>COUNTIF($A$2:A262,A262)</f>
        <v>1</v>
      </c>
    </row>
    <row r="263" spans="1:23" x14ac:dyDescent="0.35">
      <c r="A263" t="s">
        <v>310</v>
      </c>
      <c r="B263" s="2">
        <v>44242</v>
      </c>
      <c r="D263" t="s">
        <v>23</v>
      </c>
      <c r="E263">
        <v>32</v>
      </c>
      <c r="F263" t="s">
        <v>36</v>
      </c>
      <c r="G263" t="s">
        <v>37</v>
      </c>
      <c r="H263" t="s">
        <v>32</v>
      </c>
      <c r="I263" t="s">
        <v>27</v>
      </c>
      <c r="J263" t="s">
        <v>95</v>
      </c>
      <c r="K263">
        <v>2</v>
      </c>
      <c r="L263" t="s">
        <v>50</v>
      </c>
      <c r="M263">
        <v>59000</v>
      </c>
      <c r="N263">
        <v>11.6</v>
      </c>
      <c r="O263">
        <v>6</v>
      </c>
      <c r="P263">
        <v>4.9000000000000004</v>
      </c>
      <c r="Q263">
        <v>3.3</v>
      </c>
      <c r="R263">
        <v>3</v>
      </c>
      <c r="S263">
        <v>4</v>
      </c>
      <c r="T263">
        <v>4</v>
      </c>
      <c r="U263" t="s">
        <v>23</v>
      </c>
      <c r="V263">
        <v>4</v>
      </c>
      <c r="W263">
        <f>COUNTIF($A$2:A263,A263)</f>
        <v>1</v>
      </c>
    </row>
    <row r="264" spans="1:23" x14ac:dyDescent="0.35">
      <c r="A264" t="s">
        <v>381</v>
      </c>
      <c r="B264" s="2">
        <v>44229</v>
      </c>
      <c r="D264" t="s">
        <v>23</v>
      </c>
      <c r="E264">
        <v>43</v>
      </c>
      <c r="F264" t="s">
        <v>24</v>
      </c>
      <c r="G264" t="s">
        <v>37</v>
      </c>
      <c r="H264" t="s">
        <v>32</v>
      </c>
      <c r="I264" t="s">
        <v>38</v>
      </c>
      <c r="J264" t="s">
        <v>118</v>
      </c>
      <c r="K264">
        <v>3</v>
      </c>
      <c r="L264" t="s">
        <v>40</v>
      </c>
      <c r="M264">
        <v>99000</v>
      </c>
      <c r="N264">
        <v>6.5</v>
      </c>
      <c r="O264">
        <v>10.8</v>
      </c>
      <c r="P264">
        <v>4.9000000000000004</v>
      </c>
      <c r="Q264">
        <v>3.6</v>
      </c>
      <c r="R264">
        <v>2</v>
      </c>
      <c r="S264">
        <v>2</v>
      </c>
      <c r="T264">
        <v>4</v>
      </c>
      <c r="U264" t="s">
        <v>23</v>
      </c>
      <c r="V264">
        <v>4</v>
      </c>
      <c r="W264">
        <f>COUNTIF($A$2:A264,A264)</f>
        <v>1</v>
      </c>
    </row>
    <row r="265" spans="1:23" x14ac:dyDescent="0.35">
      <c r="A265" t="s">
        <v>1058</v>
      </c>
      <c r="B265" s="2">
        <v>45138</v>
      </c>
      <c r="D265" t="s">
        <v>23</v>
      </c>
      <c r="E265">
        <v>36</v>
      </c>
      <c r="F265" t="s">
        <v>24</v>
      </c>
      <c r="G265" t="s">
        <v>42</v>
      </c>
      <c r="H265" t="s">
        <v>26</v>
      </c>
      <c r="I265" t="s">
        <v>27</v>
      </c>
      <c r="J265" t="s">
        <v>28</v>
      </c>
      <c r="K265">
        <v>2</v>
      </c>
      <c r="L265" t="s">
        <v>40</v>
      </c>
      <c r="M265">
        <v>53000</v>
      </c>
      <c r="N265">
        <v>6.8</v>
      </c>
      <c r="O265">
        <v>9.9</v>
      </c>
      <c r="P265">
        <v>2.4</v>
      </c>
      <c r="Q265">
        <v>2.4</v>
      </c>
      <c r="R265">
        <v>4</v>
      </c>
      <c r="S265">
        <v>3</v>
      </c>
      <c r="T265">
        <v>3</v>
      </c>
      <c r="U265" t="s">
        <v>23</v>
      </c>
      <c r="V265">
        <v>3</v>
      </c>
      <c r="W265">
        <f>COUNTIF($A$2:A265,A265)</f>
        <v>1</v>
      </c>
    </row>
    <row r="266" spans="1:23" x14ac:dyDescent="0.35">
      <c r="A266" t="s">
        <v>1431</v>
      </c>
      <c r="B266" s="2">
        <v>44387</v>
      </c>
      <c r="D266" t="s">
        <v>23</v>
      </c>
      <c r="E266">
        <v>33</v>
      </c>
      <c r="F266" t="s">
        <v>62</v>
      </c>
      <c r="G266" t="s">
        <v>25</v>
      </c>
      <c r="H266" t="s">
        <v>32</v>
      </c>
      <c r="I266" t="s">
        <v>45</v>
      </c>
      <c r="J266" t="s">
        <v>46</v>
      </c>
      <c r="K266">
        <v>5</v>
      </c>
      <c r="L266" t="s">
        <v>66</v>
      </c>
      <c r="M266">
        <v>155000</v>
      </c>
      <c r="N266">
        <v>11.2</v>
      </c>
      <c r="O266">
        <v>5</v>
      </c>
      <c r="P266">
        <v>4.5</v>
      </c>
      <c r="Q266">
        <v>0.9</v>
      </c>
      <c r="R266">
        <v>2</v>
      </c>
      <c r="S266">
        <v>3</v>
      </c>
      <c r="T266">
        <v>3</v>
      </c>
      <c r="U266" t="s">
        <v>23</v>
      </c>
      <c r="V266">
        <v>4</v>
      </c>
      <c r="W266">
        <f>COUNTIF($A$2:A266,A266)</f>
        <v>1</v>
      </c>
    </row>
    <row r="267" spans="1:23" x14ac:dyDescent="0.35">
      <c r="A267" t="s">
        <v>870</v>
      </c>
      <c r="B267" s="2">
        <v>41816</v>
      </c>
      <c r="D267" t="s">
        <v>23</v>
      </c>
      <c r="E267">
        <v>38</v>
      </c>
      <c r="F267" t="s">
        <v>36</v>
      </c>
      <c r="G267" t="s">
        <v>42</v>
      </c>
      <c r="H267" t="s">
        <v>54</v>
      </c>
      <c r="I267" t="s">
        <v>27</v>
      </c>
      <c r="J267" t="s">
        <v>28</v>
      </c>
      <c r="K267">
        <v>4</v>
      </c>
      <c r="L267" t="s">
        <v>34</v>
      </c>
      <c r="M267">
        <v>80000</v>
      </c>
      <c r="N267">
        <v>13.6</v>
      </c>
      <c r="O267">
        <v>17.2</v>
      </c>
      <c r="P267">
        <v>11.5</v>
      </c>
      <c r="Q267">
        <v>3.8</v>
      </c>
      <c r="R267">
        <v>3</v>
      </c>
      <c r="S267">
        <v>3</v>
      </c>
      <c r="T267">
        <v>3</v>
      </c>
      <c r="U267" t="s">
        <v>30</v>
      </c>
      <c r="V267">
        <v>4</v>
      </c>
      <c r="W267">
        <f>COUNTIF($A$2:A267,A267)</f>
        <v>1</v>
      </c>
    </row>
    <row r="268" spans="1:23" x14ac:dyDescent="0.35">
      <c r="A268" t="s">
        <v>136</v>
      </c>
      <c r="B268" s="2">
        <v>45527</v>
      </c>
      <c r="D268" t="s">
        <v>23</v>
      </c>
      <c r="E268">
        <v>30</v>
      </c>
      <c r="F268" t="s">
        <v>62</v>
      </c>
      <c r="G268" t="s">
        <v>37</v>
      </c>
      <c r="H268" t="s">
        <v>26</v>
      </c>
      <c r="I268" t="s">
        <v>68</v>
      </c>
      <c r="J268" t="s">
        <v>69</v>
      </c>
      <c r="K268">
        <v>3</v>
      </c>
      <c r="L268" t="s">
        <v>66</v>
      </c>
      <c r="M268" t="s">
        <v>137</v>
      </c>
      <c r="N268">
        <v>3.8</v>
      </c>
      <c r="O268">
        <v>8</v>
      </c>
      <c r="P268">
        <v>1.4</v>
      </c>
      <c r="Q268">
        <v>1.2</v>
      </c>
      <c r="R268">
        <v>2</v>
      </c>
      <c r="S268">
        <v>2</v>
      </c>
      <c r="T268">
        <v>3</v>
      </c>
      <c r="U268" t="s">
        <v>23</v>
      </c>
      <c r="V268">
        <v>4</v>
      </c>
      <c r="W268">
        <f>COUNTIF($A$2:A268,A268)</f>
        <v>1</v>
      </c>
    </row>
    <row r="269" spans="1:23" x14ac:dyDescent="0.35">
      <c r="A269" t="s">
        <v>679</v>
      </c>
      <c r="B269" s="2">
        <v>43862</v>
      </c>
      <c r="C269" s="2">
        <v>45791</v>
      </c>
      <c r="D269" t="s">
        <v>30</v>
      </c>
      <c r="E269">
        <v>30</v>
      </c>
      <c r="F269" t="s">
        <v>24</v>
      </c>
      <c r="G269" t="s">
        <v>25</v>
      </c>
      <c r="H269" t="s">
        <v>58</v>
      </c>
      <c r="I269" t="s">
        <v>45</v>
      </c>
      <c r="J269" t="s">
        <v>164</v>
      </c>
      <c r="K269">
        <v>4</v>
      </c>
      <c r="L269" t="s">
        <v>40</v>
      </c>
      <c r="M269">
        <v>107000</v>
      </c>
      <c r="N269">
        <v>8.8000000000000007</v>
      </c>
      <c r="O269">
        <v>9.6</v>
      </c>
      <c r="P269">
        <v>5.3</v>
      </c>
      <c r="Q269">
        <v>5.3</v>
      </c>
      <c r="R269">
        <v>2</v>
      </c>
      <c r="S269">
        <v>3</v>
      </c>
      <c r="T269">
        <v>4</v>
      </c>
      <c r="U269" t="s">
        <v>23</v>
      </c>
      <c r="V269">
        <v>3</v>
      </c>
      <c r="W269">
        <f>COUNTIF($A$2:A269,A269)</f>
        <v>1</v>
      </c>
    </row>
    <row r="270" spans="1:23" x14ac:dyDescent="0.35">
      <c r="A270" t="s">
        <v>1537</v>
      </c>
      <c r="B270" s="2">
        <v>43767</v>
      </c>
      <c r="D270" t="s">
        <v>23</v>
      </c>
      <c r="E270">
        <v>34</v>
      </c>
      <c r="F270" t="s">
        <v>62</v>
      </c>
      <c r="G270" t="s">
        <v>25</v>
      </c>
      <c r="H270" t="s">
        <v>32</v>
      </c>
      <c r="I270" t="s">
        <v>48</v>
      </c>
      <c r="J270" t="s">
        <v>63</v>
      </c>
      <c r="K270">
        <v>2</v>
      </c>
      <c r="L270" t="s">
        <v>29</v>
      </c>
      <c r="M270">
        <v>43000</v>
      </c>
      <c r="N270">
        <v>13</v>
      </c>
      <c r="O270">
        <v>11.1</v>
      </c>
      <c r="P270">
        <v>6.2</v>
      </c>
      <c r="Q270">
        <v>1</v>
      </c>
      <c r="R270">
        <v>4</v>
      </c>
      <c r="S270">
        <v>3</v>
      </c>
      <c r="T270">
        <v>3</v>
      </c>
      <c r="U270" t="s">
        <v>23</v>
      </c>
      <c r="V270">
        <v>3</v>
      </c>
      <c r="W270">
        <f>COUNTIF($A$2:A270,A270)</f>
        <v>1</v>
      </c>
    </row>
    <row r="271" spans="1:23" x14ac:dyDescent="0.35">
      <c r="A271" t="s">
        <v>602</v>
      </c>
      <c r="B271" s="2">
        <v>45330</v>
      </c>
      <c r="C271" s="2">
        <v>45793</v>
      </c>
      <c r="D271" t="s">
        <v>30</v>
      </c>
      <c r="E271">
        <v>22</v>
      </c>
      <c r="F271" t="s">
        <v>36</v>
      </c>
      <c r="G271" t="s">
        <v>42</v>
      </c>
      <c r="H271" t="s">
        <v>26</v>
      </c>
      <c r="I271" t="s">
        <v>45</v>
      </c>
      <c r="J271" t="s">
        <v>46</v>
      </c>
      <c r="K271">
        <v>1</v>
      </c>
      <c r="L271" t="s">
        <v>50</v>
      </c>
      <c r="M271">
        <v>28000</v>
      </c>
      <c r="N271">
        <v>15</v>
      </c>
      <c r="O271">
        <v>4.2</v>
      </c>
      <c r="P271">
        <v>1.3</v>
      </c>
      <c r="Q271">
        <v>0.1</v>
      </c>
      <c r="R271">
        <v>4</v>
      </c>
      <c r="S271">
        <v>2</v>
      </c>
      <c r="T271">
        <v>4</v>
      </c>
      <c r="U271" t="s">
        <v>30</v>
      </c>
      <c r="V271">
        <v>3</v>
      </c>
      <c r="W271">
        <f>COUNTIF($A$2:A271,A271)</f>
        <v>1</v>
      </c>
    </row>
    <row r="272" spans="1:23" x14ac:dyDescent="0.35">
      <c r="A272" t="s">
        <v>1091</v>
      </c>
      <c r="B272" s="2">
        <v>42128</v>
      </c>
      <c r="D272" t="s">
        <v>23</v>
      </c>
      <c r="E272">
        <v>31</v>
      </c>
      <c r="F272" t="s">
        <v>24</v>
      </c>
      <c r="G272" t="s">
        <v>25</v>
      </c>
      <c r="H272" t="s">
        <v>58</v>
      </c>
      <c r="I272" t="s">
        <v>45</v>
      </c>
      <c r="J272" t="s">
        <v>77</v>
      </c>
      <c r="K272">
        <v>2</v>
      </c>
      <c r="L272" t="s">
        <v>34</v>
      </c>
      <c r="M272">
        <v>46000</v>
      </c>
      <c r="N272">
        <v>7.7</v>
      </c>
      <c r="O272">
        <v>15.3</v>
      </c>
      <c r="P272">
        <v>10.7</v>
      </c>
      <c r="Q272">
        <v>3.4</v>
      </c>
      <c r="R272">
        <v>3</v>
      </c>
      <c r="S272">
        <v>3</v>
      </c>
      <c r="T272">
        <v>3</v>
      </c>
      <c r="U272" t="s">
        <v>23</v>
      </c>
      <c r="V272">
        <v>4</v>
      </c>
      <c r="W272">
        <f>COUNTIF($A$2:A272,A272)</f>
        <v>1</v>
      </c>
    </row>
    <row r="273" spans="1:23" x14ac:dyDescent="0.35">
      <c r="A273" t="s">
        <v>467</v>
      </c>
      <c r="B273" s="2">
        <v>42205</v>
      </c>
      <c r="D273" t="s">
        <v>23</v>
      </c>
      <c r="E273">
        <v>36</v>
      </c>
      <c r="F273" t="s">
        <v>24</v>
      </c>
      <c r="G273" t="s">
        <v>37</v>
      </c>
      <c r="H273" t="s">
        <v>32</v>
      </c>
      <c r="I273" t="s">
        <v>55</v>
      </c>
      <c r="J273" t="s">
        <v>80</v>
      </c>
      <c r="K273">
        <v>2</v>
      </c>
      <c r="L273" t="s">
        <v>40</v>
      </c>
      <c r="M273">
        <v>65000</v>
      </c>
      <c r="N273">
        <v>13.1</v>
      </c>
      <c r="O273">
        <v>14.5</v>
      </c>
      <c r="P273">
        <v>10.5</v>
      </c>
      <c r="Q273">
        <v>0.8</v>
      </c>
      <c r="R273">
        <v>3</v>
      </c>
      <c r="S273">
        <v>2</v>
      </c>
      <c r="T273">
        <v>2</v>
      </c>
      <c r="U273" t="s">
        <v>23</v>
      </c>
      <c r="V273">
        <v>4</v>
      </c>
      <c r="W273">
        <f>COUNTIF($A$2:A273,A273)</f>
        <v>1</v>
      </c>
    </row>
    <row r="274" spans="1:23" x14ac:dyDescent="0.35">
      <c r="A274" t="s">
        <v>599</v>
      </c>
      <c r="B274" s="2">
        <v>44293</v>
      </c>
      <c r="D274" t="s">
        <v>23</v>
      </c>
      <c r="E274">
        <v>31</v>
      </c>
      <c r="F274" t="s">
        <v>24</v>
      </c>
      <c r="G274" t="s">
        <v>25</v>
      </c>
      <c r="H274" t="s">
        <v>32</v>
      </c>
      <c r="I274" t="s">
        <v>68</v>
      </c>
      <c r="J274" t="s">
        <v>102</v>
      </c>
      <c r="K274">
        <v>3</v>
      </c>
      <c r="L274" t="s">
        <v>40</v>
      </c>
      <c r="M274">
        <v>75000</v>
      </c>
      <c r="N274">
        <v>8.6999999999999993</v>
      </c>
      <c r="O274">
        <v>8.6</v>
      </c>
      <c r="P274">
        <v>4.7</v>
      </c>
      <c r="Q274">
        <v>2.8</v>
      </c>
      <c r="R274">
        <v>2</v>
      </c>
      <c r="S274">
        <v>3</v>
      </c>
      <c r="T274">
        <v>3</v>
      </c>
      <c r="U274" t="s">
        <v>23</v>
      </c>
      <c r="V274">
        <v>3</v>
      </c>
      <c r="W274">
        <f>COUNTIF($A$2:A274,A274)</f>
        <v>1</v>
      </c>
    </row>
    <row r="275" spans="1:23" x14ac:dyDescent="0.35">
      <c r="A275" t="s">
        <v>210</v>
      </c>
      <c r="B275" s="2">
        <v>45285</v>
      </c>
      <c r="D275" t="s">
        <v>23</v>
      </c>
      <c r="E275">
        <v>38</v>
      </c>
      <c r="F275" t="s">
        <v>36</v>
      </c>
      <c r="G275" t="s">
        <v>37</v>
      </c>
      <c r="H275" t="s">
        <v>32</v>
      </c>
      <c r="I275" t="s">
        <v>45</v>
      </c>
      <c r="J275" t="s">
        <v>164</v>
      </c>
      <c r="K275">
        <v>4</v>
      </c>
      <c r="L275" t="s">
        <v>34</v>
      </c>
      <c r="M275">
        <v>104000</v>
      </c>
      <c r="N275">
        <v>11.9</v>
      </c>
      <c r="O275">
        <v>5.3</v>
      </c>
      <c r="P275">
        <v>2</v>
      </c>
      <c r="Q275">
        <v>1.9</v>
      </c>
      <c r="R275">
        <v>4</v>
      </c>
      <c r="S275">
        <v>3</v>
      </c>
      <c r="T275">
        <v>4</v>
      </c>
      <c r="U275" t="s">
        <v>30</v>
      </c>
      <c r="V275">
        <v>4</v>
      </c>
      <c r="W275">
        <f>COUNTIF($A$2:A275,A275)</f>
        <v>1</v>
      </c>
    </row>
    <row r="276" spans="1:23" x14ac:dyDescent="0.35">
      <c r="A276" t="s">
        <v>1432</v>
      </c>
      <c r="B276" s="2">
        <v>45184</v>
      </c>
      <c r="D276" t="s">
        <v>23</v>
      </c>
      <c r="E276">
        <v>34</v>
      </c>
      <c r="F276" t="s">
        <v>36</v>
      </c>
      <c r="G276" t="s">
        <v>42</v>
      </c>
      <c r="H276" t="s">
        <v>26</v>
      </c>
      <c r="I276" t="s">
        <v>27</v>
      </c>
      <c r="J276" t="s">
        <v>33</v>
      </c>
      <c r="K276">
        <v>4</v>
      </c>
      <c r="L276" t="s">
        <v>40</v>
      </c>
      <c r="M276">
        <v>88000</v>
      </c>
      <c r="N276">
        <v>12.7</v>
      </c>
      <c r="O276">
        <v>8.9</v>
      </c>
      <c r="P276">
        <v>2.2999999999999998</v>
      </c>
      <c r="Q276">
        <v>0.4</v>
      </c>
      <c r="R276">
        <v>3</v>
      </c>
      <c r="S276">
        <v>3</v>
      </c>
      <c r="T276">
        <v>3</v>
      </c>
      <c r="U276" t="s">
        <v>23</v>
      </c>
      <c r="V276">
        <v>4</v>
      </c>
      <c r="W276">
        <f>COUNTIF($A$2:A276,A276)</f>
        <v>1</v>
      </c>
    </row>
    <row r="277" spans="1:23" x14ac:dyDescent="0.35">
      <c r="A277" t="s">
        <v>601</v>
      </c>
      <c r="B277" s="2">
        <v>45842</v>
      </c>
      <c r="D277" t="s">
        <v>23</v>
      </c>
      <c r="E277">
        <v>40</v>
      </c>
      <c r="F277" t="s">
        <v>62</v>
      </c>
      <c r="G277" t="s">
        <v>25</v>
      </c>
      <c r="H277" t="s">
        <v>26</v>
      </c>
      <c r="I277" t="s">
        <v>48</v>
      </c>
      <c r="J277" t="s">
        <v>201</v>
      </c>
      <c r="K277">
        <v>2</v>
      </c>
      <c r="L277" t="s">
        <v>50</v>
      </c>
      <c r="M277">
        <v>29000</v>
      </c>
      <c r="N277">
        <v>17.399999999999999</v>
      </c>
      <c r="O277">
        <v>7.1</v>
      </c>
      <c r="P277">
        <v>0.5</v>
      </c>
      <c r="Q277">
        <v>0</v>
      </c>
      <c r="R277">
        <v>4</v>
      </c>
      <c r="S277">
        <v>2</v>
      </c>
      <c r="T277">
        <v>4</v>
      </c>
      <c r="U277" t="s">
        <v>23</v>
      </c>
      <c r="V277">
        <v>4</v>
      </c>
      <c r="W277">
        <f>COUNTIF($A$2:A277,A277)</f>
        <v>1</v>
      </c>
    </row>
    <row r="278" spans="1:23" x14ac:dyDescent="0.35">
      <c r="A278" t="s">
        <v>1288</v>
      </c>
      <c r="B278" s="2">
        <v>43608</v>
      </c>
      <c r="D278" t="s">
        <v>23</v>
      </c>
      <c r="E278">
        <v>41</v>
      </c>
      <c r="F278" t="s">
        <v>36</v>
      </c>
      <c r="G278" t="s">
        <v>42</v>
      </c>
      <c r="H278" t="s">
        <v>58</v>
      </c>
      <c r="I278" t="s">
        <v>48</v>
      </c>
      <c r="J278" t="s">
        <v>49</v>
      </c>
      <c r="K278">
        <v>4</v>
      </c>
      <c r="L278" t="s">
        <v>66</v>
      </c>
      <c r="M278">
        <v>106000</v>
      </c>
      <c r="N278">
        <v>11.5</v>
      </c>
      <c r="O278">
        <v>10.1</v>
      </c>
      <c r="P278">
        <v>6.6</v>
      </c>
      <c r="Q278">
        <v>2.5</v>
      </c>
      <c r="R278">
        <v>4</v>
      </c>
      <c r="S278">
        <v>4</v>
      </c>
      <c r="T278">
        <v>3</v>
      </c>
      <c r="U278" t="s">
        <v>30</v>
      </c>
      <c r="V278">
        <v>3</v>
      </c>
      <c r="W278">
        <f>COUNTIF($A$2:A278,A278)</f>
        <v>1</v>
      </c>
    </row>
    <row r="279" spans="1:23" x14ac:dyDescent="0.35">
      <c r="A279" t="s">
        <v>728</v>
      </c>
      <c r="B279" s="2">
        <v>45104</v>
      </c>
      <c r="C279" s="2">
        <v>45964</v>
      </c>
      <c r="D279" t="s">
        <v>30</v>
      </c>
      <c r="E279">
        <v>29</v>
      </c>
      <c r="F279" t="s">
        <v>62</v>
      </c>
      <c r="G279" t="s">
        <v>25</v>
      </c>
      <c r="H279" t="s">
        <v>26</v>
      </c>
      <c r="I279" t="s">
        <v>59</v>
      </c>
      <c r="J279" t="s">
        <v>75</v>
      </c>
      <c r="K279">
        <v>2</v>
      </c>
      <c r="L279" t="s">
        <v>66</v>
      </c>
      <c r="M279">
        <v>69000</v>
      </c>
      <c r="N279">
        <v>8.1999999999999993</v>
      </c>
      <c r="O279">
        <v>9.4</v>
      </c>
      <c r="P279">
        <v>2.4</v>
      </c>
      <c r="Q279">
        <v>1</v>
      </c>
      <c r="R279">
        <v>4</v>
      </c>
      <c r="S279">
        <v>2</v>
      </c>
      <c r="T279">
        <v>3</v>
      </c>
      <c r="U279" t="s">
        <v>23</v>
      </c>
      <c r="V279">
        <v>4</v>
      </c>
      <c r="W279">
        <f>COUNTIF($A$2:A279,A279)</f>
        <v>1</v>
      </c>
    </row>
    <row r="280" spans="1:23" x14ac:dyDescent="0.35">
      <c r="A280" t="s">
        <v>546</v>
      </c>
      <c r="B280" s="2">
        <v>42974</v>
      </c>
      <c r="D280" t="s">
        <v>23</v>
      </c>
      <c r="E280">
        <v>39</v>
      </c>
      <c r="F280" t="s">
        <v>36</v>
      </c>
      <c r="G280" t="s">
        <v>25</v>
      </c>
      <c r="H280" t="s">
        <v>54</v>
      </c>
      <c r="I280" t="s">
        <v>38</v>
      </c>
      <c r="J280" t="s">
        <v>52</v>
      </c>
      <c r="K280">
        <v>3</v>
      </c>
      <c r="L280" t="s">
        <v>40</v>
      </c>
      <c r="M280">
        <v>91000</v>
      </c>
      <c r="N280">
        <v>9.6</v>
      </c>
      <c r="O280">
        <v>13.6</v>
      </c>
      <c r="P280">
        <v>8.3000000000000007</v>
      </c>
      <c r="Q280">
        <v>1.5</v>
      </c>
      <c r="R280">
        <v>3</v>
      </c>
      <c r="S280">
        <v>4</v>
      </c>
      <c r="T280">
        <v>3</v>
      </c>
      <c r="U280" t="s">
        <v>23</v>
      </c>
      <c r="V280">
        <v>3</v>
      </c>
      <c r="W280">
        <f>COUNTIF($A$2:A280,A280)</f>
        <v>1</v>
      </c>
    </row>
    <row r="281" spans="1:23" x14ac:dyDescent="0.35">
      <c r="A281" t="s">
        <v>1244</v>
      </c>
      <c r="B281" s="2">
        <v>43524</v>
      </c>
      <c r="D281" t="s">
        <v>23</v>
      </c>
      <c r="E281">
        <v>50</v>
      </c>
      <c r="F281" t="s">
        <v>24</v>
      </c>
      <c r="G281" t="s">
        <v>42</v>
      </c>
      <c r="H281" t="s">
        <v>32</v>
      </c>
      <c r="I281" t="s">
        <v>48</v>
      </c>
      <c r="J281" t="s">
        <v>201</v>
      </c>
      <c r="K281">
        <v>2</v>
      </c>
      <c r="L281" t="s">
        <v>50</v>
      </c>
      <c r="M281">
        <v>54000</v>
      </c>
      <c r="N281">
        <v>9.8000000000000007</v>
      </c>
      <c r="O281">
        <v>13</v>
      </c>
      <c r="P281">
        <v>6.8</v>
      </c>
      <c r="Q281">
        <v>2.4</v>
      </c>
      <c r="R281">
        <v>4</v>
      </c>
      <c r="S281">
        <v>2</v>
      </c>
      <c r="T281">
        <v>4</v>
      </c>
      <c r="U281" t="s">
        <v>23</v>
      </c>
      <c r="V281">
        <v>2</v>
      </c>
      <c r="W281">
        <f>COUNTIF($A$2:A281,A281)</f>
        <v>1</v>
      </c>
    </row>
    <row r="282" spans="1:23" x14ac:dyDescent="0.35">
      <c r="A282" t="s">
        <v>1219</v>
      </c>
      <c r="B282" s="2">
        <v>42491</v>
      </c>
      <c r="C282" s="2">
        <v>45857</v>
      </c>
      <c r="D282" t="s">
        <v>30</v>
      </c>
      <c r="E282">
        <v>41</v>
      </c>
      <c r="F282" t="s">
        <v>36</v>
      </c>
      <c r="G282" t="s">
        <v>37</v>
      </c>
      <c r="H282" t="s">
        <v>26</v>
      </c>
      <c r="I282" t="s">
        <v>55</v>
      </c>
      <c r="J282" t="s">
        <v>80</v>
      </c>
      <c r="K282">
        <v>3</v>
      </c>
      <c r="L282" t="s">
        <v>84</v>
      </c>
      <c r="M282">
        <v>100000</v>
      </c>
      <c r="N282">
        <v>11.6</v>
      </c>
      <c r="O282">
        <v>16.899999999999999</v>
      </c>
      <c r="P282">
        <v>9.1999999999999993</v>
      </c>
      <c r="Q282">
        <v>0</v>
      </c>
      <c r="R282">
        <v>3</v>
      </c>
      <c r="S282">
        <v>2</v>
      </c>
      <c r="T282">
        <v>2</v>
      </c>
      <c r="U282" t="s">
        <v>23</v>
      </c>
      <c r="V282">
        <v>5</v>
      </c>
      <c r="W282">
        <f>COUNTIF($A$2:A282,A282)</f>
        <v>1</v>
      </c>
    </row>
    <row r="283" spans="1:23" x14ac:dyDescent="0.35">
      <c r="A283" t="s">
        <v>800</v>
      </c>
      <c r="B283" s="2">
        <v>45752</v>
      </c>
      <c r="D283" t="s">
        <v>23</v>
      </c>
      <c r="E283">
        <v>44</v>
      </c>
      <c r="F283" t="s">
        <v>62</v>
      </c>
      <c r="G283" t="s">
        <v>42</v>
      </c>
      <c r="H283" t="s">
        <v>54</v>
      </c>
      <c r="I283" t="s">
        <v>55</v>
      </c>
      <c r="J283" t="s">
        <v>88</v>
      </c>
      <c r="K283">
        <v>1</v>
      </c>
      <c r="L283" t="s">
        <v>50</v>
      </c>
      <c r="M283">
        <v>29000</v>
      </c>
      <c r="N283">
        <v>10.199999999999999</v>
      </c>
      <c r="O283">
        <v>4.9000000000000004</v>
      </c>
      <c r="P283">
        <v>0.7</v>
      </c>
      <c r="Q283">
        <v>0</v>
      </c>
      <c r="R283">
        <v>4</v>
      </c>
      <c r="S283">
        <v>3</v>
      </c>
      <c r="T283">
        <v>4</v>
      </c>
      <c r="U283" t="s">
        <v>23</v>
      </c>
      <c r="V283">
        <v>4</v>
      </c>
      <c r="W283">
        <f>COUNTIF($A$2:A283,A283)</f>
        <v>1</v>
      </c>
    </row>
    <row r="284" spans="1:23" x14ac:dyDescent="0.35">
      <c r="A284" t="s">
        <v>226</v>
      </c>
      <c r="B284" s="2">
        <v>42563</v>
      </c>
      <c r="D284" t="s">
        <v>23</v>
      </c>
      <c r="E284">
        <v>33</v>
      </c>
      <c r="F284" t="s">
        <v>36</v>
      </c>
      <c r="G284" t="s">
        <v>42</v>
      </c>
      <c r="H284" t="s">
        <v>58</v>
      </c>
      <c r="I284" t="s">
        <v>55</v>
      </c>
      <c r="J284" t="s">
        <v>88</v>
      </c>
      <c r="K284">
        <v>2</v>
      </c>
      <c r="L284" t="s">
        <v>29</v>
      </c>
      <c r="M284">
        <v>65000</v>
      </c>
      <c r="N284">
        <v>10.3</v>
      </c>
      <c r="O284">
        <v>14.9</v>
      </c>
      <c r="P284">
        <v>9.5</v>
      </c>
      <c r="Q284">
        <v>2.2000000000000002</v>
      </c>
      <c r="R284">
        <v>3</v>
      </c>
      <c r="S284">
        <v>3</v>
      </c>
      <c r="T284">
        <v>4</v>
      </c>
      <c r="U284" t="s">
        <v>23</v>
      </c>
      <c r="V284">
        <v>2</v>
      </c>
      <c r="W284">
        <f>COUNTIF($A$2:A284,A284)</f>
        <v>1</v>
      </c>
    </row>
    <row r="285" spans="1:23" x14ac:dyDescent="0.35">
      <c r="A285" t="s">
        <v>786</v>
      </c>
      <c r="B285" s="2">
        <v>43700</v>
      </c>
      <c r="C285" s="2">
        <v>45803</v>
      </c>
      <c r="D285" t="s">
        <v>30</v>
      </c>
      <c r="E285">
        <v>44</v>
      </c>
      <c r="F285" t="s">
        <v>24</v>
      </c>
      <c r="G285" t="s">
        <v>25</v>
      </c>
      <c r="H285" t="s">
        <v>32</v>
      </c>
      <c r="I285" t="s">
        <v>48</v>
      </c>
      <c r="J285" t="s">
        <v>201</v>
      </c>
      <c r="K285">
        <v>3</v>
      </c>
      <c r="L285" t="s">
        <v>34</v>
      </c>
      <c r="M285">
        <v>84000</v>
      </c>
      <c r="N285">
        <v>8</v>
      </c>
      <c r="O285">
        <v>11.6</v>
      </c>
      <c r="P285">
        <v>5.8</v>
      </c>
      <c r="Q285">
        <v>3.2</v>
      </c>
      <c r="R285">
        <v>1</v>
      </c>
      <c r="S285">
        <v>3</v>
      </c>
      <c r="T285">
        <v>3</v>
      </c>
      <c r="U285" t="s">
        <v>23</v>
      </c>
      <c r="V285">
        <v>4</v>
      </c>
      <c r="W285">
        <f>COUNTIF($A$2:A285,A285)</f>
        <v>1</v>
      </c>
    </row>
    <row r="286" spans="1:23" x14ac:dyDescent="0.35">
      <c r="A286" t="s">
        <v>1498</v>
      </c>
      <c r="B286" s="2">
        <v>44173</v>
      </c>
      <c r="D286" t="s">
        <v>23</v>
      </c>
      <c r="E286">
        <v>41</v>
      </c>
      <c r="F286" t="s">
        <v>62</v>
      </c>
      <c r="G286" t="s">
        <v>42</v>
      </c>
      <c r="H286" t="s">
        <v>54</v>
      </c>
      <c r="I286" t="s">
        <v>48</v>
      </c>
      <c r="J286" t="s">
        <v>63</v>
      </c>
      <c r="K286">
        <v>2</v>
      </c>
      <c r="L286" t="s">
        <v>34</v>
      </c>
      <c r="M286">
        <v>44000</v>
      </c>
      <c r="N286">
        <v>11.4</v>
      </c>
      <c r="O286">
        <v>12.6</v>
      </c>
      <c r="P286">
        <v>5.0999999999999996</v>
      </c>
      <c r="Q286">
        <v>4.0999999999999996</v>
      </c>
      <c r="R286">
        <v>1</v>
      </c>
      <c r="S286">
        <v>4</v>
      </c>
      <c r="T286">
        <v>4</v>
      </c>
      <c r="U286" t="s">
        <v>1499</v>
      </c>
      <c r="V286">
        <v>4</v>
      </c>
      <c r="W286">
        <f>COUNTIF($A$2:A286,A286)</f>
        <v>1</v>
      </c>
    </row>
    <row r="287" spans="1:23" x14ac:dyDescent="0.35">
      <c r="A287" t="s">
        <v>345</v>
      </c>
      <c r="B287" s="2">
        <v>42953</v>
      </c>
      <c r="D287" t="s">
        <v>23</v>
      </c>
      <c r="E287">
        <v>31</v>
      </c>
      <c r="F287" t="s">
        <v>24</v>
      </c>
      <c r="G287" t="s">
        <v>25</v>
      </c>
      <c r="H287" t="s">
        <v>32</v>
      </c>
      <c r="I287" t="s">
        <v>27</v>
      </c>
      <c r="J287" t="s">
        <v>33</v>
      </c>
      <c r="K287">
        <v>3</v>
      </c>
      <c r="L287" t="s">
        <v>84</v>
      </c>
      <c r="M287">
        <v>86000</v>
      </c>
      <c r="N287">
        <v>8.4</v>
      </c>
      <c r="O287">
        <v>13.1</v>
      </c>
      <c r="P287">
        <v>8.4</v>
      </c>
      <c r="Q287">
        <v>0.2</v>
      </c>
      <c r="R287">
        <v>3</v>
      </c>
      <c r="S287">
        <v>2</v>
      </c>
      <c r="T287">
        <v>2</v>
      </c>
      <c r="U287" t="s">
        <v>23</v>
      </c>
      <c r="V287">
        <v>4</v>
      </c>
      <c r="W287">
        <f>COUNTIF($A$2:A287,A287)</f>
        <v>1</v>
      </c>
    </row>
    <row r="288" spans="1:23" x14ac:dyDescent="0.35">
      <c r="A288" t="s">
        <v>1420</v>
      </c>
      <c r="B288" s="2">
        <v>45871</v>
      </c>
      <c r="C288" s="2">
        <v>46017</v>
      </c>
      <c r="D288" t="s">
        <v>30</v>
      </c>
      <c r="E288">
        <v>32</v>
      </c>
      <c r="F288" t="s">
        <v>24</v>
      </c>
      <c r="G288" t="s">
        <v>25</v>
      </c>
      <c r="H288" t="s">
        <v>58</v>
      </c>
      <c r="I288" t="s">
        <v>48</v>
      </c>
      <c r="J288" t="s">
        <v>129</v>
      </c>
      <c r="K288">
        <v>3</v>
      </c>
      <c r="L288" t="s">
        <v>40</v>
      </c>
      <c r="M288">
        <v>80000</v>
      </c>
      <c r="N288">
        <v>4.5999999999999996</v>
      </c>
      <c r="O288">
        <v>6.4</v>
      </c>
      <c r="P288">
        <v>0.4</v>
      </c>
      <c r="Q288">
        <v>0</v>
      </c>
      <c r="R288">
        <v>2</v>
      </c>
      <c r="S288">
        <v>3</v>
      </c>
      <c r="T288">
        <v>2</v>
      </c>
      <c r="U288" t="s">
        <v>23</v>
      </c>
      <c r="V288">
        <v>3</v>
      </c>
      <c r="W288">
        <f>COUNTIF($A$2:A288,A288)</f>
        <v>1</v>
      </c>
    </row>
    <row r="289" spans="1:23" x14ac:dyDescent="0.35">
      <c r="A289" t="s">
        <v>114</v>
      </c>
      <c r="B289" s="2">
        <v>45060</v>
      </c>
      <c r="D289" t="s">
        <v>23</v>
      </c>
      <c r="E289">
        <v>44</v>
      </c>
      <c r="F289" t="s">
        <v>24</v>
      </c>
      <c r="G289" t="s">
        <v>25</v>
      </c>
      <c r="H289" t="s">
        <v>54</v>
      </c>
      <c r="I289" t="s">
        <v>45</v>
      </c>
      <c r="J289" t="s">
        <v>97</v>
      </c>
      <c r="K289">
        <v>3</v>
      </c>
      <c r="L289" t="s">
        <v>66</v>
      </c>
      <c r="M289">
        <v>64000</v>
      </c>
      <c r="N289">
        <v>5</v>
      </c>
      <c r="O289">
        <v>4.3</v>
      </c>
      <c r="P289">
        <v>2.6</v>
      </c>
      <c r="Q289">
        <v>0.6</v>
      </c>
      <c r="R289">
        <v>4</v>
      </c>
      <c r="S289">
        <v>3</v>
      </c>
      <c r="T289">
        <v>2</v>
      </c>
      <c r="U289" t="s">
        <v>23</v>
      </c>
      <c r="V289">
        <v>2</v>
      </c>
      <c r="W289">
        <f>COUNTIF($A$2:A289,A289)</f>
        <v>1</v>
      </c>
    </row>
    <row r="290" spans="1:23" x14ac:dyDescent="0.35">
      <c r="A290" t="s">
        <v>781</v>
      </c>
      <c r="B290" s="2">
        <v>44733</v>
      </c>
      <c r="D290" t="s">
        <v>23</v>
      </c>
      <c r="E290">
        <v>29</v>
      </c>
      <c r="F290" t="s">
        <v>36</v>
      </c>
      <c r="G290" t="s">
        <v>37</v>
      </c>
      <c r="H290" t="s">
        <v>32</v>
      </c>
      <c r="I290" t="s">
        <v>38</v>
      </c>
      <c r="J290" t="s">
        <v>118</v>
      </c>
      <c r="K290">
        <v>4</v>
      </c>
      <c r="L290" t="s">
        <v>50</v>
      </c>
      <c r="M290">
        <v>112000</v>
      </c>
      <c r="N290">
        <v>15.6</v>
      </c>
      <c r="O290">
        <v>8.1</v>
      </c>
      <c r="P290">
        <v>3.5</v>
      </c>
      <c r="Q290">
        <v>1</v>
      </c>
      <c r="R290">
        <v>4</v>
      </c>
      <c r="S290">
        <v>2</v>
      </c>
      <c r="T290">
        <v>4</v>
      </c>
      <c r="U290" t="s">
        <v>23</v>
      </c>
      <c r="V290">
        <v>3</v>
      </c>
      <c r="W290">
        <f>COUNTIF($A$2:A290,A290)</f>
        <v>1</v>
      </c>
    </row>
    <row r="291" spans="1:23" x14ac:dyDescent="0.35">
      <c r="A291" t="s">
        <v>981</v>
      </c>
      <c r="B291" s="2">
        <v>44392</v>
      </c>
      <c r="D291" t="s">
        <v>23</v>
      </c>
      <c r="E291">
        <v>28</v>
      </c>
      <c r="F291" t="s">
        <v>24</v>
      </c>
      <c r="G291" t="s">
        <v>25</v>
      </c>
      <c r="H291" t="s">
        <v>32</v>
      </c>
      <c r="I291" t="s">
        <v>27</v>
      </c>
      <c r="J291" t="s">
        <v>33</v>
      </c>
      <c r="K291">
        <v>3</v>
      </c>
      <c r="L291" t="s">
        <v>34</v>
      </c>
      <c r="M291">
        <v>94000</v>
      </c>
      <c r="N291">
        <v>12.9</v>
      </c>
      <c r="O291">
        <v>5.9</v>
      </c>
      <c r="P291">
        <v>4.5</v>
      </c>
      <c r="Q291">
        <v>4.4000000000000004</v>
      </c>
      <c r="R291">
        <v>3</v>
      </c>
      <c r="S291">
        <v>3</v>
      </c>
      <c r="T291">
        <v>3</v>
      </c>
      <c r="U291" t="s">
        <v>23</v>
      </c>
      <c r="V291">
        <v>4</v>
      </c>
      <c r="W291">
        <f>COUNTIF($A$2:A291,A291)</f>
        <v>1</v>
      </c>
    </row>
    <row r="292" spans="1:23" x14ac:dyDescent="0.35">
      <c r="A292" t="s">
        <v>868</v>
      </c>
      <c r="B292" s="2">
        <v>45830</v>
      </c>
      <c r="D292" t="s">
        <v>23</v>
      </c>
      <c r="E292">
        <v>21</v>
      </c>
      <c r="F292" t="s">
        <v>24</v>
      </c>
      <c r="G292" t="s">
        <v>42</v>
      </c>
      <c r="H292" t="s">
        <v>58</v>
      </c>
      <c r="I292" t="s">
        <v>27</v>
      </c>
      <c r="J292" t="s">
        <v>43</v>
      </c>
      <c r="K292">
        <v>1</v>
      </c>
      <c r="L292" t="s">
        <v>84</v>
      </c>
      <c r="M292">
        <v>53000</v>
      </c>
      <c r="N292">
        <v>3.4</v>
      </c>
      <c r="O292">
        <v>2.4</v>
      </c>
      <c r="P292">
        <v>0.5</v>
      </c>
      <c r="Q292">
        <v>0</v>
      </c>
      <c r="R292">
        <v>3</v>
      </c>
      <c r="S292">
        <v>3</v>
      </c>
      <c r="T292">
        <v>3</v>
      </c>
      <c r="U292" t="s">
        <v>23</v>
      </c>
      <c r="V292">
        <v>3</v>
      </c>
      <c r="W292">
        <f>COUNTIF($A$2:A292,A292)</f>
        <v>1</v>
      </c>
    </row>
    <row r="293" spans="1:23" x14ac:dyDescent="0.35">
      <c r="A293" t="s">
        <v>1290</v>
      </c>
      <c r="B293" s="2">
        <v>45144</v>
      </c>
      <c r="D293" t="s">
        <v>23</v>
      </c>
      <c r="E293">
        <v>40</v>
      </c>
      <c r="F293" t="s">
        <v>24</v>
      </c>
      <c r="G293" t="s">
        <v>25</v>
      </c>
      <c r="H293" t="s">
        <v>32</v>
      </c>
      <c r="I293" t="s">
        <v>59</v>
      </c>
      <c r="J293" t="s">
        <v>60</v>
      </c>
      <c r="K293">
        <v>2</v>
      </c>
      <c r="L293" t="s">
        <v>34</v>
      </c>
      <c r="M293">
        <v>74000</v>
      </c>
      <c r="N293">
        <v>14.5</v>
      </c>
      <c r="O293">
        <v>3.2</v>
      </c>
      <c r="P293">
        <v>2.4</v>
      </c>
      <c r="Q293">
        <v>0.6</v>
      </c>
      <c r="R293">
        <v>3</v>
      </c>
      <c r="S293">
        <v>2</v>
      </c>
      <c r="T293">
        <v>3</v>
      </c>
      <c r="U293" t="s">
        <v>30</v>
      </c>
      <c r="V293">
        <v>3</v>
      </c>
      <c r="W293">
        <f>COUNTIF($A$2:A293,A293)</f>
        <v>1</v>
      </c>
    </row>
    <row r="294" spans="1:23" x14ac:dyDescent="0.35">
      <c r="A294" t="s">
        <v>171</v>
      </c>
      <c r="B294" s="2">
        <v>43778</v>
      </c>
      <c r="D294" t="s">
        <v>23</v>
      </c>
      <c r="E294">
        <v>37</v>
      </c>
      <c r="F294" t="s">
        <v>36</v>
      </c>
      <c r="G294" t="s">
        <v>37</v>
      </c>
      <c r="H294" t="s">
        <v>32</v>
      </c>
      <c r="I294" t="s">
        <v>59</v>
      </c>
      <c r="J294" t="s">
        <v>75</v>
      </c>
      <c r="K294">
        <v>2</v>
      </c>
      <c r="L294" t="s">
        <v>50</v>
      </c>
      <c r="M294">
        <v>59000</v>
      </c>
      <c r="N294">
        <v>12</v>
      </c>
      <c r="O294">
        <v>11.9</v>
      </c>
      <c r="P294">
        <v>6.1</v>
      </c>
      <c r="Q294">
        <v>4.7</v>
      </c>
      <c r="R294">
        <v>4</v>
      </c>
      <c r="S294">
        <v>3</v>
      </c>
      <c r="T294">
        <v>3</v>
      </c>
      <c r="U294" t="s">
        <v>23</v>
      </c>
      <c r="V294">
        <v>4</v>
      </c>
      <c r="W294">
        <f>COUNTIF($A$2:A294,A294)</f>
        <v>1</v>
      </c>
    </row>
    <row r="295" spans="1:23" x14ac:dyDescent="0.35">
      <c r="A295" t="s">
        <v>1261</v>
      </c>
      <c r="B295" s="2">
        <v>43221</v>
      </c>
      <c r="D295" t="s">
        <v>23</v>
      </c>
      <c r="E295">
        <v>34</v>
      </c>
      <c r="F295" t="s">
        <v>62</v>
      </c>
      <c r="G295" t="s">
        <v>25</v>
      </c>
      <c r="H295" t="s">
        <v>32</v>
      </c>
      <c r="I295" t="s">
        <v>55</v>
      </c>
      <c r="J295" t="s">
        <v>88</v>
      </c>
      <c r="K295">
        <v>3</v>
      </c>
      <c r="L295" t="s">
        <v>66</v>
      </c>
      <c r="M295">
        <v>89000</v>
      </c>
      <c r="N295">
        <v>6</v>
      </c>
      <c r="O295">
        <v>12.2</v>
      </c>
      <c r="P295">
        <v>7.7</v>
      </c>
      <c r="Q295">
        <v>5.6</v>
      </c>
      <c r="R295">
        <v>3</v>
      </c>
      <c r="S295">
        <v>3</v>
      </c>
      <c r="T295">
        <v>1</v>
      </c>
      <c r="U295" t="s">
        <v>23</v>
      </c>
      <c r="V295">
        <v>2</v>
      </c>
      <c r="W295">
        <f>COUNTIF($A$2:A295,A295)</f>
        <v>1</v>
      </c>
    </row>
    <row r="296" spans="1:23" x14ac:dyDescent="0.35">
      <c r="A296" t="s">
        <v>431</v>
      </c>
      <c r="B296" s="2">
        <v>45663</v>
      </c>
      <c r="D296" t="s">
        <v>23</v>
      </c>
      <c r="E296">
        <v>21</v>
      </c>
      <c r="F296" t="s">
        <v>24</v>
      </c>
      <c r="G296" t="s">
        <v>37</v>
      </c>
      <c r="H296" t="s">
        <v>58</v>
      </c>
      <c r="I296" t="s">
        <v>27</v>
      </c>
      <c r="J296" t="s">
        <v>95</v>
      </c>
      <c r="K296">
        <v>1</v>
      </c>
      <c r="L296" t="s">
        <v>34</v>
      </c>
      <c r="M296">
        <v>31000</v>
      </c>
      <c r="N296">
        <v>5</v>
      </c>
      <c r="O296">
        <v>7.2</v>
      </c>
      <c r="P296">
        <v>1</v>
      </c>
      <c r="Q296">
        <v>0.4</v>
      </c>
      <c r="R296">
        <v>3</v>
      </c>
      <c r="S296">
        <v>2</v>
      </c>
      <c r="T296">
        <v>3</v>
      </c>
      <c r="U296" t="s">
        <v>23</v>
      </c>
      <c r="V296">
        <v>3</v>
      </c>
      <c r="W296">
        <f>COUNTIF($A$2:A296,A296)</f>
        <v>1</v>
      </c>
    </row>
    <row r="297" spans="1:23" x14ac:dyDescent="0.35">
      <c r="A297" t="s">
        <v>220</v>
      </c>
      <c r="B297" s="2">
        <v>45608</v>
      </c>
      <c r="D297" t="s">
        <v>23</v>
      </c>
      <c r="E297">
        <v>34</v>
      </c>
      <c r="F297" t="s">
        <v>36</v>
      </c>
      <c r="G297" t="s">
        <v>25</v>
      </c>
      <c r="H297" t="s">
        <v>54</v>
      </c>
      <c r="I297" t="s">
        <v>45</v>
      </c>
      <c r="J297" t="s">
        <v>46</v>
      </c>
      <c r="K297">
        <v>4</v>
      </c>
      <c r="L297" t="s">
        <v>34</v>
      </c>
      <c r="M297">
        <v>116000</v>
      </c>
      <c r="N297">
        <v>12.7</v>
      </c>
      <c r="O297">
        <v>3.5</v>
      </c>
      <c r="P297">
        <v>1.1000000000000001</v>
      </c>
      <c r="Q297">
        <v>0.3</v>
      </c>
      <c r="R297">
        <v>2</v>
      </c>
      <c r="S297">
        <v>3</v>
      </c>
      <c r="T297">
        <v>3</v>
      </c>
      <c r="U297" t="s">
        <v>30</v>
      </c>
      <c r="V297">
        <v>3</v>
      </c>
      <c r="W297">
        <f>COUNTIF($A$2:A297,A297)</f>
        <v>1</v>
      </c>
    </row>
    <row r="298" spans="1:23" x14ac:dyDescent="0.35">
      <c r="A298" t="s">
        <v>1366</v>
      </c>
      <c r="B298" s="2">
        <v>44135</v>
      </c>
      <c r="D298" t="s">
        <v>23</v>
      </c>
      <c r="E298">
        <v>26</v>
      </c>
      <c r="F298" t="s">
        <v>36</v>
      </c>
      <c r="G298" t="s">
        <v>25</v>
      </c>
      <c r="H298" t="s">
        <v>26</v>
      </c>
      <c r="I298" t="s">
        <v>55</v>
      </c>
      <c r="J298" t="s">
        <v>179</v>
      </c>
      <c r="K298">
        <v>1</v>
      </c>
      <c r="L298" t="s">
        <v>50</v>
      </c>
      <c r="M298">
        <v>48000</v>
      </c>
      <c r="N298">
        <v>5.0999999999999996</v>
      </c>
      <c r="O298">
        <v>11.1</v>
      </c>
      <c r="P298">
        <v>5.2</v>
      </c>
      <c r="Q298">
        <v>3.9</v>
      </c>
      <c r="R298">
        <v>2</v>
      </c>
      <c r="S298">
        <v>2</v>
      </c>
      <c r="T298">
        <v>3</v>
      </c>
      <c r="U298" t="s">
        <v>30</v>
      </c>
      <c r="V298">
        <v>2</v>
      </c>
      <c r="W298">
        <f>COUNTIF($A$2:A298,A298)</f>
        <v>1</v>
      </c>
    </row>
    <row r="299" spans="1:23" x14ac:dyDescent="0.35">
      <c r="A299" t="s">
        <v>1443</v>
      </c>
      <c r="B299" s="2">
        <v>41657</v>
      </c>
      <c r="C299" s="2">
        <v>45857</v>
      </c>
      <c r="D299" t="s">
        <v>30</v>
      </c>
      <c r="E299">
        <v>37</v>
      </c>
      <c r="F299" t="s">
        <v>24</v>
      </c>
      <c r="G299" t="s">
        <v>37</v>
      </c>
      <c r="H299" t="s">
        <v>26</v>
      </c>
      <c r="I299" t="s">
        <v>59</v>
      </c>
      <c r="J299" t="s">
        <v>60</v>
      </c>
      <c r="K299">
        <v>3</v>
      </c>
      <c r="L299" t="s">
        <v>29</v>
      </c>
      <c r="M299">
        <v>66000</v>
      </c>
      <c r="N299">
        <v>9.4</v>
      </c>
      <c r="O299">
        <v>14</v>
      </c>
      <c r="P299">
        <v>11.5</v>
      </c>
      <c r="Q299">
        <v>1.5</v>
      </c>
      <c r="R299">
        <v>3</v>
      </c>
      <c r="S299">
        <v>3</v>
      </c>
      <c r="T299">
        <v>3</v>
      </c>
      <c r="U299" t="s">
        <v>30</v>
      </c>
      <c r="V299">
        <v>2</v>
      </c>
      <c r="W299">
        <f>COUNTIF($A$2:A299,A299)</f>
        <v>1</v>
      </c>
    </row>
    <row r="300" spans="1:23" x14ac:dyDescent="0.35">
      <c r="A300" t="s">
        <v>1504</v>
      </c>
      <c r="B300" s="2">
        <v>44428</v>
      </c>
      <c r="D300" t="s">
        <v>23</v>
      </c>
      <c r="E300">
        <v>29</v>
      </c>
      <c r="F300" t="s">
        <v>62</v>
      </c>
      <c r="G300" t="s">
        <v>25</v>
      </c>
      <c r="H300" t="s">
        <v>54</v>
      </c>
      <c r="I300" t="s">
        <v>68</v>
      </c>
      <c r="J300" t="s">
        <v>69</v>
      </c>
      <c r="K300">
        <v>4</v>
      </c>
      <c r="L300" t="s">
        <v>66</v>
      </c>
      <c r="M300">
        <v>113000</v>
      </c>
      <c r="N300">
        <v>2.6</v>
      </c>
      <c r="O300">
        <v>5.4</v>
      </c>
      <c r="P300">
        <v>4.4000000000000004</v>
      </c>
      <c r="Q300">
        <v>4.2</v>
      </c>
      <c r="R300">
        <v>4</v>
      </c>
      <c r="S300">
        <v>3</v>
      </c>
      <c r="T300">
        <v>3</v>
      </c>
      <c r="U300" t="s">
        <v>23</v>
      </c>
      <c r="V300">
        <v>3</v>
      </c>
      <c r="W300">
        <f>COUNTIF($A$2:A300,A300)</f>
        <v>1</v>
      </c>
    </row>
    <row r="301" spans="1:23" x14ac:dyDescent="0.35">
      <c r="A301" t="s">
        <v>515</v>
      </c>
      <c r="B301" s="2">
        <v>43855</v>
      </c>
      <c r="D301" t="s">
        <v>23</v>
      </c>
      <c r="E301">
        <v>33</v>
      </c>
      <c r="F301" t="s">
        <v>24</v>
      </c>
      <c r="G301" t="s">
        <v>42</v>
      </c>
      <c r="H301" t="s">
        <v>58</v>
      </c>
      <c r="I301" t="s">
        <v>45</v>
      </c>
      <c r="J301" t="s">
        <v>77</v>
      </c>
      <c r="K301">
        <v>4</v>
      </c>
      <c r="L301" t="s">
        <v>34</v>
      </c>
      <c r="M301">
        <v>108000</v>
      </c>
      <c r="N301">
        <v>9.9</v>
      </c>
      <c r="O301">
        <v>9.1999999999999993</v>
      </c>
      <c r="P301">
        <v>5.9</v>
      </c>
      <c r="Q301">
        <v>0.9</v>
      </c>
      <c r="R301">
        <v>2</v>
      </c>
      <c r="S301">
        <v>1</v>
      </c>
      <c r="T301">
        <v>3</v>
      </c>
      <c r="U301" t="s">
        <v>30</v>
      </c>
      <c r="V301">
        <v>4</v>
      </c>
      <c r="W301">
        <f>COUNTIF($A$2:A301,A301)</f>
        <v>1</v>
      </c>
    </row>
    <row r="302" spans="1:23" x14ac:dyDescent="0.35">
      <c r="A302" t="s">
        <v>339</v>
      </c>
      <c r="B302" s="2">
        <v>43811</v>
      </c>
      <c r="D302" t="s">
        <v>23</v>
      </c>
      <c r="E302">
        <v>34</v>
      </c>
      <c r="F302" t="s">
        <v>62</v>
      </c>
      <c r="G302" t="s">
        <v>42</v>
      </c>
      <c r="H302" t="s">
        <v>54</v>
      </c>
      <c r="I302" t="s">
        <v>27</v>
      </c>
      <c r="J302" t="s">
        <v>43</v>
      </c>
      <c r="K302">
        <v>3</v>
      </c>
      <c r="L302" t="s">
        <v>40</v>
      </c>
      <c r="M302">
        <v>70000</v>
      </c>
      <c r="N302">
        <v>9.5</v>
      </c>
      <c r="O302">
        <v>12.4</v>
      </c>
      <c r="P302">
        <v>6.1</v>
      </c>
      <c r="Q302">
        <v>3.6</v>
      </c>
      <c r="R302">
        <v>3</v>
      </c>
      <c r="S302">
        <v>4</v>
      </c>
      <c r="T302">
        <v>3</v>
      </c>
      <c r="U302" t="s">
        <v>23</v>
      </c>
      <c r="V302">
        <v>3</v>
      </c>
      <c r="W302">
        <f>COUNTIF($A$2:A302,A302)</f>
        <v>1</v>
      </c>
    </row>
    <row r="303" spans="1:23" x14ac:dyDescent="0.35">
      <c r="A303" t="s">
        <v>483</v>
      </c>
      <c r="B303" s="2">
        <v>44970</v>
      </c>
      <c r="D303" t="s">
        <v>23</v>
      </c>
      <c r="E303">
        <v>33</v>
      </c>
      <c r="F303" t="s">
        <v>62</v>
      </c>
      <c r="G303" t="s">
        <v>42</v>
      </c>
      <c r="H303" t="s">
        <v>54</v>
      </c>
      <c r="I303" t="s">
        <v>55</v>
      </c>
      <c r="J303" t="s">
        <v>80</v>
      </c>
      <c r="K303">
        <v>4</v>
      </c>
      <c r="L303" t="s">
        <v>40</v>
      </c>
      <c r="M303">
        <v>129000</v>
      </c>
      <c r="O303">
        <v>9.3000000000000007</v>
      </c>
      <c r="P303">
        <v>2.9</v>
      </c>
      <c r="Q303">
        <v>1.8</v>
      </c>
      <c r="R303">
        <v>3</v>
      </c>
      <c r="S303">
        <v>3</v>
      </c>
      <c r="T303">
        <v>3</v>
      </c>
      <c r="U303" t="s">
        <v>30</v>
      </c>
      <c r="V303">
        <v>4</v>
      </c>
      <c r="W303">
        <f>COUNTIF($A$2:A303,A303)</f>
        <v>1</v>
      </c>
    </row>
    <row r="304" spans="1:23" x14ac:dyDescent="0.35">
      <c r="A304" t="s">
        <v>1060</v>
      </c>
      <c r="B304" s="2">
        <v>45733</v>
      </c>
      <c r="D304" t="s">
        <v>23</v>
      </c>
      <c r="E304">
        <v>23</v>
      </c>
      <c r="F304" t="s">
        <v>62</v>
      </c>
      <c r="G304" t="s">
        <v>37</v>
      </c>
      <c r="H304" t="s">
        <v>32</v>
      </c>
      <c r="I304" t="s">
        <v>59</v>
      </c>
      <c r="J304" t="s">
        <v>75</v>
      </c>
      <c r="K304">
        <v>1</v>
      </c>
      <c r="L304" t="s">
        <v>50</v>
      </c>
      <c r="M304">
        <v>49000</v>
      </c>
      <c r="N304">
        <v>4</v>
      </c>
      <c r="O304">
        <v>3</v>
      </c>
      <c r="P304">
        <v>0.8</v>
      </c>
      <c r="Q304">
        <v>0</v>
      </c>
      <c r="R304">
        <v>3</v>
      </c>
      <c r="S304">
        <v>2</v>
      </c>
      <c r="T304">
        <v>1</v>
      </c>
      <c r="U304" t="s">
        <v>23</v>
      </c>
      <c r="V304">
        <v>1</v>
      </c>
      <c r="W304">
        <f>COUNTIF($A$2:A304,A304)</f>
        <v>1</v>
      </c>
    </row>
    <row r="305" spans="1:23" x14ac:dyDescent="0.35">
      <c r="A305" t="s">
        <v>1295</v>
      </c>
      <c r="B305" s="2">
        <v>44680</v>
      </c>
      <c r="C305" s="2">
        <v>45769</v>
      </c>
      <c r="D305" t="s">
        <v>30</v>
      </c>
      <c r="E305">
        <v>28</v>
      </c>
      <c r="F305" t="s">
        <v>24</v>
      </c>
      <c r="G305" t="s">
        <v>42</v>
      </c>
      <c r="H305" t="s">
        <v>26</v>
      </c>
      <c r="I305" t="s">
        <v>68</v>
      </c>
      <c r="J305" t="s">
        <v>69</v>
      </c>
      <c r="K305">
        <v>2</v>
      </c>
      <c r="L305" t="s">
        <v>40</v>
      </c>
      <c r="M305">
        <v>61000</v>
      </c>
      <c r="N305">
        <v>7.8</v>
      </c>
      <c r="O305">
        <v>5.7</v>
      </c>
      <c r="P305">
        <v>3</v>
      </c>
      <c r="Q305">
        <v>0.9</v>
      </c>
      <c r="R305">
        <v>2</v>
      </c>
      <c r="S305">
        <v>4</v>
      </c>
      <c r="T305">
        <v>4</v>
      </c>
      <c r="U305" t="s">
        <v>30</v>
      </c>
      <c r="V305">
        <v>3</v>
      </c>
      <c r="W305">
        <f>COUNTIF($A$2:A305,A305)</f>
        <v>1</v>
      </c>
    </row>
    <row r="306" spans="1:23" x14ac:dyDescent="0.35">
      <c r="A306" t="s">
        <v>35</v>
      </c>
      <c r="B306" s="2">
        <v>45712</v>
      </c>
      <c r="D306" t="s">
        <v>23</v>
      </c>
      <c r="E306">
        <v>28</v>
      </c>
      <c r="F306" t="s">
        <v>36</v>
      </c>
      <c r="G306" t="s">
        <v>37</v>
      </c>
      <c r="H306" t="s">
        <v>26</v>
      </c>
      <c r="I306" t="s">
        <v>38</v>
      </c>
      <c r="J306" t="s">
        <v>39</v>
      </c>
      <c r="K306">
        <v>3</v>
      </c>
      <c r="L306" t="s">
        <v>40</v>
      </c>
      <c r="M306">
        <v>89000</v>
      </c>
      <c r="N306">
        <v>5.7</v>
      </c>
      <c r="O306">
        <v>7.4</v>
      </c>
      <c r="P306">
        <v>0.8</v>
      </c>
      <c r="Q306">
        <v>0</v>
      </c>
      <c r="R306">
        <v>2</v>
      </c>
      <c r="S306">
        <v>2</v>
      </c>
      <c r="T306">
        <v>4</v>
      </c>
      <c r="U306" t="s">
        <v>23</v>
      </c>
      <c r="V306">
        <v>3</v>
      </c>
      <c r="W306">
        <f>COUNTIF($A$2:A306,A306)</f>
        <v>1</v>
      </c>
    </row>
    <row r="307" spans="1:23" x14ac:dyDescent="0.35">
      <c r="A307" t="s">
        <v>479</v>
      </c>
      <c r="B307" s="2">
        <v>45018</v>
      </c>
      <c r="D307" t="s">
        <v>23</v>
      </c>
      <c r="E307">
        <v>25</v>
      </c>
      <c r="F307" t="s">
        <v>62</v>
      </c>
      <c r="G307" t="s">
        <v>37</v>
      </c>
      <c r="H307" t="s">
        <v>58</v>
      </c>
      <c r="I307" t="s">
        <v>48</v>
      </c>
      <c r="J307" t="s">
        <v>63</v>
      </c>
      <c r="K307">
        <v>1</v>
      </c>
      <c r="L307" t="s">
        <v>34</v>
      </c>
      <c r="M307">
        <v>38000</v>
      </c>
      <c r="N307">
        <v>11.5</v>
      </c>
      <c r="O307">
        <v>5.2</v>
      </c>
      <c r="P307">
        <v>2.7</v>
      </c>
      <c r="Q307">
        <v>0.9</v>
      </c>
      <c r="R307">
        <v>3</v>
      </c>
      <c r="S307">
        <v>3</v>
      </c>
      <c r="T307">
        <v>1</v>
      </c>
      <c r="U307" t="s">
        <v>23</v>
      </c>
      <c r="V307">
        <v>5</v>
      </c>
      <c r="W307">
        <f>COUNTIF($A$2:A307,A307)</f>
        <v>1</v>
      </c>
    </row>
    <row r="308" spans="1:23" x14ac:dyDescent="0.35">
      <c r="A308" t="s">
        <v>1032</v>
      </c>
      <c r="B308" s="2">
        <v>42120</v>
      </c>
      <c r="C308" s="2">
        <v>45982</v>
      </c>
      <c r="D308" t="s">
        <v>30</v>
      </c>
      <c r="E308">
        <v>32</v>
      </c>
      <c r="F308" t="s">
        <v>24</v>
      </c>
      <c r="G308" t="s">
        <v>37</v>
      </c>
      <c r="H308" t="s">
        <v>26</v>
      </c>
      <c r="I308" t="s">
        <v>45</v>
      </c>
      <c r="J308" t="s">
        <v>77</v>
      </c>
      <c r="K308">
        <v>2</v>
      </c>
      <c r="L308" t="s">
        <v>66</v>
      </c>
      <c r="M308">
        <v>48000</v>
      </c>
      <c r="N308">
        <v>9.1999999999999993</v>
      </c>
      <c r="O308">
        <v>14</v>
      </c>
      <c r="P308">
        <v>10.6</v>
      </c>
      <c r="Q308">
        <v>0.1</v>
      </c>
      <c r="R308">
        <v>2</v>
      </c>
      <c r="S308">
        <v>4</v>
      </c>
      <c r="T308">
        <v>3</v>
      </c>
      <c r="U308" t="s">
        <v>23</v>
      </c>
      <c r="V308">
        <v>3</v>
      </c>
      <c r="W308">
        <f>COUNTIF($A$2:A308,A308)</f>
        <v>1</v>
      </c>
    </row>
    <row r="309" spans="1:23" x14ac:dyDescent="0.35">
      <c r="A309" t="s">
        <v>340</v>
      </c>
      <c r="B309" s="2">
        <v>45251</v>
      </c>
      <c r="D309" t="s">
        <v>23</v>
      </c>
      <c r="E309">
        <v>40</v>
      </c>
      <c r="F309" t="s">
        <v>36</v>
      </c>
      <c r="G309" t="s">
        <v>25</v>
      </c>
      <c r="H309" t="s">
        <v>32</v>
      </c>
      <c r="I309" t="s">
        <v>59</v>
      </c>
      <c r="J309" t="s">
        <v>60</v>
      </c>
      <c r="K309">
        <v>3</v>
      </c>
      <c r="L309" t="s">
        <v>29</v>
      </c>
      <c r="M309">
        <v>95000</v>
      </c>
      <c r="N309">
        <v>6.8</v>
      </c>
      <c r="O309">
        <v>7.6</v>
      </c>
      <c r="P309">
        <v>2.1</v>
      </c>
      <c r="Q309">
        <v>0.7</v>
      </c>
      <c r="R309">
        <v>2</v>
      </c>
      <c r="S309">
        <v>4</v>
      </c>
      <c r="T309">
        <v>3</v>
      </c>
      <c r="U309" t="s">
        <v>23</v>
      </c>
      <c r="V309">
        <v>2</v>
      </c>
      <c r="W309">
        <f>COUNTIF($A$2:A309,A309)</f>
        <v>1</v>
      </c>
    </row>
    <row r="310" spans="1:23" x14ac:dyDescent="0.35">
      <c r="A310" t="s">
        <v>41</v>
      </c>
      <c r="B310" s="2">
        <v>44919</v>
      </c>
      <c r="D310" t="s">
        <v>23</v>
      </c>
      <c r="E310">
        <v>32</v>
      </c>
      <c r="F310" t="s">
        <v>24</v>
      </c>
      <c r="G310" t="s">
        <v>42</v>
      </c>
      <c r="H310" t="s">
        <v>26</v>
      </c>
      <c r="I310" t="s">
        <v>27</v>
      </c>
      <c r="J310" t="s">
        <v>43</v>
      </c>
      <c r="K310">
        <v>2</v>
      </c>
      <c r="L310" t="s">
        <v>34</v>
      </c>
      <c r="M310">
        <v>74000</v>
      </c>
      <c r="N310">
        <v>5.8</v>
      </c>
      <c r="O310">
        <v>9.5</v>
      </c>
      <c r="P310">
        <v>3</v>
      </c>
      <c r="Q310">
        <v>1.3</v>
      </c>
      <c r="R310">
        <v>4</v>
      </c>
      <c r="S310">
        <v>2</v>
      </c>
      <c r="T310">
        <v>3</v>
      </c>
      <c r="U310" t="s">
        <v>23</v>
      </c>
      <c r="V310">
        <v>3</v>
      </c>
      <c r="W310">
        <f>COUNTIF($A$2:A310,A310)</f>
        <v>1</v>
      </c>
    </row>
    <row r="311" spans="1:23" x14ac:dyDescent="0.35">
      <c r="A311" t="s">
        <v>782</v>
      </c>
      <c r="B311" s="2">
        <v>43594</v>
      </c>
      <c r="D311" t="s">
        <v>23</v>
      </c>
      <c r="E311">
        <v>45</v>
      </c>
      <c r="F311" t="s">
        <v>24</v>
      </c>
      <c r="G311" t="s">
        <v>37</v>
      </c>
      <c r="H311" t="s">
        <v>32</v>
      </c>
      <c r="I311" t="s">
        <v>45</v>
      </c>
      <c r="J311" t="s">
        <v>46</v>
      </c>
      <c r="K311">
        <v>3</v>
      </c>
      <c r="L311" t="s">
        <v>34</v>
      </c>
      <c r="M311">
        <v>67000</v>
      </c>
      <c r="N311">
        <v>11.3</v>
      </c>
      <c r="O311">
        <v>9.1999999999999993</v>
      </c>
      <c r="P311">
        <v>6.6</v>
      </c>
      <c r="Q311">
        <v>2.8</v>
      </c>
      <c r="R311">
        <v>3</v>
      </c>
      <c r="S311">
        <v>4</v>
      </c>
      <c r="T311">
        <v>3</v>
      </c>
      <c r="U311" t="s">
        <v>23</v>
      </c>
      <c r="V311">
        <v>4</v>
      </c>
      <c r="W311">
        <f>COUNTIF($A$2:A311,A311)</f>
        <v>1</v>
      </c>
    </row>
    <row r="312" spans="1:23" x14ac:dyDescent="0.35">
      <c r="A312" t="s">
        <v>336</v>
      </c>
      <c r="B312" s="2">
        <v>44304</v>
      </c>
      <c r="D312" t="s">
        <v>23</v>
      </c>
      <c r="E312">
        <v>30</v>
      </c>
      <c r="F312" t="s">
        <v>24</v>
      </c>
      <c r="G312" t="s">
        <v>25</v>
      </c>
      <c r="H312" t="s">
        <v>54</v>
      </c>
      <c r="I312" t="s">
        <v>68</v>
      </c>
      <c r="J312" t="s">
        <v>69</v>
      </c>
      <c r="K312">
        <v>3</v>
      </c>
      <c r="L312" t="s">
        <v>40</v>
      </c>
      <c r="M312">
        <v>75000</v>
      </c>
      <c r="N312">
        <v>6.7</v>
      </c>
      <c r="O312">
        <v>11.8</v>
      </c>
      <c r="P312">
        <v>4.7</v>
      </c>
      <c r="Q312">
        <v>2.9</v>
      </c>
      <c r="R312">
        <v>3</v>
      </c>
      <c r="S312">
        <v>3</v>
      </c>
      <c r="T312">
        <v>3</v>
      </c>
      <c r="U312" t="s">
        <v>23</v>
      </c>
      <c r="V312">
        <v>3</v>
      </c>
      <c r="W312">
        <f>COUNTIF($A$2:A312,A312)</f>
        <v>1</v>
      </c>
    </row>
    <row r="313" spans="1:23" x14ac:dyDescent="0.35">
      <c r="A313" t="s">
        <v>1410</v>
      </c>
      <c r="B313" s="2">
        <v>45479</v>
      </c>
      <c r="D313" t="s">
        <v>23</v>
      </c>
      <c r="E313">
        <v>28</v>
      </c>
      <c r="F313" t="s">
        <v>24</v>
      </c>
      <c r="G313" t="s">
        <v>37</v>
      </c>
      <c r="H313" t="s">
        <v>26</v>
      </c>
      <c r="I313" t="s">
        <v>27</v>
      </c>
      <c r="J313" t="s">
        <v>33</v>
      </c>
      <c r="K313">
        <v>3</v>
      </c>
      <c r="L313" t="s">
        <v>34</v>
      </c>
      <c r="M313">
        <v>63000</v>
      </c>
      <c r="N313">
        <v>9.1</v>
      </c>
      <c r="O313">
        <v>2.2999999999999998</v>
      </c>
      <c r="P313">
        <v>1.5</v>
      </c>
      <c r="Q313">
        <v>1</v>
      </c>
      <c r="R313">
        <v>3</v>
      </c>
      <c r="S313">
        <v>1</v>
      </c>
      <c r="T313">
        <v>4</v>
      </c>
      <c r="U313" t="s">
        <v>23</v>
      </c>
      <c r="V313">
        <v>3</v>
      </c>
      <c r="W313">
        <f>COUNTIF($A$2:A313,A313)</f>
        <v>1</v>
      </c>
    </row>
    <row r="314" spans="1:23" x14ac:dyDescent="0.35">
      <c r="A314" t="s">
        <v>1110</v>
      </c>
      <c r="B314" s="2">
        <v>43170</v>
      </c>
      <c r="D314" t="s">
        <v>23</v>
      </c>
      <c r="E314">
        <v>35</v>
      </c>
      <c r="F314" t="s">
        <v>24</v>
      </c>
      <c r="G314" t="s">
        <v>25</v>
      </c>
      <c r="H314" t="s">
        <v>54</v>
      </c>
      <c r="I314" t="s">
        <v>55</v>
      </c>
      <c r="J314" t="s">
        <v>56</v>
      </c>
      <c r="K314">
        <v>1</v>
      </c>
      <c r="L314" t="s">
        <v>50</v>
      </c>
      <c r="M314">
        <v>25000</v>
      </c>
      <c r="N314">
        <v>10.3</v>
      </c>
      <c r="O314">
        <v>12.5</v>
      </c>
      <c r="P314">
        <v>7.8</v>
      </c>
      <c r="Q314">
        <v>0.3</v>
      </c>
      <c r="R314">
        <v>3</v>
      </c>
      <c r="S314">
        <v>2</v>
      </c>
      <c r="T314">
        <v>3</v>
      </c>
      <c r="U314" t="s">
        <v>23</v>
      </c>
      <c r="V314">
        <v>1</v>
      </c>
      <c r="W314">
        <f>COUNTIF($A$2:A314,A314)</f>
        <v>1</v>
      </c>
    </row>
    <row r="315" spans="1:23" x14ac:dyDescent="0.35">
      <c r="A315" t="s">
        <v>1037</v>
      </c>
      <c r="B315" s="2">
        <v>45821</v>
      </c>
      <c r="D315" t="s">
        <v>23</v>
      </c>
      <c r="E315">
        <v>21</v>
      </c>
      <c r="F315" t="s">
        <v>36</v>
      </c>
      <c r="G315" t="s">
        <v>37</v>
      </c>
      <c r="H315" t="s">
        <v>32</v>
      </c>
      <c r="I315" t="s">
        <v>48</v>
      </c>
      <c r="J315" t="s">
        <v>63</v>
      </c>
      <c r="K315">
        <v>1</v>
      </c>
      <c r="L315" t="s">
        <v>66</v>
      </c>
      <c r="M315">
        <v>38000</v>
      </c>
      <c r="N315">
        <v>13.9</v>
      </c>
      <c r="O315">
        <v>6.9</v>
      </c>
      <c r="P315">
        <v>0.6</v>
      </c>
      <c r="Q315">
        <v>0</v>
      </c>
      <c r="R315">
        <v>4</v>
      </c>
      <c r="S315">
        <v>3</v>
      </c>
      <c r="T315">
        <v>3</v>
      </c>
      <c r="U315" t="s">
        <v>23</v>
      </c>
      <c r="V315">
        <v>4</v>
      </c>
      <c r="W315">
        <f>COUNTIF($A$2:A315,A315)</f>
        <v>1</v>
      </c>
    </row>
    <row r="316" spans="1:23" x14ac:dyDescent="0.35">
      <c r="A316" t="s">
        <v>1227</v>
      </c>
      <c r="B316" s="2">
        <v>43641</v>
      </c>
      <c r="D316" t="s">
        <v>23</v>
      </c>
      <c r="E316">
        <v>45</v>
      </c>
      <c r="F316" t="s">
        <v>62</v>
      </c>
      <c r="G316" t="s">
        <v>25</v>
      </c>
      <c r="H316" t="s">
        <v>58</v>
      </c>
      <c r="I316" t="s">
        <v>38</v>
      </c>
      <c r="J316" t="s">
        <v>118</v>
      </c>
      <c r="K316">
        <v>3</v>
      </c>
      <c r="L316" t="s">
        <v>29</v>
      </c>
      <c r="M316">
        <v>90000</v>
      </c>
      <c r="N316">
        <v>6.2</v>
      </c>
      <c r="O316">
        <v>11.5</v>
      </c>
      <c r="P316">
        <v>6.5</v>
      </c>
      <c r="Q316">
        <v>1.1000000000000001</v>
      </c>
      <c r="R316">
        <v>3</v>
      </c>
      <c r="S316">
        <v>4</v>
      </c>
      <c r="T316">
        <v>3</v>
      </c>
      <c r="U316" t="s">
        <v>30</v>
      </c>
      <c r="V316">
        <v>2</v>
      </c>
      <c r="W316">
        <f>COUNTIF($A$2:A316,A316)</f>
        <v>1</v>
      </c>
    </row>
    <row r="317" spans="1:23" x14ac:dyDescent="0.35">
      <c r="A317" t="s">
        <v>1526</v>
      </c>
      <c r="B317" s="2">
        <v>45200</v>
      </c>
      <c r="D317" t="s">
        <v>23</v>
      </c>
      <c r="E317">
        <v>37</v>
      </c>
      <c r="F317" t="s">
        <v>36</v>
      </c>
      <c r="G317" t="s">
        <v>42</v>
      </c>
      <c r="H317" t="s">
        <v>54</v>
      </c>
      <c r="I317" t="s">
        <v>48</v>
      </c>
      <c r="J317" t="s">
        <v>201</v>
      </c>
      <c r="K317">
        <v>4</v>
      </c>
      <c r="L317" t="s">
        <v>29</v>
      </c>
      <c r="M317">
        <v>116000</v>
      </c>
      <c r="N317">
        <v>11.2</v>
      </c>
      <c r="O317">
        <v>3.5</v>
      </c>
      <c r="P317">
        <v>2.2999999999999998</v>
      </c>
      <c r="Q317">
        <v>2.2999999999999998</v>
      </c>
      <c r="R317">
        <v>3</v>
      </c>
      <c r="S317">
        <v>3</v>
      </c>
      <c r="T317">
        <v>3</v>
      </c>
      <c r="U317" t="s">
        <v>30</v>
      </c>
      <c r="V317">
        <v>3</v>
      </c>
      <c r="W317">
        <f>COUNTIF($A$2:A317,A317)</f>
        <v>1</v>
      </c>
    </row>
    <row r="318" spans="1:23" x14ac:dyDescent="0.35">
      <c r="A318" t="s">
        <v>128</v>
      </c>
      <c r="B318" s="2">
        <v>43506</v>
      </c>
      <c r="D318" t="s">
        <v>23</v>
      </c>
      <c r="E318">
        <v>34</v>
      </c>
      <c r="F318" t="s">
        <v>36</v>
      </c>
      <c r="G318" t="s">
        <v>25</v>
      </c>
      <c r="H318" t="s">
        <v>26</v>
      </c>
      <c r="I318" t="s">
        <v>48</v>
      </c>
      <c r="J318" t="s">
        <v>129</v>
      </c>
      <c r="K318">
        <v>3</v>
      </c>
      <c r="L318" t="s">
        <v>66</v>
      </c>
      <c r="M318">
        <v>67000</v>
      </c>
      <c r="N318">
        <v>8.6</v>
      </c>
      <c r="O318">
        <v>8.9</v>
      </c>
      <c r="P318">
        <v>6.9</v>
      </c>
      <c r="Q318">
        <v>5.8</v>
      </c>
      <c r="R318">
        <v>4</v>
      </c>
      <c r="S318">
        <v>3</v>
      </c>
      <c r="T318">
        <v>3</v>
      </c>
      <c r="U318" t="s">
        <v>30</v>
      </c>
      <c r="V318">
        <v>4</v>
      </c>
      <c r="W318">
        <f>COUNTIF($A$2:A318,A318)</f>
        <v>1</v>
      </c>
    </row>
    <row r="319" spans="1:23" x14ac:dyDescent="0.35">
      <c r="A319" t="s">
        <v>587</v>
      </c>
      <c r="B319" s="2">
        <v>43144</v>
      </c>
      <c r="D319" t="s">
        <v>23</v>
      </c>
      <c r="E319">
        <v>28</v>
      </c>
      <c r="F319" t="s">
        <v>62</v>
      </c>
      <c r="G319" t="s">
        <v>37</v>
      </c>
      <c r="H319" t="s">
        <v>26</v>
      </c>
      <c r="I319" t="s">
        <v>55</v>
      </c>
      <c r="J319" t="s">
        <v>88</v>
      </c>
      <c r="K319">
        <v>1</v>
      </c>
      <c r="L319" t="s">
        <v>50</v>
      </c>
      <c r="M319">
        <v>50000</v>
      </c>
      <c r="N319">
        <v>13.4</v>
      </c>
      <c r="O319">
        <v>15.4</v>
      </c>
      <c r="P319">
        <v>7.9</v>
      </c>
      <c r="Q319">
        <v>4.9000000000000004</v>
      </c>
      <c r="R319">
        <v>3</v>
      </c>
      <c r="S319">
        <v>4</v>
      </c>
      <c r="T319">
        <v>3</v>
      </c>
      <c r="U319" t="s">
        <v>30</v>
      </c>
      <c r="V319">
        <v>4</v>
      </c>
      <c r="W319">
        <f>COUNTIF($A$2:A319,A319)</f>
        <v>1</v>
      </c>
    </row>
    <row r="320" spans="1:23" x14ac:dyDescent="0.35">
      <c r="A320" t="s">
        <v>1180</v>
      </c>
      <c r="B320" s="2">
        <v>45645</v>
      </c>
      <c r="D320" t="s">
        <v>23</v>
      </c>
      <c r="E320">
        <v>25</v>
      </c>
      <c r="F320" t="s">
        <v>24</v>
      </c>
      <c r="G320" t="s">
        <v>25</v>
      </c>
      <c r="H320" t="s">
        <v>58</v>
      </c>
      <c r="I320" t="s">
        <v>48</v>
      </c>
      <c r="J320" t="s">
        <v>129</v>
      </c>
      <c r="K320">
        <v>1</v>
      </c>
      <c r="L320" t="s">
        <v>34</v>
      </c>
      <c r="M320">
        <v>32000</v>
      </c>
      <c r="N320">
        <v>13.9</v>
      </c>
      <c r="O320">
        <v>3.1</v>
      </c>
      <c r="P320">
        <v>1</v>
      </c>
      <c r="Q320">
        <v>0.3</v>
      </c>
      <c r="R320">
        <v>4</v>
      </c>
      <c r="S320">
        <v>3</v>
      </c>
      <c r="T320">
        <v>3</v>
      </c>
      <c r="U320" t="s">
        <v>30</v>
      </c>
      <c r="V320">
        <v>3</v>
      </c>
      <c r="W320">
        <f>COUNTIF($A$2:A320,A320)</f>
        <v>1</v>
      </c>
    </row>
    <row r="321" spans="1:23" x14ac:dyDescent="0.35">
      <c r="A321" t="s">
        <v>367</v>
      </c>
      <c r="B321" s="2">
        <v>42966</v>
      </c>
      <c r="D321" t="s">
        <v>23</v>
      </c>
      <c r="E321">
        <v>49</v>
      </c>
      <c r="F321" t="s">
        <v>36</v>
      </c>
      <c r="G321" t="s">
        <v>42</v>
      </c>
      <c r="H321" t="s">
        <v>54</v>
      </c>
      <c r="I321" t="s">
        <v>55</v>
      </c>
      <c r="J321" t="s">
        <v>80</v>
      </c>
      <c r="K321">
        <v>4</v>
      </c>
      <c r="L321" t="s">
        <v>34</v>
      </c>
      <c r="M321">
        <v>132000</v>
      </c>
      <c r="N321">
        <v>9.8000000000000007</v>
      </c>
      <c r="O321">
        <v>10.8</v>
      </c>
      <c r="P321">
        <v>8.4</v>
      </c>
      <c r="Q321">
        <v>4.4000000000000004</v>
      </c>
      <c r="R321">
        <v>4</v>
      </c>
      <c r="S321">
        <v>3</v>
      </c>
      <c r="T321">
        <v>2</v>
      </c>
      <c r="U321" t="s">
        <v>23</v>
      </c>
      <c r="V321">
        <v>2</v>
      </c>
      <c r="W321">
        <f>COUNTIF($A$2:A321,A321)</f>
        <v>1</v>
      </c>
    </row>
    <row r="322" spans="1:23" x14ac:dyDescent="0.35">
      <c r="A322" t="s">
        <v>858</v>
      </c>
      <c r="B322" s="2">
        <v>44944</v>
      </c>
      <c r="C322" s="2">
        <v>45981</v>
      </c>
      <c r="D322" t="s">
        <v>30</v>
      </c>
      <c r="E322">
        <v>34</v>
      </c>
      <c r="F322" t="s">
        <v>62</v>
      </c>
      <c r="G322" t="s">
        <v>25</v>
      </c>
      <c r="H322" t="s">
        <v>32</v>
      </c>
      <c r="I322" t="s">
        <v>59</v>
      </c>
      <c r="J322" t="s">
        <v>75</v>
      </c>
      <c r="K322">
        <v>4</v>
      </c>
      <c r="L322" t="s">
        <v>40</v>
      </c>
      <c r="M322">
        <v>107000</v>
      </c>
      <c r="N322">
        <v>11.8</v>
      </c>
      <c r="O322">
        <v>5.9</v>
      </c>
      <c r="P322">
        <v>2.8</v>
      </c>
      <c r="Q322">
        <v>0.9</v>
      </c>
      <c r="R322">
        <v>3</v>
      </c>
      <c r="S322">
        <v>1</v>
      </c>
      <c r="T322">
        <v>3</v>
      </c>
      <c r="U322" t="s">
        <v>23</v>
      </c>
      <c r="V322">
        <v>2</v>
      </c>
      <c r="W322">
        <f>COUNTIF($A$2:A322,A322)</f>
        <v>1</v>
      </c>
    </row>
    <row r="323" spans="1:23" x14ac:dyDescent="0.35">
      <c r="A323" t="s">
        <v>1074</v>
      </c>
      <c r="B323" s="2">
        <v>43537</v>
      </c>
      <c r="C323" s="2">
        <v>45879</v>
      </c>
      <c r="D323" t="s">
        <v>30</v>
      </c>
      <c r="E323">
        <v>27</v>
      </c>
      <c r="F323" t="s">
        <v>24</v>
      </c>
      <c r="G323" t="s">
        <v>25</v>
      </c>
      <c r="H323" t="s">
        <v>54</v>
      </c>
      <c r="I323" t="s">
        <v>38</v>
      </c>
      <c r="J323" t="s">
        <v>52</v>
      </c>
      <c r="K323">
        <v>1</v>
      </c>
      <c r="L323" t="s">
        <v>84</v>
      </c>
      <c r="M323">
        <v>26000</v>
      </c>
      <c r="N323">
        <v>1.7</v>
      </c>
      <c r="O323">
        <v>8.6999999999999993</v>
      </c>
      <c r="P323">
        <v>6.4</v>
      </c>
      <c r="Q323">
        <v>2.4</v>
      </c>
      <c r="R323">
        <v>3</v>
      </c>
      <c r="S323">
        <v>2</v>
      </c>
      <c r="T323">
        <v>2</v>
      </c>
      <c r="U323" t="s">
        <v>23</v>
      </c>
      <c r="V323">
        <v>4</v>
      </c>
      <c r="W323">
        <f>COUNTIF($A$2:A323,A323)</f>
        <v>1</v>
      </c>
    </row>
    <row r="324" spans="1:23" x14ac:dyDescent="0.35">
      <c r="A324" t="s">
        <v>1019</v>
      </c>
      <c r="B324" s="2">
        <v>45051</v>
      </c>
      <c r="C324" s="2">
        <v>45944</v>
      </c>
      <c r="D324" t="s">
        <v>30</v>
      </c>
      <c r="E324">
        <v>25</v>
      </c>
      <c r="F324" t="s">
        <v>62</v>
      </c>
      <c r="G324" t="s">
        <v>37</v>
      </c>
      <c r="H324" t="s">
        <v>32</v>
      </c>
      <c r="I324" t="s">
        <v>38</v>
      </c>
      <c r="J324" t="s">
        <v>52</v>
      </c>
      <c r="K324">
        <v>1</v>
      </c>
      <c r="L324" t="s">
        <v>50</v>
      </c>
      <c r="M324">
        <v>22000</v>
      </c>
      <c r="N324">
        <v>10.6</v>
      </c>
      <c r="O324">
        <v>4</v>
      </c>
      <c r="P324">
        <v>2.4</v>
      </c>
      <c r="Q324">
        <v>0.9</v>
      </c>
      <c r="R324">
        <v>2</v>
      </c>
      <c r="S324">
        <v>3</v>
      </c>
      <c r="T324">
        <v>3</v>
      </c>
      <c r="U324" t="s">
        <v>23</v>
      </c>
      <c r="V324">
        <v>5</v>
      </c>
      <c r="W324">
        <f>COUNTIF($A$2:A324,A324)</f>
        <v>1</v>
      </c>
    </row>
    <row r="325" spans="1:23" x14ac:dyDescent="0.35">
      <c r="A325" t="s">
        <v>1361</v>
      </c>
      <c r="B325" s="2">
        <v>41964</v>
      </c>
      <c r="D325" t="s">
        <v>23</v>
      </c>
      <c r="E325">
        <v>33</v>
      </c>
      <c r="F325" t="s">
        <v>36</v>
      </c>
      <c r="G325" t="s">
        <v>25</v>
      </c>
      <c r="H325" t="s">
        <v>54</v>
      </c>
      <c r="I325" t="s">
        <v>68</v>
      </c>
      <c r="J325" t="s">
        <v>121</v>
      </c>
      <c r="K325">
        <v>2</v>
      </c>
      <c r="L325" t="s">
        <v>66</v>
      </c>
      <c r="M325">
        <v>60000</v>
      </c>
      <c r="N325">
        <v>9.3000000000000007</v>
      </c>
      <c r="O325">
        <v>13.9</v>
      </c>
      <c r="P325">
        <v>11.1</v>
      </c>
      <c r="Q325">
        <v>1.9</v>
      </c>
      <c r="R325">
        <v>3</v>
      </c>
      <c r="S325">
        <v>3</v>
      </c>
      <c r="T325">
        <v>1</v>
      </c>
      <c r="U325" t="s">
        <v>30</v>
      </c>
      <c r="V325">
        <v>3</v>
      </c>
      <c r="W325">
        <f>COUNTIF($A$2:A325,A325)</f>
        <v>1</v>
      </c>
    </row>
    <row r="326" spans="1:23" x14ac:dyDescent="0.35">
      <c r="A326" t="s">
        <v>1301</v>
      </c>
      <c r="B326" s="2">
        <v>42417</v>
      </c>
      <c r="D326" t="s">
        <v>23</v>
      </c>
      <c r="E326">
        <v>39</v>
      </c>
      <c r="F326" t="s">
        <v>36</v>
      </c>
      <c r="G326" t="s">
        <v>37</v>
      </c>
      <c r="H326" t="s">
        <v>58</v>
      </c>
      <c r="I326" t="s">
        <v>55</v>
      </c>
      <c r="J326" t="s">
        <v>80</v>
      </c>
      <c r="K326">
        <v>1</v>
      </c>
      <c r="L326" t="s">
        <v>29</v>
      </c>
      <c r="M326">
        <v>37000</v>
      </c>
      <c r="N326">
        <v>10.1</v>
      </c>
      <c r="O326">
        <v>16.7</v>
      </c>
      <c r="P326">
        <v>9.9</v>
      </c>
      <c r="Q326">
        <v>0.7</v>
      </c>
      <c r="R326">
        <v>3</v>
      </c>
      <c r="S326">
        <v>1</v>
      </c>
      <c r="T326">
        <v>4</v>
      </c>
      <c r="U326" t="s">
        <v>30</v>
      </c>
      <c r="V326">
        <v>5</v>
      </c>
      <c r="W326">
        <f>COUNTIF($A$2:A326,A326)</f>
        <v>1</v>
      </c>
    </row>
    <row r="327" spans="1:23" x14ac:dyDescent="0.35">
      <c r="A327" t="s">
        <v>604</v>
      </c>
      <c r="B327" s="2">
        <v>44588</v>
      </c>
      <c r="D327" t="s">
        <v>23</v>
      </c>
      <c r="E327">
        <v>28</v>
      </c>
      <c r="F327" t="s">
        <v>62</v>
      </c>
      <c r="G327" t="s">
        <v>25</v>
      </c>
      <c r="H327" t="s">
        <v>26</v>
      </c>
      <c r="I327" t="s">
        <v>59</v>
      </c>
      <c r="J327" t="s">
        <v>75</v>
      </c>
      <c r="K327">
        <v>2</v>
      </c>
      <c r="L327" t="s">
        <v>34</v>
      </c>
      <c r="M327">
        <v>61000</v>
      </c>
      <c r="N327">
        <v>8.3000000000000007</v>
      </c>
      <c r="O327">
        <v>8.3000000000000007</v>
      </c>
      <c r="P327">
        <v>3.9</v>
      </c>
      <c r="Q327">
        <v>2.9</v>
      </c>
      <c r="R327">
        <v>4</v>
      </c>
      <c r="S327">
        <v>3</v>
      </c>
      <c r="T327">
        <v>3</v>
      </c>
      <c r="U327" t="s">
        <v>23</v>
      </c>
      <c r="V327">
        <v>5</v>
      </c>
      <c r="W327">
        <f>COUNTIF($A$2:A327,A327)</f>
        <v>1</v>
      </c>
    </row>
    <row r="328" spans="1:23" x14ac:dyDescent="0.35">
      <c r="A328" t="s">
        <v>930</v>
      </c>
      <c r="B328" s="2">
        <v>45656</v>
      </c>
      <c r="D328" t="s">
        <v>23</v>
      </c>
      <c r="E328">
        <v>37</v>
      </c>
      <c r="F328" t="s">
        <v>62</v>
      </c>
      <c r="G328" t="s">
        <v>42</v>
      </c>
      <c r="H328" t="s">
        <v>26</v>
      </c>
      <c r="I328" t="s">
        <v>27</v>
      </c>
      <c r="J328" t="s">
        <v>43</v>
      </c>
      <c r="K328">
        <v>2</v>
      </c>
      <c r="L328" t="s">
        <v>50</v>
      </c>
      <c r="M328">
        <v>43000</v>
      </c>
      <c r="N328">
        <v>9.1</v>
      </c>
      <c r="O328">
        <v>4.7</v>
      </c>
      <c r="P328">
        <v>1</v>
      </c>
      <c r="Q328">
        <v>0.9</v>
      </c>
      <c r="R328">
        <v>3</v>
      </c>
      <c r="S328">
        <v>1</v>
      </c>
      <c r="T328">
        <v>3</v>
      </c>
      <c r="U328" t="s">
        <v>30</v>
      </c>
      <c r="V328">
        <v>4</v>
      </c>
      <c r="W328">
        <f>COUNTIF($A$2:A328,A328)</f>
        <v>1</v>
      </c>
    </row>
    <row r="329" spans="1:23" x14ac:dyDescent="0.35">
      <c r="A329" t="s">
        <v>1125</v>
      </c>
      <c r="B329" s="2">
        <v>44286</v>
      </c>
      <c r="D329" t="s">
        <v>23</v>
      </c>
      <c r="E329">
        <v>41</v>
      </c>
      <c r="F329" t="s">
        <v>62</v>
      </c>
      <c r="G329" t="s">
        <v>37</v>
      </c>
      <c r="H329" t="s">
        <v>26</v>
      </c>
      <c r="I329" t="s">
        <v>68</v>
      </c>
      <c r="J329" t="s">
        <v>121</v>
      </c>
      <c r="K329">
        <v>2</v>
      </c>
      <c r="L329" t="s">
        <v>40</v>
      </c>
      <c r="M329">
        <v>57000</v>
      </c>
      <c r="N329">
        <v>8.9</v>
      </c>
      <c r="O329">
        <v>11.7</v>
      </c>
      <c r="P329">
        <v>4.8</v>
      </c>
      <c r="Q329">
        <v>2.6</v>
      </c>
      <c r="R329">
        <v>2</v>
      </c>
      <c r="S329">
        <v>2</v>
      </c>
      <c r="T329">
        <v>3</v>
      </c>
      <c r="U329" t="s">
        <v>23</v>
      </c>
      <c r="V329">
        <v>3</v>
      </c>
      <c r="W329">
        <f>COUNTIF($A$2:A329,A329)</f>
        <v>1</v>
      </c>
    </row>
    <row r="330" spans="1:23" x14ac:dyDescent="0.35">
      <c r="A330" t="s">
        <v>1117</v>
      </c>
      <c r="B330" s="2">
        <v>44232</v>
      </c>
      <c r="D330" t="s">
        <v>23</v>
      </c>
      <c r="E330">
        <v>43</v>
      </c>
      <c r="F330" t="s">
        <v>62</v>
      </c>
      <c r="G330" t="s">
        <v>42</v>
      </c>
      <c r="H330" t="s">
        <v>54</v>
      </c>
      <c r="I330" t="s">
        <v>27</v>
      </c>
      <c r="J330" t="s">
        <v>28</v>
      </c>
      <c r="K330">
        <v>2</v>
      </c>
      <c r="L330" t="s">
        <v>50</v>
      </c>
      <c r="M330">
        <v>56000</v>
      </c>
      <c r="N330">
        <v>9</v>
      </c>
      <c r="O330">
        <v>9.9</v>
      </c>
      <c r="P330">
        <v>4.9000000000000004</v>
      </c>
      <c r="Q330">
        <v>1.2</v>
      </c>
      <c r="R330">
        <v>3</v>
      </c>
      <c r="S330">
        <v>4</v>
      </c>
      <c r="T330">
        <v>3</v>
      </c>
      <c r="U330" t="s">
        <v>30</v>
      </c>
      <c r="V330">
        <v>4</v>
      </c>
      <c r="W330">
        <f>COUNTIF($A$2:A330,A330)</f>
        <v>1</v>
      </c>
    </row>
    <row r="331" spans="1:23" x14ac:dyDescent="0.35">
      <c r="A331" t="s">
        <v>241</v>
      </c>
      <c r="B331" s="2">
        <v>45443</v>
      </c>
      <c r="C331" s="2">
        <v>45853</v>
      </c>
      <c r="D331" t="s">
        <v>30</v>
      </c>
      <c r="E331">
        <v>26</v>
      </c>
      <c r="F331" t="s">
        <v>62</v>
      </c>
      <c r="G331" t="s">
        <v>37</v>
      </c>
      <c r="H331" t="s">
        <v>54</v>
      </c>
      <c r="I331" t="s">
        <v>27</v>
      </c>
      <c r="J331" t="s">
        <v>28</v>
      </c>
      <c r="K331">
        <v>1</v>
      </c>
      <c r="L331" t="s">
        <v>84</v>
      </c>
      <c r="M331">
        <v>29000</v>
      </c>
      <c r="N331">
        <v>6.6</v>
      </c>
      <c r="O331">
        <v>5.3</v>
      </c>
      <c r="P331">
        <v>1.1000000000000001</v>
      </c>
      <c r="Q331">
        <v>0.7</v>
      </c>
      <c r="R331">
        <v>3</v>
      </c>
      <c r="S331">
        <v>4</v>
      </c>
      <c r="T331">
        <v>3</v>
      </c>
      <c r="U331" t="s">
        <v>23</v>
      </c>
      <c r="V331">
        <v>3</v>
      </c>
      <c r="W331">
        <f>COUNTIF($A$2:A331,A331)</f>
        <v>1</v>
      </c>
    </row>
    <row r="332" spans="1:23" x14ac:dyDescent="0.35">
      <c r="A332" t="s">
        <v>1286</v>
      </c>
      <c r="B332" s="2">
        <v>45350</v>
      </c>
      <c r="D332" t="s">
        <v>23</v>
      </c>
      <c r="E332">
        <v>33</v>
      </c>
      <c r="F332" t="s">
        <v>36</v>
      </c>
      <c r="G332" t="s">
        <v>37</v>
      </c>
      <c r="H332" t="s">
        <v>32</v>
      </c>
      <c r="I332" t="s">
        <v>27</v>
      </c>
      <c r="J332" t="s">
        <v>28</v>
      </c>
      <c r="K332">
        <v>2</v>
      </c>
      <c r="L332" t="s">
        <v>84</v>
      </c>
      <c r="M332">
        <v>55000</v>
      </c>
      <c r="N332">
        <v>8.6999999999999993</v>
      </c>
      <c r="O332">
        <v>3.5</v>
      </c>
      <c r="P332">
        <v>1.8</v>
      </c>
      <c r="Q332">
        <v>0.2</v>
      </c>
      <c r="R332">
        <v>3</v>
      </c>
      <c r="S332">
        <v>3</v>
      </c>
      <c r="T332">
        <v>4</v>
      </c>
      <c r="U332" t="s">
        <v>23</v>
      </c>
      <c r="V332">
        <v>5</v>
      </c>
      <c r="W332">
        <f>COUNTIF($A$2:A332,A332)</f>
        <v>1</v>
      </c>
    </row>
    <row r="333" spans="1:23" x14ac:dyDescent="0.35">
      <c r="A333" t="s">
        <v>1040</v>
      </c>
      <c r="B333" s="2">
        <v>42325</v>
      </c>
      <c r="D333" t="s">
        <v>23</v>
      </c>
      <c r="E333">
        <v>33</v>
      </c>
      <c r="F333" t="s">
        <v>62</v>
      </c>
      <c r="G333" t="s">
        <v>25</v>
      </c>
      <c r="H333" t="s">
        <v>58</v>
      </c>
      <c r="I333" t="s">
        <v>38</v>
      </c>
      <c r="J333" t="s">
        <v>118</v>
      </c>
      <c r="K333">
        <v>2</v>
      </c>
      <c r="L333" t="s">
        <v>40</v>
      </c>
      <c r="M333">
        <v>42000</v>
      </c>
      <c r="N333">
        <v>5.2</v>
      </c>
      <c r="O333">
        <v>17.899999999999999</v>
      </c>
      <c r="P333">
        <v>10.1</v>
      </c>
      <c r="Q333">
        <v>5.8</v>
      </c>
      <c r="R333">
        <v>1</v>
      </c>
      <c r="S333">
        <v>3</v>
      </c>
      <c r="T333">
        <v>3</v>
      </c>
      <c r="U333" t="s">
        <v>30</v>
      </c>
      <c r="V333">
        <v>4</v>
      </c>
      <c r="W333">
        <f>COUNTIF($A$2:A333,A333)</f>
        <v>1</v>
      </c>
    </row>
    <row r="334" spans="1:23" x14ac:dyDescent="0.35">
      <c r="A334" t="s">
        <v>699</v>
      </c>
      <c r="B334" s="2">
        <v>45730</v>
      </c>
      <c r="D334" t="s">
        <v>23</v>
      </c>
      <c r="E334">
        <v>25</v>
      </c>
      <c r="F334" t="s">
        <v>36</v>
      </c>
      <c r="G334" t="s">
        <v>37</v>
      </c>
      <c r="H334" t="s">
        <v>54</v>
      </c>
      <c r="I334" t="s">
        <v>59</v>
      </c>
      <c r="J334" t="s">
        <v>86</v>
      </c>
      <c r="K334">
        <v>1</v>
      </c>
      <c r="L334" t="s">
        <v>40</v>
      </c>
      <c r="M334">
        <v>38000</v>
      </c>
      <c r="N334">
        <v>15.1</v>
      </c>
      <c r="O334">
        <v>2.9</v>
      </c>
      <c r="P334">
        <v>0.8</v>
      </c>
      <c r="Q334">
        <v>0</v>
      </c>
      <c r="R334">
        <v>4</v>
      </c>
      <c r="S334">
        <v>2</v>
      </c>
      <c r="T334">
        <v>2</v>
      </c>
      <c r="U334" t="s">
        <v>30</v>
      </c>
      <c r="V334">
        <v>4</v>
      </c>
      <c r="W334">
        <f>COUNTIF($A$2:A334,A334)</f>
        <v>1</v>
      </c>
    </row>
    <row r="335" spans="1:23" x14ac:dyDescent="0.35">
      <c r="A335" t="s">
        <v>311</v>
      </c>
      <c r="B335" s="2">
        <v>44315</v>
      </c>
      <c r="D335" t="s">
        <v>23</v>
      </c>
      <c r="E335">
        <v>32</v>
      </c>
      <c r="F335" t="s">
        <v>36</v>
      </c>
      <c r="G335" t="s">
        <v>37</v>
      </c>
      <c r="H335" t="s">
        <v>32</v>
      </c>
      <c r="I335" t="s">
        <v>27</v>
      </c>
      <c r="J335" t="s">
        <v>33</v>
      </c>
      <c r="K335">
        <v>3</v>
      </c>
      <c r="L335" t="s">
        <v>40</v>
      </c>
      <c r="M335">
        <v>87000</v>
      </c>
      <c r="N335">
        <v>9.6</v>
      </c>
      <c r="O335">
        <v>6.2</v>
      </c>
      <c r="P335">
        <v>4.7</v>
      </c>
      <c r="Q335">
        <v>0.2</v>
      </c>
      <c r="R335">
        <v>3</v>
      </c>
      <c r="S335">
        <v>4</v>
      </c>
      <c r="T335">
        <v>1</v>
      </c>
      <c r="U335" t="s">
        <v>23</v>
      </c>
      <c r="V335">
        <v>3</v>
      </c>
      <c r="W335">
        <f>COUNTIF($A$2:A335,A335)</f>
        <v>1</v>
      </c>
    </row>
    <row r="336" spans="1:23" x14ac:dyDescent="0.35">
      <c r="A336" t="s">
        <v>1488</v>
      </c>
      <c r="B336" s="2">
        <v>42781</v>
      </c>
      <c r="D336" t="s">
        <v>23</v>
      </c>
      <c r="E336">
        <v>29</v>
      </c>
      <c r="F336" t="s">
        <v>36</v>
      </c>
      <c r="G336" t="s">
        <v>25</v>
      </c>
      <c r="H336" t="s">
        <v>58</v>
      </c>
      <c r="I336" t="s">
        <v>38</v>
      </c>
      <c r="J336" t="s">
        <v>139</v>
      </c>
      <c r="K336">
        <v>4</v>
      </c>
      <c r="L336" t="s">
        <v>34</v>
      </c>
      <c r="M336">
        <v>121000</v>
      </c>
      <c r="N336">
        <v>7.4</v>
      </c>
      <c r="O336">
        <v>12.5</v>
      </c>
      <c r="P336">
        <v>8.9</v>
      </c>
      <c r="Q336">
        <v>1.5</v>
      </c>
      <c r="R336">
        <v>3</v>
      </c>
      <c r="S336">
        <v>3</v>
      </c>
      <c r="T336">
        <v>1</v>
      </c>
      <c r="U336" t="s">
        <v>23</v>
      </c>
      <c r="V336">
        <v>4</v>
      </c>
      <c r="W336">
        <f>COUNTIF($A$2:A336,A336)</f>
        <v>1</v>
      </c>
    </row>
    <row r="337" spans="1:23" x14ac:dyDescent="0.35">
      <c r="A337" t="s">
        <v>1225</v>
      </c>
      <c r="B337" s="2">
        <v>43983</v>
      </c>
      <c r="D337" t="s">
        <v>23</v>
      </c>
      <c r="E337">
        <v>34</v>
      </c>
      <c r="F337" t="s">
        <v>62</v>
      </c>
      <c r="G337" t="s">
        <v>37</v>
      </c>
      <c r="H337" t="s">
        <v>32</v>
      </c>
      <c r="I337" t="s">
        <v>27</v>
      </c>
      <c r="J337" t="s">
        <v>43</v>
      </c>
      <c r="K337">
        <v>3</v>
      </c>
      <c r="L337" t="s">
        <v>84</v>
      </c>
      <c r="M337">
        <v>74000</v>
      </c>
      <c r="N337">
        <v>10.7</v>
      </c>
      <c r="O337">
        <v>9.6999999999999993</v>
      </c>
      <c r="P337">
        <v>5.6</v>
      </c>
      <c r="Q337">
        <v>2.2000000000000002</v>
      </c>
      <c r="R337">
        <v>1</v>
      </c>
      <c r="S337">
        <v>3</v>
      </c>
      <c r="T337">
        <v>3</v>
      </c>
      <c r="U337" t="s">
        <v>23</v>
      </c>
      <c r="V337">
        <v>3</v>
      </c>
      <c r="W337">
        <f>COUNTIF($A$2:A337,A337)</f>
        <v>1</v>
      </c>
    </row>
    <row r="338" spans="1:23" x14ac:dyDescent="0.35">
      <c r="A338" t="s">
        <v>1104</v>
      </c>
      <c r="B338" s="2">
        <v>42607</v>
      </c>
      <c r="D338" t="s">
        <v>23</v>
      </c>
      <c r="E338">
        <v>40</v>
      </c>
      <c r="F338" t="s">
        <v>24</v>
      </c>
      <c r="G338" t="s">
        <v>25</v>
      </c>
      <c r="H338" t="s">
        <v>26</v>
      </c>
      <c r="I338" t="s">
        <v>48</v>
      </c>
      <c r="J338" t="s">
        <v>201</v>
      </c>
      <c r="K338">
        <v>4</v>
      </c>
      <c r="L338" t="s">
        <v>40</v>
      </c>
      <c r="M338">
        <v>102000</v>
      </c>
      <c r="N338">
        <v>0</v>
      </c>
      <c r="O338">
        <v>16.7</v>
      </c>
      <c r="P338">
        <v>9.3000000000000007</v>
      </c>
      <c r="Q338">
        <v>4.0999999999999996</v>
      </c>
      <c r="R338">
        <v>2</v>
      </c>
      <c r="S338">
        <v>4</v>
      </c>
      <c r="T338">
        <v>3</v>
      </c>
      <c r="U338" t="s">
        <v>23</v>
      </c>
      <c r="V338">
        <v>4</v>
      </c>
      <c r="W338">
        <f>COUNTIF($A$2:A338,A338)</f>
        <v>1</v>
      </c>
    </row>
    <row r="339" spans="1:23" x14ac:dyDescent="0.35">
      <c r="A339" t="s">
        <v>1245</v>
      </c>
      <c r="B339" s="2">
        <v>45525</v>
      </c>
      <c r="D339" t="s">
        <v>23</v>
      </c>
      <c r="E339">
        <v>23</v>
      </c>
      <c r="F339" t="s">
        <v>62</v>
      </c>
      <c r="G339" t="s">
        <v>25</v>
      </c>
      <c r="H339" t="s">
        <v>32</v>
      </c>
      <c r="I339" t="s">
        <v>59</v>
      </c>
      <c r="J339" t="s">
        <v>86</v>
      </c>
      <c r="K339">
        <v>1</v>
      </c>
      <c r="L339" t="s">
        <v>29</v>
      </c>
      <c r="M339">
        <v>31000</v>
      </c>
      <c r="N339">
        <v>4.3</v>
      </c>
      <c r="O339">
        <v>8.5</v>
      </c>
      <c r="P339">
        <v>1.4</v>
      </c>
      <c r="Q339">
        <v>1.3</v>
      </c>
      <c r="R339">
        <v>1</v>
      </c>
      <c r="S339">
        <v>4</v>
      </c>
      <c r="T339">
        <v>2</v>
      </c>
      <c r="U339" t="s">
        <v>23</v>
      </c>
      <c r="V339">
        <v>3</v>
      </c>
      <c r="W339">
        <f>COUNTIF($A$2:A339,A339)</f>
        <v>1</v>
      </c>
    </row>
    <row r="340" spans="1:23" x14ac:dyDescent="0.35">
      <c r="A340" t="s">
        <v>225</v>
      </c>
      <c r="B340" s="2">
        <v>42895</v>
      </c>
      <c r="D340" t="s">
        <v>23</v>
      </c>
      <c r="E340">
        <v>37</v>
      </c>
      <c r="F340" t="s">
        <v>24</v>
      </c>
      <c r="G340" t="s">
        <v>37</v>
      </c>
      <c r="H340" t="s">
        <v>58</v>
      </c>
      <c r="I340" t="s">
        <v>45</v>
      </c>
      <c r="J340" t="s">
        <v>164</v>
      </c>
      <c r="K340">
        <v>1</v>
      </c>
      <c r="M340">
        <v>38000</v>
      </c>
      <c r="N340">
        <v>6.7</v>
      </c>
      <c r="O340">
        <v>14.4</v>
      </c>
      <c r="P340">
        <v>8.6</v>
      </c>
      <c r="Q340">
        <v>5.9</v>
      </c>
      <c r="R340">
        <v>2</v>
      </c>
      <c r="S340">
        <v>3</v>
      </c>
      <c r="T340">
        <v>2</v>
      </c>
      <c r="U340" t="s">
        <v>23</v>
      </c>
      <c r="V340">
        <v>4</v>
      </c>
      <c r="W340">
        <f>COUNTIF($A$2:A340,A340)</f>
        <v>1</v>
      </c>
    </row>
    <row r="341" spans="1:23" x14ac:dyDescent="0.35">
      <c r="A341" t="s">
        <v>1419</v>
      </c>
      <c r="B341" s="2">
        <v>45453</v>
      </c>
      <c r="D341" t="s">
        <v>23</v>
      </c>
      <c r="E341">
        <v>29</v>
      </c>
      <c r="F341" t="s">
        <v>24</v>
      </c>
      <c r="G341" t="s">
        <v>37</v>
      </c>
      <c r="H341" t="s">
        <v>58</v>
      </c>
      <c r="I341" t="s">
        <v>59</v>
      </c>
      <c r="J341" t="s">
        <v>86</v>
      </c>
      <c r="K341">
        <v>2</v>
      </c>
      <c r="L341" t="s">
        <v>50</v>
      </c>
      <c r="M341">
        <v>55000</v>
      </c>
      <c r="N341">
        <v>3.1</v>
      </c>
      <c r="O341">
        <v>7.4</v>
      </c>
      <c r="P341">
        <v>1.6</v>
      </c>
      <c r="Q341">
        <v>1.5</v>
      </c>
      <c r="R341">
        <v>1</v>
      </c>
      <c r="S341">
        <v>3</v>
      </c>
      <c r="T341">
        <v>2</v>
      </c>
      <c r="U341" t="s">
        <v>23</v>
      </c>
      <c r="V341">
        <v>5</v>
      </c>
      <c r="W341">
        <f>COUNTIF($A$2:A341,A341)</f>
        <v>1</v>
      </c>
    </row>
    <row r="342" spans="1:23" x14ac:dyDescent="0.35">
      <c r="A342" t="s">
        <v>1206</v>
      </c>
      <c r="B342" s="2">
        <v>43590</v>
      </c>
      <c r="D342" t="s">
        <v>23</v>
      </c>
      <c r="E342">
        <v>33</v>
      </c>
      <c r="F342" t="s">
        <v>24</v>
      </c>
      <c r="G342" t="s">
        <v>25</v>
      </c>
      <c r="H342" t="s">
        <v>58</v>
      </c>
      <c r="I342" t="s">
        <v>48</v>
      </c>
      <c r="J342" t="s">
        <v>201</v>
      </c>
      <c r="K342">
        <v>4</v>
      </c>
      <c r="L342" t="s">
        <v>66</v>
      </c>
      <c r="M342">
        <v>120000</v>
      </c>
      <c r="N342">
        <v>9.5</v>
      </c>
      <c r="O342">
        <v>11.4</v>
      </c>
      <c r="P342">
        <v>6.7</v>
      </c>
      <c r="Q342">
        <v>2.9</v>
      </c>
      <c r="R342">
        <v>4</v>
      </c>
      <c r="S342">
        <v>3</v>
      </c>
      <c r="T342">
        <v>2</v>
      </c>
      <c r="U342" t="s">
        <v>30</v>
      </c>
      <c r="V342">
        <v>4</v>
      </c>
      <c r="W342">
        <f>COUNTIF($A$2:A342,A342)</f>
        <v>1</v>
      </c>
    </row>
    <row r="343" spans="1:23" x14ac:dyDescent="0.35">
      <c r="A343" t="s">
        <v>893</v>
      </c>
      <c r="B343" s="2">
        <v>45279</v>
      </c>
      <c r="D343" t="s">
        <v>23</v>
      </c>
      <c r="E343">
        <v>41</v>
      </c>
      <c r="F343" t="s">
        <v>36</v>
      </c>
      <c r="G343" t="s">
        <v>37</v>
      </c>
      <c r="H343" t="s">
        <v>32</v>
      </c>
      <c r="I343" t="s">
        <v>45</v>
      </c>
      <c r="J343" t="s">
        <v>97</v>
      </c>
      <c r="K343">
        <v>1</v>
      </c>
      <c r="L343" t="s">
        <v>29</v>
      </c>
      <c r="M343">
        <v>30000</v>
      </c>
      <c r="N343">
        <v>8.9</v>
      </c>
      <c r="O343">
        <v>7.4</v>
      </c>
      <c r="P343">
        <v>2</v>
      </c>
      <c r="Q343">
        <v>1.7</v>
      </c>
      <c r="R343">
        <v>1</v>
      </c>
      <c r="S343">
        <v>3</v>
      </c>
      <c r="T343">
        <v>4</v>
      </c>
      <c r="U343" t="s">
        <v>23</v>
      </c>
      <c r="V343">
        <v>1</v>
      </c>
      <c r="W343">
        <f>COUNTIF($A$2:A343,A343)</f>
        <v>1</v>
      </c>
    </row>
    <row r="344" spans="1:23" x14ac:dyDescent="0.35">
      <c r="A344" t="s">
        <v>282</v>
      </c>
      <c r="B344" s="2">
        <v>43258</v>
      </c>
      <c r="D344" t="s">
        <v>23</v>
      </c>
      <c r="E344">
        <v>30</v>
      </c>
      <c r="F344" t="s">
        <v>24</v>
      </c>
      <c r="G344" t="s">
        <v>42</v>
      </c>
      <c r="H344" t="s">
        <v>54</v>
      </c>
      <c r="I344" t="s">
        <v>68</v>
      </c>
      <c r="J344" t="s">
        <v>109</v>
      </c>
      <c r="K344">
        <v>5</v>
      </c>
      <c r="L344" t="s">
        <v>40</v>
      </c>
      <c r="M344">
        <v>146000</v>
      </c>
      <c r="N344">
        <v>8.3000000000000007</v>
      </c>
      <c r="O344">
        <v>10.1</v>
      </c>
      <c r="P344">
        <v>7.6</v>
      </c>
      <c r="Q344">
        <v>5.4</v>
      </c>
      <c r="R344">
        <v>1</v>
      </c>
      <c r="S344">
        <v>4</v>
      </c>
      <c r="T344">
        <v>3</v>
      </c>
      <c r="U344" t="s">
        <v>23</v>
      </c>
      <c r="V344">
        <v>4</v>
      </c>
      <c r="W344">
        <f>COUNTIF($A$2:A344,A344)</f>
        <v>1</v>
      </c>
    </row>
    <row r="345" spans="1:23" x14ac:dyDescent="0.35">
      <c r="A345" t="s">
        <v>648</v>
      </c>
      <c r="B345" s="2">
        <v>45588</v>
      </c>
      <c r="C345" s="2">
        <v>45687</v>
      </c>
      <c r="D345" t="s">
        <v>30</v>
      </c>
      <c r="E345">
        <v>23</v>
      </c>
      <c r="F345" t="s">
        <v>62</v>
      </c>
      <c r="G345" t="s">
        <v>25</v>
      </c>
      <c r="H345" t="s">
        <v>58</v>
      </c>
      <c r="I345" t="s">
        <v>38</v>
      </c>
      <c r="J345" t="s">
        <v>39</v>
      </c>
      <c r="K345">
        <v>1</v>
      </c>
      <c r="L345" t="s">
        <v>34</v>
      </c>
      <c r="M345">
        <v>23000</v>
      </c>
      <c r="N345">
        <v>14.9</v>
      </c>
      <c r="O345">
        <v>1.1000000000000001</v>
      </c>
      <c r="P345">
        <v>0.3</v>
      </c>
      <c r="Q345">
        <v>0</v>
      </c>
      <c r="R345">
        <v>2</v>
      </c>
      <c r="S345">
        <v>3</v>
      </c>
      <c r="T345">
        <v>4</v>
      </c>
      <c r="U345" t="s">
        <v>23</v>
      </c>
      <c r="V345">
        <v>3</v>
      </c>
      <c r="W345">
        <f>COUNTIF($A$2:A345,A345)</f>
        <v>1</v>
      </c>
    </row>
    <row r="346" spans="1:23" x14ac:dyDescent="0.35">
      <c r="A346" t="s">
        <v>744</v>
      </c>
      <c r="B346" s="2">
        <v>44295</v>
      </c>
      <c r="D346" t="s">
        <v>23</v>
      </c>
      <c r="E346">
        <v>28</v>
      </c>
      <c r="F346" t="s">
        <v>24</v>
      </c>
      <c r="G346" t="s">
        <v>25</v>
      </c>
      <c r="H346" t="s">
        <v>58</v>
      </c>
      <c r="I346" t="s">
        <v>27</v>
      </c>
      <c r="J346" t="s">
        <v>28</v>
      </c>
      <c r="K346">
        <v>2</v>
      </c>
      <c r="L346" t="s">
        <v>40</v>
      </c>
      <c r="M346">
        <v>60000</v>
      </c>
      <c r="N346">
        <v>6.6</v>
      </c>
      <c r="O346">
        <v>8.6999999999999993</v>
      </c>
      <c r="P346">
        <v>4.7</v>
      </c>
      <c r="Q346">
        <v>3.4</v>
      </c>
      <c r="R346">
        <v>4</v>
      </c>
      <c r="S346">
        <v>3</v>
      </c>
      <c r="T346">
        <v>4</v>
      </c>
      <c r="U346" t="s">
        <v>23</v>
      </c>
      <c r="V346">
        <v>5</v>
      </c>
      <c r="W346">
        <f>COUNTIF($A$2:A346,A346)</f>
        <v>1</v>
      </c>
    </row>
    <row r="347" spans="1:23" x14ac:dyDescent="0.35">
      <c r="A347" t="s">
        <v>771</v>
      </c>
      <c r="B347" s="2">
        <v>43240</v>
      </c>
      <c r="D347" t="s">
        <v>23</v>
      </c>
      <c r="E347">
        <v>38</v>
      </c>
      <c r="F347" t="s">
        <v>24</v>
      </c>
      <c r="G347" t="s">
        <v>25</v>
      </c>
      <c r="H347" t="s">
        <v>32</v>
      </c>
      <c r="I347" t="s">
        <v>38</v>
      </c>
      <c r="J347" t="s">
        <v>118</v>
      </c>
      <c r="K347">
        <v>1</v>
      </c>
      <c r="L347" t="s">
        <v>29</v>
      </c>
      <c r="M347">
        <v>33000</v>
      </c>
      <c r="N347">
        <v>17.600000000000001</v>
      </c>
      <c r="O347">
        <v>15.6</v>
      </c>
      <c r="P347">
        <v>7.6</v>
      </c>
      <c r="Q347">
        <v>2.5</v>
      </c>
      <c r="R347">
        <v>4</v>
      </c>
      <c r="S347">
        <v>3</v>
      </c>
      <c r="T347">
        <v>3</v>
      </c>
      <c r="U347" t="s">
        <v>30</v>
      </c>
      <c r="V347">
        <v>4</v>
      </c>
      <c r="W347">
        <f>COUNTIF($A$2:A347,A347)</f>
        <v>1</v>
      </c>
    </row>
    <row r="348" spans="1:23" x14ac:dyDescent="0.35">
      <c r="A348" t="s">
        <v>1128</v>
      </c>
      <c r="B348" s="2">
        <v>44598</v>
      </c>
      <c r="C348" s="2">
        <v>46009</v>
      </c>
      <c r="D348" t="s">
        <v>30</v>
      </c>
      <c r="E348">
        <v>38</v>
      </c>
      <c r="F348" t="s">
        <v>24</v>
      </c>
      <c r="G348" t="s">
        <v>42</v>
      </c>
      <c r="H348" t="s">
        <v>58</v>
      </c>
      <c r="I348" t="s">
        <v>68</v>
      </c>
      <c r="J348" t="s">
        <v>69</v>
      </c>
      <c r="K348">
        <v>3</v>
      </c>
      <c r="L348" t="s">
        <v>29</v>
      </c>
      <c r="M348">
        <v>79000</v>
      </c>
      <c r="N348">
        <v>14.2</v>
      </c>
      <c r="O348">
        <v>6.5</v>
      </c>
      <c r="P348">
        <v>3.9</v>
      </c>
      <c r="Q348">
        <v>1.5</v>
      </c>
      <c r="R348">
        <v>3</v>
      </c>
      <c r="S348">
        <v>3</v>
      </c>
      <c r="T348">
        <v>4</v>
      </c>
      <c r="U348" t="s">
        <v>23</v>
      </c>
      <c r="V348">
        <v>4</v>
      </c>
      <c r="W348">
        <f>COUNTIF($A$2:A348,A348)</f>
        <v>1</v>
      </c>
    </row>
    <row r="349" spans="1:23" x14ac:dyDescent="0.35">
      <c r="A349" t="s">
        <v>1503</v>
      </c>
      <c r="B349" s="2">
        <v>43154</v>
      </c>
      <c r="D349" t="s">
        <v>23</v>
      </c>
      <c r="E349">
        <v>33</v>
      </c>
      <c r="F349" t="s">
        <v>62</v>
      </c>
      <c r="G349" t="s">
        <v>42</v>
      </c>
      <c r="H349" t="s">
        <v>58</v>
      </c>
      <c r="I349" t="s">
        <v>48</v>
      </c>
      <c r="J349" t="s">
        <v>201</v>
      </c>
      <c r="K349">
        <v>3</v>
      </c>
      <c r="L349" t="s">
        <v>66</v>
      </c>
      <c r="M349">
        <v>73000</v>
      </c>
      <c r="N349">
        <v>10.8</v>
      </c>
      <c r="O349">
        <v>12.1</v>
      </c>
      <c r="P349">
        <v>7.9</v>
      </c>
      <c r="Q349">
        <v>2</v>
      </c>
      <c r="R349">
        <v>3</v>
      </c>
      <c r="S349">
        <v>4</v>
      </c>
      <c r="T349">
        <v>3</v>
      </c>
      <c r="U349" t="s">
        <v>23</v>
      </c>
      <c r="V349">
        <v>4</v>
      </c>
      <c r="W349">
        <f>COUNTIF($A$2:A349,A349)</f>
        <v>1</v>
      </c>
    </row>
    <row r="350" spans="1:23" x14ac:dyDescent="0.35">
      <c r="A350" t="s">
        <v>953</v>
      </c>
      <c r="B350" s="2">
        <v>42984</v>
      </c>
      <c r="D350" t="s">
        <v>23</v>
      </c>
      <c r="E350">
        <v>47</v>
      </c>
      <c r="F350" t="s">
        <v>24</v>
      </c>
      <c r="G350" t="s">
        <v>25</v>
      </c>
      <c r="H350" t="s">
        <v>54</v>
      </c>
      <c r="I350" t="s">
        <v>27</v>
      </c>
      <c r="J350" t="s">
        <v>43</v>
      </c>
      <c r="K350">
        <v>2</v>
      </c>
      <c r="L350" t="s">
        <v>40</v>
      </c>
      <c r="M350">
        <v>52000</v>
      </c>
      <c r="N350">
        <v>7.5</v>
      </c>
      <c r="O350">
        <v>16.100000000000001</v>
      </c>
      <c r="P350">
        <v>8.3000000000000007</v>
      </c>
      <c r="Q350">
        <v>1.7</v>
      </c>
      <c r="R350">
        <v>4</v>
      </c>
      <c r="T350">
        <v>4</v>
      </c>
      <c r="U350" t="s">
        <v>23</v>
      </c>
      <c r="V350">
        <v>4</v>
      </c>
      <c r="W350">
        <f>COUNTIF($A$2:A350,A350)</f>
        <v>1</v>
      </c>
    </row>
    <row r="351" spans="1:23" x14ac:dyDescent="0.35">
      <c r="A351" t="s">
        <v>1512</v>
      </c>
      <c r="B351" s="2">
        <v>44744</v>
      </c>
      <c r="D351" t="s">
        <v>23</v>
      </c>
      <c r="E351">
        <v>24</v>
      </c>
      <c r="F351" t="s">
        <v>36</v>
      </c>
      <c r="G351" t="s">
        <v>37</v>
      </c>
      <c r="H351" t="s">
        <v>58</v>
      </c>
      <c r="I351" t="s">
        <v>27</v>
      </c>
      <c r="J351" t="s">
        <v>43</v>
      </c>
      <c r="K351">
        <v>1</v>
      </c>
      <c r="L351" t="s">
        <v>40</v>
      </c>
      <c r="M351">
        <v>23000</v>
      </c>
      <c r="N351">
        <v>13.8</v>
      </c>
      <c r="O351">
        <v>3.8</v>
      </c>
      <c r="P351">
        <v>3.5</v>
      </c>
      <c r="Q351">
        <v>1.4</v>
      </c>
      <c r="R351">
        <v>3</v>
      </c>
      <c r="S351">
        <v>3</v>
      </c>
      <c r="T351">
        <v>2</v>
      </c>
      <c r="U351" t="s">
        <v>23</v>
      </c>
      <c r="V351">
        <v>3</v>
      </c>
      <c r="W351">
        <f>COUNTIF($A$2:A351,A351)</f>
        <v>1</v>
      </c>
    </row>
    <row r="352" spans="1:23" x14ac:dyDescent="0.35">
      <c r="A352" t="s">
        <v>430</v>
      </c>
      <c r="B352" s="2">
        <v>44279</v>
      </c>
      <c r="D352" t="s">
        <v>23</v>
      </c>
      <c r="E352">
        <v>26</v>
      </c>
      <c r="F352" t="s">
        <v>62</v>
      </c>
      <c r="G352" t="s">
        <v>25</v>
      </c>
      <c r="H352" t="s">
        <v>58</v>
      </c>
      <c r="I352" t="s">
        <v>38</v>
      </c>
      <c r="J352" t="s">
        <v>39</v>
      </c>
      <c r="K352">
        <v>1</v>
      </c>
      <c r="L352" t="s">
        <v>84</v>
      </c>
      <c r="M352">
        <v>43000</v>
      </c>
      <c r="N352">
        <v>13.7</v>
      </c>
      <c r="O352">
        <v>5</v>
      </c>
      <c r="P352">
        <v>4.8</v>
      </c>
      <c r="Q352">
        <v>2.2999999999999998</v>
      </c>
      <c r="R352">
        <v>4</v>
      </c>
      <c r="S352">
        <v>3</v>
      </c>
      <c r="T352">
        <v>2</v>
      </c>
      <c r="U352" t="s">
        <v>23</v>
      </c>
      <c r="V352">
        <v>5</v>
      </c>
      <c r="W352">
        <f>COUNTIF($A$2:A352,A352)</f>
        <v>1</v>
      </c>
    </row>
    <row r="353" spans="1:23" x14ac:dyDescent="0.35">
      <c r="A353" t="s">
        <v>327</v>
      </c>
      <c r="B353" s="2">
        <v>41904</v>
      </c>
      <c r="D353" t="s">
        <v>23</v>
      </c>
      <c r="E353">
        <v>40</v>
      </c>
      <c r="F353" t="s">
        <v>62</v>
      </c>
      <c r="G353" t="s">
        <v>25</v>
      </c>
      <c r="H353" t="s">
        <v>26</v>
      </c>
      <c r="I353" t="s">
        <v>55</v>
      </c>
      <c r="J353" t="s">
        <v>56</v>
      </c>
      <c r="K353">
        <v>4</v>
      </c>
      <c r="L353" t="s">
        <v>84</v>
      </c>
      <c r="M353">
        <v>122000</v>
      </c>
      <c r="N353">
        <v>3.3</v>
      </c>
      <c r="O353">
        <v>14.9</v>
      </c>
      <c r="P353">
        <v>11.3</v>
      </c>
      <c r="Q353">
        <v>4.3</v>
      </c>
      <c r="R353">
        <v>2</v>
      </c>
      <c r="S353">
        <v>3</v>
      </c>
      <c r="T353">
        <v>1</v>
      </c>
      <c r="U353" t="s">
        <v>23</v>
      </c>
      <c r="V353">
        <v>5</v>
      </c>
      <c r="W353">
        <f>COUNTIF($A$2:A353,A353)</f>
        <v>1</v>
      </c>
    </row>
    <row r="354" spans="1:23" x14ac:dyDescent="0.35">
      <c r="A354" t="s">
        <v>1547</v>
      </c>
      <c r="B354" s="2">
        <v>42919</v>
      </c>
      <c r="D354" t="s">
        <v>23</v>
      </c>
      <c r="E354">
        <v>31</v>
      </c>
      <c r="F354" t="s">
        <v>36</v>
      </c>
      <c r="G354" t="s">
        <v>25</v>
      </c>
      <c r="H354" t="s">
        <v>26</v>
      </c>
      <c r="I354" t="s">
        <v>48</v>
      </c>
      <c r="J354" t="s">
        <v>63</v>
      </c>
      <c r="K354">
        <v>2</v>
      </c>
      <c r="L354" t="s">
        <v>84</v>
      </c>
      <c r="M354">
        <v>53000</v>
      </c>
      <c r="N354">
        <v>14.3</v>
      </c>
      <c r="O354">
        <v>13.6</v>
      </c>
      <c r="P354">
        <v>8.5</v>
      </c>
      <c r="Q354">
        <v>1.3</v>
      </c>
      <c r="S354">
        <v>2</v>
      </c>
      <c r="T354">
        <v>3</v>
      </c>
      <c r="U354" t="s">
        <v>23</v>
      </c>
      <c r="V354">
        <v>4</v>
      </c>
      <c r="W354">
        <f>COUNTIF($A$2:A354,A354)</f>
        <v>1</v>
      </c>
    </row>
    <row r="355" spans="1:23" x14ac:dyDescent="0.35">
      <c r="A355" t="s">
        <v>603</v>
      </c>
      <c r="B355" s="2">
        <v>45848</v>
      </c>
      <c r="D355" t="s">
        <v>23</v>
      </c>
      <c r="E355">
        <v>36</v>
      </c>
      <c r="F355" t="s">
        <v>24</v>
      </c>
      <c r="G355" t="s">
        <v>37</v>
      </c>
      <c r="H355" t="s">
        <v>26</v>
      </c>
      <c r="I355" t="s">
        <v>55</v>
      </c>
      <c r="J355" t="s">
        <v>179</v>
      </c>
      <c r="K355">
        <v>2</v>
      </c>
      <c r="L355" t="s">
        <v>84</v>
      </c>
      <c r="M355">
        <v>81000</v>
      </c>
      <c r="N355">
        <v>6.4</v>
      </c>
      <c r="O355">
        <v>3.3</v>
      </c>
      <c r="P355">
        <v>0.5</v>
      </c>
      <c r="Q355">
        <v>0</v>
      </c>
      <c r="R355">
        <v>3</v>
      </c>
      <c r="S355">
        <v>2</v>
      </c>
      <c r="T355">
        <v>3</v>
      </c>
      <c r="U355" t="s">
        <v>23</v>
      </c>
      <c r="V355">
        <v>3</v>
      </c>
      <c r="W355">
        <f>COUNTIF($A$2:A355,A355)</f>
        <v>1</v>
      </c>
    </row>
    <row r="356" spans="1:23" x14ac:dyDescent="0.35">
      <c r="A356" t="s">
        <v>1442</v>
      </c>
      <c r="B356" s="2">
        <v>45696</v>
      </c>
      <c r="C356" s="2">
        <v>45952</v>
      </c>
      <c r="D356" t="s">
        <v>30</v>
      </c>
      <c r="E356">
        <v>33</v>
      </c>
      <c r="F356" t="s">
        <v>62</v>
      </c>
      <c r="G356" t="s">
        <v>25</v>
      </c>
      <c r="H356" t="s">
        <v>54</v>
      </c>
      <c r="I356" t="s">
        <v>27</v>
      </c>
      <c r="J356" t="s">
        <v>28</v>
      </c>
      <c r="K356">
        <v>3</v>
      </c>
      <c r="L356" t="s">
        <v>66</v>
      </c>
      <c r="M356">
        <v>76000</v>
      </c>
      <c r="N356">
        <v>15.1</v>
      </c>
      <c r="O356">
        <v>1.1000000000000001</v>
      </c>
      <c r="P356">
        <v>0.7</v>
      </c>
      <c r="Q356">
        <v>0</v>
      </c>
      <c r="R356">
        <v>4</v>
      </c>
      <c r="S356">
        <v>2</v>
      </c>
      <c r="T356">
        <v>3</v>
      </c>
      <c r="U356" t="s">
        <v>30</v>
      </c>
      <c r="V356">
        <v>4</v>
      </c>
      <c r="W356">
        <f>COUNTIF($A$2:A356,A356)</f>
        <v>1</v>
      </c>
    </row>
    <row r="357" spans="1:23" x14ac:dyDescent="0.35">
      <c r="A357" t="s">
        <v>1486</v>
      </c>
      <c r="B357" s="2">
        <v>45066</v>
      </c>
      <c r="C357" s="2">
        <v>45896</v>
      </c>
      <c r="D357" t="s">
        <v>30</v>
      </c>
      <c r="E357">
        <v>37</v>
      </c>
      <c r="F357" t="s">
        <v>36</v>
      </c>
      <c r="G357" t="s">
        <v>25</v>
      </c>
      <c r="H357" t="s">
        <v>54</v>
      </c>
      <c r="I357" t="s">
        <v>68</v>
      </c>
      <c r="J357" t="s">
        <v>69</v>
      </c>
      <c r="K357">
        <v>2</v>
      </c>
      <c r="L357" t="s">
        <v>34</v>
      </c>
      <c r="M357">
        <v>62000</v>
      </c>
      <c r="N357">
        <v>7.5</v>
      </c>
      <c r="O357">
        <v>6.8</v>
      </c>
      <c r="P357">
        <v>2.2999999999999998</v>
      </c>
      <c r="Q357">
        <v>0.2</v>
      </c>
      <c r="R357">
        <v>4</v>
      </c>
      <c r="S357">
        <v>4</v>
      </c>
      <c r="T357">
        <v>3</v>
      </c>
      <c r="U357" t="s">
        <v>23</v>
      </c>
      <c r="V357">
        <v>2</v>
      </c>
      <c r="W357">
        <f>COUNTIF($A$2:A357,A357)</f>
        <v>1</v>
      </c>
    </row>
    <row r="358" spans="1:23" x14ac:dyDescent="0.35">
      <c r="A358" t="s">
        <v>374</v>
      </c>
      <c r="B358" s="2">
        <v>45614</v>
      </c>
      <c r="D358" t="s">
        <v>23</v>
      </c>
      <c r="E358">
        <v>26</v>
      </c>
      <c r="F358" t="s">
        <v>36</v>
      </c>
      <c r="G358" t="s">
        <v>37</v>
      </c>
      <c r="H358" t="s">
        <v>26</v>
      </c>
      <c r="I358" t="s">
        <v>55</v>
      </c>
      <c r="J358" t="s">
        <v>179</v>
      </c>
      <c r="K358">
        <v>1</v>
      </c>
      <c r="L358" t="s">
        <v>34</v>
      </c>
      <c r="M358">
        <v>22000</v>
      </c>
      <c r="N358">
        <v>17.2</v>
      </c>
      <c r="O358">
        <v>2.6</v>
      </c>
      <c r="P358">
        <v>1.1000000000000001</v>
      </c>
      <c r="Q358">
        <v>1</v>
      </c>
      <c r="R358">
        <v>3</v>
      </c>
      <c r="S358">
        <v>3</v>
      </c>
      <c r="T358">
        <v>4</v>
      </c>
      <c r="U358" t="s">
        <v>23</v>
      </c>
      <c r="V358">
        <v>3</v>
      </c>
      <c r="W358">
        <f>COUNTIF($A$2:A358,A358)</f>
        <v>1</v>
      </c>
    </row>
    <row r="359" spans="1:23" x14ac:dyDescent="0.35">
      <c r="A359" t="s">
        <v>686</v>
      </c>
      <c r="B359" s="2">
        <v>42608</v>
      </c>
      <c r="D359" t="s">
        <v>23</v>
      </c>
      <c r="E359">
        <v>31</v>
      </c>
      <c r="F359" t="s">
        <v>24</v>
      </c>
      <c r="G359" t="s">
        <v>42</v>
      </c>
      <c r="H359" t="s">
        <v>54</v>
      </c>
      <c r="I359" t="s">
        <v>38</v>
      </c>
      <c r="J359" t="s">
        <v>39</v>
      </c>
      <c r="K359">
        <v>3</v>
      </c>
      <c r="L359" t="s">
        <v>34</v>
      </c>
      <c r="M359">
        <v>84000</v>
      </c>
      <c r="N359">
        <v>10.199999999999999</v>
      </c>
      <c r="O359">
        <v>13.4</v>
      </c>
      <c r="P359">
        <v>9.3000000000000007</v>
      </c>
      <c r="Q359">
        <v>2.4</v>
      </c>
      <c r="R359">
        <v>3</v>
      </c>
      <c r="S359">
        <v>3</v>
      </c>
      <c r="T359">
        <v>2</v>
      </c>
      <c r="U359" t="s">
        <v>23</v>
      </c>
      <c r="V359">
        <v>4</v>
      </c>
      <c r="W359">
        <f>COUNTIF($A$2:A359,A359)</f>
        <v>1</v>
      </c>
    </row>
    <row r="360" spans="1:23" x14ac:dyDescent="0.35">
      <c r="A360" t="s">
        <v>628</v>
      </c>
      <c r="B360" s="2">
        <v>44872</v>
      </c>
      <c r="C360" s="2">
        <v>45764</v>
      </c>
      <c r="D360" t="s">
        <v>30</v>
      </c>
      <c r="E360">
        <v>39</v>
      </c>
      <c r="F360" t="s">
        <v>62</v>
      </c>
      <c r="G360" t="s">
        <v>25</v>
      </c>
      <c r="H360" t="s">
        <v>32</v>
      </c>
      <c r="I360" t="s">
        <v>27</v>
      </c>
      <c r="J360" t="s">
        <v>33</v>
      </c>
      <c r="K360">
        <v>2</v>
      </c>
      <c r="L360" t="s">
        <v>40</v>
      </c>
      <c r="M360">
        <v>45000</v>
      </c>
      <c r="N360">
        <v>8.3000000000000007</v>
      </c>
      <c r="O360">
        <v>9</v>
      </c>
      <c r="P360">
        <v>2.4</v>
      </c>
      <c r="Q360">
        <v>1.4</v>
      </c>
      <c r="R360">
        <v>3</v>
      </c>
      <c r="S360">
        <v>4</v>
      </c>
      <c r="T360">
        <v>3</v>
      </c>
      <c r="U360" t="s">
        <v>30</v>
      </c>
      <c r="V360">
        <v>4</v>
      </c>
      <c r="W360">
        <f>COUNTIF($A$2:A360,A360)</f>
        <v>1</v>
      </c>
    </row>
    <row r="361" spans="1:23" x14ac:dyDescent="0.35">
      <c r="A361" t="s">
        <v>1399</v>
      </c>
      <c r="B361" s="2">
        <v>43131</v>
      </c>
      <c r="D361" t="s">
        <v>23</v>
      </c>
      <c r="E361">
        <v>31</v>
      </c>
      <c r="F361" t="s">
        <v>62</v>
      </c>
      <c r="G361" t="s">
        <v>37</v>
      </c>
      <c r="H361" t="s">
        <v>54</v>
      </c>
      <c r="I361" t="s">
        <v>45</v>
      </c>
      <c r="J361" t="s">
        <v>164</v>
      </c>
      <c r="K361">
        <v>3</v>
      </c>
      <c r="L361" t="s">
        <v>84</v>
      </c>
      <c r="M361">
        <v>86000</v>
      </c>
      <c r="N361">
        <v>11</v>
      </c>
      <c r="O361">
        <v>10.5</v>
      </c>
      <c r="P361">
        <v>7.9</v>
      </c>
      <c r="Q361">
        <v>0.6</v>
      </c>
      <c r="R361">
        <v>2</v>
      </c>
      <c r="S361">
        <v>3</v>
      </c>
      <c r="T361">
        <v>3</v>
      </c>
      <c r="U361" t="s">
        <v>23</v>
      </c>
      <c r="V361">
        <v>3</v>
      </c>
      <c r="W361">
        <f>COUNTIF($A$2:A361,A361)</f>
        <v>1</v>
      </c>
    </row>
    <row r="362" spans="1:23" x14ac:dyDescent="0.35">
      <c r="A362" t="s">
        <v>177</v>
      </c>
      <c r="B362" s="2">
        <v>42421</v>
      </c>
      <c r="D362" t="s">
        <v>23</v>
      </c>
      <c r="E362">
        <v>38</v>
      </c>
      <c r="F362" t="s">
        <v>62</v>
      </c>
      <c r="G362" t="s">
        <v>42</v>
      </c>
      <c r="H362" t="s">
        <v>32</v>
      </c>
      <c r="I362" t="s">
        <v>48</v>
      </c>
      <c r="J362" t="s">
        <v>63</v>
      </c>
      <c r="K362">
        <v>1</v>
      </c>
      <c r="L362" t="s">
        <v>40</v>
      </c>
      <c r="M362">
        <v>46000</v>
      </c>
      <c r="N362">
        <v>9.6999999999999993</v>
      </c>
      <c r="O362">
        <v>9.9</v>
      </c>
      <c r="P362">
        <v>9.9</v>
      </c>
      <c r="Q362">
        <v>0.9</v>
      </c>
      <c r="R362">
        <v>4</v>
      </c>
      <c r="S362">
        <v>2</v>
      </c>
      <c r="T362">
        <v>3</v>
      </c>
      <c r="U362" t="s">
        <v>23</v>
      </c>
      <c r="V362">
        <v>3</v>
      </c>
      <c r="W362">
        <f>COUNTIF($A$2:A362,A362)</f>
        <v>1</v>
      </c>
    </row>
    <row r="363" spans="1:23" x14ac:dyDescent="0.35">
      <c r="A363" t="s">
        <v>1406</v>
      </c>
      <c r="B363" s="2">
        <v>42518</v>
      </c>
      <c r="D363" t="s">
        <v>23</v>
      </c>
      <c r="E363">
        <v>36</v>
      </c>
      <c r="F363" t="s">
        <v>62</v>
      </c>
      <c r="G363" t="s">
        <v>42</v>
      </c>
      <c r="H363" t="s">
        <v>32</v>
      </c>
      <c r="I363" t="s">
        <v>45</v>
      </c>
      <c r="J363" t="s">
        <v>77</v>
      </c>
      <c r="K363">
        <v>2</v>
      </c>
      <c r="L363" t="s">
        <v>84</v>
      </c>
      <c r="M363">
        <v>44000</v>
      </c>
      <c r="N363">
        <v>6.9</v>
      </c>
      <c r="O363">
        <v>15.3</v>
      </c>
      <c r="P363">
        <v>9.6</v>
      </c>
      <c r="Q363">
        <v>5.5</v>
      </c>
      <c r="R363">
        <v>4</v>
      </c>
      <c r="S363">
        <v>4</v>
      </c>
      <c r="T363">
        <v>3</v>
      </c>
      <c r="U363" t="s">
        <v>23</v>
      </c>
      <c r="V363">
        <v>4</v>
      </c>
      <c r="W363">
        <f>COUNTIF($A$2:A363,A363)</f>
        <v>1</v>
      </c>
    </row>
    <row r="364" spans="1:23" x14ac:dyDescent="0.35">
      <c r="A364" t="s">
        <v>488</v>
      </c>
      <c r="B364" s="2">
        <v>41777</v>
      </c>
      <c r="D364" t="s">
        <v>23</v>
      </c>
      <c r="E364">
        <v>42</v>
      </c>
      <c r="F364" t="s">
        <v>62</v>
      </c>
      <c r="G364" t="s">
        <v>42</v>
      </c>
      <c r="H364" t="s">
        <v>54</v>
      </c>
      <c r="I364" t="s">
        <v>38</v>
      </c>
      <c r="J364" t="s">
        <v>39</v>
      </c>
      <c r="K364">
        <v>4</v>
      </c>
      <c r="L364" t="s">
        <v>34</v>
      </c>
      <c r="M364">
        <v>124000</v>
      </c>
      <c r="N364">
        <v>10.199999999999999</v>
      </c>
      <c r="O364">
        <v>12.5</v>
      </c>
      <c r="P364">
        <v>11.6</v>
      </c>
      <c r="Q364">
        <v>1.7</v>
      </c>
      <c r="R364">
        <v>3</v>
      </c>
      <c r="S364">
        <v>1</v>
      </c>
      <c r="T364">
        <v>3</v>
      </c>
      <c r="U364" t="s">
        <v>30</v>
      </c>
      <c r="V364">
        <v>4</v>
      </c>
      <c r="W364">
        <f>COUNTIF($A$2:A364,A364)</f>
        <v>1</v>
      </c>
    </row>
    <row r="365" spans="1:23" x14ac:dyDescent="0.35">
      <c r="A365" t="s">
        <v>313</v>
      </c>
      <c r="B365" s="2">
        <v>43082</v>
      </c>
      <c r="D365" t="s">
        <v>23</v>
      </c>
      <c r="E365">
        <v>35</v>
      </c>
      <c r="F365" t="s">
        <v>24</v>
      </c>
      <c r="G365" t="s">
        <v>37</v>
      </c>
      <c r="H365" t="s">
        <v>26</v>
      </c>
      <c r="I365" t="s">
        <v>48</v>
      </c>
      <c r="J365" t="s">
        <v>201</v>
      </c>
      <c r="K365">
        <v>3</v>
      </c>
      <c r="L365" t="s">
        <v>29</v>
      </c>
      <c r="M365">
        <v>103000</v>
      </c>
      <c r="N365">
        <v>11.3</v>
      </c>
      <c r="O365">
        <v>15.4</v>
      </c>
      <c r="P365">
        <v>8</v>
      </c>
      <c r="Q365">
        <v>5</v>
      </c>
      <c r="R365">
        <v>2</v>
      </c>
      <c r="S365">
        <v>2</v>
      </c>
      <c r="T365">
        <v>4</v>
      </c>
      <c r="U365" t="s">
        <v>23</v>
      </c>
      <c r="V365">
        <v>4</v>
      </c>
      <c r="W365">
        <f>COUNTIF($A$2:A365,A365)</f>
        <v>1</v>
      </c>
    </row>
    <row r="366" spans="1:23" x14ac:dyDescent="0.35">
      <c r="A366" t="s">
        <v>785</v>
      </c>
      <c r="B366" s="2">
        <v>43833</v>
      </c>
      <c r="C366" s="2">
        <v>45986</v>
      </c>
      <c r="D366" t="s">
        <v>30</v>
      </c>
      <c r="E366">
        <v>38</v>
      </c>
      <c r="F366" t="s">
        <v>62</v>
      </c>
      <c r="G366" t="s">
        <v>37</v>
      </c>
      <c r="H366" t="s">
        <v>54</v>
      </c>
      <c r="I366" t="s">
        <v>38</v>
      </c>
      <c r="J366" t="s">
        <v>139</v>
      </c>
      <c r="K366">
        <v>3</v>
      </c>
      <c r="L366" t="s">
        <v>66</v>
      </c>
      <c r="M366">
        <v>90000</v>
      </c>
      <c r="N366">
        <v>14.2</v>
      </c>
      <c r="O366">
        <v>12.3</v>
      </c>
      <c r="P366">
        <v>5.9</v>
      </c>
      <c r="Q366">
        <v>5.0999999999999996</v>
      </c>
      <c r="R366">
        <v>4</v>
      </c>
      <c r="S366">
        <v>4</v>
      </c>
      <c r="T366">
        <v>3</v>
      </c>
      <c r="U366" t="s">
        <v>23</v>
      </c>
      <c r="V366">
        <v>5</v>
      </c>
      <c r="W366">
        <f>COUNTIF($A$2:A366,A366)</f>
        <v>1</v>
      </c>
    </row>
    <row r="367" spans="1:23" x14ac:dyDescent="0.35">
      <c r="A367" t="s">
        <v>299</v>
      </c>
      <c r="B367" s="2">
        <v>44948</v>
      </c>
      <c r="D367" t="s">
        <v>23</v>
      </c>
      <c r="E367">
        <v>32</v>
      </c>
      <c r="F367" t="s">
        <v>24</v>
      </c>
      <c r="G367" t="s">
        <v>37</v>
      </c>
      <c r="H367" t="s">
        <v>54</v>
      </c>
      <c r="I367" t="s">
        <v>48</v>
      </c>
      <c r="J367" t="s">
        <v>201</v>
      </c>
      <c r="K367">
        <v>2</v>
      </c>
      <c r="L367" t="s">
        <v>29</v>
      </c>
      <c r="M367">
        <v>44000</v>
      </c>
      <c r="N367">
        <v>8.1999999999999993</v>
      </c>
      <c r="O367">
        <v>8.8000000000000007</v>
      </c>
      <c r="P367">
        <v>2.9</v>
      </c>
      <c r="Q367">
        <v>2.1</v>
      </c>
      <c r="R367">
        <v>1</v>
      </c>
      <c r="S367">
        <v>3</v>
      </c>
      <c r="T367">
        <v>4</v>
      </c>
      <c r="U367" t="s">
        <v>23</v>
      </c>
      <c r="V367">
        <v>4</v>
      </c>
      <c r="W367">
        <f>COUNTIF($A$2:A367,A367)</f>
        <v>1</v>
      </c>
    </row>
    <row r="368" spans="1:23" x14ac:dyDescent="0.35">
      <c r="A368" t="s">
        <v>948</v>
      </c>
      <c r="B368" s="2">
        <v>42857</v>
      </c>
      <c r="D368" t="s">
        <v>23</v>
      </c>
      <c r="E368">
        <v>29</v>
      </c>
      <c r="F368" t="s">
        <v>62</v>
      </c>
      <c r="G368" t="s">
        <v>37</v>
      </c>
      <c r="H368" t="s">
        <v>32</v>
      </c>
      <c r="I368" t="s">
        <v>68</v>
      </c>
      <c r="J368" t="s">
        <v>102</v>
      </c>
      <c r="K368">
        <v>3</v>
      </c>
      <c r="L368" t="s">
        <v>34</v>
      </c>
      <c r="M368">
        <v>82000</v>
      </c>
      <c r="N368">
        <v>15.7</v>
      </c>
      <c r="O368">
        <v>15.5</v>
      </c>
      <c r="P368">
        <v>8.6999999999999993</v>
      </c>
      <c r="Q368">
        <v>4.5</v>
      </c>
      <c r="R368">
        <v>4</v>
      </c>
      <c r="S368">
        <v>3</v>
      </c>
      <c r="T368">
        <v>3</v>
      </c>
      <c r="U368" t="s">
        <v>30</v>
      </c>
      <c r="V368">
        <v>4</v>
      </c>
      <c r="W368">
        <f>COUNTIF($A$2:A368,A368)</f>
        <v>1</v>
      </c>
    </row>
    <row r="369" spans="1:23" x14ac:dyDescent="0.35">
      <c r="A369" t="s">
        <v>512</v>
      </c>
      <c r="B369" s="2">
        <v>44739</v>
      </c>
      <c r="D369" t="s">
        <v>23</v>
      </c>
      <c r="E369">
        <v>25</v>
      </c>
      <c r="F369" t="s">
        <v>62</v>
      </c>
      <c r="G369" t="s">
        <v>25</v>
      </c>
      <c r="H369" t="s">
        <v>58</v>
      </c>
      <c r="I369" t="s">
        <v>45</v>
      </c>
      <c r="J369" t="s">
        <v>164</v>
      </c>
      <c r="K369">
        <v>1</v>
      </c>
      <c r="L369" t="s">
        <v>34</v>
      </c>
      <c r="M369">
        <v>36000</v>
      </c>
      <c r="N369">
        <v>13.8</v>
      </c>
      <c r="O369">
        <v>10.7</v>
      </c>
      <c r="P369">
        <v>3.5</v>
      </c>
      <c r="Q369">
        <v>1.9</v>
      </c>
      <c r="R369">
        <v>3</v>
      </c>
      <c r="S369">
        <v>1</v>
      </c>
      <c r="T369">
        <v>3</v>
      </c>
      <c r="U369" t="s">
        <v>23</v>
      </c>
      <c r="V369">
        <v>5</v>
      </c>
      <c r="W369">
        <f>COUNTIF($A$2:A369,A369)</f>
        <v>1</v>
      </c>
    </row>
    <row r="370" spans="1:23" x14ac:dyDescent="0.35">
      <c r="A370" t="s">
        <v>726</v>
      </c>
      <c r="B370" s="2">
        <v>45762</v>
      </c>
      <c r="D370" t="s">
        <v>23</v>
      </c>
      <c r="E370">
        <v>32</v>
      </c>
      <c r="F370" t="s">
        <v>36</v>
      </c>
      <c r="G370" t="s">
        <v>25</v>
      </c>
      <c r="H370" t="s">
        <v>26</v>
      </c>
      <c r="I370" t="s">
        <v>68</v>
      </c>
      <c r="J370" t="s">
        <v>69</v>
      </c>
      <c r="K370">
        <v>2</v>
      </c>
      <c r="L370" t="s">
        <v>84</v>
      </c>
      <c r="M370">
        <v>53000</v>
      </c>
      <c r="N370">
        <v>5.9</v>
      </c>
      <c r="O370">
        <v>5.2</v>
      </c>
      <c r="P370">
        <v>0.7</v>
      </c>
      <c r="Q370">
        <v>0</v>
      </c>
      <c r="R370">
        <v>4</v>
      </c>
      <c r="S370">
        <v>3</v>
      </c>
      <c r="T370">
        <v>2</v>
      </c>
      <c r="U370" t="s">
        <v>23</v>
      </c>
      <c r="V370">
        <v>2</v>
      </c>
      <c r="W370">
        <f>COUNTIF($A$2:A370,A370)</f>
        <v>1</v>
      </c>
    </row>
    <row r="371" spans="1:23" x14ac:dyDescent="0.35">
      <c r="A371" t="s">
        <v>598</v>
      </c>
      <c r="B371" s="2">
        <v>45584</v>
      </c>
      <c r="D371" t="s">
        <v>23</v>
      </c>
      <c r="E371">
        <v>32</v>
      </c>
      <c r="F371" t="s">
        <v>62</v>
      </c>
      <c r="G371" t="s">
        <v>37</v>
      </c>
      <c r="H371" t="s">
        <v>54</v>
      </c>
      <c r="I371" t="s">
        <v>48</v>
      </c>
      <c r="J371" t="s">
        <v>63</v>
      </c>
      <c r="K371">
        <v>2</v>
      </c>
      <c r="L371" t="s">
        <v>84</v>
      </c>
      <c r="M371">
        <v>59000</v>
      </c>
      <c r="N371">
        <v>5.5</v>
      </c>
      <c r="O371">
        <v>3.4</v>
      </c>
      <c r="P371">
        <v>1.2</v>
      </c>
      <c r="Q371">
        <v>0.3</v>
      </c>
      <c r="R371">
        <v>3</v>
      </c>
      <c r="S371">
        <v>4</v>
      </c>
      <c r="T371">
        <v>3</v>
      </c>
      <c r="U371" t="s">
        <v>23</v>
      </c>
      <c r="V371">
        <v>5</v>
      </c>
      <c r="W371">
        <f>COUNTIF($A$2:A371,A371)</f>
        <v>1</v>
      </c>
    </row>
    <row r="372" spans="1:23" x14ac:dyDescent="0.35">
      <c r="A372" t="s">
        <v>869</v>
      </c>
      <c r="B372" s="2">
        <v>42918</v>
      </c>
      <c r="D372" t="s">
        <v>23</v>
      </c>
      <c r="E372">
        <v>38</v>
      </c>
      <c r="F372" t="s">
        <v>36</v>
      </c>
      <c r="G372" t="s">
        <v>42</v>
      </c>
      <c r="H372" t="s">
        <v>54</v>
      </c>
      <c r="I372" t="s">
        <v>59</v>
      </c>
      <c r="J372" t="s">
        <v>86</v>
      </c>
      <c r="K372">
        <v>2</v>
      </c>
      <c r="L372" t="s">
        <v>40</v>
      </c>
      <c r="M372">
        <v>48000</v>
      </c>
      <c r="N372">
        <v>15.9</v>
      </c>
      <c r="O372">
        <v>11.2</v>
      </c>
      <c r="P372">
        <v>8.5</v>
      </c>
      <c r="Q372">
        <v>0.5</v>
      </c>
      <c r="R372">
        <v>4</v>
      </c>
      <c r="S372">
        <v>2</v>
      </c>
      <c r="T372">
        <v>4</v>
      </c>
      <c r="U372" t="s">
        <v>23</v>
      </c>
      <c r="V372">
        <v>2</v>
      </c>
      <c r="W372">
        <f>COUNTIF($A$2:A372,A372)</f>
        <v>1</v>
      </c>
    </row>
    <row r="373" spans="1:23" x14ac:dyDescent="0.35">
      <c r="A373" t="s">
        <v>1140</v>
      </c>
      <c r="B373" s="2">
        <v>45198</v>
      </c>
      <c r="C373" s="2">
        <v>45793</v>
      </c>
      <c r="D373" t="s">
        <v>30</v>
      </c>
      <c r="E373">
        <v>35</v>
      </c>
      <c r="F373" t="s">
        <v>62</v>
      </c>
      <c r="G373" t="s">
        <v>25</v>
      </c>
      <c r="H373" t="s">
        <v>32</v>
      </c>
      <c r="I373" t="s">
        <v>45</v>
      </c>
      <c r="J373" t="s">
        <v>46</v>
      </c>
      <c r="K373">
        <v>3</v>
      </c>
      <c r="L373" t="s">
        <v>34</v>
      </c>
      <c r="M373">
        <v>80000</v>
      </c>
      <c r="N373">
        <v>3.3</v>
      </c>
      <c r="O373">
        <v>7.7</v>
      </c>
      <c r="P373">
        <v>1.6</v>
      </c>
      <c r="Q373">
        <v>0.2</v>
      </c>
      <c r="R373">
        <v>4</v>
      </c>
      <c r="S373">
        <v>2</v>
      </c>
      <c r="T373">
        <v>3</v>
      </c>
      <c r="U373" t="s">
        <v>23</v>
      </c>
      <c r="V373">
        <v>3</v>
      </c>
      <c r="W373">
        <f>COUNTIF($A$2:A373,A373)</f>
        <v>1</v>
      </c>
    </row>
    <row r="374" spans="1:23" x14ac:dyDescent="0.35">
      <c r="A374" t="s">
        <v>404</v>
      </c>
      <c r="B374" s="2">
        <v>45618</v>
      </c>
      <c r="C374" s="2">
        <v>45907</v>
      </c>
      <c r="D374" t="s">
        <v>30</v>
      </c>
      <c r="E374">
        <v>22</v>
      </c>
      <c r="F374" t="s">
        <v>62</v>
      </c>
      <c r="G374" t="s">
        <v>25</v>
      </c>
      <c r="H374" t="s">
        <v>58</v>
      </c>
      <c r="I374" t="s">
        <v>45</v>
      </c>
      <c r="J374" t="s">
        <v>46</v>
      </c>
      <c r="K374">
        <v>1</v>
      </c>
      <c r="L374" t="s">
        <v>34</v>
      </c>
      <c r="M374">
        <v>43000</v>
      </c>
      <c r="N374">
        <v>6.8</v>
      </c>
      <c r="O374">
        <v>3.8</v>
      </c>
      <c r="P374">
        <v>0.8</v>
      </c>
      <c r="Q374">
        <v>0</v>
      </c>
      <c r="R374">
        <v>4</v>
      </c>
      <c r="S374">
        <v>3</v>
      </c>
      <c r="T374">
        <v>4</v>
      </c>
      <c r="U374" t="s">
        <v>30</v>
      </c>
      <c r="V374">
        <v>2</v>
      </c>
      <c r="W374">
        <f>COUNTIF($A$2:A374,A374)</f>
        <v>1</v>
      </c>
    </row>
    <row r="375" spans="1:23" x14ac:dyDescent="0.35">
      <c r="A375" t="s">
        <v>825</v>
      </c>
      <c r="B375" s="2">
        <v>45064</v>
      </c>
      <c r="D375" t="s">
        <v>23</v>
      </c>
      <c r="E375">
        <v>29</v>
      </c>
      <c r="F375" t="s">
        <v>36</v>
      </c>
      <c r="G375" t="s">
        <v>25</v>
      </c>
      <c r="H375" t="s">
        <v>32</v>
      </c>
      <c r="I375" t="s">
        <v>27</v>
      </c>
      <c r="J375" t="s">
        <v>28</v>
      </c>
      <c r="K375">
        <v>2</v>
      </c>
      <c r="L375" t="s">
        <v>84</v>
      </c>
      <c r="M375">
        <v>52000</v>
      </c>
      <c r="N375">
        <v>15.2</v>
      </c>
      <c r="O375">
        <v>8.8000000000000007</v>
      </c>
      <c r="P375">
        <v>2.6</v>
      </c>
      <c r="Q375">
        <v>1.9</v>
      </c>
      <c r="R375">
        <v>3</v>
      </c>
      <c r="S375">
        <v>3</v>
      </c>
      <c r="T375">
        <v>3</v>
      </c>
      <c r="U375" t="s">
        <v>30</v>
      </c>
      <c r="V375">
        <v>3</v>
      </c>
      <c r="W375">
        <f>COUNTIF($A$2:A375,A375)</f>
        <v>1</v>
      </c>
    </row>
    <row r="376" spans="1:23" x14ac:dyDescent="0.35">
      <c r="A376" t="s">
        <v>832</v>
      </c>
      <c r="B376" s="2">
        <v>42359</v>
      </c>
      <c r="C376" s="2">
        <v>45886</v>
      </c>
      <c r="D376" t="s">
        <v>30</v>
      </c>
      <c r="E376">
        <v>47</v>
      </c>
      <c r="F376" t="s">
        <v>24</v>
      </c>
      <c r="G376" t="s">
        <v>25</v>
      </c>
      <c r="H376" t="s">
        <v>32</v>
      </c>
      <c r="I376" t="s">
        <v>27</v>
      </c>
      <c r="J376" t="s">
        <v>43</v>
      </c>
      <c r="K376">
        <v>3</v>
      </c>
      <c r="L376" t="s">
        <v>66</v>
      </c>
      <c r="M376">
        <v>84000</v>
      </c>
      <c r="N376">
        <v>13.1</v>
      </c>
      <c r="O376">
        <v>12.5</v>
      </c>
      <c r="P376">
        <v>9.6999999999999993</v>
      </c>
      <c r="Q376">
        <v>4.4000000000000004</v>
      </c>
      <c r="R376">
        <v>2</v>
      </c>
      <c r="S376">
        <v>3</v>
      </c>
      <c r="T376">
        <v>1</v>
      </c>
      <c r="U376" t="s">
        <v>30</v>
      </c>
      <c r="V376">
        <v>4</v>
      </c>
      <c r="W376">
        <f>COUNTIF($A$2:A376,A376)</f>
        <v>1</v>
      </c>
    </row>
    <row r="377" spans="1:23" x14ac:dyDescent="0.35">
      <c r="A377" t="s">
        <v>763</v>
      </c>
      <c r="B377" s="2">
        <v>45400</v>
      </c>
      <c r="D377" t="s">
        <v>23</v>
      </c>
      <c r="E377">
        <v>38</v>
      </c>
      <c r="F377" t="s">
        <v>36</v>
      </c>
      <c r="G377" t="s">
        <v>42</v>
      </c>
      <c r="H377" t="s">
        <v>54</v>
      </c>
      <c r="I377" t="s">
        <v>45</v>
      </c>
      <c r="J377" t="s">
        <v>164</v>
      </c>
      <c r="K377">
        <v>3</v>
      </c>
      <c r="L377" t="s">
        <v>29</v>
      </c>
      <c r="M377">
        <v>67000</v>
      </c>
      <c r="N377">
        <v>5.7</v>
      </c>
      <c r="O377">
        <v>8.9</v>
      </c>
      <c r="P377">
        <v>1.7</v>
      </c>
      <c r="Q377">
        <v>1</v>
      </c>
      <c r="R377">
        <v>2</v>
      </c>
      <c r="S377">
        <v>4</v>
      </c>
      <c r="T377">
        <v>4</v>
      </c>
      <c r="U377" t="s">
        <v>23</v>
      </c>
      <c r="V377">
        <v>4</v>
      </c>
      <c r="W377">
        <f>COUNTIF($A$2:A377,A377)</f>
        <v>1</v>
      </c>
    </row>
    <row r="378" spans="1:23" x14ac:dyDescent="0.35">
      <c r="A378" t="s">
        <v>482</v>
      </c>
      <c r="B378" s="2">
        <v>44732</v>
      </c>
      <c r="D378" t="s">
        <v>23</v>
      </c>
      <c r="E378">
        <v>32</v>
      </c>
      <c r="F378" t="s">
        <v>36</v>
      </c>
      <c r="G378" t="s">
        <v>37</v>
      </c>
      <c r="H378" t="s">
        <v>58</v>
      </c>
      <c r="I378" t="s">
        <v>38</v>
      </c>
      <c r="J378" t="s">
        <v>52</v>
      </c>
      <c r="K378">
        <v>4</v>
      </c>
      <c r="L378" t="s">
        <v>84</v>
      </c>
      <c r="M378">
        <v>120000</v>
      </c>
      <c r="N378">
        <v>11.8</v>
      </c>
      <c r="O378">
        <v>6.1</v>
      </c>
      <c r="P378">
        <v>3.5</v>
      </c>
      <c r="Q378">
        <v>0.6</v>
      </c>
      <c r="R378">
        <v>4</v>
      </c>
      <c r="S378">
        <v>2</v>
      </c>
      <c r="T378">
        <v>4</v>
      </c>
      <c r="U378" t="s">
        <v>23</v>
      </c>
      <c r="V378">
        <v>3</v>
      </c>
      <c r="W378">
        <f>COUNTIF($A$2:A378,A378)</f>
        <v>1</v>
      </c>
    </row>
    <row r="379" spans="1:23" x14ac:dyDescent="0.35">
      <c r="A379" t="s">
        <v>158</v>
      </c>
      <c r="B379" s="2">
        <v>41727</v>
      </c>
      <c r="D379" t="s">
        <v>23</v>
      </c>
      <c r="E379">
        <v>34</v>
      </c>
      <c r="F379" t="s">
        <v>36</v>
      </c>
      <c r="G379" t="s">
        <v>25</v>
      </c>
      <c r="H379" t="s">
        <v>58</v>
      </c>
      <c r="I379" t="s">
        <v>55</v>
      </c>
      <c r="J379" t="s">
        <v>80</v>
      </c>
      <c r="K379">
        <v>1</v>
      </c>
      <c r="L379" t="s">
        <v>50</v>
      </c>
      <c r="M379" t="s">
        <v>159</v>
      </c>
      <c r="N379">
        <v>4.4000000000000004</v>
      </c>
      <c r="O379">
        <v>12.6</v>
      </c>
      <c r="P379">
        <v>11.8</v>
      </c>
      <c r="Q379">
        <v>3.2</v>
      </c>
      <c r="R379">
        <v>3</v>
      </c>
      <c r="S379">
        <v>3</v>
      </c>
      <c r="T379">
        <v>3</v>
      </c>
      <c r="U379" t="s">
        <v>30</v>
      </c>
      <c r="V379">
        <v>2</v>
      </c>
      <c r="W379">
        <f>COUNTIF($A$2:A379,A379)</f>
        <v>1</v>
      </c>
    </row>
    <row r="380" spans="1:23" x14ac:dyDescent="0.35">
      <c r="A380" t="s">
        <v>525</v>
      </c>
      <c r="B380" s="2">
        <v>43867</v>
      </c>
      <c r="D380" t="s">
        <v>23</v>
      </c>
      <c r="E380">
        <v>28</v>
      </c>
      <c r="F380" t="s">
        <v>36</v>
      </c>
      <c r="G380" t="s">
        <v>42</v>
      </c>
      <c r="H380" t="s">
        <v>26</v>
      </c>
      <c r="I380" t="s">
        <v>38</v>
      </c>
      <c r="J380" t="s">
        <v>118</v>
      </c>
      <c r="K380">
        <v>1</v>
      </c>
      <c r="L380" t="s">
        <v>66</v>
      </c>
      <c r="M380">
        <v>22000</v>
      </c>
      <c r="N380">
        <v>8.6999999999999993</v>
      </c>
      <c r="O380">
        <v>11.1</v>
      </c>
      <c r="P380">
        <v>5.9</v>
      </c>
      <c r="Q380">
        <v>0</v>
      </c>
      <c r="R380">
        <v>1</v>
      </c>
      <c r="S380">
        <v>1</v>
      </c>
      <c r="T380">
        <v>3</v>
      </c>
      <c r="U380" t="s">
        <v>23</v>
      </c>
      <c r="V380">
        <v>2</v>
      </c>
      <c r="W380">
        <f>COUNTIF($A$2:A380,A380)</f>
        <v>1</v>
      </c>
    </row>
    <row r="381" spans="1:23" x14ac:dyDescent="0.35">
      <c r="A381" t="s">
        <v>678</v>
      </c>
      <c r="B381" s="2">
        <v>44187</v>
      </c>
      <c r="C381" s="2">
        <v>45773</v>
      </c>
      <c r="D381" t="s">
        <v>30</v>
      </c>
      <c r="E381">
        <v>44</v>
      </c>
      <c r="F381" t="s">
        <v>36</v>
      </c>
      <c r="G381" t="s">
        <v>42</v>
      </c>
      <c r="H381" t="s">
        <v>58</v>
      </c>
      <c r="I381" t="s">
        <v>45</v>
      </c>
      <c r="J381" t="s">
        <v>46</v>
      </c>
      <c r="K381">
        <v>3</v>
      </c>
      <c r="L381" t="s">
        <v>34</v>
      </c>
      <c r="M381">
        <v>78000</v>
      </c>
      <c r="N381">
        <v>4.9000000000000004</v>
      </c>
      <c r="O381">
        <v>4.4000000000000004</v>
      </c>
      <c r="P381">
        <v>4.3</v>
      </c>
      <c r="Q381">
        <v>4.0999999999999996</v>
      </c>
      <c r="R381">
        <v>4</v>
      </c>
      <c r="S381">
        <v>4</v>
      </c>
      <c r="T381">
        <v>3</v>
      </c>
      <c r="U381" t="s">
        <v>23</v>
      </c>
      <c r="V381">
        <v>4</v>
      </c>
      <c r="W381">
        <f>COUNTIF($A$2:A381,A381)</f>
        <v>1</v>
      </c>
    </row>
    <row r="382" spans="1:23" x14ac:dyDescent="0.35">
      <c r="A382" t="s">
        <v>1276</v>
      </c>
      <c r="B382" s="2">
        <v>42266</v>
      </c>
      <c r="D382" t="s">
        <v>23</v>
      </c>
      <c r="E382">
        <v>42</v>
      </c>
      <c r="F382" t="s">
        <v>36</v>
      </c>
      <c r="G382" t="s">
        <v>25</v>
      </c>
      <c r="H382" t="s">
        <v>54</v>
      </c>
      <c r="I382" t="s">
        <v>38</v>
      </c>
      <c r="J382" t="s">
        <v>118</v>
      </c>
      <c r="K382">
        <v>2</v>
      </c>
      <c r="L382" t="s">
        <v>50</v>
      </c>
      <c r="M382">
        <v>65000</v>
      </c>
      <c r="N382">
        <v>8.1</v>
      </c>
      <c r="O382">
        <v>12.6</v>
      </c>
      <c r="P382">
        <v>10.3</v>
      </c>
      <c r="Q382">
        <v>1.2</v>
      </c>
      <c r="R382">
        <v>4</v>
      </c>
      <c r="S382">
        <v>3</v>
      </c>
      <c r="T382">
        <v>4</v>
      </c>
      <c r="U382" t="s">
        <v>23</v>
      </c>
      <c r="V382">
        <v>4</v>
      </c>
      <c r="W382">
        <f>COUNTIF($A$2:A382,A382)</f>
        <v>1</v>
      </c>
    </row>
    <row r="383" spans="1:23" x14ac:dyDescent="0.35">
      <c r="A383" t="s">
        <v>1527</v>
      </c>
      <c r="B383" s="2">
        <v>42777</v>
      </c>
      <c r="C383" s="2">
        <v>45670</v>
      </c>
      <c r="D383" t="s">
        <v>30</v>
      </c>
      <c r="E383">
        <v>30</v>
      </c>
      <c r="F383" t="s">
        <v>36</v>
      </c>
      <c r="G383" t="s">
        <v>42</v>
      </c>
      <c r="H383" t="s">
        <v>54</v>
      </c>
      <c r="I383" t="s">
        <v>45</v>
      </c>
      <c r="J383" t="s">
        <v>77</v>
      </c>
      <c r="K383">
        <v>3</v>
      </c>
      <c r="L383" t="s">
        <v>50</v>
      </c>
      <c r="M383">
        <v>82000</v>
      </c>
      <c r="N383">
        <v>16.5</v>
      </c>
      <c r="O383">
        <v>13.7</v>
      </c>
      <c r="P383">
        <v>7.9</v>
      </c>
      <c r="Q383">
        <v>3.6</v>
      </c>
      <c r="R383">
        <v>2</v>
      </c>
      <c r="S383">
        <v>3</v>
      </c>
      <c r="T383">
        <v>2</v>
      </c>
      <c r="U383" t="s">
        <v>23</v>
      </c>
      <c r="V383">
        <v>4</v>
      </c>
      <c r="W383">
        <f>COUNTIF($A$2:A383,A383)</f>
        <v>1</v>
      </c>
    </row>
    <row r="384" spans="1:23" x14ac:dyDescent="0.35">
      <c r="A384" t="s">
        <v>330</v>
      </c>
      <c r="B384" s="2">
        <v>43122</v>
      </c>
      <c r="D384" t="s">
        <v>23</v>
      </c>
      <c r="E384">
        <v>30</v>
      </c>
      <c r="F384" t="s">
        <v>62</v>
      </c>
      <c r="G384" t="s">
        <v>37</v>
      </c>
      <c r="H384" t="s">
        <v>26</v>
      </c>
      <c r="I384" t="s">
        <v>331</v>
      </c>
      <c r="J384" t="s">
        <v>39</v>
      </c>
      <c r="K384">
        <v>1</v>
      </c>
      <c r="L384" t="s">
        <v>50</v>
      </c>
      <c r="M384">
        <v>28000</v>
      </c>
      <c r="N384">
        <v>9.6</v>
      </c>
      <c r="O384">
        <v>13.3</v>
      </c>
      <c r="P384">
        <v>7.9</v>
      </c>
      <c r="Q384">
        <v>2.8</v>
      </c>
      <c r="R384">
        <v>2</v>
      </c>
      <c r="S384">
        <v>3</v>
      </c>
      <c r="T384">
        <v>4</v>
      </c>
      <c r="U384" t="s">
        <v>30</v>
      </c>
      <c r="V384">
        <v>2</v>
      </c>
      <c r="W384">
        <f>COUNTIF($A$2:A384,A384)</f>
        <v>1</v>
      </c>
    </row>
    <row r="385" spans="1:23" x14ac:dyDescent="0.35">
      <c r="A385" t="s">
        <v>96</v>
      </c>
      <c r="B385" s="2">
        <v>45831</v>
      </c>
      <c r="D385" t="s">
        <v>23</v>
      </c>
      <c r="E385">
        <v>35</v>
      </c>
      <c r="F385" t="s">
        <v>24</v>
      </c>
      <c r="G385" t="s">
        <v>42</v>
      </c>
      <c r="H385" t="s">
        <v>32</v>
      </c>
      <c r="I385" t="s">
        <v>45</v>
      </c>
      <c r="J385" t="s">
        <v>97</v>
      </c>
      <c r="K385">
        <v>3</v>
      </c>
      <c r="L385" t="s">
        <v>66</v>
      </c>
      <c r="M385">
        <v>71000</v>
      </c>
      <c r="N385">
        <v>7.1</v>
      </c>
      <c r="O385">
        <v>5.7</v>
      </c>
      <c r="P385">
        <v>0.5</v>
      </c>
      <c r="Q385">
        <v>0</v>
      </c>
      <c r="R385">
        <v>3</v>
      </c>
      <c r="S385">
        <v>3</v>
      </c>
      <c r="T385">
        <v>4</v>
      </c>
      <c r="U385" t="s">
        <v>23</v>
      </c>
      <c r="V385">
        <v>4</v>
      </c>
      <c r="W385">
        <f>COUNTIF($A$2:A385,A385)</f>
        <v>1</v>
      </c>
    </row>
    <row r="386" spans="1:23" x14ac:dyDescent="0.35">
      <c r="A386" t="s">
        <v>818</v>
      </c>
      <c r="B386" s="2">
        <v>43370</v>
      </c>
      <c r="D386" t="s">
        <v>23</v>
      </c>
      <c r="E386">
        <v>37</v>
      </c>
      <c r="F386" t="s">
        <v>62</v>
      </c>
      <c r="G386" t="s">
        <v>25</v>
      </c>
      <c r="H386" t="s">
        <v>32</v>
      </c>
      <c r="I386" t="s">
        <v>38</v>
      </c>
      <c r="J386" t="s">
        <v>118</v>
      </c>
      <c r="K386">
        <v>2</v>
      </c>
      <c r="L386" t="s">
        <v>84</v>
      </c>
      <c r="M386">
        <v>55000</v>
      </c>
      <c r="N386">
        <v>4.3</v>
      </c>
      <c r="O386">
        <v>10</v>
      </c>
      <c r="P386">
        <v>7.3</v>
      </c>
      <c r="Q386">
        <v>5</v>
      </c>
      <c r="R386">
        <v>1</v>
      </c>
      <c r="S386">
        <v>3</v>
      </c>
      <c r="T386">
        <v>3</v>
      </c>
      <c r="U386" t="s">
        <v>23</v>
      </c>
      <c r="V386">
        <v>2</v>
      </c>
      <c r="W386">
        <f>COUNTIF($A$2:A386,A386)</f>
        <v>1</v>
      </c>
    </row>
    <row r="387" spans="1:23" x14ac:dyDescent="0.35">
      <c r="A387" t="s">
        <v>170</v>
      </c>
      <c r="B387" s="2">
        <v>43378</v>
      </c>
      <c r="C387" s="2">
        <v>45870</v>
      </c>
      <c r="D387" t="s">
        <v>30</v>
      </c>
      <c r="E387">
        <v>33</v>
      </c>
      <c r="F387" t="s">
        <v>24</v>
      </c>
      <c r="G387" t="s">
        <v>37</v>
      </c>
      <c r="H387" t="s">
        <v>54</v>
      </c>
      <c r="I387" t="s">
        <v>59</v>
      </c>
      <c r="J387" t="s">
        <v>86</v>
      </c>
      <c r="K387">
        <v>3</v>
      </c>
      <c r="L387" t="s">
        <v>40</v>
      </c>
      <c r="M387">
        <v>91000</v>
      </c>
      <c r="N387">
        <v>15.6</v>
      </c>
      <c r="O387">
        <v>8.1999999999999993</v>
      </c>
      <c r="P387">
        <v>6.8</v>
      </c>
      <c r="Q387">
        <v>2.2000000000000002</v>
      </c>
      <c r="R387">
        <v>2</v>
      </c>
      <c r="S387">
        <v>2</v>
      </c>
      <c r="T387">
        <v>2</v>
      </c>
      <c r="U387" t="s">
        <v>23</v>
      </c>
      <c r="V387">
        <v>4</v>
      </c>
      <c r="W387">
        <f>COUNTIF($A$2:A387,A387)</f>
        <v>1</v>
      </c>
    </row>
    <row r="388" spans="1:23" x14ac:dyDescent="0.35">
      <c r="A388" t="s">
        <v>106</v>
      </c>
      <c r="B388" s="2">
        <v>45890</v>
      </c>
      <c r="D388" t="s">
        <v>23</v>
      </c>
      <c r="E388">
        <v>29</v>
      </c>
      <c r="F388" t="s">
        <v>24</v>
      </c>
      <c r="G388" t="s">
        <v>25</v>
      </c>
      <c r="H388" t="s">
        <v>58</v>
      </c>
      <c r="I388" t="s">
        <v>38</v>
      </c>
      <c r="J388" t="s">
        <v>52</v>
      </c>
      <c r="K388">
        <v>1</v>
      </c>
      <c r="L388" t="s">
        <v>66</v>
      </c>
      <c r="M388">
        <v>42000</v>
      </c>
      <c r="N388">
        <v>5</v>
      </c>
      <c r="O388">
        <v>2.6</v>
      </c>
      <c r="P388">
        <v>0.4</v>
      </c>
      <c r="Q388">
        <v>0</v>
      </c>
      <c r="R388">
        <v>3</v>
      </c>
      <c r="S388">
        <v>4</v>
      </c>
      <c r="T388">
        <v>3</v>
      </c>
      <c r="U388" t="s">
        <v>23</v>
      </c>
      <c r="V388">
        <v>2</v>
      </c>
      <c r="W388">
        <f>COUNTIF($A$2:A388,A388)</f>
        <v>1</v>
      </c>
    </row>
    <row r="389" spans="1:23" x14ac:dyDescent="0.35">
      <c r="A389" t="s">
        <v>1199</v>
      </c>
      <c r="B389" s="2">
        <v>45167</v>
      </c>
      <c r="D389" t="s">
        <v>23</v>
      </c>
      <c r="E389">
        <v>38</v>
      </c>
      <c r="F389" t="s">
        <v>62</v>
      </c>
      <c r="G389" t="s">
        <v>37</v>
      </c>
      <c r="H389" t="s">
        <v>32</v>
      </c>
      <c r="I389" t="s">
        <v>48</v>
      </c>
      <c r="J389" t="s">
        <v>201</v>
      </c>
      <c r="K389">
        <v>2</v>
      </c>
      <c r="L389" t="s">
        <v>50</v>
      </c>
      <c r="M389">
        <v>66000</v>
      </c>
      <c r="N389">
        <v>8.6</v>
      </c>
      <c r="O389">
        <v>7.2</v>
      </c>
      <c r="P389">
        <v>2.2999999999999998</v>
      </c>
      <c r="Q389">
        <v>0.2</v>
      </c>
      <c r="R389">
        <v>3</v>
      </c>
      <c r="S389">
        <v>4</v>
      </c>
      <c r="T389">
        <v>3</v>
      </c>
      <c r="U389" t="s">
        <v>23</v>
      </c>
      <c r="V389">
        <v>3</v>
      </c>
      <c r="W389">
        <f>COUNTIF($A$2:A389,A389)</f>
        <v>1</v>
      </c>
    </row>
    <row r="390" spans="1:23" x14ac:dyDescent="0.35">
      <c r="A390" t="s">
        <v>1328</v>
      </c>
      <c r="B390" s="2">
        <v>44398</v>
      </c>
      <c r="D390" t="s">
        <v>23</v>
      </c>
      <c r="E390">
        <v>27</v>
      </c>
      <c r="F390" t="s">
        <v>24</v>
      </c>
      <c r="H390" t="s">
        <v>54</v>
      </c>
      <c r="I390" t="s">
        <v>27</v>
      </c>
      <c r="J390" t="s">
        <v>43</v>
      </c>
      <c r="K390">
        <v>1</v>
      </c>
      <c r="L390" t="s">
        <v>34</v>
      </c>
      <c r="M390">
        <v>25000</v>
      </c>
      <c r="N390">
        <v>8.1</v>
      </c>
      <c r="O390">
        <v>8.1999999999999993</v>
      </c>
      <c r="P390">
        <v>4.4000000000000004</v>
      </c>
      <c r="Q390">
        <v>2.8</v>
      </c>
      <c r="R390">
        <v>4</v>
      </c>
      <c r="S390">
        <v>2</v>
      </c>
      <c r="T390">
        <v>1</v>
      </c>
      <c r="U390" t="s">
        <v>23</v>
      </c>
      <c r="V390">
        <v>2</v>
      </c>
      <c r="W390">
        <f>COUNTIF($A$2:A390,A390)</f>
        <v>1</v>
      </c>
    </row>
    <row r="391" spans="1:23" x14ac:dyDescent="0.35">
      <c r="A391" t="s">
        <v>266</v>
      </c>
      <c r="B391" s="2">
        <v>45729</v>
      </c>
      <c r="D391" t="s">
        <v>23</v>
      </c>
      <c r="E391">
        <v>39</v>
      </c>
      <c r="F391" t="s">
        <v>62</v>
      </c>
      <c r="G391" t="s">
        <v>37</v>
      </c>
      <c r="H391" t="s">
        <v>32</v>
      </c>
      <c r="I391" t="s">
        <v>55</v>
      </c>
      <c r="J391" t="s">
        <v>179</v>
      </c>
      <c r="K391">
        <v>3</v>
      </c>
      <c r="L391" t="s">
        <v>50</v>
      </c>
      <c r="M391">
        <v>82000</v>
      </c>
      <c r="N391">
        <v>15</v>
      </c>
      <c r="O391">
        <v>3.5</v>
      </c>
      <c r="P391">
        <v>0.8</v>
      </c>
      <c r="Q391">
        <v>0</v>
      </c>
      <c r="R391">
        <v>3</v>
      </c>
      <c r="S391">
        <v>4</v>
      </c>
      <c r="T391">
        <v>1</v>
      </c>
      <c r="U391" t="s">
        <v>23</v>
      </c>
      <c r="V391">
        <v>4</v>
      </c>
      <c r="W391">
        <f>COUNTIF($A$2:A391,A391)</f>
        <v>1</v>
      </c>
    </row>
    <row r="392" spans="1:23" x14ac:dyDescent="0.35">
      <c r="A392" t="s">
        <v>453</v>
      </c>
      <c r="B392" s="2">
        <v>44907</v>
      </c>
      <c r="D392" t="s">
        <v>23</v>
      </c>
      <c r="E392">
        <v>33</v>
      </c>
      <c r="F392" t="s">
        <v>24</v>
      </c>
      <c r="G392" t="s">
        <v>25</v>
      </c>
      <c r="H392" t="s">
        <v>54</v>
      </c>
      <c r="I392" t="s">
        <v>48</v>
      </c>
      <c r="J392" t="s">
        <v>63</v>
      </c>
      <c r="K392">
        <v>1</v>
      </c>
      <c r="L392" t="s">
        <v>40</v>
      </c>
      <c r="M392">
        <v>28000</v>
      </c>
      <c r="N392">
        <v>0</v>
      </c>
      <c r="O392">
        <v>9</v>
      </c>
      <c r="P392">
        <v>3.1</v>
      </c>
      <c r="Q392">
        <v>2.8</v>
      </c>
      <c r="R392">
        <v>3</v>
      </c>
      <c r="S392">
        <v>2</v>
      </c>
      <c r="T392">
        <v>2</v>
      </c>
      <c r="U392" t="s">
        <v>23</v>
      </c>
      <c r="V392">
        <v>3</v>
      </c>
      <c r="W392">
        <f>COUNTIF($A$2:A392,A392)</f>
        <v>1</v>
      </c>
    </row>
    <row r="393" spans="1:23" x14ac:dyDescent="0.35">
      <c r="A393" t="s">
        <v>924</v>
      </c>
      <c r="B393" s="2">
        <v>43413</v>
      </c>
      <c r="D393" t="s">
        <v>23</v>
      </c>
      <c r="E393">
        <v>38</v>
      </c>
      <c r="F393" t="s">
        <v>36</v>
      </c>
      <c r="G393" t="s">
        <v>42</v>
      </c>
      <c r="H393" t="s">
        <v>32</v>
      </c>
      <c r="I393" t="s">
        <v>48</v>
      </c>
      <c r="J393" t="s">
        <v>49</v>
      </c>
      <c r="K393">
        <v>1</v>
      </c>
      <c r="L393" t="s">
        <v>84</v>
      </c>
      <c r="M393">
        <v>32000</v>
      </c>
      <c r="N393">
        <v>9.3000000000000007</v>
      </c>
      <c r="O393">
        <v>12</v>
      </c>
      <c r="P393">
        <v>7.1</v>
      </c>
      <c r="Q393">
        <v>1.1000000000000001</v>
      </c>
      <c r="R393">
        <v>3</v>
      </c>
      <c r="S393">
        <v>3</v>
      </c>
      <c r="T393">
        <v>3</v>
      </c>
      <c r="U393" t="s">
        <v>30</v>
      </c>
      <c r="V393">
        <v>3</v>
      </c>
      <c r="W393">
        <f>COUNTIF($A$2:A393,A393)</f>
        <v>1</v>
      </c>
    </row>
    <row r="394" spans="1:23" x14ac:dyDescent="0.35">
      <c r="A394" t="s">
        <v>537</v>
      </c>
      <c r="B394" s="2">
        <v>45483</v>
      </c>
      <c r="D394" t="s">
        <v>23</v>
      </c>
      <c r="E394">
        <v>22</v>
      </c>
      <c r="F394" t="s">
        <v>62</v>
      </c>
      <c r="G394" t="s">
        <v>25</v>
      </c>
      <c r="H394" t="s">
        <v>32</v>
      </c>
      <c r="I394" t="s">
        <v>55</v>
      </c>
      <c r="J394" t="s">
        <v>56</v>
      </c>
      <c r="K394">
        <v>1</v>
      </c>
      <c r="L394" t="s">
        <v>66</v>
      </c>
      <c r="M394">
        <v>34000</v>
      </c>
      <c r="N394">
        <v>12.2</v>
      </c>
      <c r="O394">
        <v>5.0999999999999996</v>
      </c>
      <c r="P394">
        <v>1.5</v>
      </c>
      <c r="Q394">
        <v>0.3</v>
      </c>
      <c r="R394">
        <v>2</v>
      </c>
      <c r="S394">
        <v>3</v>
      </c>
      <c r="T394">
        <v>4</v>
      </c>
      <c r="U394" t="s">
        <v>30</v>
      </c>
      <c r="V394">
        <v>4</v>
      </c>
      <c r="W394">
        <f>COUNTIF($A$2:A394,A394)</f>
        <v>1</v>
      </c>
    </row>
    <row r="395" spans="1:23" x14ac:dyDescent="0.35">
      <c r="A395" t="s">
        <v>1112</v>
      </c>
      <c r="B395" s="2">
        <v>42251</v>
      </c>
      <c r="D395" t="s">
        <v>23</v>
      </c>
      <c r="E395">
        <v>35</v>
      </c>
      <c r="F395" t="s">
        <v>36</v>
      </c>
      <c r="G395" t="s">
        <v>42</v>
      </c>
      <c r="H395" t="s">
        <v>32</v>
      </c>
      <c r="I395" t="s">
        <v>27</v>
      </c>
      <c r="J395" t="s">
        <v>95</v>
      </c>
      <c r="K395">
        <v>1</v>
      </c>
      <c r="L395" t="s">
        <v>66</v>
      </c>
      <c r="M395">
        <v>22000</v>
      </c>
      <c r="N395">
        <v>10.9</v>
      </c>
      <c r="O395">
        <v>17</v>
      </c>
      <c r="P395">
        <v>10.3</v>
      </c>
      <c r="Q395">
        <v>1.7</v>
      </c>
      <c r="R395">
        <v>4</v>
      </c>
      <c r="S395">
        <v>3</v>
      </c>
      <c r="T395">
        <v>3</v>
      </c>
      <c r="U395" t="s">
        <v>23</v>
      </c>
      <c r="V395">
        <v>3</v>
      </c>
      <c r="W395">
        <f>COUNTIF($A$2:A395,A395)</f>
        <v>1</v>
      </c>
    </row>
    <row r="396" spans="1:23" x14ac:dyDescent="0.35">
      <c r="A396" t="s">
        <v>1236</v>
      </c>
      <c r="B396" s="2">
        <v>45654</v>
      </c>
      <c r="D396" t="s">
        <v>23</v>
      </c>
      <c r="E396">
        <v>22</v>
      </c>
      <c r="F396" t="s">
        <v>24</v>
      </c>
      <c r="G396" t="s">
        <v>42</v>
      </c>
      <c r="H396" t="s">
        <v>54</v>
      </c>
      <c r="I396" t="s">
        <v>55</v>
      </c>
      <c r="J396" t="s">
        <v>56</v>
      </c>
      <c r="K396">
        <v>1</v>
      </c>
      <c r="L396" t="s">
        <v>40</v>
      </c>
      <c r="M396">
        <v>50000</v>
      </c>
      <c r="N396">
        <v>6.1</v>
      </c>
      <c r="O396">
        <v>5</v>
      </c>
      <c r="P396">
        <v>1</v>
      </c>
      <c r="Q396">
        <v>0.4</v>
      </c>
      <c r="R396">
        <v>4</v>
      </c>
      <c r="S396">
        <v>3</v>
      </c>
      <c r="T396">
        <v>4</v>
      </c>
      <c r="U396" t="s">
        <v>30</v>
      </c>
      <c r="V396">
        <v>4</v>
      </c>
      <c r="W396">
        <f>COUNTIF($A$2:A396,A396)</f>
        <v>1</v>
      </c>
    </row>
    <row r="397" spans="1:23" x14ac:dyDescent="0.35">
      <c r="A397" t="s">
        <v>1373</v>
      </c>
      <c r="B397" s="2">
        <v>44175</v>
      </c>
      <c r="D397" t="s">
        <v>23</v>
      </c>
      <c r="E397">
        <v>34</v>
      </c>
      <c r="F397" t="s">
        <v>62</v>
      </c>
      <c r="G397" t="s">
        <v>25</v>
      </c>
      <c r="H397" t="s">
        <v>26</v>
      </c>
      <c r="I397" t="s">
        <v>38</v>
      </c>
      <c r="J397" t="s">
        <v>118</v>
      </c>
      <c r="K397">
        <v>3</v>
      </c>
      <c r="L397" t="s">
        <v>34</v>
      </c>
      <c r="M397">
        <v>97000</v>
      </c>
      <c r="N397">
        <v>4.9000000000000004</v>
      </c>
      <c r="O397">
        <v>13</v>
      </c>
      <c r="P397">
        <v>5.0999999999999996</v>
      </c>
      <c r="Q397">
        <v>0.1</v>
      </c>
      <c r="R397">
        <v>3</v>
      </c>
      <c r="S397">
        <v>3</v>
      </c>
      <c r="T397">
        <v>2</v>
      </c>
      <c r="U397" t="s">
        <v>30</v>
      </c>
      <c r="V397">
        <v>3</v>
      </c>
      <c r="W397">
        <f>COUNTIF($A$2:A397,A397)</f>
        <v>1</v>
      </c>
    </row>
    <row r="398" spans="1:23" x14ac:dyDescent="0.35">
      <c r="A398" t="s">
        <v>181</v>
      </c>
      <c r="B398" s="2">
        <v>44181</v>
      </c>
      <c r="D398" t="s">
        <v>23</v>
      </c>
      <c r="E398">
        <v>36</v>
      </c>
      <c r="F398" t="s">
        <v>24</v>
      </c>
      <c r="G398" t="s">
        <v>42</v>
      </c>
      <c r="H398" t="s">
        <v>54</v>
      </c>
      <c r="I398" t="s">
        <v>48</v>
      </c>
      <c r="J398" t="s">
        <v>49</v>
      </c>
      <c r="K398">
        <v>4</v>
      </c>
      <c r="L398" t="s">
        <v>84</v>
      </c>
      <c r="M398">
        <v>121000</v>
      </c>
      <c r="N398">
        <v>9.6999999999999993</v>
      </c>
      <c r="O398">
        <v>10.1</v>
      </c>
      <c r="P398">
        <v>5</v>
      </c>
      <c r="Q398">
        <v>4.3</v>
      </c>
      <c r="R398">
        <v>3</v>
      </c>
      <c r="S398">
        <v>2</v>
      </c>
      <c r="T398">
        <v>4</v>
      </c>
      <c r="U398" t="s">
        <v>23</v>
      </c>
      <c r="V398">
        <v>3</v>
      </c>
      <c r="W398">
        <f>COUNTIF($A$2:A398,A398)</f>
        <v>1</v>
      </c>
    </row>
    <row r="399" spans="1:23" x14ac:dyDescent="0.35">
      <c r="A399" t="s">
        <v>611</v>
      </c>
      <c r="B399" s="2">
        <v>43985</v>
      </c>
      <c r="D399" t="s">
        <v>23</v>
      </c>
      <c r="E399">
        <v>27</v>
      </c>
      <c r="F399" t="s">
        <v>36</v>
      </c>
      <c r="G399" t="s">
        <v>42</v>
      </c>
      <c r="H399" t="s">
        <v>26</v>
      </c>
      <c r="I399" t="s">
        <v>45</v>
      </c>
      <c r="J399" t="s">
        <v>97</v>
      </c>
      <c r="K399">
        <v>1</v>
      </c>
      <c r="L399" t="s">
        <v>84</v>
      </c>
      <c r="M399">
        <v>32000</v>
      </c>
      <c r="N399">
        <v>4.7</v>
      </c>
      <c r="O399">
        <v>6</v>
      </c>
      <c r="P399">
        <v>5.6</v>
      </c>
      <c r="Q399">
        <v>5.3</v>
      </c>
      <c r="R399">
        <v>4</v>
      </c>
      <c r="S399">
        <v>3</v>
      </c>
      <c r="T399">
        <v>4</v>
      </c>
      <c r="U399" t="s">
        <v>30</v>
      </c>
      <c r="V399">
        <v>2</v>
      </c>
      <c r="W399">
        <f>COUNTIF($A$2:A399,A399)</f>
        <v>1</v>
      </c>
    </row>
    <row r="400" spans="1:23" x14ac:dyDescent="0.35">
      <c r="A400" t="s">
        <v>1165</v>
      </c>
      <c r="B400" s="2">
        <v>42901</v>
      </c>
      <c r="C400" s="2">
        <v>45829</v>
      </c>
      <c r="D400" t="s">
        <v>30</v>
      </c>
      <c r="E400">
        <v>36</v>
      </c>
      <c r="F400" t="s">
        <v>62</v>
      </c>
      <c r="G400" t="s">
        <v>37</v>
      </c>
      <c r="H400" t="s">
        <v>32</v>
      </c>
      <c r="I400" t="s">
        <v>68</v>
      </c>
      <c r="J400" t="s">
        <v>109</v>
      </c>
      <c r="K400">
        <v>3</v>
      </c>
      <c r="L400" t="s">
        <v>84</v>
      </c>
      <c r="M400">
        <v>85000</v>
      </c>
      <c r="N400">
        <v>0</v>
      </c>
      <c r="O400">
        <v>9.9</v>
      </c>
      <c r="P400">
        <v>8</v>
      </c>
      <c r="Q400">
        <v>0.7</v>
      </c>
      <c r="R400">
        <v>4</v>
      </c>
      <c r="S400">
        <v>3</v>
      </c>
      <c r="T400">
        <v>4</v>
      </c>
      <c r="U400" t="s">
        <v>23</v>
      </c>
      <c r="V400">
        <v>4</v>
      </c>
      <c r="W400">
        <f>COUNTIF($A$2:A400,A400)</f>
        <v>1</v>
      </c>
    </row>
    <row r="401" spans="1:23" x14ac:dyDescent="0.35">
      <c r="A401" t="s">
        <v>853</v>
      </c>
      <c r="B401" s="2">
        <v>44106</v>
      </c>
      <c r="D401" t="s">
        <v>23</v>
      </c>
      <c r="E401">
        <v>37</v>
      </c>
      <c r="F401" t="s">
        <v>36</v>
      </c>
      <c r="G401" t="s">
        <v>42</v>
      </c>
      <c r="H401" t="s">
        <v>58</v>
      </c>
      <c r="I401" t="s">
        <v>68</v>
      </c>
      <c r="J401" t="s">
        <v>69</v>
      </c>
      <c r="K401">
        <v>3</v>
      </c>
      <c r="L401" t="s">
        <v>29</v>
      </c>
      <c r="M401">
        <v>95000</v>
      </c>
      <c r="N401">
        <v>9.1</v>
      </c>
      <c r="O401">
        <v>9.3000000000000007</v>
      </c>
      <c r="P401">
        <v>5.2</v>
      </c>
      <c r="Q401">
        <v>4.3</v>
      </c>
      <c r="R401">
        <v>3</v>
      </c>
      <c r="S401">
        <v>3</v>
      </c>
      <c r="T401">
        <v>3</v>
      </c>
      <c r="U401" t="s">
        <v>30</v>
      </c>
      <c r="V401">
        <v>4</v>
      </c>
      <c r="W401">
        <f>COUNTIF($A$2:A401,A401)</f>
        <v>1</v>
      </c>
    </row>
    <row r="402" spans="1:23" x14ac:dyDescent="0.35">
      <c r="A402" t="s">
        <v>275</v>
      </c>
      <c r="B402" s="2">
        <v>42135</v>
      </c>
      <c r="D402" t="s">
        <v>23</v>
      </c>
      <c r="E402">
        <v>32</v>
      </c>
      <c r="F402" t="s">
        <v>24</v>
      </c>
      <c r="G402" t="s">
        <v>37</v>
      </c>
      <c r="H402" t="s">
        <v>26</v>
      </c>
      <c r="I402" t="s">
        <v>45</v>
      </c>
      <c r="J402" t="s">
        <v>164</v>
      </c>
      <c r="K402">
        <v>2</v>
      </c>
      <c r="L402" t="s">
        <v>84</v>
      </c>
      <c r="M402">
        <v>62000</v>
      </c>
      <c r="N402">
        <v>6.4</v>
      </c>
      <c r="O402">
        <v>18.3</v>
      </c>
      <c r="P402">
        <v>10.6</v>
      </c>
      <c r="Q402">
        <v>0.5</v>
      </c>
      <c r="R402">
        <v>3</v>
      </c>
      <c r="S402">
        <v>2</v>
      </c>
      <c r="T402">
        <v>2</v>
      </c>
      <c r="U402" t="s">
        <v>30</v>
      </c>
      <c r="V402">
        <v>2</v>
      </c>
      <c r="W402">
        <f>COUNTIF($A$2:A402,A402)</f>
        <v>1</v>
      </c>
    </row>
    <row r="403" spans="1:23" x14ac:dyDescent="0.35">
      <c r="A403" t="s">
        <v>461</v>
      </c>
      <c r="B403" s="2">
        <v>44424</v>
      </c>
      <c r="D403" t="s">
        <v>23</v>
      </c>
      <c r="E403">
        <v>30</v>
      </c>
      <c r="F403" t="s">
        <v>62</v>
      </c>
      <c r="G403" t="s">
        <v>42</v>
      </c>
      <c r="H403" t="s">
        <v>58</v>
      </c>
      <c r="I403" t="s">
        <v>48</v>
      </c>
      <c r="J403" t="s">
        <v>49</v>
      </c>
      <c r="K403">
        <v>3</v>
      </c>
      <c r="L403" t="s">
        <v>34</v>
      </c>
      <c r="M403">
        <v>71000</v>
      </c>
      <c r="N403">
        <v>9.5</v>
      </c>
      <c r="O403">
        <v>4.5999999999999996</v>
      </c>
      <c r="P403">
        <v>4.4000000000000004</v>
      </c>
      <c r="Q403">
        <v>3.5</v>
      </c>
      <c r="R403">
        <v>1</v>
      </c>
      <c r="S403">
        <v>4</v>
      </c>
      <c r="T403">
        <v>3</v>
      </c>
      <c r="U403" t="s">
        <v>23</v>
      </c>
      <c r="V403">
        <v>3</v>
      </c>
      <c r="W403">
        <f>COUNTIF($A$2:A403,A403)</f>
        <v>1</v>
      </c>
    </row>
    <row r="404" spans="1:23" x14ac:dyDescent="0.35">
      <c r="A404" t="s">
        <v>1205</v>
      </c>
      <c r="B404" s="2">
        <v>43489</v>
      </c>
      <c r="D404" t="s">
        <v>23</v>
      </c>
      <c r="E404">
        <v>35</v>
      </c>
      <c r="F404" t="s">
        <v>36</v>
      </c>
      <c r="G404" t="s">
        <v>42</v>
      </c>
      <c r="H404" t="s">
        <v>32</v>
      </c>
      <c r="I404" t="s">
        <v>27</v>
      </c>
      <c r="J404" t="s">
        <v>33</v>
      </c>
      <c r="K404">
        <v>3</v>
      </c>
      <c r="L404" t="s">
        <v>66</v>
      </c>
      <c r="M404">
        <v>71000</v>
      </c>
      <c r="N404">
        <v>7.8</v>
      </c>
      <c r="O404">
        <v>8.6999999999999993</v>
      </c>
      <c r="P404">
        <v>6.9</v>
      </c>
      <c r="Q404">
        <v>2.2000000000000002</v>
      </c>
      <c r="R404">
        <v>3</v>
      </c>
      <c r="S404">
        <v>3</v>
      </c>
      <c r="T404">
        <v>4</v>
      </c>
      <c r="U404" t="s">
        <v>23</v>
      </c>
      <c r="V404">
        <v>2</v>
      </c>
      <c r="W404">
        <f>COUNTIF($A$2:A404,A404)</f>
        <v>1</v>
      </c>
    </row>
    <row r="405" spans="1:23" x14ac:dyDescent="0.35">
      <c r="A405" t="s">
        <v>416</v>
      </c>
      <c r="B405" s="2">
        <v>45164</v>
      </c>
      <c r="D405" t="s">
        <v>23</v>
      </c>
      <c r="E405">
        <v>39</v>
      </c>
      <c r="F405" t="s">
        <v>36</v>
      </c>
      <c r="G405" t="s">
        <v>37</v>
      </c>
      <c r="H405" t="s">
        <v>32</v>
      </c>
      <c r="I405" t="s">
        <v>55</v>
      </c>
      <c r="J405" t="s">
        <v>88</v>
      </c>
      <c r="K405">
        <v>2</v>
      </c>
      <c r="M405">
        <v>61000</v>
      </c>
      <c r="N405">
        <v>8.3000000000000007</v>
      </c>
      <c r="O405">
        <v>3.6</v>
      </c>
      <c r="P405">
        <v>2.2999999999999998</v>
      </c>
      <c r="Q405">
        <v>0.3</v>
      </c>
      <c r="R405">
        <v>4</v>
      </c>
      <c r="S405">
        <v>4</v>
      </c>
      <c r="T405">
        <v>3</v>
      </c>
      <c r="U405" t="s">
        <v>23</v>
      </c>
      <c r="V405">
        <v>3</v>
      </c>
      <c r="W405">
        <f>COUNTIF($A$2:A405,A405)</f>
        <v>1</v>
      </c>
    </row>
    <row r="406" spans="1:23" x14ac:dyDescent="0.35">
      <c r="A406" t="s">
        <v>1352</v>
      </c>
      <c r="B406" s="2">
        <v>41733</v>
      </c>
      <c r="D406" t="s">
        <v>23</v>
      </c>
      <c r="E406">
        <v>35</v>
      </c>
      <c r="F406" t="s">
        <v>36</v>
      </c>
      <c r="H406" t="s">
        <v>32</v>
      </c>
      <c r="I406" t="s">
        <v>45</v>
      </c>
      <c r="J406" t="s">
        <v>164</v>
      </c>
      <c r="K406">
        <v>3</v>
      </c>
      <c r="L406" t="s">
        <v>50</v>
      </c>
      <c r="M406">
        <v>65000</v>
      </c>
      <c r="N406">
        <v>7.3</v>
      </c>
      <c r="O406">
        <v>16</v>
      </c>
      <c r="P406">
        <v>11.7</v>
      </c>
      <c r="Q406">
        <v>0.7</v>
      </c>
      <c r="R406">
        <v>3</v>
      </c>
      <c r="S406">
        <v>1</v>
      </c>
      <c r="T406">
        <v>4</v>
      </c>
      <c r="U406" t="s">
        <v>30</v>
      </c>
      <c r="V406">
        <v>4</v>
      </c>
      <c r="W406">
        <f>COUNTIF($A$2:A406,A406)</f>
        <v>1</v>
      </c>
    </row>
    <row r="407" spans="1:23" x14ac:dyDescent="0.35">
      <c r="A407" t="s">
        <v>371</v>
      </c>
      <c r="B407" s="2">
        <v>44650</v>
      </c>
      <c r="D407" t="s">
        <v>23</v>
      </c>
      <c r="E407">
        <v>34</v>
      </c>
      <c r="F407" t="s">
        <v>36</v>
      </c>
      <c r="G407" t="s">
        <v>25</v>
      </c>
      <c r="H407" t="s">
        <v>26</v>
      </c>
      <c r="I407" t="s">
        <v>45</v>
      </c>
      <c r="J407" t="s">
        <v>77</v>
      </c>
      <c r="K407">
        <v>3</v>
      </c>
      <c r="L407" t="s">
        <v>29</v>
      </c>
      <c r="M407">
        <v>59000</v>
      </c>
      <c r="N407">
        <v>12.7</v>
      </c>
      <c r="O407">
        <v>11.7</v>
      </c>
      <c r="P407">
        <v>3.8</v>
      </c>
      <c r="Q407">
        <v>2.5</v>
      </c>
      <c r="R407">
        <v>4</v>
      </c>
      <c r="S407">
        <v>4</v>
      </c>
      <c r="T407">
        <v>3</v>
      </c>
      <c r="U407" t="s">
        <v>23</v>
      </c>
      <c r="V407">
        <v>5</v>
      </c>
      <c r="W407">
        <f>COUNTIF($A$2:A407,A407)</f>
        <v>1</v>
      </c>
    </row>
    <row r="408" spans="1:23" x14ac:dyDescent="0.35">
      <c r="A408" t="s">
        <v>1330</v>
      </c>
      <c r="B408" s="2">
        <v>43558</v>
      </c>
      <c r="D408" t="s">
        <v>23</v>
      </c>
      <c r="E408">
        <v>46</v>
      </c>
      <c r="F408" t="s">
        <v>24</v>
      </c>
      <c r="G408" t="s">
        <v>42</v>
      </c>
      <c r="H408" t="s">
        <v>32</v>
      </c>
      <c r="I408" t="s">
        <v>48</v>
      </c>
      <c r="J408" t="s">
        <v>63</v>
      </c>
      <c r="K408">
        <v>2</v>
      </c>
      <c r="L408" t="s">
        <v>50</v>
      </c>
      <c r="M408">
        <v>65000</v>
      </c>
      <c r="N408">
        <v>7.2</v>
      </c>
      <c r="O408">
        <v>10.3</v>
      </c>
      <c r="P408">
        <v>6.7</v>
      </c>
      <c r="Q408">
        <v>0.6</v>
      </c>
      <c r="R408">
        <v>3</v>
      </c>
      <c r="S408">
        <v>1</v>
      </c>
      <c r="T408">
        <v>3</v>
      </c>
      <c r="U408" t="s">
        <v>23</v>
      </c>
      <c r="V408">
        <v>4</v>
      </c>
      <c r="W408">
        <f>COUNTIF($A$2:A408,A408)</f>
        <v>1</v>
      </c>
    </row>
    <row r="409" spans="1:23" x14ac:dyDescent="0.35">
      <c r="A409" t="s">
        <v>529</v>
      </c>
      <c r="B409" s="2">
        <v>41821</v>
      </c>
      <c r="D409" t="s">
        <v>23</v>
      </c>
      <c r="E409">
        <v>33</v>
      </c>
      <c r="F409" t="s">
        <v>62</v>
      </c>
      <c r="G409" t="s">
        <v>42</v>
      </c>
      <c r="H409" t="s">
        <v>58</v>
      </c>
      <c r="I409" t="s">
        <v>38</v>
      </c>
      <c r="J409" t="s">
        <v>52</v>
      </c>
      <c r="K409">
        <v>3</v>
      </c>
      <c r="L409" t="s">
        <v>34</v>
      </c>
      <c r="M409">
        <v>94000</v>
      </c>
      <c r="N409">
        <v>10.9</v>
      </c>
      <c r="O409">
        <v>16.3</v>
      </c>
      <c r="P409">
        <v>11.5</v>
      </c>
      <c r="Q409">
        <v>3.1</v>
      </c>
      <c r="R409">
        <v>3</v>
      </c>
      <c r="S409">
        <v>1</v>
      </c>
      <c r="T409">
        <v>3</v>
      </c>
      <c r="U409" t="s">
        <v>23</v>
      </c>
      <c r="V409">
        <v>3</v>
      </c>
      <c r="W409">
        <f>COUNTIF($A$2:A409,A409)</f>
        <v>1</v>
      </c>
    </row>
    <row r="410" spans="1:23" x14ac:dyDescent="0.35">
      <c r="A410" t="s">
        <v>613</v>
      </c>
      <c r="B410" s="2">
        <v>44925</v>
      </c>
      <c r="C410" s="2">
        <v>45885</v>
      </c>
      <c r="D410" t="s">
        <v>30</v>
      </c>
      <c r="E410">
        <v>28</v>
      </c>
      <c r="F410" t="s">
        <v>36</v>
      </c>
      <c r="G410" t="s">
        <v>25</v>
      </c>
      <c r="H410" t="s">
        <v>54</v>
      </c>
      <c r="I410" t="s">
        <v>68</v>
      </c>
      <c r="J410" t="s">
        <v>102</v>
      </c>
      <c r="K410">
        <v>2</v>
      </c>
      <c r="L410" t="s">
        <v>40</v>
      </c>
      <c r="M410">
        <v>62000</v>
      </c>
      <c r="N410">
        <v>7.7</v>
      </c>
      <c r="O410">
        <v>8.6</v>
      </c>
      <c r="P410">
        <v>2.6</v>
      </c>
      <c r="Q410">
        <v>1.1000000000000001</v>
      </c>
      <c r="R410">
        <v>4</v>
      </c>
      <c r="S410">
        <v>3</v>
      </c>
      <c r="T410">
        <v>2</v>
      </c>
      <c r="U410" t="s">
        <v>334</v>
      </c>
      <c r="V410">
        <v>4</v>
      </c>
      <c r="W410">
        <f>COUNTIF($A$2:A410,A410)</f>
        <v>1</v>
      </c>
    </row>
    <row r="411" spans="1:23" x14ac:dyDescent="0.35">
      <c r="A411" t="s">
        <v>1113</v>
      </c>
      <c r="B411" s="2">
        <v>45614</v>
      </c>
      <c r="D411" t="s">
        <v>23</v>
      </c>
      <c r="E411">
        <v>26</v>
      </c>
      <c r="F411" t="s">
        <v>62</v>
      </c>
      <c r="G411" t="s">
        <v>42</v>
      </c>
      <c r="H411" t="s">
        <v>54</v>
      </c>
      <c r="I411" t="s">
        <v>59</v>
      </c>
      <c r="J411" t="s">
        <v>75</v>
      </c>
      <c r="K411">
        <v>1</v>
      </c>
      <c r="L411" t="s">
        <v>40</v>
      </c>
      <c r="M411">
        <v>37000</v>
      </c>
      <c r="N411">
        <v>17.3</v>
      </c>
      <c r="O411">
        <v>3.8</v>
      </c>
      <c r="P411">
        <v>1.1000000000000001</v>
      </c>
      <c r="Q411">
        <v>1</v>
      </c>
      <c r="R411">
        <v>4</v>
      </c>
      <c r="S411">
        <v>3</v>
      </c>
      <c r="T411">
        <v>3</v>
      </c>
      <c r="U411" t="s">
        <v>23</v>
      </c>
      <c r="V411">
        <v>1</v>
      </c>
      <c r="W411">
        <f>COUNTIF($A$2:A411,A411)</f>
        <v>1</v>
      </c>
    </row>
    <row r="412" spans="1:23" x14ac:dyDescent="0.35">
      <c r="A412" t="s">
        <v>1220</v>
      </c>
      <c r="B412" s="2">
        <v>42685</v>
      </c>
      <c r="D412" t="s">
        <v>23</v>
      </c>
      <c r="E412">
        <v>33</v>
      </c>
      <c r="F412" t="s">
        <v>62</v>
      </c>
      <c r="G412" t="s">
        <v>25</v>
      </c>
      <c r="H412" t="s">
        <v>54</v>
      </c>
      <c r="I412" t="s">
        <v>27</v>
      </c>
      <c r="J412" t="s">
        <v>33</v>
      </c>
      <c r="K412">
        <v>3</v>
      </c>
      <c r="L412" t="s">
        <v>40</v>
      </c>
      <c r="M412">
        <v>86000</v>
      </c>
      <c r="N412">
        <v>8.6999999999999993</v>
      </c>
      <c r="O412">
        <v>13.6</v>
      </c>
      <c r="P412">
        <v>9.1</v>
      </c>
      <c r="Q412">
        <v>0.3</v>
      </c>
      <c r="R412">
        <v>2</v>
      </c>
      <c r="S412">
        <v>4</v>
      </c>
      <c r="T412">
        <v>4</v>
      </c>
      <c r="U412" t="s">
        <v>30</v>
      </c>
      <c r="V412">
        <v>3</v>
      </c>
      <c r="W412">
        <f>COUNTIF($A$2:A412,A412)</f>
        <v>1</v>
      </c>
    </row>
    <row r="413" spans="1:23" x14ac:dyDescent="0.35">
      <c r="A413" t="s">
        <v>1018</v>
      </c>
      <c r="B413" s="2">
        <v>45592</v>
      </c>
      <c r="D413" t="s">
        <v>23</v>
      </c>
      <c r="E413">
        <v>26</v>
      </c>
      <c r="F413" t="s">
        <v>62</v>
      </c>
      <c r="G413" t="s">
        <v>37</v>
      </c>
      <c r="H413" t="s">
        <v>26</v>
      </c>
      <c r="I413" t="s">
        <v>38</v>
      </c>
      <c r="J413" t="s">
        <v>118</v>
      </c>
      <c r="K413">
        <v>1</v>
      </c>
      <c r="L413" t="s">
        <v>50</v>
      </c>
      <c r="M413">
        <v>42000</v>
      </c>
      <c r="N413">
        <v>8.3000000000000007</v>
      </c>
      <c r="O413">
        <v>2.2000000000000002</v>
      </c>
      <c r="P413">
        <v>1.2</v>
      </c>
      <c r="Q413">
        <v>0.8</v>
      </c>
      <c r="R413">
        <v>3</v>
      </c>
      <c r="S413">
        <v>3</v>
      </c>
      <c r="T413">
        <v>2</v>
      </c>
      <c r="U413" t="s">
        <v>23</v>
      </c>
      <c r="V413">
        <v>5</v>
      </c>
      <c r="W413">
        <f>COUNTIF($A$2:A413,A413)</f>
        <v>1</v>
      </c>
    </row>
    <row r="414" spans="1:23" x14ac:dyDescent="0.35">
      <c r="A414" t="s">
        <v>149</v>
      </c>
      <c r="B414" s="2">
        <v>41765</v>
      </c>
      <c r="D414" t="s">
        <v>23</v>
      </c>
      <c r="E414">
        <v>41</v>
      </c>
      <c r="F414" t="s">
        <v>36</v>
      </c>
      <c r="G414" t="s">
        <v>25</v>
      </c>
      <c r="H414" t="s">
        <v>26</v>
      </c>
      <c r="I414" t="s">
        <v>59</v>
      </c>
      <c r="J414" t="s">
        <v>150</v>
      </c>
      <c r="K414">
        <v>3</v>
      </c>
      <c r="L414" t="s">
        <v>84</v>
      </c>
      <c r="M414">
        <v>99000</v>
      </c>
      <c r="N414">
        <v>11.3</v>
      </c>
      <c r="O414">
        <v>15.1</v>
      </c>
      <c r="P414">
        <v>11.7</v>
      </c>
      <c r="Q414">
        <v>1.5</v>
      </c>
      <c r="R414">
        <v>3</v>
      </c>
      <c r="S414">
        <v>3</v>
      </c>
      <c r="T414">
        <v>4</v>
      </c>
      <c r="U414" t="s">
        <v>23</v>
      </c>
      <c r="V414">
        <v>4</v>
      </c>
      <c r="W414">
        <f>COUNTIF($A$2:A414,A414)</f>
        <v>1</v>
      </c>
    </row>
    <row r="415" spans="1:23" x14ac:dyDescent="0.35">
      <c r="A415" t="s">
        <v>1412</v>
      </c>
      <c r="B415" s="2">
        <v>43943</v>
      </c>
      <c r="C415" s="2">
        <v>45842</v>
      </c>
      <c r="D415" t="s">
        <v>30</v>
      </c>
      <c r="E415">
        <v>34</v>
      </c>
      <c r="F415" t="s">
        <v>24</v>
      </c>
      <c r="G415" t="s">
        <v>25</v>
      </c>
      <c r="H415" t="s">
        <v>32</v>
      </c>
      <c r="I415" t="s">
        <v>55</v>
      </c>
      <c r="J415" t="s">
        <v>56</v>
      </c>
      <c r="K415">
        <v>2</v>
      </c>
      <c r="L415" t="s">
        <v>29</v>
      </c>
      <c r="M415">
        <v>58000</v>
      </c>
      <c r="N415">
        <v>10.4</v>
      </c>
      <c r="O415">
        <v>8.6</v>
      </c>
      <c r="P415">
        <v>5.2</v>
      </c>
      <c r="Q415">
        <v>4.7</v>
      </c>
      <c r="R415">
        <v>3</v>
      </c>
      <c r="S415">
        <v>3</v>
      </c>
      <c r="T415">
        <v>3</v>
      </c>
      <c r="U415" t="s">
        <v>23</v>
      </c>
      <c r="V415">
        <v>4</v>
      </c>
      <c r="W415">
        <f>COUNTIF($A$2:A415,A415)</f>
        <v>1</v>
      </c>
    </row>
    <row r="416" spans="1:23" x14ac:dyDescent="0.35">
      <c r="A416" t="s">
        <v>843</v>
      </c>
      <c r="B416" s="2">
        <v>45199</v>
      </c>
      <c r="D416" t="s">
        <v>23</v>
      </c>
      <c r="E416">
        <v>34</v>
      </c>
      <c r="F416" t="s">
        <v>36</v>
      </c>
      <c r="G416" t="s">
        <v>37</v>
      </c>
      <c r="H416" t="s">
        <v>26</v>
      </c>
      <c r="I416" t="s">
        <v>55</v>
      </c>
      <c r="J416" t="s">
        <v>56</v>
      </c>
      <c r="K416">
        <v>3</v>
      </c>
      <c r="L416" t="s">
        <v>40</v>
      </c>
      <c r="M416">
        <v>101000</v>
      </c>
      <c r="N416">
        <v>5</v>
      </c>
      <c r="O416">
        <v>8.6999999999999993</v>
      </c>
      <c r="P416">
        <v>2.2999999999999998</v>
      </c>
      <c r="Q416">
        <v>0.6</v>
      </c>
      <c r="R416">
        <v>3</v>
      </c>
      <c r="S416">
        <v>3</v>
      </c>
      <c r="T416">
        <v>3</v>
      </c>
      <c r="U416" t="s">
        <v>23</v>
      </c>
      <c r="V416">
        <v>4</v>
      </c>
      <c r="W416">
        <f>COUNTIF($A$2:A416,A416)</f>
        <v>1</v>
      </c>
    </row>
    <row r="417" spans="1:23" x14ac:dyDescent="0.35">
      <c r="A417" t="s">
        <v>663</v>
      </c>
      <c r="B417" s="2">
        <v>43841</v>
      </c>
      <c r="C417" s="2">
        <v>45737</v>
      </c>
      <c r="D417" t="s">
        <v>30</v>
      </c>
      <c r="E417">
        <v>42</v>
      </c>
      <c r="F417" t="s">
        <v>62</v>
      </c>
      <c r="G417" t="s">
        <v>25</v>
      </c>
      <c r="H417" t="s">
        <v>26</v>
      </c>
      <c r="I417" t="s">
        <v>27</v>
      </c>
      <c r="J417" t="s">
        <v>28</v>
      </c>
      <c r="K417">
        <v>2</v>
      </c>
      <c r="L417" t="s">
        <v>34</v>
      </c>
      <c r="M417">
        <v>50000</v>
      </c>
      <c r="N417">
        <v>0.5</v>
      </c>
      <c r="O417">
        <v>9.1999999999999993</v>
      </c>
      <c r="P417">
        <v>5.2</v>
      </c>
      <c r="Q417">
        <v>4.3</v>
      </c>
      <c r="R417">
        <v>4</v>
      </c>
      <c r="S417">
        <v>4</v>
      </c>
      <c r="T417">
        <v>3</v>
      </c>
      <c r="U417" t="s">
        <v>23</v>
      </c>
      <c r="V417">
        <v>4</v>
      </c>
      <c r="W417">
        <f>COUNTIF($A$2:A417,A417)</f>
        <v>1</v>
      </c>
    </row>
    <row r="418" spans="1:23" x14ac:dyDescent="0.35">
      <c r="A418" t="s">
        <v>908</v>
      </c>
      <c r="B418" s="2">
        <v>45352</v>
      </c>
      <c r="D418" t="s">
        <v>23</v>
      </c>
      <c r="E418">
        <v>42</v>
      </c>
      <c r="F418" t="s">
        <v>24</v>
      </c>
      <c r="G418" t="s">
        <v>25</v>
      </c>
      <c r="H418" t="s">
        <v>58</v>
      </c>
      <c r="I418" t="s">
        <v>48</v>
      </c>
      <c r="J418" t="s">
        <v>63</v>
      </c>
      <c r="K418">
        <v>2</v>
      </c>
      <c r="L418" t="s">
        <v>50</v>
      </c>
      <c r="M418">
        <v>55000</v>
      </c>
      <c r="N418">
        <v>5</v>
      </c>
      <c r="O418">
        <v>2.9</v>
      </c>
      <c r="P418">
        <v>1.8</v>
      </c>
      <c r="Q418">
        <v>0.8</v>
      </c>
      <c r="R418">
        <v>3</v>
      </c>
      <c r="S418">
        <v>4</v>
      </c>
      <c r="T418">
        <v>3</v>
      </c>
      <c r="U418" t="s">
        <v>30</v>
      </c>
      <c r="V418">
        <v>5</v>
      </c>
      <c r="W418">
        <f>COUNTIF($A$2:A418,A418)</f>
        <v>1</v>
      </c>
    </row>
    <row r="419" spans="1:23" x14ac:dyDescent="0.35">
      <c r="A419" t="s">
        <v>1454</v>
      </c>
      <c r="B419" s="2">
        <v>42251</v>
      </c>
      <c r="C419" s="2">
        <v>45724</v>
      </c>
      <c r="D419" t="s">
        <v>30</v>
      </c>
      <c r="E419">
        <v>39</v>
      </c>
      <c r="F419" t="s">
        <v>36</v>
      </c>
      <c r="G419" t="s">
        <v>42</v>
      </c>
      <c r="H419" t="s">
        <v>26</v>
      </c>
      <c r="I419" t="s">
        <v>45</v>
      </c>
      <c r="J419" t="s">
        <v>164</v>
      </c>
      <c r="K419">
        <v>2</v>
      </c>
      <c r="L419" t="s">
        <v>40</v>
      </c>
      <c r="M419">
        <v>54000</v>
      </c>
      <c r="N419">
        <v>8</v>
      </c>
      <c r="O419">
        <v>17.399999999999999</v>
      </c>
      <c r="P419">
        <v>9.5</v>
      </c>
      <c r="Q419">
        <v>2.5</v>
      </c>
      <c r="R419">
        <v>2</v>
      </c>
      <c r="S419">
        <v>4</v>
      </c>
      <c r="T419">
        <v>2</v>
      </c>
      <c r="U419" t="s">
        <v>30</v>
      </c>
      <c r="V419">
        <v>1</v>
      </c>
      <c r="W419">
        <f>COUNTIF($A$2:A419,A419)</f>
        <v>1</v>
      </c>
    </row>
    <row r="420" spans="1:23" x14ac:dyDescent="0.35">
      <c r="A420" t="s">
        <v>936</v>
      </c>
      <c r="B420" s="2">
        <v>44094</v>
      </c>
      <c r="D420" t="s">
        <v>23</v>
      </c>
      <c r="E420">
        <v>30</v>
      </c>
      <c r="F420" t="s">
        <v>24</v>
      </c>
      <c r="G420" t="s">
        <v>25</v>
      </c>
      <c r="H420" t="s">
        <v>32</v>
      </c>
      <c r="I420" t="s">
        <v>38</v>
      </c>
      <c r="J420" t="s">
        <v>118</v>
      </c>
      <c r="K420">
        <v>3</v>
      </c>
      <c r="L420" t="s">
        <v>40</v>
      </c>
      <c r="M420">
        <v>78000</v>
      </c>
      <c r="N420">
        <v>15.5</v>
      </c>
      <c r="O420">
        <v>5.8</v>
      </c>
      <c r="P420">
        <v>5.3</v>
      </c>
      <c r="Q420">
        <v>3.5</v>
      </c>
      <c r="R420">
        <v>2</v>
      </c>
      <c r="S420">
        <v>4</v>
      </c>
      <c r="T420">
        <v>4</v>
      </c>
      <c r="U420" t="s">
        <v>30</v>
      </c>
      <c r="V420">
        <v>5</v>
      </c>
      <c r="W420">
        <f>COUNTIF($A$2:A420,A420)</f>
        <v>1</v>
      </c>
    </row>
    <row r="421" spans="1:23" x14ac:dyDescent="0.35">
      <c r="A421" t="s">
        <v>92</v>
      </c>
      <c r="B421" s="2">
        <v>45291</v>
      </c>
      <c r="D421" t="s">
        <v>23</v>
      </c>
      <c r="E421">
        <v>42</v>
      </c>
      <c r="F421" t="s">
        <v>24</v>
      </c>
      <c r="G421" t="s">
        <v>37</v>
      </c>
      <c r="H421" t="s">
        <v>26</v>
      </c>
      <c r="I421" t="s">
        <v>45</v>
      </c>
      <c r="J421" t="s">
        <v>77</v>
      </c>
      <c r="K421">
        <v>1</v>
      </c>
      <c r="L421" t="s">
        <v>66</v>
      </c>
      <c r="M421">
        <v>45000</v>
      </c>
      <c r="N421">
        <v>13</v>
      </c>
      <c r="O421">
        <v>4.8</v>
      </c>
      <c r="P421">
        <v>2</v>
      </c>
      <c r="Q421">
        <v>1.7</v>
      </c>
      <c r="R421">
        <v>3</v>
      </c>
      <c r="S421">
        <v>4</v>
      </c>
      <c r="T421">
        <v>3</v>
      </c>
      <c r="U421" t="s">
        <v>23</v>
      </c>
      <c r="V421">
        <v>3</v>
      </c>
      <c r="W421">
        <f>COUNTIF($A$2:A421,A421)</f>
        <v>1</v>
      </c>
    </row>
    <row r="422" spans="1:23" x14ac:dyDescent="0.35">
      <c r="A422" t="s">
        <v>596</v>
      </c>
      <c r="B422" s="2">
        <v>45179</v>
      </c>
      <c r="D422" t="s">
        <v>23</v>
      </c>
      <c r="E422">
        <v>36</v>
      </c>
      <c r="F422" t="s">
        <v>24</v>
      </c>
      <c r="G422" t="s">
        <v>42</v>
      </c>
      <c r="H422" t="s">
        <v>26</v>
      </c>
      <c r="I422" t="s">
        <v>55</v>
      </c>
      <c r="J422" t="s">
        <v>179</v>
      </c>
      <c r="K422">
        <v>5</v>
      </c>
      <c r="L422" t="s">
        <v>40</v>
      </c>
      <c r="M422">
        <v>179000</v>
      </c>
      <c r="N422">
        <v>5.4</v>
      </c>
      <c r="O422">
        <v>9.6999999999999993</v>
      </c>
      <c r="P422">
        <v>2.2999999999999998</v>
      </c>
      <c r="Q422">
        <v>2.1</v>
      </c>
      <c r="R422">
        <v>1</v>
      </c>
      <c r="S422">
        <v>4</v>
      </c>
      <c r="T422">
        <v>3</v>
      </c>
      <c r="U422" t="s">
        <v>23</v>
      </c>
      <c r="V422">
        <v>4</v>
      </c>
      <c r="W422">
        <f>COUNTIF($A$2:A422,A422)</f>
        <v>1</v>
      </c>
    </row>
    <row r="423" spans="1:23" x14ac:dyDescent="0.35">
      <c r="A423" t="s">
        <v>880</v>
      </c>
      <c r="B423" s="2">
        <v>44228</v>
      </c>
      <c r="D423" t="s">
        <v>23</v>
      </c>
      <c r="E423">
        <v>25</v>
      </c>
      <c r="F423" t="s">
        <v>36</v>
      </c>
      <c r="G423" t="s">
        <v>25</v>
      </c>
      <c r="H423" t="s">
        <v>58</v>
      </c>
      <c r="I423" t="s">
        <v>59</v>
      </c>
      <c r="J423" t="s">
        <v>150</v>
      </c>
      <c r="K423">
        <v>1</v>
      </c>
      <c r="L423" t="s">
        <v>66</v>
      </c>
      <c r="M423">
        <v>44000</v>
      </c>
      <c r="N423">
        <v>7.1</v>
      </c>
      <c r="O423">
        <v>11</v>
      </c>
      <c r="P423">
        <v>4.9000000000000004</v>
      </c>
      <c r="Q423">
        <v>1.5</v>
      </c>
      <c r="R423">
        <v>3</v>
      </c>
      <c r="S423">
        <v>3</v>
      </c>
      <c r="T423">
        <v>3</v>
      </c>
      <c r="U423" t="s">
        <v>23</v>
      </c>
      <c r="V423">
        <v>3</v>
      </c>
      <c r="W423">
        <f>COUNTIF($A$2:A423,A423)</f>
        <v>1</v>
      </c>
    </row>
    <row r="424" spans="1:23" x14ac:dyDescent="0.35">
      <c r="A424" t="s">
        <v>1528</v>
      </c>
      <c r="B424" s="2">
        <v>43803</v>
      </c>
      <c r="D424" t="s">
        <v>23</v>
      </c>
      <c r="E424">
        <v>35</v>
      </c>
      <c r="F424" t="s">
        <v>36</v>
      </c>
      <c r="G424" t="s">
        <v>37</v>
      </c>
      <c r="H424" t="s">
        <v>26</v>
      </c>
      <c r="I424" t="s">
        <v>45</v>
      </c>
      <c r="J424" t="s">
        <v>164</v>
      </c>
      <c r="K424">
        <v>1</v>
      </c>
      <c r="L424" t="s">
        <v>34</v>
      </c>
      <c r="M424">
        <v>29000</v>
      </c>
      <c r="N424">
        <v>11.3</v>
      </c>
      <c r="O424">
        <v>11.6</v>
      </c>
      <c r="P424">
        <v>6.1</v>
      </c>
      <c r="Q424">
        <v>5</v>
      </c>
      <c r="R424">
        <v>3</v>
      </c>
      <c r="S424">
        <v>2</v>
      </c>
      <c r="T424">
        <v>3</v>
      </c>
      <c r="U424" t="s">
        <v>23</v>
      </c>
      <c r="V424">
        <v>5</v>
      </c>
      <c r="W424">
        <f>COUNTIF($A$2:A424,A424)</f>
        <v>1</v>
      </c>
    </row>
    <row r="425" spans="1:23" x14ac:dyDescent="0.35">
      <c r="A425" t="s">
        <v>998</v>
      </c>
      <c r="B425" s="2">
        <v>41645</v>
      </c>
      <c r="D425" t="s">
        <v>23</v>
      </c>
      <c r="E425">
        <v>39</v>
      </c>
      <c r="F425" t="s">
        <v>24</v>
      </c>
      <c r="G425" t="s">
        <v>25</v>
      </c>
      <c r="H425" t="s">
        <v>32</v>
      </c>
      <c r="I425" t="s">
        <v>45</v>
      </c>
      <c r="J425" t="s">
        <v>77</v>
      </c>
      <c r="K425">
        <v>2</v>
      </c>
      <c r="L425" t="s">
        <v>50</v>
      </c>
      <c r="M425">
        <v>37000</v>
      </c>
      <c r="N425">
        <v>9.5</v>
      </c>
      <c r="O425">
        <v>17.3</v>
      </c>
      <c r="P425">
        <v>12</v>
      </c>
      <c r="Q425">
        <v>0.5</v>
      </c>
      <c r="R425">
        <v>2</v>
      </c>
      <c r="S425">
        <v>2</v>
      </c>
      <c r="T425">
        <v>3</v>
      </c>
      <c r="U425" t="s">
        <v>23</v>
      </c>
      <c r="V425">
        <v>4</v>
      </c>
      <c r="W425">
        <f>COUNTIF($A$2:A425,A425)</f>
        <v>1</v>
      </c>
    </row>
    <row r="426" spans="1:23" x14ac:dyDescent="0.35">
      <c r="A426" t="s">
        <v>1365</v>
      </c>
      <c r="B426" s="2">
        <v>45208</v>
      </c>
      <c r="C426" s="2">
        <v>45875</v>
      </c>
      <c r="D426" t="s">
        <v>30</v>
      </c>
      <c r="E426">
        <v>26</v>
      </c>
      <c r="F426" t="s">
        <v>62</v>
      </c>
      <c r="G426" t="s">
        <v>42</v>
      </c>
      <c r="H426" t="s">
        <v>58</v>
      </c>
      <c r="I426" t="s">
        <v>68</v>
      </c>
      <c r="J426" t="s">
        <v>109</v>
      </c>
      <c r="K426">
        <v>1</v>
      </c>
      <c r="L426" t="s">
        <v>34</v>
      </c>
      <c r="M426">
        <v>28000</v>
      </c>
      <c r="N426">
        <v>11.1</v>
      </c>
      <c r="O426">
        <v>7.6</v>
      </c>
      <c r="P426">
        <v>1.8</v>
      </c>
      <c r="Q426">
        <v>0.5</v>
      </c>
      <c r="R426">
        <v>4</v>
      </c>
      <c r="S426">
        <v>3</v>
      </c>
      <c r="T426">
        <v>3</v>
      </c>
      <c r="U426" t="s">
        <v>23</v>
      </c>
      <c r="V426">
        <v>3</v>
      </c>
      <c r="W426">
        <f>COUNTIF($A$2:A426,A426)</f>
        <v>1</v>
      </c>
    </row>
    <row r="427" spans="1:23" x14ac:dyDescent="0.35">
      <c r="A427" t="s">
        <v>748</v>
      </c>
      <c r="B427" s="2">
        <v>43727</v>
      </c>
      <c r="C427" s="2">
        <v>45908</v>
      </c>
      <c r="D427" t="s">
        <v>30</v>
      </c>
      <c r="E427">
        <v>35</v>
      </c>
      <c r="F427" t="s">
        <v>24</v>
      </c>
      <c r="G427" t="s">
        <v>42</v>
      </c>
      <c r="H427" t="s">
        <v>26</v>
      </c>
      <c r="I427" t="s">
        <v>45</v>
      </c>
      <c r="J427" t="s">
        <v>46</v>
      </c>
      <c r="K427">
        <v>5</v>
      </c>
      <c r="L427" t="s">
        <v>40</v>
      </c>
      <c r="M427">
        <v>148000</v>
      </c>
      <c r="N427">
        <v>11.5</v>
      </c>
      <c r="O427">
        <v>9.9</v>
      </c>
      <c r="P427">
        <v>6</v>
      </c>
      <c r="Q427">
        <v>3.8</v>
      </c>
      <c r="R427">
        <v>3</v>
      </c>
      <c r="S427">
        <v>2</v>
      </c>
      <c r="T427">
        <v>2</v>
      </c>
      <c r="U427" t="s">
        <v>30</v>
      </c>
      <c r="V427">
        <v>2</v>
      </c>
      <c r="W427">
        <f>COUNTIF($A$2:A427,A427)</f>
        <v>1</v>
      </c>
    </row>
    <row r="428" spans="1:23" x14ac:dyDescent="0.35">
      <c r="A428" t="s">
        <v>1374</v>
      </c>
      <c r="B428" s="2">
        <v>43255</v>
      </c>
      <c r="D428" t="s">
        <v>23</v>
      </c>
      <c r="E428">
        <v>36</v>
      </c>
      <c r="F428" t="s">
        <v>36</v>
      </c>
      <c r="G428" t="s">
        <v>25</v>
      </c>
      <c r="H428" t="s">
        <v>58</v>
      </c>
      <c r="I428" t="s">
        <v>48</v>
      </c>
      <c r="J428" t="s">
        <v>129</v>
      </c>
      <c r="K428">
        <v>2</v>
      </c>
      <c r="L428" t="s">
        <v>66</v>
      </c>
      <c r="M428">
        <v>53000</v>
      </c>
      <c r="N428">
        <v>11.7</v>
      </c>
      <c r="O428">
        <v>13.7</v>
      </c>
      <c r="P428">
        <v>7.6</v>
      </c>
      <c r="Q428">
        <v>4.8</v>
      </c>
      <c r="R428">
        <v>1</v>
      </c>
      <c r="S428">
        <v>2</v>
      </c>
      <c r="T428">
        <v>3</v>
      </c>
      <c r="U428" t="s">
        <v>30</v>
      </c>
      <c r="V428">
        <v>3</v>
      </c>
      <c r="W428">
        <f>COUNTIF($A$2:A428,A428)</f>
        <v>1</v>
      </c>
    </row>
    <row r="429" spans="1:23" x14ac:dyDescent="0.35">
      <c r="A429" t="s">
        <v>983</v>
      </c>
      <c r="B429" s="2">
        <v>45778</v>
      </c>
      <c r="D429" t="s">
        <v>23</v>
      </c>
      <c r="E429">
        <v>32</v>
      </c>
      <c r="F429" t="s">
        <v>36</v>
      </c>
      <c r="G429" t="s">
        <v>25</v>
      </c>
      <c r="H429" t="s">
        <v>32</v>
      </c>
      <c r="I429" t="s">
        <v>27</v>
      </c>
      <c r="J429" t="s">
        <v>43</v>
      </c>
      <c r="K429">
        <v>5</v>
      </c>
      <c r="L429" t="s">
        <v>34</v>
      </c>
      <c r="M429">
        <v>138000</v>
      </c>
      <c r="N429">
        <v>13.4</v>
      </c>
      <c r="O429">
        <v>3.2</v>
      </c>
      <c r="P429">
        <v>0.7</v>
      </c>
      <c r="Q429">
        <v>0</v>
      </c>
      <c r="R429">
        <v>4</v>
      </c>
      <c r="S429">
        <v>3</v>
      </c>
      <c r="T429">
        <v>1</v>
      </c>
      <c r="U429" t="s">
        <v>23</v>
      </c>
      <c r="V429">
        <v>4</v>
      </c>
      <c r="W429">
        <f>COUNTIF($A$2:A429,A429)</f>
        <v>1</v>
      </c>
    </row>
    <row r="430" spans="1:23" x14ac:dyDescent="0.35">
      <c r="A430" t="s">
        <v>741</v>
      </c>
      <c r="B430" s="2">
        <v>45833</v>
      </c>
      <c r="D430" t="s">
        <v>23</v>
      </c>
      <c r="E430">
        <v>21</v>
      </c>
      <c r="F430" t="s">
        <v>24</v>
      </c>
      <c r="G430" t="s">
        <v>25</v>
      </c>
      <c r="H430" t="s">
        <v>26</v>
      </c>
      <c r="I430" t="s">
        <v>48</v>
      </c>
      <c r="J430" t="s">
        <v>49</v>
      </c>
      <c r="K430">
        <v>1</v>
      </c>
      <c r="L430" t="s">
        <v>34</v>
      </c>
      <c r="M430">
        <v>43000</v>
      </c>
      <c r="N430">
        <v>6.9</v>
      </c>
      <c r="O430">
        <v>4.4000000000000004</v>
      </c>
      <c r="P430">
        <v>0.5</v>
      </c>
      <c r="Q430">
        <v>0</v>
      </c>
      <c r="R430">
        <v>4</v>
      </c>
      <c r="S430">
        <v>3</v>
      </c>
      <c r="T430">
        <v>3</v>
      </c>
      <c r="U430" t="s">
        <v>23</v>
      </c>
      <c r="V430">
        <v>4</v>
      </c>
      <c r="W430">
        <f>COUNTIF($A$2:A430,A430)</f>
        <v>1</v>
      </c>
    </row>
    <row r="431" spans="1:23" x14ac:dyDescent="0.35">
      <c r="A431" t="s">
        <v>1172</v>
      </c>
      <c r="B431" s="2">
        <v>44298</v>
      </c>
      <c r="D431" t="s">
        <v>23</v>
      </c>
      <c r="E431">
        <v>35</v>
      </c>
      <c r="F431" t="s">
        <v>62</v>
      </c>
      <c r="G431" t="s">
        <v>37</v>
      </c>
      <c r="H431" t="s">
        <v>58</v>
      </c>
      <c r="I431" t="s">
        <v>68</v>
      </c>
      <c r="J431" t="s">
        <v>121</v>
      </c>
      <c r="K431">
        <v>3</v>
      </c>
      <c r="L431" t="s">
        <v>34</v>
      </c>
      <c r="M431">
        <v>79000</v>
      </c>
      <c r="N431">
        <v>11.8</v>
      </c>
      <c r="O431">
        <v>5.2</v>
      </c>
      <c r="P431">
        <v>4.7</v>
      </c>
      <c r="Q431">
        <v>2.8</v>
      </c>
      <c r="R431">
        <v>4</v>
      </c>
      <c r="S431">
        <v>2</v>
      </c>
      <c r="T431">
        <v>3</v>
      </c>
      <c r="U431" t="s">
        <v>23</v>
      </c>
      <c r="V431">
        <v>4</v>
      </c>
      <c r="W431">
        <f>COUNTIF($A$2:A431,A431)</f>
        <v>1</v>
      </c>
    </row>
    <row r="432" spans="1:23" x14ac:dyDescent="0.35">
      <c r="A432" t="s">
        <v>586</v>
      </c>
      <c r="B432" s="2">
        <v>44386</v>
      </c>
      <c r="D432" t="s">
        <v>23</v>
      </c>
      <c r="E432">
        <v>37</v>
      </c>
      <c r="F432" t="s">
        <v>36</v>
      </c>
      <c r="G432" t="s">
        <v>37</v>
      </c>
      <c r="H432" t="s">
        <v>26</v>
      </c>
      <c r="I432" t="s">
        <v>38</v>
      </c>
      <c r="J432" t="s">
        <v>52</v>
      </c>
      <c r="K432">
        <v>2</v>
      </c>
      <c r="L432" t="s">
        <v>66</v>
      </c>
      <c r="M432">
        <v>57000</v>
      </c>
      <c r="N432">
        <v>12</v>
      </c>
      <c r="O432">
        <v>9.6999999999999993</v>
      </c>
      <c r="P432">
        <v>4.5</v>
      </c>
      <c r="Q432">
        <v>2.7</v>
      </c>
      <c r="R432">
        <v>3</v>
      </c>
      <c r="S432">
        <v>4</v>
      </c>
      <c r="T432">
        <v>2</v>
      </c>
      <c r="U432" t="s">
        <v>23</v>
      </c>
      <c r="V432">
        <v>3</v>
      </c>
      <c r="W432">
        <f>COUNTIF($A$2:A432,A432)</f>
        <v>1</v>
      </c>
    </row>
    <row r="433" spans="1:23" x14ac:dyDescent="0.35">
      <c r="A433" t="s">
        <v>146</v>
      </c>
      <c r="B433" s="2">
        <v>44953</v>
      </c>
      <c r="D433" t="s">
        <v>23</v>
      </c>
      <c r="E433">
        <v>26</v>
      </c>
      <c r="F433" t="s">
        <v>36</v>
      </c>
      <c r="G433" t="s">
        <v>42</v>
      </c>
      <c r="H433" t="s">
        <v>26</v>
      </c>
      <c r="I433" t="s">
        <v>68</v>
      </c>
      <c r="J433" t="s">
        <v>102</v>
      </c>
      <c r="K433">
        <v>1</v>
      </c>
      <c r="L433" t="s">
        <v>34</v>
      </c>
      <c r="M433">
        <v>43000</v>
      </c>
      <c r="N433">
        <v>6.9</v>
      </c>
      <c r="O433">
        <v>5.0999999999999996</v>
      </c>
      <c r="P433">
        <v>2.9</v>
      </c>
      <c r="Q433">
        <v>2</v>
      </c>
      <c r="R433">
        <v>3</v>
      </c>
      <c r="S433">
        <v>3</v>
      </c>
      <c r="T433">
        <v>4</v>
      </c>
      <c r="U433" t="s">
        <v>23</v>
      </c>
      <c r="V433">
        <v>3</v>
      </c>
      <c r="W433">
        <f>COUNTIF($A$2:A433,A433)</f>
        <v>1</v>
      </c>
    </row>
    <row r="434" spans="1:23" x14ac:dyDescent="0.35">
      <c r="A434" t="s">
        <v>1287</v>
      </c>
      <c r="B434" s="2">
        <v>43764</v>
      </c>
      <c r="D434" t="s">
        <v>23</v>
      </c>
      <c r="E434">
        <v>36</v>
      </c>
      <c r="F434" t="s">
        <v>62</v>
      </c>
      <c r="G434" t="s">
        <v>37</v>
      </c>
      <c r="H434" t="s">
        <v>58</v>
      </c>
      <c r="I434" t="s">
        <v>38</v>
      </c>
      <c r="J434" t="s">
        <v>139</v>
      </c>
      <c r="K434">
        <v>2</v>
      </c>
      <c r="L434" t="s">
        <v>84</v>
      </c>
      <c r="M434">
        <v>76000</v>
      </c>
      <c r="N434">
        <v>8.1</v>
      </c>
      <c r="O434">
        <v>9.1</v>
      </c>
      <c r="P434">
        <v>6.2</v>
      </c>
      <c r="Q434">
        <v>2.6</v>
      </c>
      <c r="R434">
        <v>3</v>
      </c>
      <c r="S434">
        <v>3</v>
      </c>
      <c r="T434">
        <v>4</v>
      </c>
      <c r="U434" t="s">
        <v>23</v>
      </c>
      <c r="V434">
        <v>4</v>
      </c>
      <c r="W434">
        <f>COUNTIF($A$2:A434,A434)</f>
        <v>1</v>
      </c>
    </row>
    <row r="435" spans="1:23" x14ac:dyDescent="0.35">
      <c r="A435" t="s">
        <v>1056</v>
      </c>
      <c r="B435" s="2">
        <v>44195</v>
      </c>
      <c r="C435" s="2">
        <v>45954</v>
      </c>
      <c r="D435" t="s">
        <v>30</v>
      </c>
      <c r="E435">
        <v>33</v>
      </c>
      <c r="F435" t="s">
        <v>24</v>
      </c>
      <c r="G435" t="s">
        <v>42</v>
      </c>
      <c r="H435" t="s">
        <v>26</v>
      </c>
      <c r="I435" t="s">
        <v>38</v>
      </c>
      <c r="J435" t="s">
        <v>39</v>
      </c>
      <c r="K435">
        <v>5</v>
      </c>
      <c r="L435" t="s">
        <v>29</v>
      </c>
      <c r="M435">
        <v>170000</v>
      </c>
      <c r="N435">
        <v>12.2</v>
      </c>
      <c r="O435">
        <v>5.6</v>
      </c>
      <c r="P435">
        <v>4.8</v>
      </c>
      <c r="Q435">
        <v>1.6</v>
      </c>
      <c r="R435">
        <v>4</v>
      </c>
      <c r="S435">
        <v>1</v>
      </c>
      <c r="T435">
        <v>4</v>
      </c>
      <c r="U435" t="s">
        <v>30</v>
      </c>
      <c r="V435">
        <v>3</v>
      </c>
      <c r="W435">
        <f>COUNTIF($A$2:A435,A435)</f>
        <v>1</v>
      </c>
    </row>
    <row r="436" spans="1:23" x14ac:dyDescent="0.35">
      <c r="A436" t="s">
        <v>630</v>
      </c>
      <c r="B436" s="2">
        <v>44862</v>
      </c>
      <c r="D436" t="s">
        <v>23</v>
      </c>
      <c r="E436">
        <v>26</v>
      </c>
      <c r="F436" t="s">
        <v>24</v>
      </c>
      <c r="G436" t="s">
        <v>25</v>
      </c>
      <c r="H436" t="s">
        <v>32</v>
      </c>
      <c r="I436" t="s">
        <v>59</v>
      </c>
      <c r="J436" t="s">
        <v>150</v>
      </c>
      <c r="K436">
        <v>1</v>
      </c>
      <c r="L436" t="s">
        <v>66</v>
      </c>
      <c r="M436">
        <v>23000</v>
      </c>
      <c r="N436">
        <v>12.8</v>
      </c>
      <c r="O436">
        <v>6.5</v>
      </c>
      <c r="P436">
        <v>3.2</v>
      </c>
      <c r="Q436">
        <v>0.8</v>
      </c>
      <c r="R436">
        <v>3</v>
      </c>
      <c r="S436">
        <v>3</v>
      </c>
      <c r="T436">
        <v>3</v>
      </c>
      <c r="U436" t="s">
        <v>23</v>
      </c>
      <c r="V436">
        <v>4</v>
      </c>
      <c r="W436">
        <f>COUNTIF($A$2:A436,A436)</f>
        <v>1</v>
      </c>
    </row>
    <row r="437" spans="1:23" x14ac:dyDescent="0.35">
      <c r="A437" t="s">
        <v>1022</v>
      </c>
      <c r="B437" s="2">
        <v>42392</v>
      </c>
      <c r="D437" t="s">
        <v>23</v>
      </c>
      <c r="E437">
        <v>32</v>
      </c>
      <c r="F437" t="s">
        <v>24</v>
      </c>
      <c r="G437" t="s">
        <v>25</v>
      </c>
      <c r="H437" t="s">
        <v>32</v>
      </c>
      <c r="I437" t="s">
        <v>48</v>
      </c>
      <c r="J437" t="s">
        <v>49</v>
      </c>
      <c r="K437">
        <v>3</v>
      </c>
      <c r="L437" t="s">
        <v>84</v>
      </c>
      <c r="M437">
        <v>78000</v>
      </c>
      <c r="N437">
        <v>9.3000000000000007</v>
      </c>
      <c r="O437">
        <v>16.399999999999999</v>
      </c>
      <c r="P437">
        <v>9.9</v>
      </c>
      <c r="Q437">
        <v>5.0999999999999996</v>
      </c>
      <c r="R437">
        <v>3</v>
      </c>
      <c r="S437">
        <v>4</v>
      </c>
      <c r="T437">
        <v>4</v>
      </c>
      <c r="U437" t="s">
        <v>23</v>
      </c>
      <c r="V437">
        <v>4</v>
      </c>
      <c r="W437">
        <f>COUNTIF($A$2:A437,A437)</f>
        <v>1</v>
      </c>
    </row>
    <row r="438" spans="1:23" x14ac:dyDescent="0.35">
      <c r="A438" t="s">
        <v>369</v>
      </c>
      <c r="B438" s="2">
        <v>45325</v>
      </c>
      <c r="D438" t="s">
        <v>23</v>
      </c>
      <c r="E438">
        <v>27</v>
      </c>
      <c r="F438" t="s">
        <v>36</v>
      </c>
      <c r="G438" t="s">
        <v>42</v>
      </c>
      <c r="H438" t="s">
        <v>32</v>
      </c>
      <c r="I438" t="s">
        <v>48</v>
      </c>
      <c r="J438" t="s">
        <v>49</v>
      </c>
      <c r="K438">
        <v>1</v>
      </c>
      <c r="L438" t="s">
        <v>84</v>
      </c>
      <c r="M438">
        <v>37000</v>
      </c>
      <c r="N438">
        <v>12.9</v>
      </c>
      <c r="O438">
        <v>5.2</v>
      </c>
      <c r="P438">
        <v>1.9</v>
      </c>
      <c r="Q438">
        <v>1.6</v>
      </c>
      <c r="R438">
        <v>4</v>
      </c>
      <c r="S438">
        <v>4</v>
      </c>
      <c r="T438">
        <v>3</v>
      </c>
      <c r="U438" t="s">
        <v>23</v>
      </c>
      <c r="V438">
        <v>4</v>
      </c>
      <c r="W438">
        <f>COUNTIF($A$2:A438,A438)</f>
        <v>1</v>
      </c>
    </row>
    <row r="439" spans="1:23" x14ac:dyDescent="0.35">
      <c r="A439" t="s">
        <v>711</v>
      </c>
      <c r="B439" s="2">
        <v>45428</v>
      </c>
      <c r="D439" t="s">
        <v>23</v>
      </c>
      <c r="E439">
        <v>34</v>
      </c>
      <c r="F439" t="s">
        <v>24</v>
      </c>
      <c r="G439" t="s">
        <v>42</v>
      </c>
      <c r="H439" t="s">
        <v>32</v>
      </c>
      <c r="I439" t="s">
        <v>45</v>
      </c>
      <c r="J439" t="s">
        <v>97</v>
      </c>
      <c r="K439">
        <v>2</v>
      </c>
      <c r="L439" t="s">
        <v>50</v>
      </c>
      <c r="M439">
        <v>59000</v>
      </c>
      <c r="N439">
        <v>0</v>
      </c>
      <c r="O439">
        <v>5.3</v>
      </c>
      <c r="P439">
        <v>1.6</v>
      </c>
      <c r="Q439">
        <v>0.9</v>
      </c>
      <c r="R439">
        <v>2</v>
      </c>
      <c r="S439">
        <v>3</v>
      </c>
      <c r="T439">
        <v>3</v>
      </c>
      <c r="U439" t="s">
        <v>30</v>
      </c>
      <c r="V439">
        <v>1</v>
      </c>
      <c r="W439">
        <f>COUNTIF($A$2:A439,A439)</f>
        <v>1</v>
      </c>
    </row>
    <row r="440" spans="1:23" x14ac:dyDescent="0.35">
      <c r="A440" t="s">
        <v>926</v>
      </c>
      <c r="B440" s="2">
        <v>45418</v>
      </c>
      <c r="D440" t="s">
        <v>23</v>
      </c>
      <c r="E440">
        <v>28</v>
      </c>
      <c r="F440" t="s">
        <v>36</v>
      </c>
      <c r="G440" t="s">
        <v>42</v>
      </c>
      <c r="H440" t="s">
        <v>26</v>
      </c>
      <c r="I440" t="s">
        <v>68</v>
      </c>
      <c r="J440" t="s">
        <v>69</v>
      </c>
      <c r="K440">
        <v>3</v>
      </c>
      <c r="L440" t="s">
        <v>34</v>
      </c>
      <c r="M440">
        <v>60000</v>
      </c>
      <c r="N440">
        <v>11</v>
      </c>
      <c r="O440">
        <v>1.8</v>
      </c>
      <c r="P440">
        <v>1.7</v>
      </c>
      <c r="Q440">
        <v>1.5</v>
      </c>
      <c r="R440">
        <v>4</v>
      </c>
      <c r="S440">
        <v>2</v>
      </c>
      <c r="T440">
        <v>3</v>
      </c>
      <c r="U440" t="s">
        <v>23</v>
      </c>
      <c r="V440">
        <v>4</v>
      </c>
      <c r="W440">
        <f>COUNTIF($A$2:A440,A440)</f>
        <v>1</v>
      </c>
    </row>
    <row r="441" spans="1:23" x14ac:dyDescent="0.35">
      <c r="A441" t="s">
        <v>913</v>
      </c>
      <c r="B441" s="2">
        <v>43473</v>
      </c>
      <c r="D441" t="s">
        <v>23</v>
      </c>
      <c r="E441">
        <v>32</v>
      </c>
      <c r="F441" t="s">
        <v>62</v>
      </c>
      <c r="G441" t="s">
        <v>37</v>
      </c>
      <c r="H441" t="s">
        <v>58</v>
      </c>
      <c r="I441" t="s">
        <v>59</v>
      </c>
      <c r="J441" t="s">
        <v>86</v>
      </c>
      <c r="K441">
        <v>2</v>
      </c>
      <c r="L441" t="s">
        <v>84</v>
      </c>
      <c r="M441">
        <v>60000</v>
      </c>
      <c r="N441">
        <v>15.4</v>
      </c>
      <c r="O441">
        <v>11.6</v>
      </c>
      <c r="P441">
        <v>7</v>
      </c>
      <c r="Q441">
        <v>4.7</v>
      </c>
      <c r="R441">
        <v>2</v>
      </c>
      <c r="S441">
        <v>3</v>
      </c>
      <c r="T441">
        <v>3</v>
      </c>
      <c r="U441" t="s">
        <v>23</v>
      </c>
      <c r="V441">
        <v>2</v>
      </c>
      <c r="W441">
        <f>COUNTIF($A$2:A441,A441)</f>
        <v>1</v>
      </c>
    </row>
    <row r="442" spans="1:23" x14ac:dyDescent="0.35">
      <c r="A442" t="s">
        <v>1034</v>
      </c>
      <c r="B442" s="2">
        <v>42734</v>
      </c>
      <c r="C442" s="2">
        <v>45767</v>
      </c>
      <c r="D442" t="s">
        <v>30</v>
      </c>
      <c r="E442">
        <v>44</v>
      </c>
      <c r="F442" t="s">
        <v>36</v>
      </c>
      <c r="G442" t="s">
        <v>25</v>
      </c>
      <c r="H442" t="s">
        <v>26</v>
      </c>
      <c r="I442" t="s">
        <v>59</v>
      </c>
      <c r="J442" t="s">
        <v>60</v>
      </c>
      <c r="K442">
        <v>4</v>
      </c>
      <c r="L442" t="s">
        <v>84</v>
      </c>
      <c r="M442">
        <v>115000</v>
      </c>
      <c r="N442">
        <v>9.3000000000000007</v>
      </c>
      <c r="O442">
        <v>16.100000000000001</v>
      </c>
      <c r="P442">
        <v>8.3000000000000007</v>
      </c>
      <c r="Q442">
        <v>2.6</v>
      </c>
      <c r="R442">
        <v>2</v>
      </c>
      <c r="S442">
        <v>3</v>
      </c>
      <c r="T442">
        <v>3</v>
      </c>
      <c r="U442" t="s">
        <v>23</v>
      </c>
      <c r="V442">
        <v>3</v>
      </c>
      <c r="W442">
        <f>COUNTIF($A$2:A442,A442)</f>
        <v>1</v>
      </c>
    </row>
    <row r="443" spans="1:23" x14ac:dyDescent="0.35">
      <c r="A443" t="s">
        <v>826</v>
      </c>
      <c r="B443" s="2">
        <v>44950</v>
      </c>
      <c r="C443" s="2">
        <v>45901</v>
      </c>
      <c r="D443" t="s">
        <v>30</v>
      </c>
      <c r="E443">
        <v>31</v>
      </c>
      <c r="F443" t="s">
        <v>62</v>
      </c>
      <c r="H443" t="s">
        <v>26</v>
      </c>
      <c r="I443" t="s">
        <v>27</v>
      </c>
      <c r="J443" t="s">
        <v>33</v>
      </c>
      <c r="K443">
        <v>3</v>
      </c>
      <c r="L443" t="s">
        <v>29</v>
      </c>
      <c r="M443">
        <v>66000</v>
      </c>
      <c r="N443">
        <v>17.7</v>
      </c>
      <c r="O443">
        <v>8.3000000000000007</v>
      </c>
      <c r="P443">
        <v>2.6</v>
      </c>
      <c r="Q443">
        <v>2.1</v>
      </c>
      <c r="R443">
        <v>4</v>
      </c>
      <c r="S443">
        <v>1</v>
      </c>
      <c r="T443">
        <v>4</v>
      </c>
      <c r="U443" t="s">
        <v>30</v>
      </c>
      <c r="V443">
        <v>4</v>
      </c>
      <c r="W443">
        <f>COUNTIF($A$2:A443,A443)</f>
        <v>1</v>
      </c>
    </row>
    <row r="444" spans="1:23" x14ac:dyDescent="0.35">
      <c r="A444" t="s">
        <v>166</v>
      </c>
      <c r="B444" s="2">
        <v>44269</v>
      </c>
      <c r="D444" t="s">
        <v>23</v>
      </c>
      <c r="E444">
        <v>34</v>
      </c>
      <c r="F444" t="s">
        <v>36</v>
      </c>
      <c r="G444" t="s">
        <v>42</v>
      </c>
      <c r="H444" t="s">
        <v>58</v>
      </c>
      <c r="I444" t="s">
        <v>59</v>
      </c>
      <c r="J444" t="s">
        <v>86</v>
      </c>
      <c r="K444">
        <v>2</v>
      </c>
      <c r="L444" t="s">
        <v>50</v>
      </c>
      <c r="M444">
        <v>57000</v>
      </c>
      <c r="N444">
        <v>9.1999999999999993</v>
      </c>
      <c r="O444">
        <v>10.3</v>
      </c>
      <c r="P444">
        <v>4.8</v>
      </c>
      <c r="Q444">
        <v>2.6</v>
      </c>
      <c r="R444">
        <v>3</v>
      </c>
      <c r="S444">
        <v>2</v>
      </c>
      <c r="T444">
        <v>3</v>
      </c>
      <c r="U444" t="s">
        <v>23</v>
      </c>
      <c r="V444">
        <v>1</v>
      </c>
      <c r="W444">
        <f>COUNTIF($A$2:A444,A444)</f>
        <v>1</v>
      </c>
    </row>
    <row r="445" spans="1:23" x14ac:dyDescent="0.35">
      <c r="A445" t="s">
        <v>156</v>
      </c>
      <c r="B445" s="2">
        <v>43182</v>
      </c>
      <c r="D445" t="s">
        <v>23</v>
      </c>
      <c r="E445">
        <v>29</v>
      </c>
      <c r="F445" t="s">
        <v>36</v>
      </c>
      <c r="G445" t="s">
        <v>42</v>
      </c>
      <c r="H445" t="s">
        <v>54</v>
      </c>
      <c r="I445" t="s">
        <v>59</v>
      </c>
      <c r="J445" t="s">
        <v>86</v>
      </c>
      <c r="K445">
        <v>2</v>
      </c>
      <c r="L445" t="s">
        <v>84</v>
      </c>
      <c r="M445">
        <v>53000</v>
      </c>
      <c r="N445">
        <v>6</v>
      </c>
      <c r="O445">
        <v>14.3</v>
      </c>
      <c r="P445">
        <v>7.8</v>
      </c>
      <c r="Q445">
        <v>3.9</v>
      </c>
      <c r="R445">
        <v>3</v>
      </c>
      <c r="S445">
        <v>4</v>
      </c>
      <c r="T445">
        <v>3</v>
      </c>
      <c r="U445" t="s">
        <v>30</v>
      </c>
      <c r="V445">
        <v>2</v>
      </c>
      <c r="W445">
        <f>COUNTIF($A$2:A445,A445)</f>
        <v>1</v>
      </c>
    </row>
    <row r="446" spans="1:23" x14ac:dyDescent="0.35">
      <c r="A446" t="s">
        <v>1434</v>
      </c>
      <c r="B446" s="2">
        <v>43306</v>
      </c>
      <c r="D446" t="s">
        <v>23</v>
      </c>
      <c r="E446">
        <v>29</v>
      </c>
      <c r="F446" t="s">
        <v>24</v>
      </c>
      <c r="G446" t="s">
        <v>37</v>
      </c>
      <c r="H446" t="s">
        <v>32</v>
      </c>
      <c r="I446" t="s">
        <v>45</v>
      </c>
      <c r="J446" t="s">
        <v>46</v>
      </c>
      <c r="K446">
        <v>4</v>
      </c>
      <c r="L446" t="s">
        <v>29</v>
      </c>
      <c r="M446">
        <v>103000</v>
      </c>
      <c r="N446">
        <v>7.3</v>
      </c>
      <c r="O446">
        <v>10.3</v>
      </c>
      <c r="P446">
        <v>7.4</v>
      </c>
      <c r="Q446">
        <v>3.6</v>
      </c>
      <c r="R446">
        <v>3</v>
      </c>
      <c r="S446">
        <v>4</v>
      </c>
      <c r="T446">
        <v>3</v>
      </c>
      <c r="U446" t="s">
        <v>23</v>
      </c>
      <c r="V446">
        <v>3</v>
      </c>
      <c r="W446">
        <f>COUNTIF($A$2:A446,A446)</f>
        <v>1</v>
      </c>
    </row>
    <row r="447" spans="1:23" x14ac:dyDescent="0.35">
      <c r="A447" t="s">
        <v>1530</v>
      </c>
      <c r="B447" s="2">
        <v>45910</v>
      </c>
      <c r="D447" t="s">
        <v>23</v>
      </c>
      <c r="E447">
        <v>23</v>
      </c>
      <c r="F447" t="s">
        <v>24</v>
      </c>
      <c r="G447" t="s">
        <v>25</v>
      </c>
      <c r="H447" t="s">
        <v>54</v>
      </c>
      <c r="I447" t="s">
        <v>48</v>
      </c>
      <c r="J447" t="s">
        <v>49</v>
      </c>
      <c r="K447">
        <v>1</v>
      </c>
      <c r="L447" t="s">
        <v>84</v>
      </c>
      <c r="M447">
        <v>34000</v>
      </c>
      <c r="N447">
        <v>3</v>
      </c>
      <c r="O447">
        <v>1.2</v>
      </c>
      <c r="P447">
        <v>0.3</v>
      </c>
      <c r="Q447">
        <v>0</v>
      </c>
      <c r="R447">
        <v>3</v>
      </c>
      <c r="S447">
        <v>3</v>
      </c>
      <c r="T447">
        <v>4</v>
      </c>
      <c r="U447" t="s">
        <v>30</v>
      </c>
      <c r="V447">
        <v>4</v>
      </c>
      <c r="W447">
        <f>COUNTIF($A$2:A447,A447)</f>
        <v>1</v>
      </c>
    </row>
    <row r="448" spans="1:23" x14ac:dyDescent="0.35">
      <c r="A448" t="s">
        <v>1511</v>
      </c>
      <c r="B448" s="2">
        <v>45342</v>
      </c>
      <c r="D448" t="s">
        <v>23</v>
      </c>
      <c r="E448">
        <v>34</v>
      </c>
      <c r="F448" t="s">
        <v>62</v>
      </c>
      <c r="G448" t="s">
        <v>37</v>
      </c>
      <c r="H448" t="s">
        <v>26</v>
      </c>
      <c r="I448" t="s">
        <v>48</v>
      </c>
      <c r="J448" t="s">
        <v>201</v>
      </c>
      <c r="K448">
        <v>4</v>
      </c>
      <c r="L448" t="s">
        <v>50</v>
      </c>
      <c r="M448">
        <v>102000</v>
      </c>
      <c r="N448">
        <v>7.8</v>
      </c>
      <c r="O448">
        <v>4.0999999999999996</v>
      </c>
      <c r="P448">
        <v>1.9</v>
      </c>
      <c r="Q448">
        <v>0.2</v>
      </c>
      <c r="R448">
        <v>3</v>
      </c>
      <c r="S448">
        <v>3</v>
      </c>
      <c r="T448">
        <v>3</v>
      </c>
      <c r="U448" t="s">
        <v>30</v>
      </c>
      <c r="V448">
        <v>3</v>
      </c>
      <c r="W448">
        <f>COUNTIF($A$2:A448,A448)</f>
        <v>1</v>
      </c>
    </row>
    <row r="449" spans="1:23" x14ac:dyDescent="0.35">
      <c r="A449" t="s">
        <v>392</v>
      </c>
      <c r="B449" s="2">
        <v>41750</v>
      </c>
      <c r="D449" t="s">
        <v>23</v>
      </c>
      <c r="E449">
        <v>35</v>
      </c>
      <c r="F449" t="s">
        <v>62</v>
      </c>
      <c r="G449" t="s">
        <v>37</v>
      </c>
      <c r="H449" t="s">
        <v>26</v>
      </c>
      <c r="I449" t="s">
        <v>27</v>
      </c>
      <c r="J449" t="s">
        <v>95</v>
      </c>
      <c r="K449">
        <v>4</v>
      </c>
      <c r="L449" t="s">
        <v>29</v>
      </c>
      <c r="M449">
        <v>118000</v>
      </c>
      <c r="N449">
        <v>1.5</v>
      </c>
      <c r="O449">
        <v>14.9</v>
      </c>
      <c r="P449">
        <v>11.7</v>
      </c>
      <c r="Q449">
        <v>2.6</v>
      </c>
      <c r="R449">
        <v>3</v>
      </c>
      <c r="S449">
        <v>3</v>
      </c>
      <c r="T449">
        <v>2</v>
      </c>
      <c r="U449" t="s">
        <v>30</v>
      </c>
      <c r="V449">
        <v>3</v>
      </c>
      <c r="W449">
        <f>COUNTIF($A$2:A449,A449)</f>
        <v>1</v>
      </c>
    </row>
    <row r="450" spans="1:23" x14ac:dyDescent="0.35">
      <c r="A450" t="s">
        <v>1292</v>
      </c>
      <c r="B450" s="2">
        <v>41946</v>
      </c>
      <c r="D450" t="s">
        <v>23</v>
      </c>
      <c r="E450">
        <v>32</v>
      </c>
      <c r="F450" t="s">
        <v>36</v>
      </c>
      <c r="G450" t="s">
        <v>37</v>
      </c>
      <c r="H450" t="s">
        <v>54</v>
      </c>
      <c r="I450" t="s">
        <v>27</v>
      </c>
      <c r="J450" t="s">
        <v>33</v>
      </c>
      <c r="K450">
        <v>3</v>
      </c>
      <c r="L450" t="s">
        <v>40</v>
      </c>
      <c r="M450">
        <v>80000</v>
      </c>
      <c r="N450">
        <v>9.9</v>
      </c>
      <c r="O450">
        <v>12.8</v>
      </c>
      <c r="P450">
        <v>11.2</v>
      </c>
      <c r="Q450">
        <v>5.7</v>
      </c>
      <c r="R450">
        <v>3</v>
      </c>
      <c r="S450">
        <v>4</v>
      </c>
      <c r="T450">
        <v>3</v>
      </c>
      <c r="U450" t="s">
        <v>23</v>
      </c>
      <c r="V450">
        <v>4</v>
      </c>
      <c r="W450">
        <f>COUNTIF($A$2:A450,A450)</f>
        <v>1</v>
      </c>
    </row>
    <row r="451" spans="1:23" x14ac:dyDescent="0.35">
      <c r="A451" t="s">
        <v>1581</v>
      </c>
      <c r="B451" s="2">
        <v>44807</v>
      </c>
      <c r="D451" t="s">
        <v>23</v>
      </c>
      <c r="E451">
        <v>31</v>
      </c>
      <c r="F451" t="s">
        <v>36</v>
      </c>
      <c r="G451" t="s">
        <v>25</v>
      </c>
      <c r="H451" t="s">
        <v>54</v>
      </c>
      <c r="I451" t="s">
        <v>27</v>
      </c>
      <c r="J451" t="s">
        <v>95</v>
      </c>
      <c r="K451">
        <v>5</v>
      </c>
      <c r="L451" t="s">
        <v>50</v>
      </c>
      <c r="M451">
        <v>140000</v>
      </c>
      <c r="N451">
        <v>13.3</v>
      </c>
      <c r="O451">
        <v>4.5</v>
      </c>
      <c r="P451">
        <v>3.3</v>
      </c>
      <c r="Q451">
        <v>1</v>
      </c>
      <c r="R451">
        <v>3</v>
      </c>
      <c r="S451">
        <v>3</v>
      </c>
      <c r="T451">
        <v>3</v>
      </c>
      <c r="U451" t="s">
        <v>23</v>
      </c>
      <c r="V451">
        <v>5</v>
      </c>
      <c r="W451">
        <f>COUNTIF($A$2:A451,A451)</f>
        <v>1</v>
      </c>
    </row>
    <row r="452" spans="1:23" x14ac:dyDescent="0.35">
      <c r="A452" t="s">
        <v>727</v>
      </c>
      <c r="B452" s="2">
        <v>44532</v>
      </c>
      <c r="D452" t="s">
        <v>23</v>
      </c>
      <c r="E452">
        <v>46</v>
      </c>
      <c r="F452" t="s">
        <v>36</v>
      </c>
      <c r="G452" t="s">
        <v>37</v>
      </c>
      <c r="H452" t="s">
        <v>54</v>
      </c>
      <c r="I452" t="s">
        <v>38</v>
      </c>
      <c r="J452" t="s">
        <v>52</v>
      </c>
      <c r="K452">
        <v>2</v>
      </c>
      <c r="L452" t="s">
        <v>84</v>
      </c>
      <c r="M452">
        <v>59000</v>
      </c>
      <c r="N452">
        <v>6.2</v>
      </c>
      <c r="O452">
        <v>9.6999999999999993</v>
      </c>
      <c r="P452">
        <v>4.0999999999999996</v>
      </c>
      <c r="Q452">
        <v>3</v>
      </c>
      <c r="S452">
        <v>3</v>
      </c>
      <c r="T452">
        <v>2</v>
      </c>
      <c r="U452" t="s">
        <v>23</v>
      </c>
      <c r="V452">
        <v>2</v>
      </c>
      <c r="W452">
        <f>COUNTIF($A$2:A452,A452)</f>
        <v>1</v>
      </c>
    </row>
    <row r="453" spans="1:23" x14ac:dyDescent="0.35">
      <c r="A453" t="s">
        <v>881</v>
      </c>
      <c r="B453" s="2">
        <v>45912</v>
      </c>
      <c r="D453" t="s">
        <v>23</v>
      </c>
      <c r="E453">
        <v>21</v>
      </c>
      <c r="F453" t="s">
        <v>24</v>
      </c>
      <c r="G453" t="s">
        <v>25</v>
      </c>
      <c r="H453" t="s">
        <v>54</v>
      </c>
      <c r="I453" t="s">
        <v>27</v>
      </c>
      <c r="J453" t="s">
        <v>43</v>
      </c>
      <c r="K453">
        <v>1</v>
      </c>
      <c r="L453" t="s">
        <v>84</v>
      </c>
      <c r="M453">
        <v>22000</v>
      </c>
      <c r="N453">
        <v>10.1</v>
      </c>
      <c r="O453">
        <v>5.7</v>
      </c>
      <c r="P453">
        <v>0.3</v>
      </c>
      <c r="Q453">
        <v>0</v>
      </c>
      <c r="R453">
        <v>3</v>
      </c>
      <c r="S453">
        <v>4</v>
      </c>
      <c r="T453">
        <v>1</v>
      </c>
      <c r="U453" t="s">
        <v>23</v>
      </c>
      <c r="V453">
        <v>3</v>
      </c>
      <c r="W453">
        <f>COUNTIF($A$2:A453,A453)</f>
        <v>1</v>
      </c>
    </row>
    <row r="454" spans="1:23" x14ac:dyDescent="0.35">
      <c r="A454" t="s">
        <v>1023</v>
      </c>
      <c r="B454" s="2">
        <v>45857</v>
      </c>
      <c r="D454" t="s">
        <v>23</v>
      </c>
      <c r="E454">
        <v>22</v>
      </c>
      <c r="F454" t="s">
        <v>36</v>
      </c>
      <c r="G454" t="s">
        <v>42</v>
      </c>
      <c r="H454" t="s">
        <v>58</v>
      </c>
      <c r="I454" t="s">
        <v>48</v>
      </c>
      <c r="J454" t="s">
        <v>49</v>
      </c>
      <c r="K454">
        <v>1</v>
      </c>
      <c r="L454" t="s">
        <v>84</v>
      </c>
      <c r="M454">
        <v>43000</v>
      </c>
      <c r="N454">
        <v>7.1</v>
      </c>
      <c r="O454">
        <v>3</v>
      </c>
      <c r="P454">
        <v>0.5</v>
      </c>
      <c r="Q454">
        <v>0</v>
      </c>
      <c r="R454">
        <v>3</v>
      </c>
      <c r="S454">
        <v>3</v>
      </c>
      <c r="T454">
        <v>4</v>
      </c>
      <c r="U454" t="s">
        <v>23</v>
      </c>
      <c r="V454">
        <v>3</v>
      </c>
      <c r="W454">
        <f>COUNTIF($A$2:A454,A454)</f>
        <v>1</v>
      </c>
    </row>
    <row r="455" spans="1:23" x14ac:dyDescent="0.35">
      <c r="A455" t="s">
        <v>71</v>
      </c>
      <c r="B455" s="2">
        <v>44051</v>
      </c>
      <c r="D455" t="s">
        <v>23</v>
      </c>
      <c r="E455">
        <v>44</v>
      </c>
      <c r="F455" t="s">
        <v>24</v>
      </c>
      <c r="G455" t="s">
        <v>37</v>
      </c>
      <c r="H455" t="s">
        <v>26</v>
      </c>
      <c r="I455" t="s">
        <v>27</v>
      </c>
      <c r="J455" t="s">
        <v>28</v>
      </c>
      <c r="K455">
        <v>3</v>
      </c>
      <c r="L455" t="s">
        <v>40</v>
      </c>
      <c r="M455">
        <v>82000</v>
      </c>
      <c r="N455">
        <v>7.9</v>
      </c>
      <c r="O455">
        <v>13</v>
      </c>
      <c r="P455">
        <v>5.4</v>
      </c>
      <c r="Q455">
        <v>3</v>
      </c>
      <c r="R455">
        <v>4</v>
      </c>
      <c r="S455">
        <v>4</v>
      </c>
      <c r="T455">
        <v>3</v>
      </c>
      <c r="U455" t="s">
        <v>30</v>
      </c>
      <c r="V455">
        <v>3</v>
      </c>
      <c r="W455">
        <f>COUNTIF($A$2:A455,A455)</f>
        <v>1</v>
      </c>
    </row>
    <row r="456" spans="1:23" x14ac:dyDescent="0.35">
      <c r="A456" t="s">
        <v>584</v>
      </c>
      <c r="B456" s="2">
        <v>45793</v>
      </c>
      <c r="C456" s="2">
        <v>45979</v>
      </c>
      <c r="D456" t="s">
        <v>30</v>
      </c>
      <c r="E456">
        <v>21</v>
      </c>
      <c r="F456" t="s">
        <v>62</v>
      </c>
      <c r="G456" t="s">
        <v>37</v>
      </c>
      <c r="H456" t="s">
        <v>26</v>
      </c>
      <c r="I456" t="s">
        <v>55</v>
      </c>
      <c r="J456" t="s">
        <v>56</v>
      </c>
      <c r="K456">
        <v>1</v>
      </c>
      <c r="M456">
        <v>33000</v>
      </c>
      <c r="N456">
        <v>8.1999999999999993</v>
      </c>
      <c r="O456">
        <v>0.8</v>
      </c>
      <c r="P456">
        <v>0.5</v>
      </c>
      <c r="Q456">
        <v>0</v>
      </c>
      <c r="R456">
        <v>3</v>
      </c>
      <c r="S456">
        <v>3</v>
      </c>
      <c r="T456">
        <v>3</v>
      </c>
      <c r="U456" t="s">
        <v>30</v>
      </c>
      <c r="V456">
        <v>3</v>
      </c>
      <c r="W456">
        <f>COUNTIF($A$2:A456,A456)</f>
        <v>1</v>
      </c>
    </row>
    <row r="457" spans="1:23" x14ac:dyDescent="0.35">
      <c r="A457" t="s">
        <v>1070</v>
      </c>
      <c r="B457" s="2">
        <v>45141</v>
      </c>
      <c r="D457" t="s">
        <v>23</v>
      </c>
      <c r="E457">
        <v>32</v>
      </c>
      <c r="F457" t="s">
        <v>62</v>
      </c>
      <c r="G457" t="s">
        <v>37</v>
      </c>
      <c r="H457" t="s">
        <v>54</v>
      </c>
      <c r="I457" t="s">
        <v>38</v>
      </c>
      <c r="J457" t="s">
        <v>139</v>
      </c>
      <c r="K457">
        <v>4</v>
      </c>
      <c r="L457" t="s">
        <v>50</v>
      </c>
      <c r="M457">
        <v>125000</v>
      </c>
      <c r="N457">
        <v>8.1</v>
      </c>
      <c r="O457">
        <v>9.5</v>
      </c>
      <c r="P457">
        <v>2.4</v>
      </c>
      <c r="Q457">
        <v>1.4</v>
      </c>
      <c r="R457">
        <v>3</v>
      </c>
      <c r="S457">
        <v>3</v>
      </c>
      <c r="T457">
        <v>4</v>
      </c>
      <c r="U457" t="s">
        <v>30</v>
      </c>
      <c r="V457">
        <v>4</v>
      </c>
      <c r="W457">
        <f>COUNTIF($A$2:A457,A457)</f>
        <v>1</v>
      </c>
    </row>
    <row r="458" spans="1:23" x14ac:dyDescent="0.35">
      <c r="A458" t="s">
        <v>295</v>
      </c>
      <c r="B458" s="2">
        <v>42121</v>
      </c>
      <c r="D458" t="s">
        <v>23</v>
      </c>
      <c r="E458">
        <v>34</v>
      </c>
      <c r="F458" t="s">
        <v>24</v>
      </c>
      <c r="G458" t="s">
        <v>42</v>
      </c>
      <c r="H458" t="s">
        <v>54</v>
      </c>
      <c r="I458" t="s">
        <v>55</v>
      </c>
      <c r="J458" t="s">
        <v>80</v>
      </c>
      <c r="K458">
        <v>3</v>
      </c>
      <c r="L458" t="s">
        <v>34</v>
      </c>
      <c r="M458">
        <v>94000</v>
      </c>
      <c r="N458">
        <v>4.5999999999999996</v>
      </c>
      <c r="O458">
        <v>13.8</v>
      </c>
      <c r="P458">
        <v>10.7</v>
      </c>
      <c r="Q458">
        <v>3.5</v>
      </c>
      <c r="R458">
        <v>3</v>
      </c>
      <c r="S458">
        <v>4</v>
      </c>
      <c r="T458">
        <v>4</v>
      </c>
      <c r="U458" t="s">
        <v>30</v>
      </c>
      <c r="V458">
        <v>2</v>
      </c>
      <c r="W458">
        <f>COUNTIF($A$2:A458,A458)</f>
        <v>1</v>
      </c>
    </row>
    <row r="459" spans="1:23" x14ac:dyDescent="0.35">
      <c r="A459" t="s">
        <v>867</v>
      </c>
      <c r="B459" s="2">
        <v>45888</v>
      </c>
      <c r="D459" t="s">
        <v>23</v>
      </c>
      <c r="E459">
        <v>32</v>
      </c>
      <c r="F459" t="s">
        <v>24</v>
      </c>
      <c r="G459" t="s">
        <v>37</v>
      </c>
      <c r="H459" t="s">
        <v>58</v>
      </c>
      <c r="I459" t="s">
        <v>45</v>
      </c>
      <c r="J459" t="s">
        <v>77</v>
      </c>
      <c r="K459">
        <v>3</v>
      </c>
      <c r="L459" t="s">
        <v>84</v>
      </c>
      <c r="M459">
        <v>72000</v>
      </c>
      <c r="N459">
        <v>11.8</v>
      </c>
      <c r="O459">
        <v>3</v>
      </c>
      <c r="P459">
        <v>0.4</v>
      </c>
      <c r="Q459">
        <v>0</v>
      </c>
      <c r="R459">
        <v>3</v>
      </c>
      <c r="S459">
        <v>3</v>
      </c>
      <c r="T459">
        <v>4</v>
      </c>
      <c r="U459" t="s">
        <v>23</v>
      </c>
      <c r="V459">
        <v>4</v>
      </c>
      <c r="W459">
        <f>COUNTIF($A$2:A459,A459)</f>
        <v>1</v>
      </c>
    </row>
    <row r="460" spans="1:23" x14ac:dyDescent="0.35">
      <c r="A460" t="s">
        <v>1416</v>
      </c>
      <c r="B460" s="2">
        <v>43575</v>
      </c>
      <c r="D460" t="s">
        <v>23</v>
      </c>
      <c r="E460">
        <v>40</v>
      </c>
      <c r="F460" t="s">
        <v>36</v>
      </c>
      <c r="G460" t="s">
        <v>42</v>
      </c>
      <c r="H460" t="s">
        <v>58</v>
      </c>
      <c r="I460" t="s">
        <v>59</v>
      </c>
      <c r="J460" t="s">
        <v>75</v>
      </c>
      <c r="K460">
        <v>3</v>
      </c>
      <c r="L460" t="s">
        <v>29</v>
      </c>
      <c r="M460">
        <v>78000</v>
      </c>
      <c r="N460">
        <v>6.6</v>
      </c>
      <c r="O460">
        <v>8.6</v>
      </c>
      <c r="P460">
        <v>6.7</v>
      </c>
      <c r="Q460">
        <v>4.5999999999999996</v>
      </c>
      <c r="R460">
        <v>2</v>
      </c>
      <c r="S460">
        <v>3</v>
      </c>
      <c r="T460">
        <v>1</v>
      </c>
      <c r="U460" t="s">
        <v>23</v>
      </c>
      <c r="V460">
        <v>3</v>
      </c>
      <c r="W460">
        <f>COUNTIF($A$2:A460,A460)</f>
        <v>1</v>
      </c>
    </row>
    <row r="461" spans="1:23" x14ac:dyDescent="0.35">
      <c r="A461" t="s">
        <v>1077</v>
      </c>
      <c r="B461" s="2">
        <v>45706</v>
      </c>
      <c r="D461" t="s">
        <v>23</v>
      </c>
      <c r="E461">
        <v>25</v>
      </c>
      <c r="F461" t="s">
        <v>62</v>
      </c>
      <c r="G461" t="s">
        <v>37</v>
      </c>
      <c r="H461" t="s">
        <v>54</v>
      </c>
      <c r="I461" t="s">
        <v>59</v>
      </c>
      <c r="J461" t="s">
        <v>86</v>
      </c>
      <c r="K461">
        <v>1</v>
      </c>
      <c r="L461" t="s">
        <v>34</v>
      </c>
      <c r="M461">
        <v>34000</v>
      </c>
      <c r="N461">
        <v>8.9</v>
      </c>
      <c r="O461">
        <v>3.3</v>
      </c>
      <c r="P461">
        <v>0.9</v>
      </c>
      <c r="Q461">
        <v>0</v>
      </c>
      <c r="R461">
        <v>3</v>
      </c>
      <c r="S461">
        <v>2</v>
      </c>
      <c r="T461">
        <v>3</v>
      </c>
      <c r="U461" t="s">
        <v>23</v>
      </c>
      <c r="V461">
        <v>4</v>
      </c>
      <c r="W461">
        <f>COUNTIF($A$2:A461,A461)</f>
        <v>1</v>
      </c>
    </row>
    <row r="462" spans="1:23" x14ac:dyDescent="0.35">
      <c r="A462" t="s">
        <v>1344</v>
      </c>
      <c r="B462" s="2">
        <v>43347</v>
      </c>
      <c r="D462" t="s">
        <v>23</v>
      </c>
      <c r="E462">
        <v>32</v>
      </c>
      <c r="F462" t="s">
        <v>62</v>
      </c>
      <c r="G462" t="s">
        <v>37</v>
      </c>
      <c r="H462" t="s">
        <v>32</v>
      </c>
      <c r="I462" t="s">
        <v>48</v>
      </c>
      <c r="J462" t="s">
        <v>201</v>
      </c>
      <c r="K462">
        <v>2</v>
      </c>
      <c r="L462" t="s">
        <v>34</v>
      </c>
      <c r="M462">
        <v>38000</v>
      </c>
      <c r="N462">
        <v>6.8</v>
      </c>
      <c r="O462">
        <v>8.8000000000000007</v>
      </c>
      <c r="P462">
        <v>7.3</v>
      </c>
      <c r="Q462">
        <v>3.8</v>
      </c>
      <c r="R462">
        <v>3</v>
      </c>
      <c r="S462">
        <v>2</v>
      </c>
      <c r="T462">
        <v>3</v>
      </c>
      <c r="U462" t="s">
        <v>30</v>
      </c>
      <c r="V462">
        <v>5</v>
      </c>
      <c r="W462">
        <f>COUNTIF($A$2:A462,A462)</f>
        <v>1</v>
      </c>
    </row>
    <row r="463" spans="1:23" x14ac:dyDescent="0.35">
      <c r="A463" t="s">
        <v>1004</v>
      </c>
      <c r="B463" s="2">
        <v>44044</v>
      </c>
      <c r="D463" t="s">
        <v>23</v>
      </c>
      <c r="E463">
        <v>34</v>
      </c>
      <c r="F463" t="s">
        <v>24</v>
      </c>
      <c r="G463" t="s">
        <v>25</v>
      </c>
      <c r="H463" t="s">
        <v>26</v>
      </c>
      <c r="I463" t="s">
        <v>27</v>
      </c>
      <c r="J463" t="s">
        <v>43</v>
      </c>
      <c r="K463">
        <v>2</v>
      </c>
      <c r="L463" t="s">
        <v>50</v>
      </c>
      <c r="M463">
        <v>41000</v>
      </c>
      <c r="N463">
        <v>14.1</v>
      </c>
      <c r="O463">
        <v>6.4</v>
      </c>
      <c r="P463">
        <v>5.4</v>
      </c>
      <c r="Q463">
        <v>4.9000000000000004</v>
      </c>
      <c r="R463">
        <v>3</v>
      </c>
      <c r="S463">
        <v>4</v>
      </c>
      <c r="T463">
        <v>3</v>
      </c>
      <c r="U463" t="s">
        <v>23</v>
      </c>
      <c r="V463">
        <v>3</v>
      </c>
      <c r="W463">
        <f>COUNTIF($A$2:A463,A463)</f>
        <v>1</v>
      </c>
    </row>
    <row r="464" spans="1:23" x14ac:dyDescent="0.35">
      <c r="A464" t="s">
        <v>900</v>
      </c>
      <c r="B464" s="2">
        <v>44148</v>
      </c>
      <c r="D464" t="s">
        <v>23</v>
      </c>
      <c r="E464">
        <v>40</v>
      </c>
      <c r="F464" t="s">
        <v>36</v>
      </c>
      <c r="G464" t="s">
        <v>37</v>
      </c>
      <c r="H464" t="s">
        <v>32</v>
      </c>
      <c r="I464" t="s">
        <v>27</v>
      </c>
      <c r="J464" t="s">
        <v>43</v>
      </c>
      <c r="K464">
        <v>3</v>
      </c>
      <c r="L464" t="s">
        <v>34</v>
      </c>
      <c r="M464">
        <v>77000</v>
      </c>
      <c r="N464">
        <v>6.4</v>
      </c>
      <c r="O464">
        <v>8</v>
      </c>
      <c r="P464">
        <v>5.0999999999999996</v>
      </c>
      <c r="Q464">
        <v>3</v>
      </c>
      <c r="R464">
        <v>3</v>
      </c>
      <c r="S464">
        <v>4</v>
      </c>
      <c r="T464">
        <v>1</v>
      </c>
      <c r="U464" t="s">
        <v>23</v>
      </c>
      <c r="V464">
        <v>4</v>
      </c>
      <c r="W464">
        <f>COUNTIF($A$2:A464,A464)</f>
        <v>1</v>
      </c>
    </row>
    <row r="465" spans="1:23" x14ac:dyDescent="0.35">
      <c r="A465" t="s">
        <v>190</v>
      </c>
      <c r="B465" s="2">
        <v>45198</v>
      </c>
      <c r="D465" t="s">
        <v>23</v>
      </c>
      <c r="E465">
        <v>25</v>
      </c>
      <c r="F465" t="s">
        <v>24</v>
      </c>
      <c r="G465" t="s">
        <v>37</v>
      </c>
      <c r="H465" t="s">
        <v>32</v>
      </c>
      <c r="I465" t="s">
        <v>38</v>
      </c>
      <c r="J465" t="s">
        <v>118</v>
      </c>
      <c r="K465">
        <v>1</v>
      </c>
      <c r="L465" t="s">
        <v>50</v>
      </c>
      <c r="M465">
        <v>46000</v>
      </c>
      <c r="N465">
        <v>13</v>
      </c>
      <c r="O465">
        <v>8.3000000000000007</v>
      </c>
      <c r="P465">
        <v>2.2999999999999998</v>
      </c>
      <c r="Q465">
        <v>1</v>
      </c>
      <c r="R465">
        <v>3</v>
      </c>
      <c r="S465">
        <v>4</v>
      </c>
      <c r="T465">
        <v>3</v>
      </c>
      <c r="U465" t="s">
        <v>23</v>
      </c>
      <c r="V465">
        <v>5</v>
      </c>
      <c r="W465">
        <f>COUNTIF($A$2:A465,A465)</f>
        <v>1</v>
      </c>
    </row>
    <row r="466" spans="1:23" x14ac:dyDescent="0.35">
      <c r="A466" t="s">
        <v>923</v>
      </c>
      <c r="B466" s="2">
        <v>45459</v>
      </c>
      <c r="C466" s="2">
        <v>45745</v>
      </c>
      <c r="D466" t="s">
        <v>30</v>
      </c>
      <c r="E466">
        <v>43</v>
      </c>
      <c r="F466" t="s">
        <v>62</v>
      </c>
      <c r="G466" t="s">
        <v>42</v>
      </c>
      <c r="H466" t="s">
        <v>58</v>
      </c>
      <c r="I466" t="s">
        <v>45</v>
      </c>
      <c r="J466" t="s">
        <v>77</v>
      </c>
      <c r="K466">
        <v>4</v>
      </c>
      <c r="L466" t="s">
        <v>66</v>
      </c>
      <c r="M466">
        <v>101000</v>
      </c>
      <c r="N466">
        <v>10.199999999999999</v>
      </c>
      <c r="O466">
        <v>6</v>
      </c>
      <c r="P466">
        <v>0.8</v>
      </c>
      <c r="Q466">
        <v>0</v>
      </c>
      <c r="R466">
        <v>1</v>
      </c>
      <c r="S466">
        <v>3</v>
      </c>
      <c r="T466">
        <v>3</v>
      </c>
      <c r="U466" t="s">
        <v>23</v>
      </c>
      <c r="V466">
        <v>4</v>
      </c>
      <c r="W466">
        <f>COUNTIF($A$2:A466,A466)</f>
        <v>1</v>
      </c>
    </row>
    <row r="467" spans="1:23" x14ac:dyDescent="0.35">
      <c r="A467" t="s">
        <v>933</v>
      </c>
      <c r="B467" s="2">
        <v>41797</v>
      </c>
      <c r="C467" s="2">
        <v>45727</v>
      </c>
      <c r="D467" t="s">
        <v>30</v>
      </c>
      <c r="E467">
        <v>32</v>
      </c>
      <c r="F467" t="s">
        <v>24</v>
      </c>
      <c r="G467" t="s">
        <v>42</v>
      </c>
      <c r="H467" t="s">
        <v>32</v>
      </c>
      <c r="I467" t="s">
        <v>59</v>
      </c>
      <c r="J467" t="s">
        <v>150</v>
      </c>
      <c r="K467">
        <v>3</v>
      </c>
      <c r="L467" t="s">
        <v>29</v>
      </c>
      <c r="M467">
        <v>82000</v>
      </c>
      <c r="N467">
        <v>12.2</v>
      </c>
      <c r="O467">
        <v>10.9</v>
      </c>
      <c r="P467">
        <v>10.8</v>
      </c>
      <c r="Q467">
        <v>0.7</v>
      </c>
      <c r="R467">
        <v>4</v>
      </c>
      <c r="S467">
        <v>1</v>
      </c>
      <c r="T467">
        <v>4</v>
      </c>
      <c r="U467" t="s">
        <v>23</v>
      </c>
      <c r="V467">
        <v>4</v>
      </c>
      <c r="W467">
        <f>COUNTIF($A$2:A467,A467)</f>
        <v>1</v>
      </c>
    </row>
    <row r="468" spans="1:23" x14ac:dyDescent="0.35">
      <c r="A468" t="s">
        <v>607</v>
      </c>
      <c r="B468" s="2">
        <v>42246</v>
      </c>
      <c r="D468" t="s">
        <v>23</v>
      </c>
      <c r="E468">
        <v>42</v>
      </c>
      <c r="F468" t="s">
        <v>36</v>
      </c>
      <c r="G468" t="s">
        <v>42</v>
      </c>
      <c r="H468" t="s">
        <v>54</v>
      </c>
      <c r="I468" t="s">
        <v>55</v>
      </c>
      <c r="J468" t="s">
        <v>80</v>
      </c>
      <c r="K468">
        <v>4</v>
      </c>
      <c r="L468" t="s">
        <v>50</v>
      </c>
      <c r="M468">
        <v>114000</v>
      </c>
      <c r="N468">
        <v>13.1</v>
      </c>
      <c r="O468">
        <v>11.5</v>
      </c>
      <c r="P468">
        <v>10.3</v>
      </c>
      <c r="Q468">
        <v>2.5</v>
      </c>
      <c r="R468">
        <v>2</v>
      </c>
      <c r="S468">
        <v>2</v>
      </c>
      <c r="T468">
        <v>4</v>
      </c>
      <c r="U468" t="s">
        <v>23</v>
      </c>
      <c r="V468">
        <v>4</v>
      </c>
      <c r="W468">
        <f>COUNTIF($A$2:A468,A468)</f>
        <v>1</v>
      </c>
    </row>
    <row r="469" spans="1:23" x14ac:dyDescent="0.35">
      <c r="A469" t="s">
        <v>57</v>
      </c>
      <c r="B469" s="2">
        <v>44908</v>
      </c>
      <c r="D469" t="s">
        <v>23</v>
      </c>
      <c r="E469">
        <v>25</v>
      </c>
      <c r="F469" t="s">
        <v>36</v>
      </c>
      <c r="G469" t="s">
        <v>25</v>
      </c>
      <c r="H469" t="s">
        <v>58</v>
      </c>
      <c r="I469" t="s">
        <v>59</v>
      </c>
      <c r="J469" t="s">
        <v>60</v>
      </c>
      <c r="K469">
        <v>1</v>
      </c>
      <c r="L469" t="s">
        <v>50</v>
      </c>
      <c r="M469">
        <v>29000</v>
      </c>
      <c r="N469">
        <v>4.5999999999999996</v>
      </c>
      <c r="O469">
        <v>3.5</v>
      </c>
      <c r="P469">
        <v>3</v>
      </c>
      <c r="Q469">
        <v>0</v>
      </c>
      <c r="R469">
        <v>3</v>
      </c>
      <c r="S469">
        <v>3</v>
      </c>
      <c r="T469">
        <v>3</v>
      </c>
      <c r="U469" t="s">
        <v>30</v>
      </c>
      <c r="V469">
        <v>5</v>
      </c>
      <c r="W469">
        <f>COUNTIF($A$2:A469,A469)</f>
        <v>1</v>
      </c>
    </row>
    <row r="470" spans="1:23" x14ac:dyDescent="0.35">
      <c r="A470" t="s">
        <v>904</v>
      </c>
      <c r="B470" s="2">
        <v>43603</v>
      </c>
      <c r="D470" t="s">
        <v>23</v>
      </c>
      <c r="E470">
        <v>31</v>
      </c>
      <c r="F470" t="s">
        <v>24</v>
      </c>
      <c r="G470" t="s">
        <v>42</v>
      </c>
      <c r="H470" t="s">
        <v>54</v>
      </c>
      <c r="I470" t="s">
        <v>48</v>
      </c>
      <c r="J470" t="s">
        <v>201</v>
      </c>
      <c r="K470">
        <v>3</v>
      </c>
      <c r="L470" t="s">
        <v>34</v>
      </c>
      <c r="M470">
        <v>87000</v>
      </c>
      <c r="N470">
        <v>14.2</v>
      </c>
      <c r="O470">
        <v>10.5</v>
      </c>
      <c r="P470">
        <v>6.6</v>
      </c>
      <c r="Q470">
        <v>4.3</v>
      </c>
      <c r="R470">
        <v>3</v>
      </c>
      <c r="S470">
        <v>3</v>
      </c>
      <c r="T470">
        <v>3</v>
      </c>
      <c r="U470" t="s">
        <v>23</v>
      </c>
      <c r="V470">
        <v>3</v>
      </c>
      <c r="W470">
        <f>COUNTIF($A$2:A470,A470)</f>
        <v>1</v>
      </c>
    </row>
    <row r="471" spans="1:23" x14ac:dyDescent="0.35">
      <c r="A471" t="s">
        <v>860</v>
      </c>
      <c r="B471" s="2">
        <v>43860</v>
      </c>
      <c r="D471" t="s">
        <v>23</v>
      </c>
      <c r="E471">
        <v>29</v>
      </c>
      <c r="F471" t="s">
        <v>62</v>
      </c>
      <c r="G471" t="s">
        <v>42</v>
      </c>
      <c r="H471" t="s">
        <v>54</v>
      </c>
      <c r="I471" t="s">
        <v>38</v>
      </c>
      <c r="J471" t="s">
        <v>52</v>
      </c>
      <c r="K471">
        <v>3</v>
      </c>
      <c r="L471" t="s">
        <v>40</v>
      </c>
      <c r="M471">
        <v>85000</v>
      </c>
      <c r="N471">
        <v>2.2999999999999998</v>
      </c>
      <c r="O471">
        <v>11.7</v>
      </c>
      <c r="P471">
        <v>5.9</v>
      </c>
      <c r="Q471">
        <v>2.8</v>
      </c>
      <c r="R471">
        <v>3</v>
      </c>
      <c r="S471">
        <v>3</v>
      </c>
      <c r="T471">
        <v>3</v>
      </c>
      <c r="U471" t="s">
        <v>23</v>
      </c>
      <c r="V471">
        <v>4</v>
      </c>
      <c r="W471">
        <f>COUNTIF($A$2:A471,A471)</f>
        <v>1</v>
      </c>
    </row>
    <row r="472" spans="1:23" x14ac:dyDescent="0.35">
      <c r="A472" t="s">
        <v>1259</v>
      </c>
      <c r="B472" s="2">
        <v>42353</v>
      </c>
      <c r="D472" t="s">
        <v>23</v>
      </c>
      <c r="E472">
        <v>40</v>
      </c>
      <c r="F472" t="s">
        <v>62</v>
      </c>
      <c r="G472" t="s">
        <v>42</v>
      </c>
      <c r="H472" t="s">
        <v>32</v>
      </c>
      <c r="I472" t="s">
        <v>68</v>
      </c>
      <c r="J472" t="s">
        <v>121</v>
      </c>
      <c r="K472">
        <v>5</v>
      </c>
      <c r="L472" t="s">
        <v>40</v>
      </c>
      <c r="M472">
        <v>168000</v>
      </c>
      <c r="N472">
        <v>4.0999999999999996</v>
      </c>
      <c r="O472">
        <v>16.399999999999999</v>
      </c>
      <c r="P472">
        <v>10</v>
      </c>
      <c r="Q472">
        <v>5.0999999999999996</v>
      </c>
      <c r="R472">
        <v>4</v>
      </c>
      <c r="S472">
        <v>3</v>
      </c>
      <c r="T472">
        <v>3</v>
      </c>
      <c r="U472" t="s">
        <v>23</v>
      </c>
      <c r="V472">
        <v>4</v>
      </c>
      <c r="W472">
        <f>COUNTIF($A$2:A472,A472)</f>
        <v>1</v>
      </c>
    </row>
    <row r="473" spans="1:23" x14ac:dyDescent="0.35">
      <c r="A473" t="s">
        <v>396</v>
      </c>
      <c r="B473" s="2">
        <v>45482</v>
      </c>
      <c r="D473" t="s">
        <v>23</v>
      </c>
      <c r="E473">
        <v>33</v>
      </c>
      <c r="F473" t="s">
        <v>24</v>
      </c>
      <c r="G473" t="s">
        <v>37</v>
      </c>
      <c r="H473" t="s">
        <v>26</v>
      </c>
      <c r="I473" t="s">
        <v>55</v>
      </c>
      <c r="J473" t="s">
        <v>179</v>
      </c>
      <c r="K473">
        <v>3</v>
      </c>
      <c r="L473" t="s">
        <v>50</v>
      </c>
      <c r="M473">
        <v>92000</v>
      </c>
      <c r="N473">
        <v>5.8</v>
      </c>
      <c r="O473">
        <v>3.2</v>
      </c>
      <c r="P473">
        <v>1.5</v>
      </c>
      <c r="Q473">
        <v>0.1</v>
      </c>
      <c r="R473">
        <v>4</v>
      </c>
      <c r="S473">
        <v>1</v>
      </c>
      <c r="T473">
        <v>4</v>
      </c>
      <c r="U473" t="s">
        <v>23</v>
      </c>
      <c r="V473">
        <v>3</v>
      </c>
      <c r="W473">
        <f>COUNTIF($A$2:A473,A473)</f>
        <v>1</v>
      </c>
    </row>
    <row r="474" spans="1:23" x14ac:dyDescent="0.35">
      <c r="A474" t="s">
        <v>396</v>
      </c>
      <c r="B474" s="2">
        <v>45482</v>
      </c>
      <c r="D474" t="s">
        <v>23</v>
      </c>
      <c r="E474">
        <v>33</v>
      </c>
      <c r="F474" t="s">
        <v>24</v>
      </c>
      <c r="G474" t="s">
        <v>37</v>
      </c>
      <c r="H474" t="s">
        <v>26</v>
      </c>
      <c r="I474" t="s">
        <v>55</v>
      </c>
      <c r="J474" t="s">
        <v>179</v>
      </c>
      <c r="K474">
        <v>3</v>
      </c>
      <c r="L474" t="s">
        <v>50</v>
      </c>
      <c r="M474">
        <v>92000</v>
      </c>
      <c r="N474">
        <v>5.8</v>
      </c>
      <c r="O474">
        <v>3.2</v>
      </c>
      <c r="P474">
        <v>1.5</v>
      </c>
      <c r="Q474">
        <v>0.1</v>
      </c>
      <c r="R474">
        <v>4</v>
      </c>
      <c r="S474">
        <v>1</v>
      </c>
      <c r="T474">
        <v>4</v>
      </c>
      <c r="U474" t="s">
        <v>23</v>
      </c>
      <c r="V474">
        <v>3</v>
      </c>
      <c r="W474">
        <f>COUNTIF($A$2:A474,A474)</f>
        <v>2</v>
      </c>
    </row>
    <row r="475" spans="1:23" x14ac:dyDescent="0.35">
      <c r="A475" t="s">
        <v>536</v>
      </c>
      <c r="B475" s="2">
        <v>45110</v>
      </c>
      <c r="D475" t="s">
        <v>23</v>
      </c>
      <c r="E475">
        <v>30</v>
      </c>
      <c r="F475" t="s">
        <v>62</v>
      </c>
      <c r="G475" t="s">
        <v>25</v>
      </c>
      <c r="H475" t="s">
        <v>26</v>
      </c>
      <c r="I475" t="s">
        <v>68</v>
      </c>
      <c r="J475" t="s">
        <v>121</v>
      </c>
      <c r="K475">
        <v>2</v>
      </c>
      <c r="L475" t="s">
        <v>29</v>
      </c>
      <c r="M475">
        <v>53000</v>
      </c>
      <c r="N475">
        <v>11.2</v>
      </c>
      <c r="O475">
        <v>8.8000000000000007</v>
      </c>
      <c r="P475">
        <v>2.5</v>
      </c>
      <c r="Q475">
        <v>1.9</v>
      </c>
      <c r="R475">
        <v>3</v>
      </c>
      <c r="S475">
        <v>4</v>
      </c>
      <c r="T475">
        <v>3</v>
      </c>
      <c r="U475" t="s">
        <v>23</v>
      </c>
      <c r="V475">
        <v>5</v>
      </c>
      <c r="W475">
        <f>COUNTIF($A$2:A475,A475)</f>
        <v>1</v>
      </c>
    </row>
    <row r="476" spans="1:23" x14ac:dyDescent="0.35">
      <c r="A476" t="s">
        <v>876</v>
      </c>
      <c r="B476" s="2">
        <v>42502</v>
      </c>
      <c r="D476" t="s">
        <v>23</v>
      </c>
      <c r="E476">
        <v>30</v>
      </c>
      <c r="F476" t="s">
        <v>24</v>
      </c>
      <c r="G476" t="s">
        <v>25</v>
      </c>
      <c r="H476" t="s">
        <v>26</v>
      </c>
      <c r="I476" t="s">
        <v>38</v>
      </c>
      <c r="J476" t="s">
        <v>52</v>
      </c>
      <c r="K476">
        <v>3</v>
      </c>
      <c r="L476" t="s">
        <v>40</v>
      </c>
      <c r="M476">
        <v>85000</v>
      </c>
      <c r="N476">
        <v>8.6</v>
      </c>
      <c r="O476">
        <v>14.5</v>
      </c>
      <c r="P476">
        <v>9.6</v>
      </c>
      <c r="Q476">
        <v>5.2</v>
      </c>
      <c r="R476">
        <v>4</v>
      </c>
      <c r="S476">
        <v>2</v>
      </c>
      <c r="T476">
        <v>3</v>
      </c>
      <c r="U476" t="s">
        <v>23</v>
      </c>
      <c r="V476">
        <v>3</v>
      </c>
      <c r="W476">
        <f>COUNTIF($A$2:A476,A476)</f>
        <v>1</v>
      </c>
    </row>
    <row r="477" spans="1:23" x14ac:dyDescent="0.35">
      <c r="A477" t="s">
        <v>625</v>
      </c>
      <c r="B477" s="2">
        <v>43145</v>
      </c>
      <c r="D477" t="s">
        <v>23</v>
      </c>
      <c r="E477">
        <v>31</v>
      </c>
      <c r="F477" t="s">
        <v>36</v>
      </c>
      <c r="G477" t="s">
        <v>37</v>
      </c>
      <c r="H477" t="s">
        <v>32</v>
      </c>
      <c r="I477" t="s">
        <v>68</v>
      </c>
      <c r="J477" t="s">
        <v>109</v>
      </c>
      <c r="K477">
        <v>3</v>
      </c>
      <c r="L477" t="s">
        <v>34</v>
      </c>
      <c r="M477">
        <v>91000</v>
      </c>
      <c r="N477">
        <v>11.2</v>
      </c>
      <c r="O477">
        <v>9.1</v>
      </c>
      <c r="P477">
        <v>7.9</v>
      </c>
      <c r="Q477">
        <v>2.2000000000000002</v>
      </c>
      <c r="R477">
        <v>3</v>
      </c>
      <c r="S477">
        <v>4</v>
      </c>
      <c r="T477">
        <v>2</v>
      </c>
      <c r="U477" t="s">
        <v>23</v>
      </c>
      <c r="V477">
        <v>3</v>
      </c>
      <c r="W477">
        <f>COUNTIF($A$2:A477,A477)</f>
        <v>1</v>
      </c>
    </row>
    <row r="478" spans="1:23" x14ac:dyDescent="0.35">
      <c r="A478" t="s">
        <v>1479</v>
      </c>
      <c r="B478" s="2">
        <v>45549</v>
      </c>
      <c r="D478" t="s">
        <v>23</v>
      </c>
      <c r="E478">
        <v>38</v>
      </c>
      <c r="F478" t="s">
        <v>36</v>
      </c>
      <c r="G478" t="s">
        <v>42</v>
      </c>
      <c r="H478" t="s">
        <v>54</v>
      </c>
      <c r="I478" t="s">
        <v>68</v>
      </c>
      <c r="J478" t="s">
        <v>69</v>
      </c>
      <c r="K478">
        <v>3</v>
      </c>
      <c r="L478" t="s">
        <v>34</v>
      </c>
      <c r="M478">
        <v>74000</v>
      </c>
      <c r="N478">
        <v>13.7</v>
      </c>
      <c r="O478">
        <v>6.6</v>
      </c>
      <c r="P478">
        <v>1.3</v>
      </c>
      <c r="Q478">
        <v>0.2</v>
      </c>
      <c r="R478">
        <v>4</v>
      </c>
      <c r="S478">
        <v>4</v>
      </c>
      <c r="T478">
        <v>3</v>
      </c>
      <c r="U478" t="s">
        <v>23</v>
      </c>
      <c r="V478">
        <v>3</v>
      </c>
      <c r="W478">
        <f>COUNTIF($A$2:A478,A478)</f>
        <v>1</v>
      </c>
    </row>
    <row r="479" spans="1:23" x14ac:dyDescent="0.35">
      <c r="A479" t="s">
        <v>589</v>
      </c>
      <c r="B479" s="2">
        <v>44022</v>
      </c>
      <c r="D479" t="s">
        <v>23</v>
      </c>
      <c r="E479">
        <v>32</v>
      </c>
      <c r="F479" t="s">
        <v>36</v>
      </c>
      <c r="G479" t="s">
        <v>37</v>
      </c>
      <c r="H479" t="s">
        <v>32</v>
      </c>
      <c r="I479" t="s">
        <v>59</v>
      </c>
      <c r="J479" t="s">
        <v>150</v>
      </c>
      <c r="K479">
        <v>4</v>
      </c>
      <c r="L479" t="s">
        <v>66</v>
      </c>
      <c r="M479">
        <v>112000</v>
      </c>
      <c r="N479">
        <v>2.7</v>
      </c>
      <c r="O479">
        <v>6</v>
      </c>
      <c r="P479">
        <v>5.5</v>
      </c>
      <c r="Q479">
        <v>1.9</v>
      </c>
      <c r="R479">
        <v>3</v>
      </c>
      <c r="S479">
        <v>3</v>
      </c>
      <c r="T479">
        <v>4</v>
      </c>
      <c r="U479" t="s">
        <v>23</v>
      </c>
      <c r="V479">
        <v>3</v>
      </c>
      <c r="W479">
        <f>COUNTIF($A$2:A479,A479)</f>
        <v>1</v>
      </c>
    </row>
    <row r="480" spans="1:23" x14ac:dyDescent="0.35">
      <c r="A480" t="s">
        <v>872</v>
      </c>
      <c r="B480" s="2">
        <v>45193</v>
      </c>
      <c r="D480" t="s">
        <v>23</v>
      </c>
      <c r="E480">
        <v>25</v>
      </c>
      <c r="F480" t="s">
        <v>62</v>
      </c>
      <c r="G480" t="s">
        <v>37</v>
      </c>
      <c r="H480" t="s">
        <v>54</v>
      </c>
      <c r="I480" t="s">
        <v>38</v>
      </c>
      <c r="J480" t="s">
        <v>39</v>
      </c>
      <c r="K480">
        <v>1</v>
      </c>
      <c r="L480" t="s">
        <v>34</v>
      </c>
      <c r="M480">
        <v>39000</v>
      </c>
      <c r="N480">
        <v>15.9</v>
      </c>
      <c r="O480">
        <v>8</v>
      </c>
      <c r="P480">
        <v>2.2999999999999998</v>
      </c>
      <c r="Q480">
        <v>0.7</v>
      </c>
      <c r="R480">
        <v>3</v>
      </c>
      <c r="S480">
        <v>3</v>
      </c>
      <c r="T480">
        <v>4</v>
      </c>
      <c r="U480" t="s">
        <v>23</v>
      </c>
      <c r="V480">
        <v>5</v>
      </c>
      <c r="W480">
        <f>COUNTIF($A$2:A480,A480)</f>
        <v>1</v>
      </c>
    </row>
    <row r="481" spans="1:23" x14ac:dyDescent="0.35">
      <c r="A481" t="s">
        <v>326</v>
      </c>
      <c r="B481" s="2">
        <v>43245</v>
      </c>
      <c r="D481" t="s">
        <v>23</v>
      </c>
      <c r="E481">
        <v>37</v>
      </c>
      <c r="F481" t="s">
        <v>62</v>
      </c>
      <c r="G481" t="s">
        <v>42</v>
      </c>
      <c r="H481" t="s">
        <v>54</v>
      </c>
      <c r="I481" t="s">
        <v>45</v>
      </c>
      <c r="J481" t="s">
        <v>97</v>
      </c>
      <c r="K481">
        <v>4</v>
      </c>
      <c r="L481" t="s">
        <v>29</v>
      </c>
      <c r="M481">
        <v>108000</v>
      </c>
      <c r="N481">
        <v>1.8</v>
      </c>
      <c r="O481">
        <v>14.1</v>
      </c>
      <c r="P481">
        <v>7.6</v>
      </c>
      <c r="Q481">
        <v>3.9</v>
      </c>
      <c r="R481">
        <v>3</v>
      </c>
      <c r="S481">
        <v>4</v>
      </c>
      <c r="T481">
        <v>4</v>
      </c>
      <c r="U481" t="s">
        <v>23</v>
      </c>
      <c r="V481">
        <v>2</v>
      </c>
      <c r="W481">
        <f>COUNTIF($A$2:A481,A481)</f>
        <v>1</v>
      </c>
    </row>
    <row r="482" spans="1:23" x14ac:dyDescent="0.35">
      <c r="A482" t="s">
        <v>1360</v>
      </c>
      <c r="B482" s="2">
        <v>44639</v>
      </c>
      <c r="D482" t="s">
        <v>23</v>
      </c>
      <c r="E482">
        <v>27</v>
      </c>
      <c r="F482" t="s">
        <v>62</v>
      </c>
      <c r="G482" t="s">
        <v>25</v>
      </c>
      <c r="H482" t="s">
        <v>58</v>
      </c>
      <c r="I482" t="s">
        <v>45</v>
      </c>
      <c r="J482" t="s">
        <v>97</v>
      </c>
      <c r="K482">
        <v>1</v>
      </c>
      <c r="L482" t="s">
        <v>40</v>
      </c>
      <c r="M482">
        <v>26000</v>
      </c>
      <c r="N482">
        <v>8.3000000000000007</v>
      </c>
      <c r="O482">
        <v>6.3</v>
      </c>
      <c r="P482">
        <v>3.8</v>
      </c>
      <c r="Q482">
        <v>1.3</v>
      </c>
      <c r="R482">
        <v>2</v>
      </c>
      <c r="S482">
        <v>3</v>
      </c>
      <c r="T482">
        <v>1</v>
      </c>
      <c r="U482" t="s">
        <v>23</v>
      </c>
      <c r="V482">
        <v>5</v>
      </c>
      <c r="W482">
        <f>COUNTIF($A$2:A482,A482)</f>
        <v>1</v>
      </c>
    </row>
    <row r="483" spans="1:23" x14ac:dyDescent="0.35">
      <c r="A483" t="s">
        <v>447</v>
      </c>
      <c r="B483" s="2">
        <v>45727</v>
      </c>
      <c r="C483" s="2">
        <v>45882</v>
      </c>
      <c r="D483" t="s">
        <v>30</v>
      </c>
      <c r="E483">
        <v>21</v>
      </c>
      <c r="F483" t="s">
        <v>36</v>
      </c>
      <c r="G483" t="s">
        <v>42</v>
      </c>
      <c r="H483" t="s">
        <v>26</v>
      </c>
      <c r="I483" t="s">
        <v>59</v>
      </c>
      <c r="J483" t="s">
        <v>150</v>
      </c>
      <c r="K483">
        <v>1</v>
      </c>
      <c r="L483" t="s">
        <v>34</v>
      </c>
      <c r="M483">
        <v>40000</v>
      </c>
      <c r="N483">
        <v>4.7</v>
      </c>
      <c r="O483">
        <v>2.5</v>
      </c>
      <c r="P483">
        <v>0.4</v>
      </c>
      <c r="Q483">
        <v>0</v>
      </c>
      <c r="R483">
        <v>2</v>
      </c>
      <c r="S483">
        <v>2</v>
      </c>
      <c r="T483">
        <v>3</v>
      </c>
      <c r="U483" t="s">
        <v>23</v>
      </c>
      <c r="V483">
        <v>5</v>
      </c>
      <c r="W483">
        <f>COUNTIF($A$2:A483,A483)</f>
        <v>1</v>
      </c>
    </row>
    <row r="484" spans="1:23" x14ac:dyDescent="0.35">
      <c r="A484" t="s">
        <v>213</v>
      </c>
      <c r="B484" s="2">
        <v>41687</v>
      </c>
      <c r="D484" t="s">
        <v>23</v>
      </c>
      <c r="E484">
        <v>48</v>
      </c>
      <c r="F484" t="s">
        <v>62</v>
      </c>
      <c r="G484" t="s">
        <v>25</v>
      </c>
      <c r="H484" t="s">
        <v>32</v>
      </c>
      <c r="I484" t="s">
        <v>68</v>
      </c>
      <c r="J484" t="s">
        <v>109</v>
      </c>
      <c r="K484">
        <v>4</v>
      </c>
      <c r="L484" t="s">
        <v>29</v>
      </c>
      <c r="M484">
        <v>102000</v>
      </c>
      <c r="N484">
        <v>0</v>
      </c>
      <c r="O484">
        <v>16.100000000000001</v>
      </c>
      <c r="P484">
        <v>11.9</v>
      </c>
      <c r="Q484">
        <v>3.6</v>
      </c>
      <c r="R484">
        <v>4</v>
      </c>
      <c r="S484">
        <v>3</v>
      </c>
      <c r="T484">
        <v>3</v>
      </c>
      <c r="U484" t="s">
        <v>23</v>
      </c>
      <c r="V484">
        <v>4</v>
      </c>
      <c r="W484">
        <f>COUNTIF($A$2:A484,A484)</f>
        <v>1</v>
      </c>
    </row>
    <row r="485" spans="1:23" x14ac:dyDescent="0.35">
      <c r="A485" t="s">
        <v>432</v>
      </c>
      <c r="B485" s="2">
        <v>43706</v>
      </c>
      <c r="D485" t="s">
        <v>23</v>
      </c>
      <c r="E485">
        <v>41</v>
      </c>
      <c r="F485" t="s">
        <v>24</v>
      </c>
      <c r="G485" t="s">
        <v>42</v>
      </c>
      <c r="H485" t="s">
        <v>32</v>
      </c>
      <c r="I485" t="s">
        <v>48</v>
      </c>
      <c r="J485" t="s">
        <v>49</v>
      </c>
      <c r="K485">
        <v>2</v>
      </c>
      <c r="L485" t="s">
        <v>34</v>
      </c>
      <c r="M485">
        <v>73000</v>
      </c>
      <c r="N485">
        <v>4.0999999999999996</v>
      </c>
      <c r="O485">
        <v>7.5</v>
      </c>
      <c r="P485">
        <v>6.3</v>
      </c>
      <c r="Q485">
        <v>2.6</v>
      </c>
      <c r="R485">
        <v>4</v>
      </c>
      <c r="S485">
        <v>3</v>
      </c>
      <c r="T485">
        <v>2</v>
      </c>
      <c r="U485" t="s">
        <v>30</v>
      </c>
      <c r="V485">
        <v>3</v>
      </c>
      <c r="W485">
        <f>COUNTIF($A$2:A485,A485)</f>
        <v>1</v>
      </c>
    </row>
    <row r="486" spans="1:23" x14ac:dyDescent="0.35">
      <c r="A486" t="s">
        <v>687</v>
      </c>
      <c r="B486" s="2">
        <v>44486</v>
      </c>
      <c r="D486" t="s">
        <v>23</v>
      </c>
      <c r="E486">
        <v>30</v>
      </c>
      <c r="F486" t="s">
        <v>62</v>
      </c>
      <c r="G486" t="s">
        <v>42</v>
      </c>
      <c r="H486" t="s">
        <v>32</v>
      </c>
      <c r="I486" t="s">
        <v>38</v>
      </c>
      <c r="J486" t="s">
        <v>39</v>
      </c>
      <c r="K486">
        <v>3</v>
      </c>
      <c r="L486" t="s">
        <v>40</v>
      </c>
      <c r="M486">
        <v>85000</v>
      </c>
      <c r="N486">
        <v>19.600000000000001</v>
      </c>
      <c r="O486">
        <v>8.9</v>
      </c>
      <c r="P486">
        <v>4.2</v>
      </c>
      <c r="Q486">
        <v>2.7</v>
      </c>
      <c r="R486">
        <v>4</v>
      </c>
      <c r="S486">
        <v>4</v>
      </c>
      <c r="T486">
        <v>3</v>
      </c>
      <c r="U486" t="s">
        <v>23</v>
      </c>
      <c r="V486">
        <v>5</v>
      </c>
      <c r="W486">
        <f>COUNTIF($A$2:A486,A486)</f>
        <v>1</v>
      </c>
    </row>
    <row r="487" spans="1:23" x14ac:dyDescent="0.35">
      <c r="A487" t="s">
        <v>1407</v>
      </c>
      <c r="B487" s="2">
        <v>43957</v>
      </c>
      <c r="D487" t="s">
        <v>23</v>
      </c>
      <c r="E487">
        <v>35</v>
      </c>
      <c r="F487" t="s">
        <v>24</v>
      </c>
      <c r="G487" t="s">
        <v>25</v>
      </c>
      <c r="H487" t="s">
        <v>54</v>
      </c>
      <c r="I487" t="s">
        <v>27</v>
      </c>
      <c r="J487" t="s">
        <v>95</v>
      </c>
      <c r="K487">
        <v>3</v>
      </c>
      <c r="L487" t="s">
        <v>50</v>
      </c>
      <c r="M487">
        <v>78000</v>
      </c>
      <c r="N487">
        <v>13.3</v>
      </c>
      <c r="O487">
        <v>11.2</v>
      </c>
      <c r="P487">
        <v>5.7</v>
      </c>
      <c r="Q487">
        <v>2.6</v>
      </c>
      <c r="R487">
        <v>3</v>
      </c>
      <c r="S487">
        <v>1</v>
      </c>
      <c r="T487">
        <v>2</v>
      </c>
      <c r="U487" t="s">
        <v>23</v>
      </c>
      <c r="V487">
        <v>4</v>
      </c>
      <c r="W487">
        <f>COUNTIF($A$2:A487,A487)</f>
        <v>1</v>
      </c>
    </row>
    <row r="488" spans="1:23" x14ac:dyDescent="0.35">
      <c r="A488" t="s">
        <v>89</v>
      </c>
      <c r="B488" s="2">
        <v>45741</v>
      </c>
      <c r="D488" t="s">
        <v>23</v>
      </c>
      <c r="E488">
        <v>35</v>
      </c>
      <c r="F488" t="s">
        <v>24</v>
      </c>
      <c r="G488" t="s">
        <v>42</v>
      </c>
      <c r="H488" t="s">
        <v>58</v>
      </c>
      <c r="I488" t="s">
        <v>38</v>
      </c>
      <c r="J488" t="s">
        <v>39</v>
      </c>
      <c r="K488">
        <v>3</v>
      </c>
      <c r="L488" t="s">
        <v>40</v>
      </c>
      <c r="M488">
        <v>83000</v>
      </c>
      <c r="N488">
        <v>10.1</v>
      </c>
      <c r="O488">
        <v>3.2</v>
      </c>
      <c r="P488">
        <v>0.8</v>
      </c>
      <c r="Q488">
        <v>0</v>
      </c>
      <c r="R488">
        <v>3</v>
      </c>
      <c r="S488">
        <v>4</v>
      </c>
      <c r="T488">
        <v>2</v>
      </c>
      <c r="U488" t="s">
        <v>30</v>
      </c>
      <c r="V488">
        <v>4</v>
      </c>
      <c r="W488">
        <f>COUNTIF($A$2:A488,A488)</f>
        <v>1</v>
      </c>
    </row>
    <row r="489" spans="1:23" x14ac:dyDescent="0.35">
      <c r="A489" t="s">
        <v>1345</v>
      </c>
      <c r="B489" s="2">
        <v>43573</v>
      </c>
      <c r="D489" t="s">
        <v>23</v>
      </c>
      <c r="E489">
        <v>37</v>
      </c>
      <c r="F489" t="s">
        <v>62</v>
      </c>
      <c r="G489" t="s">
        <v>37</v>
      </c>
      <c r="H489" t="s">
        <v>32</v>
      </c>
      <c r="I489" t="s">
        <v>55</v>
      </c>
      <c r="J489" t="s">
        <v>80</v>
      </c>
      <c r="K489">
        <v>1</v>
      </c>
      <c r="L489" t="s">
        <v>66</v>
      </c>
      <c r="M489">
        <v>36000</v>
      </c>
      <c r="N489">
        <v>10.5</v>
      </c>
      <c r="O489">
        <v>9.1999999999999993</v>
      </c>
      <c r="P489">
        <v>6.7</v>
      </c>
      <c r="Q489">
        <v>2.7</v>
      </c>
      <c r="R489">
        <v>1</v>
      </c>
      <c r="S489">
        <v>3</v>
      </c>
      <c r="T489">
        <v>3</v>
      </c>
      <c r="U489" t="s">
        <v>30</v>
      </c>
      <c r="V489">
        <v>4</v>
      </c>
      <c r="W489">
        <f>COUNTIF($A$2:A489,A489)</f>
        <v>1</v>
      </c>
    </row>
    <row r="490" spans="1:23" x14ac:dyDescent="0.35">
      <c r="A490" t="s">
        <v>1073</v>
      </c>
      <c r="B490" s="2">
        <v>43062</v>
      </c>
      <c r="C490" s="2">
        <v>45977</v>
      </c>
      <c r="D490" t="s">
        <v>30</v>
      </c>
      <c r="E490">
        <v>41</v>
      </c>
      <c r="F490" t="s">
        <v>62</v>
      </c>
      <c r="G490" t="s">
        <v>42</v>
      </c>
      <c r="H490" t="s">
        <v>58</v>
      </c>
      <c r="I490" t="s">
        <v>45</v>
      </c>
      <c r="J490" t="s">
        <v>46</v>
      </c>
      <c r="K490">
        <v>3</v>
      </c>
      <c r="L490" t="s">
        <v>29</v>
      </c>
      <c r="M490">
        <v>72000</v>
      </c>
      <c r="N490">
        <v>1.9</v>
      </c>
      <c r="O490">
        <v>13.3</v>
      </c>
      <c r="P490">
        <v>8</v>
      </c>
      <c r="Q490">
        <v>2.5</v>
      </c>
      <c r="R490">
        <v>3</v>
      </c>
      <c r="S490">
        <v>2</v>
      </c>
      <c r="T490">
        <v>3</v>
      </c>
      <c r="U490" t="s">
        <v>30</v>
      </c>
      <c r="V490">
        <v>4</v>
      </c>
      <c r="W490">
        <f>COUNTIF($A$2:A490,A490)</f>
        <v>1</v>
      </c>
    </row>
    <row r="491" spans="1:23" x14ac:dyDescent="0.35">
      <c r="A491" t="s">
        <v>806</v>
      </c>
      <c r="B491" s="2">
        <v>44182</v>
      </c>
      <c r="D491" t="s">
        <v>23</v>
      </c>
      <c r="E491">
        <v>27</v>
      </c>
      <c r="F491" t="s">
        <v>62</v>
      </c>
      <c r="G491" t="s">
        <v>37</v>
      </c>
      <c r="H491" t="s">
        <v>32</v>
      </c>
      <c r="I491" t="s">
        <v>38</v>
      </c>
      <c r="J491" t="s">
        <v>139</v>
      </c>
      <c r="K491">
        <v>1</v>
      </c>
      <c r="L491" t="s">
        <v>34</v>
      </c>
      <c r="M491">
        <v>32000</v>
      </c>
      <c r="N491">
        <v>6.6</v>
      </c>
      <c r="O491">
        <v>9.5</v>
      </c>
      <c r="P491">
        <v>5</v>
      </c>
      <c r="Q491">
        <v>0.6</v>
      </c>
      <c r="R491">
        <v>4</v>
      </c>
      <c r="S491">
        <v>3</v>
      </c>
      <c r="T491">
        <v>2</v>
      </c>
      <c r="U491" t="s">
        <v>23</v>
      </c>
      <c r="V491">
        <v>4</v>
      </c>
      <c r="W491">
        <f>COUNTIF($A$2:A491,A491)</f>
        <v>1</v>
      </c>
    </row>
    <row r="492" spans="1:23" x14ac:dyDescent="0.35">
      <c r="A492" t="s">
        <v>822</v>
      </c>
      <c r="B492" s="2">
        <v>45882</v>
      </c>
      <c r="C492" s="2">
        <v>45968</v>
      </c>
      <c r="D492" t="s">
        <v>30</v>
      </c>
      <c r="E492">
        <v>21</v>
      </c>
      <c r="F492" t="s">
        <v>62</v>
      </c>
      <c r="G492" t="s">
        <v>42</v>
      </c>
      <c r="H492" t="s">
        <v>54</v>
      </c>
      <c r="I492" t="s">
        <v>27</v>
      </c>
      <c r="J492" t="s">
        <v>43</v>
      </c>
      <c r="K492">
        <v>1</v>
      </c>
      <c r="L492" t="s">
        <v>66</v>
      </c>
      <c r="M492">
        <v>60000</v>
      </c>
      <c r="N492">
        <v>13.2</v>
      </c>
      <c r="O492">
        <v>2.2000000000000002</v>
      </c>
      <c r="P492">
        <v>0.2</v>
      </c>
      <c r="Q492">
        <v>0</v>
      </c>
      <c r="R492">
        <v>2</v>
      </c>
      <c r="S492">
        <v>4</v>
      </c>
      <c r="T492">
        <v>3</v>
      </c>
      <c r="U492" t="s">
        <v>23</v>
      </c>
      <c r="V492">
        <v>4</v>
      </c>
      <c r="W492">
        <f>COUNTIF($A$2:A492,A492)</f>
        <v>1</v>
      </c>
    </row>
    <row r="493" spans="1:23" x14ac:dyDescent="0.35">
      <c r="A493" t="s">
        <v>1525</v>
      </c>
      <c r="B493" s="2">
        <v>45814</v>
      </c>
      <c r="D493" t="s">
        <v>23</v>
      </c>
      <c r="E493">
        <v>33</v>
      </c>
      <c r="F493" t="s">
        <v>24</v>
      </c>
      <c r="G493" t="s">
        <v>37</v>
      </c>
      <c r="H493" t="s">
        <v>58</v>
      </c>
      <c r="I493" t="s">
        <v>38</v>
      </c>
      <c r="J493" t="s">
        <v>52</v>
      </c>
      <c r="K493">
        <v>4</v>
      </c>
      <c r="L493" t="s">
        <v>50</v>
      </c>
      <c r="M493">
        <v>127000</v>
      </c>
      <c r="N493">
        <v>11.1</v>
      </c>
      <c r="O493">
        <v>3.1</v>
      </c>
      <c r="P493">
        <v>0.6</v>
      </c>
      <c r="Q493">
        <v>0</v>
      </c>
      <c r="R493">
        <v>3</v>
      </c>
      <c r="S493">
        <v>2</v>
      </c>
      <c r="T493">
        <v>2</v>
      </c>
      <c r="U493" t="s">
        <v>23</v>
      </c>
      <c r="V493">
        <v>2</v>
      </c>
      <c r="W493">
        <f>COUNTIF($A$2:A493,A493)</f>
        <v>1</v>
      </c>
    </row>
    <row r="494" spans="1:23" x14ac:dyDescent="0.35">
      <c r="A494" t="s">
        <v>385</v>
      </c>
      <c r="B494" s="2">
        <v>43013</v>
      </c>
      <c r="D494" t="s">
        <v>23</v>
      </c>
      <c r="E494">
        <v>37</v>
      </c>
      <c r="F494" t="s">
        <v>36</v>
      </c>
      <c r="G494" t="s">
        <v>42</v>
      </c>
      <c r="H494" t="s">
        <v>26</v>
      </c>
      <c r="I494" t="s">
        <v>55</v>
      </c>
      <c r="J494" t="s">
        <v>88</v>
      </c>
      <c r="K494">
        <v>5</v>
      </c>
      <c r="L494" t="s">
        <v>50</v>
      </c>
      <c r="M494">
        <v>180000</v>
      </c>
      <c r="N494">
        <v>8.1999999999999993</v>
      </c>
      <c r="O494">
        <v>13.9</v>
      </c>
      <c r="P494">
        <v>8.1999999999999993</v>
      </c>
      <c r="Q494">
        <v>1.8</v>
      </c>
      <c r="R494">
        <v>4</v>
      </c>
      <c r="S494">
        <v>2</v>
      </c>
      <c r="T494">
        <v>2</v>
      </c>
      <c r="U494" t="s">
        <v>30</v>
      </c>
      <c r="V494">
        <v>5</v>
      </c>
      <c r="W494">
        <f>COUNTIF($A$2:A494,A494)</f>
        <v>1</v>
      </c>
    </row>
    <row r="495" spans="1:23" x14ac:dyDescent="0.35">
      <c r="A495" t="s">
        <v>1349</v>
      </c>
      <c r="B495" s="2">
        <v>43409</v>
      </c>
      <c r="D495" t="s">
        <v>23</v>
      </c>
      <c r="E495">
        <v>32</v>
      </c>
      <c r="F495" t="s">
        <v>36</v>
      </c>
      <c r="G495" t="s">
        <v>25</v>
      </c>
      <c r="H495" t="s">
        <v>32</v>
      </c>
      <c r="I495" t="s">
        <v>55</v>
      </c>
      <c r="J495" t="s">
        <v>179</v>
      </c>
      <c r="K495">
        <v>3</v>
      </c>
      <c r="L495" t="s">
        <v>50</v>
      </c>
      <c r="M495">
        <v>100000</v>
      </c>
      <c r="N495">
        <v>11.4</v>
      </c>
      <c r="O495">
        <v>8.1</v>
      </c>
      <c r="P495">
        <v>7.2</v>
      </c>
      <c r="Q495">
        <v>0.4</v>
      </c>
      <c r="R495">
        <v>4</v>
      </c>
      <c r="S495">
        <v>3</v>
      </c>
      <c r="T495">
        <v>3</v>
      </c>
      <c r="U495" t="s">
        <v>23</v>
      </c>
      <c r="V495">
        <v>3</v>
      </c>
      <c r="W495">
        <f>COUNTIF($A$2:A495,A495)</f>
        <v>1</v>
      </c>
    </row>
    <row r="496" spans="1:23" x14ac:dyDescent="0.35">
      <c r="A496" t="s">
        <v>922</v>
      </c>
      <c r="B496" s="2">
        <v>43542</v>
      </c>
      <c r="D496" t="s">
        <v>23</v>
      </c>
      <c r="E496">
        <v>38</v>
      </c>
      <c r="F496" t="s">
        <v>24</v>
      </c>
      <c r="G496" t="s">
        <v>37</v>
      </c>
      <c r="H496" t="s">
        <v>54</v>
      </c>
      <c r="I496" t="s">
        <v>68</v>
      </c>
      <c r="J496" t="s">
        <v>102</v>
      </c>
      <c r="K496">
        <v>2</v>
      </c>
      <c r="L496" t="s">
        <v>66</v>
      </c>
      <c r="M496">
        <v>55000</v>
      </c>
      <c r="N496">
        <v>8.9</v>
      </c>
      <c r="O496">
        <v>7.5</v>
      </c>
      <c r="P496">
        <v>6.8</v>
      </c>
      <c r="Q496">
        <v>3.8</v>
      </c>
      <c r="R496">
        <v>3</v>
      </c>
      <c r="S496">
        <v>2</v>
      </c>
      <c r="T496">
        <v>4</v>
      </c>
      <c r="U496" t="s">
        <v>23</v>
      </c>
      <c r="V496">
        <v>3</v>
      </c>
      <c r="W496">
        <f>COUNTIF($A$2:A496,A496)</f>
        <v>1</v>
      </c>
    </row>
    <row r="497" spans="1:23" x14ac:dyDescent="0.35">
      <c r="A497" t="s">
        <v>801</v>
      </c>
      <c r="B497" s="2">
        <v>43927</v>
      </c>
      <c r="D497" t="s">
        <v>23</v>
      </c>
      <c r="E497">
        <v>41</v>
      </c>
      <c r="F497" t="s">
        <v>36</v>
      </c>
      <c r="G497" t="s">
        <v>42</v>
      </c>
      <c r="H497" t="s">
        <v>32</v>
      </c>
      <c r="I497" t="s">
        <v>48</v>
      </c>
      <c r="J497" t="s">
        <v>63</v>
      </c>
      <c r="K497">
        <v>1</v>
      </c>
      <c r="L497" t="s">
        <v>66</v>
      </c>
      <c r="M497">
        <v>44000</v>
      </c>
      <c r="N497">
        <v>5.9</v>
      </c>
      <c r="O497">
        <v>5.7</v>
      </c>
      <c r="P497">
        <v>5.7</v>
      </c>
      <c r="Q497">
        <v>5.3</v>
      </c>
      <c r="R497">
        <v>3</v>
      </c>
      <c r="S497">
        <v>3</v>
      </c>
      <c r="T497">
        <v>3</v>
      </c>
      <c r="U497" t="s">
        <v>23</v>
      </c>
      <c r="V497">
        <v>4</v>
      </c>
      <c r="W497">
        <f>COUNTIF($A$2:A497,A497)</f>
        <v>1</v>
      </c>
    </row>
    <row r="498" spans="1:23" x14ac:dyDescent="0.35">
      <c r="A498" t="s">
        <v>388</v>
      </c>
      <c r="B498" s="2">
        <v>45818</v>
      </c>
      <c r="D498" t="s">
        <v>23</v>
      </c>
      <c r="E498">
        <v>26</v>
      </c>
      <c r="F498" t="s">
        <v>36</v>
      </c>
      <c r="G498" t="s">
        <v>37</v>
      </c>
      <c r="H498" t="s">
        <v>58</v>
      </c>
      <c r="I498" t="s">
        <v>59</v>
      </c>
      <c r="J498" t="s">
        <v>150</v>
      </c>
      <c r="K498">
        <v>1</v>
      </c>
      <c r="L498" t="s">
        <v>29</v>
      </c>
      <c r="M498">
        <v>22000</v>
      </c>
      <c r="N498">
        <v>6.5</v>
      </c>
      <c r="O498">
        <v>3.7</v>
      </c>
      <c r="P498">
        <v>0.6</v>
      </c>
      <c r="Q498">
        <v>0</v>
      </c>
      <c r="R498">
        <v>3</v>
      </c>
      <c r="S498">
        <v>2</v>
      </c>
      <c r="T498">
        <v>3</v>
      </c>
      <c r="U498" t="s">
        <v>23</v>
      </c>
      <c r="V498">
        <v>3</v>
      </c>
      <c r="W498">
        <f>COUNTIF($A$2:A498,A498)</f>
        <v>1</v>
      </c>
    </row>
    <row r="499" spans="1:23" x14ac:dyDescent="0.35">
      <c r="A499" t="s">
        <v>1097</v>
      </c>
      <c r="B499" s="2">
        <v>42888</v>
      </c>
      <c r="D499" t="s">
        <v>23</v>
      </c>
      <c r="E499">
        <v>40</v>
      </c>
      <c r="F499" t="s">
        <v>24</v>
      </c>
      <c r="G499" t="s">
        <v>25</v>
      </c>
      <c r="H499" t="s">
        <v>54</v>
      </c>
      <c r="I499" t="s">
        <v>68</v>
      </c>
      <c r="J499" t="s">
        <v>69</v>
      </c>
      <c r="K499">
        <v>5</v>
      </c>
      <c r="L499" t="s">
        <v>50</v>
      </c>
      <c r="M499">
        <v>158000</v>
      </c>
      <c r="N499">
        <v>11.9</v>
      </c>
      <c r="O499">
        <v>10.3</v>
      </c>
      <c r="P499">
        <v>8.6</v>
      </c>
      <c r="Q499">
        <v>5.8</v>
      </c>
      <c r="R499">
        <v>3</v>
      </c>
      <c r="S499">
        <v>3</v>
      </c>
      <c r="T499">
        <v>4</v>
      </c>
      <c r="U499" t="s">
        <v>30</v>
      </c>
      <c r="V499">
        <v>2</v>
      </c>
      <c r="W499">
        <f>COUNTIF($A$2:A499,A499)</f>
        <v>1</v>
      </c>
    </row>
    <row r="500" spans="1:23" x14ac:dyDescent="0.35">
      <c r="A500" t="s">
        <v>1124</v>
      </c>
      <c r="B500" s="2">
        <v>43068</v>
      </c>
      <c r="D500" t="s">
        <v>23</v>
      </c>
      <c r="E500">
        <v>29</v>
      </c>
      <c r="F500" t="s">
        <v>62</v>
      </c>
      <c r="G500" t="s">
        <v>42</v>
      </c>
      <c r="H500" t="s">
        <v>26</v>
      </c>
      <c r="I500" t="s">
        <v>38</v>
      </c>
      <c r="J500" t="s">
        <v>139</v>
      </c>
      <c r="K500">
        <v>2</v>
      </c>
      <c r="L500" t="s">
        <v>84</v>
      </c>
      <c r="M500">
        <v>63000</v>
      </c>
      <c r="N500">
        <v>12.2</v>
      </c>
      <c r="O500">
        <v>14.4</v>
      </c>
      <c r="P500">
        <v>8.1</v>
      </c>
      <c r="Q500">
        <v>3.9</v>
      </c>
      <c r="R500">
        <v>4</v>
      </c>
      <c r="S500">
        <v>2</v>
      </c>
      <c r="T500">
        <v>1</v>
      </c>
      <c r="U500" t="s">
        <v>23</v>
      </c>
      <c r="V500">
        <v>4</v>
      </c>
      <c r="W500">
        <f>COUNTIF($A$2:A500,A500)</f>
        <v>1</v>
      </c>
    </row>
    <row r="501" spans="1:23" x14ac:dyDescent="0.35">
      <c r="A501" t="s">
        <v>1099</v>
      </c>
      <c r="B501" s="2">
        <v>44383</v>
      </c>
      <c r="D501" t="s">
        <v>23</v>
      </c>
      <c r="E501">
        <v>41</v>
      </c>
      <c r="F501" t="s">
        <v>24</v>
      </c>
      <c r="G501" t="s">
        <v>42</v>
      </c>
      <c r="H501" t="s">
        <v>58</v>
      </c>
      <c r="I501" t="s">
        <v>59</v>
      </c>
      <c r="J501" t="s">
        <v>60</v>
      </c>
      <c r="K501">
        <v>4</v>
      </c>
      <c r="L501" t="s">
        <v>40</v>
      </c>
      <c r="M501">
        <v>114000</v>
      </c>
      <c r="N501">
        <v>10.4</v>
      </c>
      <c r="O501">
        <v>4.5999999999999996</v>
      </c>
      <c r="P501">
        <v>4.5</v>
      </c>
      <c r="Q501">
        <v>2.1</v>
      </c>
      <c r="R501">
        <v>4</v>
      </c>
      <c r="S501">
        <v>4</v>
      </c>
      <c r="T501">
        <v>3</v>
      </c>
      <c r="U501" t="s">
        <v>30</v>
      </c>
      <c r="V501">
        <v>3</v>
      </c>
      <c r="W501">
        <f>COUNTIF($A$2:A501,A501)</f>
        <v>1</v>
      </c>
    </row>
    <row r="502" spans="1:23" x14ac:dyDescent="0.35">
      <c r="A502" t="s">
        <v>799</v>
      </c>
      <c r="B502" s="2">
        <v>44968</v>
      </c>
      <c r="C502" s="2">
        <v>45910</v>
      </c>
      <c r="D502" t="s">
        <v>30</v>
      </c>
      <c r="E502">
        <v>33</v>
      </c>
      <c r="F502" t="s">
        <v>36</v>
      </c>
      <c r="H502" t="s">
        <v>58</v>
      </c>
      <c r="I502" t="s">
        <v>38</v>
      </c>
      <c r="J502" t="s">
        <v>39</v>
      </c>
      <c r="K502">
        <v>4</v>
      </c>
      <c r="L502" t="s">
        <v>66</v>
      </c>
      <c r="M502">
        <v>116000</v>
      </c>
      <c r="N502">
        <v>8.3000000000000007</v>
      </c>
      <c r="O502">
        <v>9.8000000000000007</v>
      </c>
      <c r="P502">
        <v>2.6</v>
      </c>
      <c r="Q502">
        <v>1.8</v>
      </c>
      <c r="R502">
        <v>4</v>
      </c>
      <c r="S502">
        <v>2</v>
      </c>
      <c r="T502">
        <v>2</v>
      </c>
      <c r="U502" t="s">
        <v>23</v>
      </c>
      <c r="V502">
        <v>4</v>
      </c>
      <c r="W502">
        <f>COUNTIF($A$2:A502,A502)</f>
        <v>1</v>
      </c>
    </row>
    <row r="503" spans="1:23" x14ac:dyDescent="0.35">
      <c r="A503" t="s">
        <v>411</v>
      </c>
      <c r="B503" s="2">
        <v>45368</v>
      </c>
      <c r="D503" t="s">
        <v>23</v>
      </c>
      <c r="E503">
        <v>28</v>
      </c>
      <c r="F503" t="s">
        <v>24</v>
      </c>
      <c r="G503" t="s">
        <v>25</v>
      </c>
      <c r="H503" t="s">
        <v>58</v>
      </c>
      <c r="I503" t="s">
        <v>27</v>
      </c>
      <c r="J503" t="s">
        <v>33</v>
      </c>
      <c r="K503">
        <v>2</v>
      </c>
      <c r="L503" t="s">
        <v>40</v>
      </c>
      <c r="M503">
        <v>49000</v>
      </c>
      <c r="N503">
        <v>5.8</v>
      </c>
      <c r="O503">
        <v>3.2</v>
      </c>
      <c r="P503">
        <v>1.8</v>
      </c>
      <c r="Q503">
        <v>1.1000000000000001</v>
      </c>
      <c r="R503">
        <v>3</v>
      </c>
      <c r="S503">
        <v>4</v>
      </c>
      <c r="T503">
        <v>2</v>
      </c>
      <c r="U503" t="s">
        <v>23</v>
      </c>
      <c r="V503">
        <v>5</v>
      </c>
      <c r="W503">
        <f>COUNTIF($A$2:A503,A503)</f>
        <v>1</v>
      </c>
    </row>
    <row r="504" spans="1:23" x14ac:dyDescent="0.35">
      <c r="A504" t="s">
        <v>791</v>
      </c>
      <c r="B504" s="2">
        <v>45659</v>
      </c>
      <c r="D504" t="s">
        <v>23</v>
      </c>
      <c r="E504">
        <v>21</v>
      </c>
      <c r="F504" t="s">
        <v>24</v>
      </c>
      <c r="G504" t="s">
        <v>42</v>
      </c>
      <c r="H504" t="s">
        <v>54</v>
      </c>
      <c r="I504" t="s">
        <v>59</v>
      </c>
      <c r="J504" t="s">
        <v>75</v>
      </c>
      <c r="K504">
        <v>1</v>
      </c>
      <c r="L504" t="s">
        <v>34</v>
      </c>
      <c r="M504">
        <v>35000</v>
      </c>
      <c r="N504">
        <v>9</v>
      </c>
      <c r="O504">
        <v>5.5</v>
      </c>
      <c r="P504">
        <v>1</v>
      </c>
      <c r="Q504">
        <v>0.5</v>
      </c>
      <c r="R504">
        <v>3</v>
      </c>
      <c r="S504">
        <v>4</v>
      </c>
      <c r="T504">
        <v>3</v>
      </c>
      <c r="U504" t="s">
        <v>23</v>
      </c>
      <c r="V504">
        <v>5</v>
      </c>
      <c r="W504">
        <f>COUNTIF($A$2:A504,A504)</f>
        <v>1</v>
      </c>
    </row>
    <row r="505" spans="1:23" x14ac:dyDescent="0.35">
      <c r="A505" t="s">
        <v>514</v>
      </c>
      <c r="B505" s="2">
        <v>43919</v>
      </c>
      <c r="D505" t="s">
        <v>23</v>
      </c>
      <c r="E505">
        <v>38</v>
      </c>
      <c r="F505" t="s">
        <v>24</v>
      </c>
      <c r="G505" t="s">
        <v>42</v>
      </c>
      <c r="H505" t="s">
        <v>26</v>
      </c>
      <c r="I505" t="s">
        <v>68</v>
      </c>
      <c r="J505" t="s">
        <v>102</v>
      </c>
      <c r="K505">
        <v>3</v>
      </c>
      <c r="L505" t="s">
        <v>66</v>
      </c>
      <c r="M505">
        <v>85000</v>
      </c>
      <c r="N505">
        <v>2.6</v>
      </c>
      <c r="O505">
        <v>7.6</v>
      </c>
      <c r="P505">
        <v>5.8</v>
      </c>
      <c r="Q505">
        <v>1.6</v>
      </c>
      <c r="R505">
        <v>4</v>
      </c>
      <c r="S505">
        <v>3</v>
      </c>
      <c r="T505">
        <v>3</v>
      </c>
      <c r="U505" t="s">
        <v>23</v>
      </c>
      <c r="V505">
        <v>1</v>
      </c>
      <c r="W505">
        <f>COUNTIF($A$2:A505,A505)</f>
        <v>1</v>
      </c>
    </row>
    <row r="506" spans="1:23" x14ac:dyDescent="0.35">
      <c r="A506" t="s">
        <v>1472</v>
      </c>
      <c r="B506" s="2">
        <v>45278</v>
      </c>
      <c r="D506" t="s">
        <v>23</v>
      </c>
      <c r="E506">
        <v>28</v>
      </c>
      <c r="F506" t="s">
        <v>36</v>
      </c>
      <c r="G506" t="s">
        <v>37</v>
      </c>
      <c r="H506" t="s">
        <v>58</v>
      </c>
      <c r="I506" t="s">
        <v>59</v>
      </c>
      <c r="J506" t="s">
        <v>75</v>
      </c>
      <c r="K506">
        <v>5</v>
      </c>
      <c r="L506" t="s">
        <v>84</v>
      </c>
      <c r="M506">
        <v>142000</v>
      </c>
      <c r="N506">
        <v>12.3</v>
      </c>
      <c r="O506">
        <v>3.6</v>
      </c>
      <c r="P506">
        <v>2</v>
      </c>
      <c r="Q506">
        <v>0.7</v>
      </c>
      <c r="R506">
        <v>4</v>
      </c>
      <c r="S506">
        <v>1</v>
      </c>
      <c r="T506">
        <v>3</v>
      </c>
      <c r="U506" t="s">
        <v>23</v>
      </c>
      <c r="V506">
        <v>1</v>
      </c>
      <c r="W506">
        <f>COUNTIF($A$2:A506,A506)</f>
        <v>1</v>
      </c>
    </row>
    <row r="507" spans="1:23" x14ac:dyDescent="0.35">
      <c r="A507" t="s">
        <v>539</v>
      </c>
      <c r="B507" s="2">
        <v>42166</v>
      </c>
      <c r="D507" t="s">
        <v>23</v>
      </c>
      <c r="E507">
        <v>31</v>
      </c>
      <c r="F507" t="s">
        <v>36</v>
      </c>
      <c r="G507" t="s">
        <v>25</v>
      </c>
      <c r="H507" t="s">
        <v>26</v>
      </c>
      <c r="I507" t="s">
        <v>55</v>
      </c>
      <c r="J507" t="s">
        <v>56</v>
      </c>
      <c r="K507">
        <v>3</v>
      </c>
      <c r="L507" t="s">
        <v>50</v>
      </c>
      <c r="M507">
        <v>72000</v>
      </c>
      <c r="N507">
        <v>11.5</v>
      </c>
      <c r="O507">
        <v>12.5</v>
      </c>
      <c r="P507">
        <v>10.6</v>
      </c>
      <c r="Q507">
        <v>0.4</v>
      </c>
      <c r="R507">
        <v>4</v>
      </c>
      <c r="S507">
        <v>3</v>
      </c>
      <c r="T507">
        <v>3</v>
      </c>
      <c r="U507" t="s">
        <v>23</v>
      </c>
      <c r="V507">
        <v>2</v>
      </c>
      <c r="W507">
        <f>COUNTIF($A$2:A507,A507)</f>
        <v>1</v>
      </c>
    </row>
    <row r="508" spans="1:23" x14ac:dyDescent="0.35">
      <c r="A508" t="s">
        <v>1570</v>
      </c>
      <c r="B508" s="2">
        <v>42109</v>
      </c>
      <c r="C508" s="2">
        <v>45884</v>
      </c>
      <c r="D508" t="s">
        <v>30</v>
      </c>
      <c r="E508">
        <v>33</v>
      </c>
      <c r="F508" t="s">
        <v>24</v>
      </c>
      <c r="G508" t="s">
        <v>42</v>
      </c>
      <c r="H508" t="s">
        <v>54</v>
      </c>
      <c r="I508" t="s">
        <v>38</v>
      </c>
      <c r="J508" t="s">
        <v>118</v>
      </c>
      <c r="K508">
        <v>2</v>
      </c>
      <c r="L508" t="s">
        <v>34</v>
      </c>
      <c r="M508">
        <v>62000</v>
      </c>
      <c r="N508">
        <v>14.4</v>
      </c>
      <c r="O508">
        <v>10.8</v>
      </c>
      <c r="P508">
        <v>10.3</v>
      </c>
      <c r="Q508">
        <v>3.7</v>
      </c>
      <c r="R508">
        <v>4</v>
      </c>
      <c r="S508">
        <v>3</v>
      </c>
      <c r="T508">
        <v>2</v>
      </c>
      <c r="U508" t="s">
        <v>23</v>
      </c>
      <c r="V508">
        <v>2</v>
      </c>
      <c r="W508">
        <f>COUNTIF($A$2:A508,A508)</f>
        <v>1</v>
      </c>
    </row>
    <row r="509" spans="1:23" x14ac:dyDescent="0.35">
      <c r="A509" t="s">
        <v>662</v>
      </c>
      <c r="B509" s="2">
        <v>45853</v>
      </c>
      <c r="C509" s="2">
        <v>45962</v>
      </c>
      <c r="D509" t="s">
        <v>30</v>
      </c>
      <c r="E509">
        <v>21</v>
      </c>
      <c r="F509" t="s">
        <v>62</v>
      </c>
      <c r="G509" t="s">
        <v>37</v>
      </c>
      <c r="H509" t="s">
        <v>54</v>
      </c>
      <c r="I509" t="s">
        <v>38</v>
      </c>
      <c r="J509" t="s">
        <v>52</v>
      </c>
      <c r="K509">
        <v>1</v>
      </c>
      <c r="L509" t="s">
        <v>66</v>
      </c>
      <c r="M509">
        <v>39000</v>
      </c>
      <c r="N509">
        <v>16.2</v>
      </c>
      <c r="O509">
        <v>4</v>
      </c>
      <c r="P509">
        <v>0.3</v>
      </c>
      <c r="Q509">
        <v>0</v>
      </c>
      <c r="R509">
        <v>3</v>
      </c>
      <c r="S509">
        <v>3</v>
      </c>
      <c r="T509">
        <v>2</v>
      </c>
      <c r="U509" t="s">
        <v>23</v>
      </c>
      <c r="V509">
        <v>4</v>
      </c>
      <c r="W509">
        <f>COUNTIF($A$2:A509,A509)</f>
        <v>1</v>
      </c>
    </row>
    <row r="510" spans="1:23" x14ac:dyDescent="0.35">
      <c r="A510" t="s">
        <v>1111</v>
      </c>
      <c r="B510" s="2">
        <v>45860</v>
      </c>
      <c r="D510" t="s">
        <v>23</v>
      </c>
      <c r="E510">
        <v>34</v>
      </c>
      <c r="F510" t="s">
        <v>62</v>
      </c>
      <c r="G510" t="s">
        <v>42</v>
      </c>
      <c r="H510" t="s">
        <v>32</v>
      </c>
      <c r="I510" t="s">
        <v>68</v>
      </c>
      <c r="J510" t="s">
        <v>109</v>
      </c>
      <c r="K510">
        <v>2</v>
      </c>
      <c r="L510" t="s">
        <v>40</v>
      </c>
      <c r="M510">
        <v>48000</v>
      </c>
      <c r="N510">
        <v>12.2</v>
      </c>
      <c r="O510">
        <v>7.7</v>
      </c>
      <c r="P510">
        <v>0.4</v>
      </c>
      <c r="Q510">
        <v>0</v>
      </c>
      <c r="R510">
        <v>3</v>
      </c>
      <c r="S510">
        <v>3</v>
      </c>
      <c r="T510">
        <v>3</v>
      </c>
      <c r="U510" t="s">
        <v>23</v>
      </c>
      <c r="V510">
        <v>3</v>
      </c>
      <c r="W510">
        <f>COUNTIF($A$2:A510,A510)</f>
        <v>1</v>
      </c>
    </row>
    <row r="511" spans="1:23" x14ac:dyDescent="0.35">
      <c r="A511" t="s">
        <v>1196</v>
      </c>
      <c r="B511" s="2">
        <v>44581</v>
      </c>
      <c r="D511" t="s">
        <v>23</v>
      </c>
      <c r="E511">
        <v>36</v>
      </c>
      <c r="F511" t="s">
        <v>36</v>
      </c>
      <c r="G511" t="s">
        <v>42</v>
      </c>
      <c r="H511" t="s">
        <v>58</v>
      </c>
      <c r="I511" t="s">
        <v>55</v>
      </c>
      <c r="J511" t="s">
        <v>56</v>
      </c>
      <c r="K511">
        <v>1</v>
      </c>
      <c r="L511" t="s">
        <v>50</v>
      </c>
      <c r="M511">
        <v>44000</v>
      </c>
      <c r="N511">
        <v>13.2</v>
      </c>
      <c r="O511">
        <v>6.4</v>
      </c>
      <c r="P511">
        <v>3.9</v>
      </c>
      <c r="Q511">
        <v>3.5</v>
      </c>
      <c r="R511">
        <v>4</v>
      </c>
      <c r="S511">
        <v>4</v>
      </c>
      <c r="T511">
        <v>2</v>
      </c>
      <c r="U511" t="s">
        <v>23</v>
      </c>
      <c r="V511">
        <v>3</v>
      </c>
      <c r="W511">
        <f>COUNTIF($A$2:A511,A511)</f>
        <v>1</v>
      </c>
    </row>
    <row r="512" spans="1:23" x14ac:dyDescent="0.35">
      <c r="A512" t="s">
        <v>572</v>
      </c>
      <c r="B512" s="2">
        <v>43746</v>
      </c>
      <c r="D512" t="s">
        <v>23</v>
      </c>
      <c r="E512">
        <v>36</v>
      </c>
      <c r="F512" t="s">
        <v>62</v>
      </c>
      <c r="G512" t="s">
        <v>42</v>
      </c>
      <c r="H512" t="s">
        <v>54</v>
      </c>
      <c r="I512" t="s">
        <v>27</v>
      </c>
      <c r="J512" t="s">
        <v>95</v>
      </c>
      <c r="K512">
        <v>1</v>
      </c>
      <c r="L512" t="s">
        <v>66</v>
      </c>
      <c r="M512">
        <v>28000</v>
      </c>
      <c r="N512">
        <v>8.9</v>
      </c>
      <c r="O512">
        <v>7.8</v>
      </c>
      <c r="P512">
        <v>6.2</v>
      </c>
      <c r="Q512">
        <v>1.2</v>
      </c>
      <c r="R512">
        <v>4</v>
      </c>
      <c r="S512">
        <v>4</v>
      </c>
      <c r="T512">
        <v>4</v>
      </c>
      <c r="U512" t="s">
        <v>23</v>
      </c>
      <c r="V512">
        <v>3</v>
      </c>
      <c r="W512">
        <f>COUNTIF($A$2:A512,A512)</f>
        <v>1</v>
      </c>
    </row>
    <row r="513" spans="1:23" x14ac:dyDescent="0.35">
      <c r="A513" t="s">
        <v>1267</v>
      </c>
      <c r="B513" s="2">
        <v>44321</v>
      </c>
      <c r="D513" t="s">
        <v>23</v>
      </c>
      <c r="E513">
        <v>28</v>
      </c>
      <c r="F513" t="s">
        <v>62</v>
      </c>
      <c r="G513" t="s">
        <v>37</v>
      </c>
      <c r="H513" t="s">
        <v>32</v>
      </c>
      <c r="I513" t="s">
        <v>45</v>
      </c>
      <c r="J513" t="s">
        <v>77</v>
      </c>
      <c r="K513">
        <v>4</v>
      </c>
      <c r="L513" t="s">
        <v>34</v>
      </c>
      <c r="M513">
        <v>100000</v>
      </c>
      <c r="N513">
        <v>6.9</v>
      </c>
      <c r="O513">
        <v>5.5</v>
      </c>
      <c r="P513">
        <v>4.7</v>
      </c>
      <c r="Q513">
        <v>4.0999999999999996</v>
      </c>
      <c r="R513">
        <v>3</v>
      </c>
      <c r="S513">
        <v>4</v>
      </c>
      <c r="T513">
        <v>3</v>
      </c>
      <c r="U513" t="s">
        <v>23</v>
      </c>
      <c r="V513">
        <v>5</v>
      </c>
      <c r="W513">
        <f>COUNTIF($A$2:A513,A513)</f>
        <v>1</v>
      </c>
    </row>
    <row r="514" spans="1:23" x14ac:dyDescent="0.35">
      <c r="A514" t="s">
        <v>1163</v>
      </c>
      <c r="B514" s="2">
        <v>45328</v>
      </c>
      <c r="D514" t="s">
        <v>23</v>
      </c>
      <c r="E514">
        <v>27</v>
      </c>
      <c r="F514" t="s">
        <v>24</v>
      </c>
      <c r="G514" t="s">
        <v>42</v>
      </c>
      <c r="H514" t="s">
        <v>26</v>
      </c>
      <c r="I514" t="s">
        <v>27</v>
      </c>
      <c r="J514" t="s">
        <v>95</v>
      </c>
      <c r="K514">
        <v>1</v>
      </c>
      <c r="L514" t="s">
        <v>66</v>
      </c>
      <c r="M514">
        <v>42000</v>
      </c>
      <c r="N514">
        <v>9</v>
      </c>
      <c r="O514">
        <v>7.8</v>
      </c>
      <c r="P514">
        <v>1.9</v>
      </c>
      <c r="Q514">
        <v>0.4</v>
      </c>
      <c r="R514">
        <v>4</v>
      </c>
      <c r="S514">
        <v>2</v>
      </c>
      <c r="T514">
        <v>4</v>
      </c>
      <c r="U514" t="s">
        <v>23</v>
      </c>
      <c r="V514">
        <v>3</v>
      </c>
      <c r="W514">
        <f>COUNTIF($A$2:A514,A514)</f>
        <v>1</v>
      </c>
    </row>
    <row r="515" spans="1:23" x14ac:dyDescent="0.35">
      <c r="A515" t="s">
        <v>415</v>
      </c>
      <c r="B515" s="2">
        <v>45153</v>
      </c>
      <c r="C515" s="2">
        <v>45673</v>
      </c>
      <c r="D515" t="s">
        <v>30</v>
      </c>
      <c r="E515">
        <v>31</v>
      </c>
      <c r="F515" t="s">
        <v>62</v>
      </c>
      <c r="G515" t="s">
        <v>37</v>
      </c>
      <c r="H515" t="s">
        <v>32</v>
      </c>
      <c r="I515" t="s">
        <v>38</v>
      </c>
      <c r="J515" t="s">
        <v>139</v>
      </c>
      <c r="K515">
        <v>2</v>
      </c>
      <c r="L515" t="s">
        <v>40</v>
      </c>
      <c r="M515">
        <v>61000</v>
      </c>
      <c r="N515">
        <v>12.3</v>
      </c>
      <c r="O515">
        <v>3</v>
      </c>
      <c r="P515">
        <v>1.4</v>
      </c>
      <c r="Q515">
        <v>0.4</v>
      </c>
      <c r="R515">
        <v>4</v>
      </c>
      <c r="S515">
        <v>2</v>
      </c>
      <c r="T515">
        <v>3</v>
      </c>
      <c r="U515" t="s">
        <v>23</v>
      </c>
      <c r="V515">
        <v>3</v>
      </c>
      <c r="W515">
        <f>COUNTIF($A$2:A515,A515)</f>
        <v>1</v>
      </c>
    </row>
    <row r="516" spans="1:23" x14ac:dyDescent="0.35">
      <c r="A516" t="s">
        <v>1147</v>
      </c>
      <c r="B516" s="2">
        <v>43352</v>
      </c>
      <c r="D516" t="s">
        <v>23</v>
      </c>
      <c r="E516">
        <v>28</v>
      </c>
      <c r="F516" t="s">
        <v>36</v>
      </c>
      <c r="G516" t="s">
        <v>25</v>
      </c>
      <c r="H516" t="s">
        <v>32</v>
      </c>
      <c r="I516" t="s">
        <v>38</v>
      </c>
      <c r="J516" t="s">
        <v>139</v>
      </c>
      <c r="K516">
        <v>4</v>
      </c>
      <c r="L516" t="s">
        <v>66</v>
      </c>
      <c r="M516">
        <v>121000</v>
      </c>
      <c r="N516">
        <v>3.6</v>
      </c>
      <c r="O516">
        <v>13.6</v>
      </c>
      <c r="P516">
        <v>7.3</v>
      </c>
      <c r="Q516">
        <v>0.7</v>
      </c>
      <c r="R516">
        <v>3</v>
      </c>
      <c r="S516">
        <v>4</v>
      </c>
      <c r="T516">
        <v>3</v>
      </c>
      <c r="U516" t="s">
        <v>30</v>
      </c>
      <c r="V516">
        <v>3</v>
      </c>
      <c r="W516">
        <f>COUNTIF($A$2:A516,A516)</f>
        <v>1</v>
      </c>
    </row>
    <row r="517" spans="1:23" x14ac:dyDescent="0.35">
      <c r="A517" t="s">
        <v>1132</v>
      </c>
      <c r="B517" s="2">
        <v>45681</v>
      </c>
      <c r="D517" t="s">
        <v>23</v>
      </c>
      <c r="E517">
        <v>30</v>
      </c>
      <c r="F517" t="s">
        <v>24</v>
      </c>
      <c r="G517" t="s">
        <v>37</v>
      </c>
      <c r="H517" t="s">
        <v>32</v>
      </c>
      <c r="I517" t="s">
        <v>59</v>
      </c>
      <c r="J517" t="s">
        <v>60</v>
      </c>
      <c r="K517">
        <v>4</v>
      </c>
      <c r="L517" t="s">
        <v>66</v>
      </c>
      <c r="M517">
        <v>116000</v>
      </c>
      <c r="N517">
        <v>10.1</v>
      </c>
      <c r="O517">
        <v>2.5</v>
      </c>
      <c r="P517">
        <v>0.9</v>
      </c>
      <c r="Q517">
        <v>0</v>
      </c>
      <c r="R517">
        <v>4</v>
      </c>
      <c r="S517">
        <v>3</v>
      </c>
      <c r="T517">
        <v>3</v>
      </c>
      <c r="U517" t="s">
        <v>30</v>
      </c>
      <c r="V517">
        <v>5</v>
      </c>
      <c r="W517">
        <f>COUNTIF($A$2:A517,A517)</f>
        <v>1</v>
      </c>
    </row>
    <row r="518" spans="1:23" x14ac:dyDescent="0.35">
      <c r="A518" t="s">
        <v>221</v>
      </c>
      <c r="B518" s="2">
        <v>45685</v>
      </c>
      <c r="D518" t="s">
        <v>23</v>
      </c>
      <c r="E518">
        <v>39</v>
      </c>
      <c r="F518" t="s">
        <v>62</v>
      </c>
      <c r="G518" t="s">
        <v>25</v>
      </c>
      <c r="H518" t="s">
        <v>26</v>
      </c>
      <c r="I518" t="s">
        <v>68</v>
      </c>
      <c r="J518" t="s">
        <v>109</v>
      </c>
      <c r="K518">
        <v>2</v>
      </c>
      <c r="L518" t="s">
        <v>40</v>
      </c>
      <c r="M518">
        <v>52000</v>
      </c>
      <c r="N518">
        <v>10.6</v>
      </c>
      <c r="O518">
        <v>8.6999999999999993</v>
      </c>
      <c r="P518">
        <v>0.9</v>
      </c>
      <c r="Q518">
        <v>0</v>
      </c>
      <c r="R518">
        <v>4</v>
      </c>
      <c r="S518">
        <v>2</v>
      </c>
      <c r="T518">
        <v>2</v>
      </c>
      <c r="U518" t="s">
        <v>23</v>
      </c>
      <c r="V518">
        <v>3</v>
      </c>
      <c r="W518">
        <f>COUNTIF($A$2:A518,A518)</f>
        <v>1</v>
      </c>
    </row>
    <row r="519" spans="1:23" x14ac:dyDescent="0.35">
      <c r="A519" t="s">
        <v>1095</v>
      </c>
      <c r="B519" s="2">
        <v>43156</v>
      </c>
      <c r="D519" t="s">
        <v>23</v>
      </c>
      <c r="E519">
        <v>35</v>
      </c>
      <c r="F519" t="s">
        <v>36</v>
      </c>
      <c r="G519" t="s">
        <v>25</v>
      </c>
      <c r="H519" t="s">
        <v>54</v>
      </c>
      <c r="I519" t="s">
        <v>27</v>
      </c>
      <c r="J519" t="s">
        <v>33</v>
      </c>
      <c r="K519">
        <v>3</v>
      </c>
      <c r="L519" t="s">
        <v>29</v>
      </c>
      <c r="M519">
        <v>68000</v>
      </c>
      <c r="N519">
        <v>0</v>
      </c>
      <c r="O519">
        <v>10.4</v>
      </c>
      <c r="P519">
        <v>7.8</v>
      </c>
      <c r="Q519">
        <v>2.2000000000000002</v>
      </c>
      <c r="R519">
        <v>3</v>
      </c>
      <c r="S519">
        <v>3</v>
      </c>
      <c r="T519">
        <v>3</v>
      </c>
      <c r="U519" t="s">
        <v>23</v>
      </c>
      <c r="V519">
        <v>3</v>
      </c>
      <c r="W519">
        <f>COUNTIF($A$2:A519,A519)</f>
        <v>1</v>
      </c>
    </row>
    <row r="520" spans="1:23" x14ac:dyDescent="0.35">
      <c r="A520" t="s">
        <v>1440</v>
      </c>
      <c r="B520" s="2">
        <v>42089</v>
      </c>
      <c r="D520" t="s">
        <v>23</v>
      </c>
      <c r="E520">
        <v>43</v>
      </c>
      <c r="F520" t="s">
        <v>24</v>
      </c>
      <c r="G520" t="s">
        <v>37</v>
      </c>
      <c r="H520" t="s">
        <v>26</v>
      </c>
      <c r="I520" t="s">
        <v>59</v>
      </c>
      <c r="J520" t="s">
        <v>75</v>
      </c>
      <c r="K520">
        <v>2</v>
      </c>
      <c r="L520" t="s">
        <v>84</v>
      </c>
      <c r="M520">
        <v>60000</v>
      </c>
      <c r="N520">
        <v>12.9</v>
      </c>
      <c r="O520">
        <v>14.2</v>
      </c>
      <c r="P520">
        <v>10.8</v>
      </c>
      <c r="Q520">
        <v>2.2999999999999998</v>
      </c>
      <c r="R520">
        <v>2</v>
      </c>
      <c r="S520">
        <v>2</v>
      </c>
      <c r="T520">
        <v>4</v>
      </c>
      <c r="U520" t="s">
        <v>23</v>
      </c>
      <c r="V520">
        <v>3</v>
      </c>
      <c r="W520">
        <f>COUNTIF($A$2:A520,A520)</f>
        <v>1</v>
      </c>
    </row>
    <row r="521" spans="1:23" x14ac:dyDescent="0.35">
      <c r="A521" t="s">
        <v>757</v>
      </c>
      <c r="B521" s="2">
        <v>45737</v>
      </c>
      <c r="D521" t="s">
        <v>23</v>
      </c>
      <c r="E521">
        <v>34</v>
      </c>
      <c r="F521" t="s">
        <v>36</v>
      </c>
      <c r="G521" t="s">
        <v>37</v>
      </c>
      <c r="H521" t="s">
        <v>58</v>
      </c>
      <c r="I521" t="s">
        <v>48</v>
      </c>
      <c r="J521" t="s">
        <v>129</v>
      </c>
      <c r="K521">
        <v>2</v>
      </c>
      <c r="L521" t="s">
        <v>29</v>
      </c>
      <c r="M521">
        <v>57000</v>
      </c>
      <c r="N521">
        <v>6.5</v>
      </c>
      <c r="O521">
        <v>4.2</v>
      </c>
      <c r="P521">
        <v>0.8</v>
      </c>
      <c r="Q521">
        <v>0</v>
      </c>
      <c r="R521">
        <v>3</v>
      </c>
      <c r="S521">
        <v>3</v>
      </c>
      <c r="T521">
        <v>3</v>
      </c>
      <c r="U521" t="s">
        <v>23</v>
      </c>
      <c r="V521">
        <v>1</v>
      </c>
      <c r="W521">
        <f>COUNTIF($A$2:A521,A521)</f>
        <v>1</v>
      </c>
    </row>
    <row r="522" spans="1:23" x14ac:dyDescent="0.35">
      <c r="A522" t="s">
        <v>378</v>
      </c>
      <c r="B522" s="2">
        <v>44654</v>
      </c>
      <c r="C522" s="2">
        <v>45799</v>
      </c>
      <c r="D522" t="s">
        <v>30</v>
      </c>
      <c r="E522">
        <v>37</v>
      </c>
      <c r="F522" t="s">
        <v>24</v>
      </c>
      <c r="G522" t="s">
        <v>25</v>
      </c>
      <c r="H522" t="s">
        <v>58</v>
      </c>
      <c r="I522" t="s">
        <v>38</v>
      </c>
      <c r="J522" t="s">
        <v>39</v>
      </c>
      <c r="K522">
        <v>4</v>
      </c>
      <c r="L522" t="s">
        <v>84</v>
      </c>
      <c r="M522">
        <v>135000</v>
      </c>
      <c r="N522">
        <v>8.4</v>
      </c>
      <c r="O522">
        <v>10.5</v>
      </c>
      <c r="P522">
        <v>3.1</v>
      </c>
      <c r="Q522">
        <v>0.3</v>
      </c>
      <c r="R522">
        <v>3</v>
      </c>
      <c r="S522">
        <v>2</v>
      </c>
      <c r="T522">
        <v>1</v>
      </c>
      <c r="U522" t="s">
        <v>23</v>
      </c>
      <c r="V522">
        <v>3</v>
      </c>
      <c r="W522">
        <f>COUNTIF($A$2:A522,A522)</f>
        <v>1</v>
      </c>
    </row>
    <row r="523" spans="1:23" x14ac:dyDescent="0.35">
      <c r="A523" t="s">
        <v>445</v>
      </c>
      <c r="B523" s="2">
        <v>43332</v>
      </c>
      <c r="D523" t="s">
        <v>23</v>
      </c>
      <c r="E523">
        <v>33</v>
      </c>
      <c r="F523" t="s">
        <v>36</v>
      </c>
      <c r="G523" t="s">
        <v>42</v>
      </c>
      <c r="H523" t="s">
        <v>26</v>
      </c>
      <c r="I523" t="s">
        <v>68</v>
      </c>
      <c r="J523" t="s">
        <v>69</v>
      </c>
      <c r="K523">
        <v>2</v>
      </c>
      <c r="L523" t="s">
        <v>34</v>
      </c>
      <c r="M523">
        <v>58000</v>
      </c>
      <c r="N523">
        <v>3.2</v>
      </c>
      <c r="O523">
        <v>11.7</v>
      </c>
      <c r="P523">
        <v>7.4</v>
      </c>
      <c r="Q523">
        <v>1.6</v>
      </c>
      <c r="R523">
        <v>4</v>
      </c>
      <c r="S523">
        <v>4</v>
      </c>
      <c r="T523">
        <v>3</v>
      </c>
      <c r="U523" t="s">
        <v>30</v>
      </c>
      <c r="V523">
        <v>3</v>
      </c>
      <c r="W523">
        <f>COUNTIF($A$2:A523,A523)</f>
        <v>1</v>
      </c>
    </row>
    <row r="524" spans="1:23" x14ac:dyDescent="0.35">
      <c r="A524" t="s">
        <v>1403</v>
      </c>
      <c r="B524" s="2">
        <v>45190</v>
      </c>
      <c r="D524" t="s">
        <v>23</v>
      </c>
      <c r="E524">
        <v>29</v>
      </c>
      <c r="F524" t="s">
        <v>24</v>
      </c>
      <c r="G524" t="s">
        <v>42</v>
      </c>
      <c r="H524" t="s">
        <v>32</v>
      </c>
      <c r="I524" t="s">
        <v>45</v>
      </c>
      <c r="J524" t="s">
        <v>97</v>
      </c>
      <c r="K524">
        <v>4</v>
      </c>
      <c r="L524" t="s">
        <v>34</v>
      </c>
      <c r="M524">
        <v>93000</v>
      </c>
      <c r="N524">
        <v>7</v>
      </c>
      <c r="O524">
        <v>7</v>
      </c>
      <c r="P524">
        <v>2.2999999999999998</v>
      </c>
      <c r="Q524">
        <v>1.3</v>
      </c>
      <c r="R524">
        <v>2</v>
      </c>
      <c r="S524">
        <v>3</v>
      </c>
      <c r="T524">
        <v>4</v>
      </c>
      <c r="U524" t="s">
        <v>23</v>
      </c>
      <c r="V524">
        <v>3</v>
      </c>
      <c r="W524">
        <f>COUNTIF($A$2:A524,A524)</f>
        <v>1</v>
      </c>
    </row>
    <row r="525" spans="1:23" x14ac:dyDescent="0.35">
      <c r="A525" t="s">
        <v>595</v>
      </c>
      <c r="B525" s="2">
        <v>44319</v>
      </c>
      <c r="D525" t="s">
        <v>23</v>
      </c>
      <c r="E525">
        <v>30</v>
      </c>
      <c r="F525" t="s">
        <v>36</v>
      </c>
      <c r="G525" t="s">
        <v>37</v>
      </c>
      <c r="H525" t="s">
        <v>54</v>
      </c>
      <c r="I525" t="s">
        <v>59</v>
      </c>
      <c r="J525" t="s">
        <v>60</v>
      </c>
      <c r="K525">
        <v>2</v>
      </c>
      <c r="L525" t="s">
        <v>34</v>
      </c>
      <c r="M525">
        <v>65000</v>
      </c>
      <c r="N525">
        <v>10.3</v>
      </c>
      <c r="O525">
        <v>5.7</v>
      </c>
      <c r="P525">
        <v>4.7</v>
      </c>
      <c r="Q525">
        <v>4.4000000000000004</v>
      </c>
      <c r="R525">
        <v>3</v>
      </c>
      <c r="S525">
        <v>1</v>
      </c>
      <c r="T525">
        <v>4</v>
      </c>
      <c r="U525" t="s">
        <v>23</v>
      </c>
      <c r="V525">
        <v>4</v>
      </c>
      <c r="W525">
        <f>COUNTIF($A$2:A525,A525)</f>
        <v>1</v>
      </c>
    </row>
    <row r="526" spans="1:23" x14ac:dyDescent="0.35">
      <c r="A526" t="s">
        <v>346</v>
      </c>
      <c r="B526" s="2">
        <v>42962</v>
      </c>
      <c r="D526" t="s">
        <v>23</v>
      </c>
      <c r="E526">
        <v>37</v>
      </c>
      <c r="F526" t="s">
        <v>62</v>
      </c>
      <c r="G526" t="s">
        <v>25</v>
      </c>
      <c r="H526" t="s">
        <v>54</v>
      </c>
      <c r="I526" t="s">
        <v>45</v>
      </c>
      <c r="J526" t="s">
        <v>46</v>
      </c>
      <c r="K526">
        <v>3</v>
      </c>
      <c r="L526" t="s">
        <v>34</v>
      </c>
      <c r="M526">
        <v>62000</v>
      </c>
      <c r="N526">
        <v>13.2</v>
      </c>
      <c r="O526">
        <v>8.6</v>
      </c>
      <c r="P526">
        <v>8.4</v>
      </c>
      <c r="Q526">
        <v>0.8</v>
      </c>
      <c r="R526">
        <v>3</v>
      </c>
      <c r="S526">
        <v>4</v>
      </c>
      <c r="T526">
        <v>4</v>
      </c>
      <c r="U526" t="s">
        <v>23</v>
      </c>
      <c r="V526">
        <v>4</v>
      </c>
      <c r="W526">
        <f>COUNTIF($A$2:A526,A526)</f>
        <v>1</v>
      </c>
    </row>
    <row r="527" spans="1:23" x14ac:dyDescent="0.35">
      <c r="A527" t="s">
        <v>859</v>
      </c>
      <c r="B527" s="2">
        <v>44262</v>
      </c>
      <c r="D527" t="s">
        <v>23</v>
      </c>
      <c r="E527">
        <v>38</v>
      </c>
      <c r="F527" t="s">
        <v>62</v>
      </c>
      <c r="G527" t="s">
        <v>25</v>
      </c>
      <c r="H527" t="s">
        <v>54</v>
      </c>
      <c r="I527" t="s">
        <v>55</v>
      </c>
      <c r="J527" t="s">
        <v>80</v>
      </c>
      <c r="K527">
        <v>1</v>
      </c>
      <c r="L527" t="s">
        <v>50</v>
      </c>
      <c r="M527">
        <v>30000</v>
      </c>
      <c r="N527">
        <v>2.8</v>
      </c>
      <c r="O527">
        <v>9.9</v>
      </c>
      <c r="P527">
        <v>4.8</v>
      </c>
      <c r="Q527">
        <v>1.5</v>
      </c>
      <c r="R527">
        <v>3</v>
      </c>
      <c r="S527">
        <v>2</v>
      </c>
      <c r="T527">
        <v>3</v>
      </c>
      <c r="U527" t="s">
        <v>23</v>
      </c>
      <c r="V527">
        <v>3</v>
      </c>
      <c r="W527">
        <f>COUNTIF($A$2:A527,A527)</f>
        <v>1</v>
      </c>
    </row>
    <row r="528" spans="1:23" x14ac:dyDescent="0.35">
      <c r="A528" t="s">
        <v>254</v>
      </c>
      <c r="B528" s="2">
        <v>41798</v>
      </c>
      <c r="D528" t="s">
        <v>23</v>
      </c>
      <c r="E528">
        <v>36</v>
      </c>
      <c r="F528" t="s">
        <v>36</v>
      </c>
      <c r="G528" t="s">
        <v>42</v>
      </c>
      <c r="H528" t="s">
        <v>32</v>
      </c>
      <c r="I528" t="s">
        <v>255</v>
      </c>
      <c r="J528" t="s">
        <v>179</v>
      </c>
      <c r="K528">
        <v>1</v>
      </c>
      <c r="L528" t="s">
        <v>50</v>
      </c>
      <c r="M528">
        <v>31000</v>
      </c>
      <c r="N528">
        <v>5.5</v>
      </c>
      <c r="O528">
        <v>12.1</v>
      </c>
      <c r="P528">
        <v>11.6</v>
      </c>
      <c r="Q528">
        <v>0.3</v>
      </c>
      <c r="R528">
        <v>2</v>
      </c>
      <c r="S528">
        <v>3</v>
      </c>
      <c r="T528">
        <v>2</v>
      </c>
      <c r="U528" t="s">
        <v>23</v>
      </c>
      <c r="V528">
        <v>4</v>
      </c>
      <c r="W528">
        <f>COUNTIF($A$2:A528,A528)</f>
        <v>1</v>
      </c>
    </row>
    <row r="529" spans="1:23" x14ac:dyDescent="0.35">
      <c r="A529" t="s">
        <v>896</v>
      </c>
      <c r="B529" s="2">
        <v>45092</v>
      </c>
      <c r="D529" t="s">
        <v>23</v>
      </c>
      <c r="E529">
        <v>25</v>
      </c>
      <c r="F529" t="s">
        <v>62</v>
      </c>
      <c r="G529" t="s">
        <v>25</v>
      </c>
      <c r="H529" t="s">
        <v>58</v>
      </c>
      <c r="I529" t="s">
        <v>55</v>
      </c>
      <c r="J529" t="s">
        <v>80</v>
      </c>
      <c r="K529">
        <v>1</v>
      </c>
      <c r="L529" t="s">
        <v>66</v>
      </c>
      <c r="M529">
        <v>54000</v>
      </c>
      <c r="N529">
        <v>5.4</v>
      </c>
      <c r="O529">
        <v>3.6</v>
      </c>
      <c r="P529">
        <v>2.5</v>
      </c>
      <c r="Q529">
        <v>0.5</v>
      </c>
      <c r="R529">
        <v>4</v>
      </c>
      <c r="S529">
        <v>3</v>
      </c>
      <c r="T529">
        <v>3</v>
      </c>
      <c r="U529" t="s">
        <v>30</v>
      </c>
      <c r="V529">
        <v>3</v>
      </c>
      <c r="W529">
        <f>COUNTIF($A$2:A529,A529)</f>
        <v>1</v>
      </c>
    </row>
    <row r="530" spans="1:23" x14ac:dyDescent="0.35">
      <c r="A530" t="s">
        <v>794</v>
      </c>
      <c r="B530" s="2">
        <v>45884</v>
      </c>
      <c r="D530" t="s">
        <v>23</v>
      </c>
      <c r="E530">
        <v>31</v>
      </c>
      <c r="F530" t="s">
        <v>62</v>
      </c>
      <c r="G530" t="s">
        <v>37</v>
      </c>
      <c r="H530" t="s">
        <v>26</v>
      </c>
      <c r="I530" t="s">
        <v>55</v>
      </c>
      <c r="J530" t="s">
        <v>80</v>
      </c>
      <c r="K530">
        <v>2</v>
      </c>
      <c r="L530" t="s">
        <v>84</v>
      </c>
      <c r="M530">
        <v>67000</v>
      </c>
      <c r="N530">
        <v>6.8</v>
      </c>
      <c r="O530">
        <v>6.8</v>
      </c>
      <c r="P530">
        <v>0.4</v>
      </c>
      <c r="Q530">
        <v>0</v>
      </c>
      <c r="R530">
        <v>1</v>
      </c>
      <c r="S530">
        <v>4</v>
      </c>
      <c r="T530">
        <v>4</v>
      </c>
      <c r="U530" t="s">
        <v>30</v>
      </c>
      <c r="V530">
        <v>3</v>
      </c>
      <c r="W530">
        <f>COUNTIF($A$2:A530,A530)</f>
        <v>1</v>
      </c>
    </row>
    <row r="531" spans="1:23" x14ac:dyDescent="0.35">
      <c r="A531" t="s">
        <v>44</v>
      </c>
      <c r="B531" s="2">
        <v>42312</v>
      </c>
      <c r="D531" t="s">
        <v>23</v>
      </c>
      <c r="E531">
        <v>33</v>
      </c>
      <c r="F531" t="s">
        <v>36</v>
      </c>
      <c r="G531" t="s">
        <v>25</v>
      </c>
      <c r="H531" t="s">
        <v>32</v>
      </c>
      <c r="I531" t="s">
        <v>45</v>
      </c>
      <c r="J531" t="s">
        <v>46</v>
      </c>
      <c r="K531">
        <v>2</v>
      </c>
      <c r="L531" t="s">
        <v>29</v>
      </c>
      <c r="M531">
        <v>40000</v>
      </c>
      <c r="N531">
        <v>12</v>
      </c>
      <c r="O531">
        <v>17</v>
      </c>
      <c r="P531">
        <v>10.199999999999999</v>
      </c>
      <c r="Q531">
        <v>2.5</v>
      </c>
      <c r="R531">
        <v>3</v>
      </c>
      <c r="S531">
        <v>2</v>
      </c>
      <c r="T531">
        <v>3</v>
      </c>
      <c r="U531" t="s">
        <v>23</v>
      </c>
      <c r="V531">
        <v>3</v>
      </c>
      <c r="W531">
        <f>COUNTIF($A$2:A531,A531)</f>
        <v>1</v>
      </c>
    </row>
    <row r="532" spans="1:23" x14ac:dyDescent="0.35">
      <c r="A532" t="s">
        <v>451</v>
      </c>
      <c r="B532" s="2">
        <v>42217</v>
      </c>
      <c r="D532" t="s">
        <v>23</v>
      </c>
      <c r="E532">
        <v>31</v>
      </c>
      <c r="F532" t="s">
        <v>24</v>
      </c>
      <c r="G532" t="s">
        <v>42</v>
      </c>
      <c r="H532" t="s">
        <v>54</v>
      </c>
      <c r="I532" t="s">
        <v>27</v>
      </c>
      <c r="J532" t="s">
        <v>43</v>
      </c>
      <c r="K532">
        <v>2</v>
      </c>
      <c r="L532" t="s">
        <v>66</v>
      </c>
      <c r="M532">
        <v>42000</v>
      </c>
      <c r="N532">
        <v>0</v>
      </c>
      <c r="O532">
        <v>15.4</v>
      </c>
      <c r="P532">
        <v>10.4</v>
      </c>
      <c r="Q532">
        <v>1.8</v>
      </c>
      <c r="R532">
        <v>4</v>
      </c>
      <c r="S532">
        <v>4</v>
      </c>
      <c r="T532">
        <v>3</v>
      </c>
      <c r="U532" t="s">
        <v>30</v>
      </c>
      <c r="V532">
        <v>4</v>
      </c>
      <c r="W532">
        <f>COUNTIF($A$2:A532,A532)</f>
        <v>1</v>
      </c>
    </row>
    <row r="533" spans="1:23" x14ac:dyDescent="0.35">
      <c r="A533" t="s">
        <v>194</v>
      </c>
      <c r="B533" s="2">
        <v>45463</v>
      </c>
      <c r="D533" t="s">
        <v>23</v>
      </c>
      <c r="E533">
        <v>50</v>
      </c>
      <c r="F533" t="s">
        <v>62</v>
      </c>
      <c r="G533" t="s">
        <v>42</v>
      </c>
      <c r="H533" t="s">
        <v>54</v>
      </c>
      <c r="I533" t="s">
        <v>38</v>
      </c>
      <c r="J533" t="s">
        <v>39</v>
      </c>
      <c r="K533">
        <v>1</v>
      </c>
      <c r="L533" t="s">
        <v>84</v>
      </c>
      <c r="M533">
        <v>45000</v>
      </c>
      <c r="N533">
        <v>8.9</v>
      </c>
      <c r="O533">
        <v>3.6</v>
      </c>
      <c r="P533">
        <v>1.5</v>
      </c>
      <c r="Q533">
        <v>0.8</v>
      </c>
      <c r="R533">
        <v>3</v>
      </c>
      <c r="S533">
        <v>3</v>
      </c>
      <c r="T533">
        <v>2</v>
      </c>
      <c r="U533" t="s">
        <v>23</v>
      </c>
      <c r="V533">
        <v>4</v>
      </c>
      <c r="W533">
        <f>COUNTIF($A$2:A533,A533)</f>
        <v>1</v>
      </c>
    </row>
    <row r="534" spans="1:23" x14ac:dyDescent="0.35">
      <c r="A534" t="s">
        <v>1552</v>
      </c>
      <c r="B534" s="2">
        <v>44218</v>
      </c>
      <c r="D534" t="s">
        <v>23</v>
      </c>
      <c r="E534">
        <v>33</v>
      </c>
      <c r="F534" t="s">
        <v>24</v>
      </c>
      <c r="G534" t="s">
        <v>25</v>
      </c>
      <c r="H534" t="s">
        <v>54</v>
      </c>
      <c r="I534" t="s">
        <v>45</v>
      </c>
      <c r="J534" t="s">
        <v>46</v>
      </c>
      <c r="K534">
        <v>4</v>
      </c>
      <c r="L534" t="s">
        <v>40</v>
      </c>
      <c r="M534">
        <v>108000</v>
      </c>
      <c r="N534">
        <v>4.3</v>
      </c>
      <c r="O534">
        <v>7.6</v>
      </c>
      <c r="P534">
        <v>4.9000000000000004</v>
      </c>
      <c r="Q534">
        <v>3.7</v>
      </c>
      <c r="R534">
        <v>2</v>
      </c>
      <c r="S534">
        <v>3</v>
      </c>
      <c r="T534">
        <v>2</v>
      </c>
      <c r="U534" t="s">
        <v>30</v>
      </c>
      <c r="V534">
        <v>4</v>
      </c>
      <c r="W534">
        <f>COUNTIF($A$2:A534,A534)</f>
        <v>1</v>
      </c>
    </row>
    <row r="535" spans="1:23" x14ac:dyDescent="0.35">
      <c r="A535" t="s">
        <v>620</v>
      </c>
      <c r="B535" s="2">
        <v>45184</v>
      </c>
      <c r="C535" s="2">
        <v>45154</v>
      </c>
      <c r="D535" t="s">
        <v>30</v>
      </c>
      <c r="E535">
        <v>38</v>
      </c>
      <c r="F535" t="s">
        <v>24</v>
      </c>
      <c r="G535" t="s">
        <v>42</v>
      </c>
      <c r="H535" t="s">
        <v>58</v>
      </c>
      <c r="I535" t="s">
        <v>48</v>
      </c>
      <c r="J535" t="s">
        <v>129</v>
      </c>
      <c r="K535">
        <v>4</v>
      </c>
      <c r="L535" t="s">
        <v>40</v>
      </c>
      <c r="M535">
        <v>121000</v>
      </c>
      <c r="N535">
        <v>10.8</v>
      </c>
      <c r="O535">
        <v>6.6</v>
      </c>
      <c r="P535">
        <v>2.2999999999999998</v>
      </c>
      <c r="Q535">
        <v>0.9</v>
      </c>
      <c r="R535">
        <v>2</v>
      </c>
      <c r="S535">
        <v>2</v>
      </c>
      <c r="T535">
        <v>4</v>
      </c>
      <c r="U535" t="s">
        <v>30</v>
      </c>
      <c r="V535">
        <v>4</v>
      </c>
      <c r="W535">
        <f>COUNTIF($A$2:A535,A535)</f>
        <v>1</v>
      </c>
    </row>
    <row r="536" spans="1:23" x14ac:dyDescent="0.35">
      <c r="A536" t="s">
        <v>865</v>
      </c>
      <c r="B536" s="2">
        <v>43638</v>
      </c>
      <c r="D536" t="s">
        <v>23</v>
      </c>
      <c r="E536">
        <v>38</v>
      </c>
      <c r="F536" t="s">
        <v>36</v>
      </c>
      <c r="G536" t="s">
        <v>37</v>
      </c>
      <c r="H536" t="s">
        <v>26</v>
      </c>
      <c r="I536" t="s">
        <v>55</v>
      </c>
      <c r="J536" t="s">
        <v>56</v>
      </c>
      <c r="K536">
        <v>4</v>
      </c>
      <c r="L536" t="s">
        <v>50</v>
      </c>
      <c r="M536">
        <v>134000</v>
      </c>
      <c r="N536">
        <v>7.6</v>
      </c>
      <c r="O536">
        <v>10.7</v>
      </c>
      <c r="P536">
        <v>6.5</v>
      </c>
      <c r="Q536">
        <v>4</v>
      </c>
      <c r="R536">
        <v>1</v>
      </c>
      <c r="S536">
        <v>3</v>
      </c>
      <c r="T536">
        <v>2</v>
      </c>
      <c r="U536" t="s">
        <v>23</v>
      </c>
      <c r="V536">
        <v>4</v>
      </c>
      <c r="W536">
        <f>COUNTIF($A$2:A536,A536)</f>
        <v>1</v>
      </c>
    </row>
    <row r="537" spans="1:23" x14ac:dyDescent="0.35">
      <c r="A537" t="s">
        <v>279</v>
      </c>
      <c r="B537" s="2">
        <v>41944</v>
      </c>
      <c r="C537" s="2">
        <v>45873</v>
      </c>
      <c r="D537" t="s">
        <v>30</v>
      </c>
      <c r="E537">
        <v>34</v>
      </c>
      <c r="F537" t="s">
        <v>24</v>
      </c>
      <c r="G537" t="s">
        <v>25</v>
      </c>
      <c r="H537" t="s">
        <v>32</v>
      </c>
      <c r="I537" t="s">
        <v>59</v>
      </c>
      <c r="J537" t="s">
        <v>60</v>
      </c>
      <c r="K537">
        <v>3</v>
      </c>
      <c r="L537" t="s">
        <v>29</v>
      </c>
      <c r="M537">
        <v>89000</v>
      </c>
      <c r="N537">
        <v>4</v>
      </c>
      <c r="O537">
        <v>11</v>
      </c>
      <c r="P537">
        <v>10.8</v>
      </c>
      <c r="Q537">
        <v>0.1</v>
      </c>
      <c r="R537">
        <v>2</v>
      </c>
      <c r="S537">
        <v>4</v>
      </c>
      <c r="T537">
        <v>3</v>
      </c>
      <c r="U537" t="s">
        <v>23</v>
      </c>
      <c r="V537">
        <v>2</v>
      </c>
      <c r="W537">
        <f>COUNTIF($A$2:A537,A537)</f>
        <v>1</v>
      </c>
    </row>
    <row r="538" spans="1:23" x14ac:dyDescent="0.35">
      <c r="A538" t="s">
        <v>1505</v>
      </c>
      <c r="B538" s="2">
        <v>45453</v>
      </c>
      <c r="D538" t="s">
        <v>23</v>
      </c>
      <c r="E538">
        <v>34</v>
      </c>
      <c r="F538" t="s">
        <v>36</v>
      </c>
      <c r="G538" t="s">
        <v>42</v>
      </c>
      <c r="H538" t="s">
        <v>32</v>
      </c>
      <c r="I538" t="s">
        <v>55</v>
      </c>
      <c r="J538" t="s">
        <v>56</v>
      </c>
      <c r="K538">
        <v>2</v>
      </c>
      <c r="L538" t="s">
        <v>50</v>
      </c>
      <c r="M538">
        <v>62000</v>
      </c>
      <c r="N538">
        <v>9.6999999999999993</v>
      </c>
      <c r="O538">
        <v>3.2</v>
      </c>
      <c r="P538">
        <v>1.6</v>
      </c>
      <c r="Q538">
        <v>0.9</v>
      </c>
      <c r="R538">
        <v>3</v>
      </c>
      <c r="S538">
        <v>4</v>
      </c>
      <c r="T538">
        <v>2</v>
      </c>
      <c r="U538" t="s">
        <v>23</v>
      </c>
      <c r="V538">
        <v>3</v>
      </c>
      <c r="W538">
        <f>COUNTIF($A$2:A538,A538)</f>
        <v>1</v>
      </c>
    </row>
    <row r="539" spans="1:23" x14ac:dyDescent="0.35">
      <c r="A539" t="s">
        <v>252</v>
      </c>
      <c r="B539" s="2">
        <v>45081</v>
      </c>
      <c r="D539" t="s">
        <v>23</v>
      </c>
      <c r="E539">
        <v>31</v>
      </c>
      <c r="F539" t="s">
        <v>36</v>
      </c>
      <c r="G539" t="s">
        <v>37</v>
      </c>
      <c r="H539" t="s">
        <v>32</v>
      </c>
      <c r="I539" t="s">
        <v>48</v>
      </c>
      <c r="J539" t="s">
        <v>129</v>
      </c>
      <c r="K539">
        <v>1</v>
      </c>
      <c r="L539" t="s">
        <v>84</v>
      </c>
      <c r="M539">
        <v>48000</v>
      </c>
      <c r="N539">
        <v>2.6</v>
      </c>
      <c r="O539">
        <v>7.6</v>
      </c>
      <c r="P539">
        <v>2.6</v>
      </c>
      <c r="Q539">
        <v>0.1</v>
      </c>
      <c r="R539">
        <v>3</v>
      </c>
      <c r="S539">
        <v>4</v>
      </c>
      <c r="T539">
        <v>3</v>
      </c>
      <c r="U539" t="s">
        <v>30</v>
      </c>
      <c r="V539">
        <v>4</v>
      </c>
      <c r="W539">
        <f>COUNTIF($A$2:A539,A539)</f>
        <v>1</v>
      </c>
    </row>
    <row r="540" spans="1:23" x14ac:dyDescent="0.35">
      <c r="A540" t="s">
        <v>1476</v>
      </c>
      <c r="B540" s="2">
        <v>42937</v>
      </c>
      <c r="D540" t="s">
        <v>23</v>
      </c>
      <c r="E540">
        <v>32</v>
      </c>
      <c r="F540" t="s">
        <v>36</v>
      </c>
      <c r="G540" t="s">
        <v>37</v>
      </c>
      <c r="H540" t="s">
        <v>58</v>
      </c>
      <c r="I540" t="s">
        <v>38</v>
      </c>
      <c r="J540" t="s">
        <v>39</v>
      </c>
      <c r="K540">
        <v>5</v>
      </c>
      <c r="L540" t="s">
        <v>50</v>
      </c>
      <c r="M540">
        <v>158000</v>
      </c>
      <c r="N540">
        <v>8.3000000000000007</v>
      </c>
      <c r="O540">
        <v>11.1</v>
      </c>
      <c r="P540">
        <v>8.4</v>
      </c>
      <c r="Q540">
        <v>3.8</v>
      </c>
      <c r="R540">
        <v>4</v>
      </c>
      <c r="S540">
        <v>4</v>
      </c>
      <c r="T540">
        <v>3</v>
      </c>
      <c r="U540" t="s">
        <v>23</v>
      </c>
      <c r="V540">
        <v>4</v>
      </c>
      <c r="W540">
        <f>COUNTIF($A$2:A540,A540)</f>
        <v>1</v>
      </c>
    </row>
    <row r="541" spans="1:23" x14ac:dyDescent="0.35">
      <c r="A541" t="s">
        <v>940</v>
      </c>
      <c r="B541" s="2">
        <v>43175</v>
      </c>
      <c r="D541" t="s">
        <v>23</v>
      </c>
      <c r="E541">
        <v>33</v>
      </c>
      <c r="F541" t="s">
        <v>24</v>
      </c>
      <c r="G541" t="s">
        <v>25</v>
      </c>
      <c r="H541" t="s">
        <v>26</v>
      </c>
      <c r="I541" t="s">
        <v>27</v>
      </c>
      <c r="J541" t="s">
        <v>33</v>
      </c>
      <c r="K541">
        <v>2</v>
      </c>
      <c r="L541" t="s">
        <v>50</v>
      </c>
      <c r="M541">
        <v>53000</v>
      </c>
      <c r="N541">
        <v>4</v>
      </c>
      <c r="O541">
        <v>9.6999999999999993</v>
      </c>
      <c r="P541">
        <v>7.8</v>
      </c>
      <c r="Q541">
        <v>3.7</v>
      </c>
      <c r="R541">
        <v>3</v>
      </c>
      <c r="S541">
        <v>4</v>
      </c>
      <c r="T541">
        <v>3</v>
      </c>
      <c r="U541" t="s">
        <v>30</v>
      </c>
      <c r="V541">
        <v>4</v>
      </c>
      <c r="W541">
        <f>COUNTIF($A$2:A541,A541)</f>
        <v>1</v>
      </c>
    </row>
    <row r="542" spans="1:23" x14ac:dyDescent="0.35">
      <c r="A542" t="s">
        <v>238</v>
      </c>
      <c r="B542" s="2">
        <v>45197</v>
      </c>
      <c r="D542" t="s">
        <v>23</v>
      </c>
      <c r="E542">
        <v>30</v>
      </c>
      <c r="F542" t="s">
        <v>36</v>
      </c>
      <c r="G542" t="s">
        <v>25</v>
      </c>
      <c r="H542" t="s">
        <v>26</v>
      </c>
      <c r="I542" t="s">
        <v>55</v>
      </c>
      <c r="J542" t="s">
        <v>88</v>
      </c>
      <c r="K542">
        <v>3</v>
      </c>
      <c r="L542" t="s">
        <v>66</v>
      </c>
      <c r="M542">
        <v>87000</v>
      </c>
      <c r="N542">
        <v>14.1</v>
      </c>
      <c r="O542">
        <v>8.1</v>
      </c>
      <c r="P542">
        <v>2.2999999999999998</v>
      </c>
      <c r="Q542">
        <v>2.2999999999999998</v>
      </c>
      <c r="R542">
        <v>3</v>
      </c>
      <c r="S542">
        <v>3</v>
      </c>
      <c r="T542">
        <v>4</v>
      </c>
      <c r="U542" t="s">
        <v>23</v>
      </c>
      <c r="V542">
        <v>2</v>
      </c>
      <c r="W542">
        <f>COUNTIF($A$2:A542,A542)</f>
        <v>1</v>
      </c>
    </row>
    <row r="543" spans="1:23" x14ac:dyDescent="0.35">
      <c r="A543" t="s">
        <v>1213</v>
      </c>
      <c r="B543" s="2">
        <v>44800</v>
      </c>
      <c r="D543" t="s">
        <v>23</v>
      </c>
      <c r="E543">
        <v>25</v>
      </c>
      <c r="F543" t="s">
        <v>24</v>
      </c>
      <c r="G543" t="s">
        <v>25</v>
      </c>
      <c r="H543" t="s">
        <v>32</v>
      </c>
      <c r="I543" t="s">
        <v>59</v>
      </c>
      <c r="J543" t="s">
        <v>60</v>
      </c>
      <c r="K543">
        <v>1</v>
      </c>
      <c r="L543" t="s">
        <v>66</v>
      </c>
      <c r="M543">
        <v>35000</v>
      </c>
      <c r="N543">
        <v>11</v>
      </c>
      <c r="O543">
        <v>6</v>
      </c>
      <c r="P543">
        <v>3.3</v>
      </c>
      <c r="Q543">
        <v>0.8</v>
      </c>
      <c r="R543">
        <v>1</v>
      </c>
      <c r="S543">
        <v>3</v>
      </c>
      <c r="T543">
        <v>4</v>
      </c>
      <c r="U543" t="s">
        <v>23</v>
      </c>
      <c r="V543">
        <v>4</v>
      </c>
      <c r="W543">
        <f>COUNTIF($A$2:A543,A543)</f>
        <v>1</v>
      </c>
    </row>
    <row r="544" spans="1:23" x14ac:dyDescent="0.35">
      <c r="A544" t="s">
        <v>438</v>
      </c>
      <c r="B544" s="2">
        <v>45129</v>
      </c>
      <c r="D544" t="s">
        <v>23</v>
      </c>
      <c r="E544">
        <v>44</v>
      </c>
      <c r="F544" t="s">
        <v>24</v>
      </c>
      <c r="G544" t="s">
        <v>25</v>
      </c>
      <c r="H544" t="s">
        <v>32</v>
      </c>
      <c r="I544" t="s">
        <v>59</v>
      </c>
      <c r="J544" t="s">
        <v>60</v>
      </c>
      <c r="K544">
        <v>3</v>
      </c>
      <c r="L544" t="s">
        <v>40</v>
      </c>
      <c r="M544">
        <v>66000</v>
      </c>
      <c r="N544">
        <v>5.8</v>
      </c>
      <c r="O544">
        <v>10.1</v>
      </c>
      <c r="P544">
        <v>2.4</v>
      </c>
      <c r="Q544">
        <v>0.1</v>
      </c>
      <c r="R544">
        <v>1</v>
      </c>
      <c r="S544">
        <v>4</v>
      </c>
      <c r="T544">
        <v>4</v>
      </c>
      <c r="U544" t="s">
        <v>23</v>
      </c>
      <c r="V544">
        <v>2</v>
      </c>
      <c r="W544">
        <f>COUNTIF($A$2:A544,A544)</f>
        <v>1</v>
      </c>
    </row>
    <row r="545" spans="1:23" x14ac:dyDescent="0.35">
      <c r="A545" t="s">
        <v>232</v>
      </c>
      <c r="B545" s="2">
        <v>44088</v>
      </c>
      <c r="D545" t="s">
        <v>23</v>
      </c>
      <c r="E545">
        <v>31</v>
      </c>
      <c r="F545" t="s">
        <v>36</v>
      </c>
      <c r="G545" t="s">
        <v>37</v>
      </c>
      <c r="H545" t="s">
        <v>58</v>
      </c>
      <c r="I545" t="s">
        <v>27</v>
      </c>
      <c r="J545" t="s">
        <v>43</v>
      </c>
      <c r="K545">
        <v>2</v>
      </c>
      <c r="L545" t="s">
        <v>34</v>
      </c>
      <c r="M545">
        <v>55000</v>
      </c>
      <c r="N545">
        <v>12.9</v>
      </c>
      <c r="O545">
        <v>10.1</v>
      </c>
      <c r="P545">
        <v>5.3</v>
      </c>
      <c r="Q545">
        <v>1.6</v>
      </c>
      <c r="R545">
        <v>2</v>
      </c>
      <c r="S545">
        <v>3</v>
      </c>
      <c r="T545">
        <v>4</v>
      </c>
      <c r="U545" t="s">
        <v>30</v>
      </c>
      <c r="V545">
        <v>3</v>
      </c>
      <c r="W545">
        <f>COUNTIF($A$2:A545,A545)</f>
        <v>1</v>
      </c>
    </row>
    <row r="546" spans="1:23" x14ac:dyDescent="0.35">
      <c r="A546" t="s">
        <v>919</v>
      </c>
      <c r="B546" s="2">
        <v>44261</v>
      </c>
      <c r="D546" t="s">
        <v>23</v>
      </c>
      <c r="E546">
        <v>31</v>
      </c>
      <c r="F546" t="s">
        <v>36</v>
      </c>
      <c r="G546" t="s">
        <v>25</v>
      </c>
      <c r="H546" t="s">
        <v>32</v>
      </c>
      <c r="I546" t="s">
        <v>48</v>
      </c>
      <c r="J546" t="s">
        <v>49</v>
      </c>
      <c r="K546">
        <v>3</v>
      </c>
      <c r="L546" t="s">
        <v>66</v>
      </c>
      <c r="M546">
        <v>81000</v>
      </c>
      <c r="N546">
        <v>5.7</v>
      </c>
      <c r="O546">
        <v>12.5</v>
      </c>
      <c r="P546">
        <v>4.8</v>
      </c>
      <c r="Q546">
        <v>2.2999999999999998</v>
      </c>
      <c r="R546">
        <v>3</v>
      </c>
      <c r="S546">
        <v>4</v>
      </c>
      <c r="T546">
        <v>3</v>
      </c>
      <c r="U546" t="s">
        <v>23</v>
      </c>
      <c r="V546">
        <v>2</v>
      </c>
      <c r="W546">
        <f>COUNTIF($A$2:A546,A546)</f>
        <v>1</v>
      </c>
    </row>
    <row r="547" spans="1:23" x14ac:dyDescent="0.35">
      <c r="A547" t="s">
        <v>717</v>
      </c>
      <c r="B547" s="2">
        <v>45753</v>
      </c>
      <c r="D547" t="s">
        <v>23</v>
      </c>
      <c r="E547">
        <v>22</v>
      </c>
      <c r="F547" t="s">
        <v>24</v>
      </c>
      <c r="G547" t="s">
        <v>37</v>
      </c>
      <c r="H547" t="s">
        <v>26</v>
      </c>
      <c r="I547" t="s">
        <v>45</v>
      </c>
      <c r="J547" t="s">
        <v>97</v>
      </c>
      <c r="K547">
        <v>1</v>
      </c>
      <c r="L547" t="s">
        <v>66</v>
      </c>
      <c r="M547">
        <v>33000</v>
      </c>
      <c r="N547">
        <v>17.100000000000001</v>
      </c>
      <c r="O547">
        <v>5.6</v>
      </c>
      <c r="P547">
        <v>0.7</v>
      </c>
      <c r="Q547">
        <v>0</v>
      </c>
      <c r="R547">
        <v>3</v>
      </c>
      <c r="S547">
        <v>2</v>
      </c>
      <c r="T547">
        <v>3</v>
      </c>
      <c r="U547" t="s">
        <v>23</v>
      </c>
      <c r="V547">
        <v>2</v>
      </c>
      <c r="W547">
        <f>COUNTIF($A$2:A547,A547)</f>
        <v>1</v>
      </c>
    </row>
    <row r="548" spans="1:23" x14ac:dyDescent="0.35">
      <c r="A548" t="s">
        <v>1384</v>
      </c>
      <c r="B548" s="2">
        <v>41957</v>
      </c>
      <c r="D548" t="s">
        <v>23</v>
      </c>
      <c r="E548">
        <v>32</v>
      </c>
      <c r="F548" t="s">
        <v>24</v>
      </c>
      <c r="G548" t="s">
        <v>42</v>
      </c>
      <c r="H548" t="s">
        <v>32</v>
      </c>
      <c r="I548" t="s">
        <v>45</v>
      </c>
      <c r="J548" t="s">
        <v>77</v>
      </c>
      <c r="K548">
        <v>3</v>
      </c>
      <c r="L548" t="s">
        <v>40</v>
      </c>
      <c r="M548">
        <v>69000</v>
      </c>
      <c r="N548">
        <v>8.3000000000000007</v>
      </c>
      <c r="O548">
        <v>15</v>
      </c>
      <c r="P548">
        <v>11.1</v>
      </c>
      <c r="Q548">
        <v>3.8</v>
      </c>
      <c r="R548">
        <v>4</v>
      </c>
      <c r="S548">
        <v>3</v>
      </c>
      <c r="T548">
        <v>3</v>
      </c>
      <c r="U548" t="s">
        <v>23</v>
      </c>
      <c r="V548">
        <v>1</v>
      </c>
      <c r="W548">
        <f>COUNTIF($A$2:A548,A548)</f>
        <v>1</v>
      </c>
    </row>
    <row r="549" spans="1:23" x14ac:dyDescent="0.35">
      <c r="A549" t="s">
        <v>961</v>
      </c>
      <c r="B549" s="2">
        <v>45668</v>
      </c>
      <c r="D549" t="s">
        <v>23</v>
      </c>
      <c r="E549">
        <v>21</v>
      </c>
      <c r="F549" t="s">
        <v>36</v>
      </c>
      <c r="G549" t="s">
        <v>25</v>
      </c>
      <c r="H549" t="s">
        <v>32</v>
      </c>
      <c r="I549" t="s">
        <v>59</v>
      </c>
      <c r="J549" t="s">
        <v>60</v>
      </c>
      <c r="K549">
        <v>1</v>
      </c>
      <c r="L549" t="s">
        <v>40</v>
      </c>
      <c r="M549">
        <v>47000</v>
      </c>
      <c r="N549">
        <v>3.3</v>
      </c>
      <c r="O549">
        <v>6.6</v>
      </c>
      <c r="P549">
        <v>1</v>
      </c>
      <c r="Q549">
        <v>0.6</v>
      </c>
      <c r="R549">
        <v>4</v>
      </c>
      <c r="S549">
        <v>3</v>
      </c>
      <c r="T549">
        <v>1</v>
      </c>
      <c r="U549" t="s">
        <v>23</v>
      </c>
      <c r="V549">
        <v>3</v>
      </c>
      <c r="W549">
        <f>COUNTIF($A$2:A549,A549)</f>
        <v>1</v>
      </c>
    </row>
    <row r="550" spans="1:23" x14ac:dyDescent="0.35">
      <c r="A550" t="s">
        <v>61</v>
      </c>
      <c r="B550" s="2">
        <v>44632</v>
      </c>
      <c r="D550" t="s">
        <v>23</v>
      </c>
      <c r="E550">
        <v>30</v>
      </c>
      <c r="F550" t="s">
        <v>62</v>
      </c>
      <c r="G550" t="s">
        <v>25</v>
      </c>
      <c r="H550" t="s">
        <v>32</v>
      </c>
      <c r="I550" t="s">
        <v>48</v>
      </c>
      <c r="J550" t="s">
        <v>63</v>
      </c>
      <c r="K550">
        <v>4</v>
      </c>
      <c r="L550" t="s">
        <v>50</v>
      </c>
      <c r="M550">
        <v>120000</v>
      </c>
      <c r="N550">
        <v>2.6</v>
      </c>
      <c r="O550">
        <v>5</v>
      </c>
      <c r="P550">
        <v>3.8</v>
      </c>
      <c r="Q550">
        <v>2.2999999999999998</v>
      </c>
      <c r="R550">
        <v>1</v>
      </c>
      <c r="S550">
        <v>4</v>
      </c>
      <c r="T550">
        <v>2</v>
      </c>
      <c r="U550" t="s">
        <v>23</v>
      </c>
      <c r="V550">
        <v>3</v>
      </c>
      <c r="W550">
        <f>COUNTIF($A$2:A550,A550)</f>
        <v>1</v>
      </c>
    </row>
    <row r="551" spans="1:23" x14ac:dyDescent="0.35">
      <c r="A551" t="s">
        <v>61</v>
      </c>
      <c r="B551" s="2">
        <v>44632</v>
      </c>
      <c r="D551" t="s">
        <v>23</v>
      </c>
      <c r="E551">
        <v>30</v>
      </c>
      <c r="F551" t="s">
        <v>62</v>
      </c>
      <c r="G551" t="s">
        <v>25</v>
      </c>
      <c r="H551" t="s">
        <v>32</v>
      </c>
      <c r="I551" t="s">
        <v>48</v>
      </c>
      <c r="J551" t="s">
        <v>63</v>
      </c>
      <c r="K551">
        <v>4</v>
      </c>
      <c r="L551" t="s">
        <v>50</v>
      </c>
      <c r="M551">
        <v>120000</v>
      </c>
      <c r="N551">
        <v>2.6</v>
      </c>
      <c r="O551">
        <v>5</v>
      </c>
      <c r="P551">
        <v>3.8</v>
      </c>
      <c r="Q551">
        <v>2.2999999999999998</v>
      </c>
      <c r="R551">
        <v>1</v>
      </c>
      <c r="S551">
        <v>4</v>
      </c>
      <c r="T551">
        <v>2</v>
      </c>
      <c r="U551" t="s">
        <v>23</v>
      </c>
      <c r="V551">
        <v>3</v>
      </c>
      <c r="W551">
        <f>COUNTIF($A$2:A551,A551)</f>
        <v>2</v>
      </c>
    </row>
    <row r="552" spans="1:23" x14ac:dyDescent="0.35">
      <c r="A552" t="s">
        <v>263</v>
      </c>
      <c r="B552" s="2">
        <v>41995</v>
      </c>
      <c r="D552" t="s">
        <v>23</v>
      </c>
      <c r="E552">
        <v>47</v>
      </c>
      <c r="F552" t="s">
        <v>36</v>
      </c>
      <c r="G552" t="s">
        <v>25</v>
      </c>
      <c r="H552" t="s">
        <v>54</v>
      </c>
      <c r="I552" t="s">
        <v>38</v>
      </c>
      <c r="J552" t="s">
        <v>118</v>
      </c>
      <c r="K552">
        <v>3</v>
      </c>
      <c r="L552" t="s">
        <v>66</v>
      </c>
      <c r="M552">
        <v>74000</v>
      </c>
      <c r="N552">
        <v>9.8000000000000007</v>
      </c>
      <c r="O552">
        <v>15.2</v>
      </c>
      <c r="P552">
        <v>11</v>
      </c>
      <c r="Q552">
        <v>1.1000000000000001</v>
      </c>
      <c r="R552">
        <v>3</v>
      </c>
      <c r="S552">
        <v>3</v>
      </c>
      <c r="T552">
        <v>4</v>
      </c>
      <c r="U552" t="s">
        <v>23</v>
      </c>
      <c r="V552">
        <v>3</v>
      </c>
      <c r="W552">
        <f>COUNTIF($A$2:A552,A552)</f>
        <v>1</v>
      </c>
    </row>
    <row r="553" spans="1:23" x14ac:dyDescent="0.35">
      <c r="A553" t="s">
        <v>1036</v>
      </c>
      <c r="B553" s="2">
        <v>41963</v>
      </c>
      <c r="D553" t="s">
        <v>23</v>
      </c>
      <c r="E553">
        <v>36</v>
      </c>
      <c r="F553" t="s">
        <v>62</v>
      </c>
      <c r="G553" t="s">
        <v>42</v>
      </c>
      <c r="H553" t="s">
        <v>26</v>
      </c>
      <c r="I553" t="s">
        <v>68</v>
      </c>
      <c r="J553" t="s">
        <v>121</v>
      </c>
      <c r="K553">
        <v>3</v>
      </c>
      <c r="L553" t="s">
        <v>40</v>
      </c>
      <c r="M553">
        <v>77000</v>
      </c>
      <c r="N553">
        <v>6.4</v>
      </c>
      <c r="O553">
        <v>17.5</v>
      </c>
      <c r="P553">
        <v>11.1</v>
      </c>
      <c r="Q553">
        <v>4.9000000000000004</v>
      </c>
      <c r="R553">
        <v>2</v>
      </c>
      <c r="S553">
        <v>3</v>
      </c>
      <c r="T553">
        <v>2</v>
      </c>
      <c r="U553" t="s">
        <v>23</v>
      </c>
      <c r="V553">
        <v>4</v>
      </c>
      <c r="W553">
        <f>COUNTIF($A$2:A553,A553)</f>
        <v>1</v>
      </c>
    </row>
    <row r="554" spans="1:23" x14ac:dyDescent="0.35">
      <c r="A554" t="s">
        <v>1280</v>
      </c>
      <c r="B554" s="2">
        <v>45614</v>
      </c>
      <c r="D554" t="s">
        <v>23</v>
      </c>
      <c r="E554">
        <v>46</v>
      </c>
      <c r="F554" t="s">
        <v>24</v>
      </c>
      <c r="G554" t="s">
        <v>25</v>
      </c>
      <c r="H554" t="s">
        <v>26</v>
      </c>
      <c r="I554" t="s">
        <v>59</v>
      </c>
      <c r="J554" t="s">
        <v>60</v>
      </c>
      <c r="K554">
        <v>1</v>
      </c>
      <c r="L554" t="s">
        <v>34</v>
      </c>
      <c r="M554">
        <v>31000</v>
      </c>
      <c r="N554">
        <v>11.9</v>
      </c>
      <c r="O554">
        <v>7</v>
      </c>
      <c r="P554">
        <v>1.1000000000000001</v>
      </c>
      <c r="Q554">
        <v>0.2</v>
      </c>
      <c r="R554">
        <v>3</v>
      </c>
      <c r="S554">
        <v>3</v>
      </c>
      <c r="T554">
        <v>3</v>
      </c>
      <c r="U554" t="s">
        <v>23</v>
      </c>
      <c r="V554">
        <v>3</v>
      </c>
      <c r="W554">
        <f>COUNTIF($A$2:A554,A554)</f>
        <v>1</v>
      </c>
    </row>
    <row r="555" spans="1:23" x14ac:dyDescent="0.35">
      <c r="A555" t="s">
        <v>855</v>
      </c>
      <c r="B555" s="2">
        <v>45526</v>
      </c>
      <c r="D555" t="s">
        <v>23</v>
      </c>
      <c r="E555">
        <v>26</v>
      </c>
      <c r="F555" t="s">
        <v>62</v>
      </c>
      <c r="G555" t="s">
        <v>37</v>
      </c>
      <c r="H555" t="s">
        <v>26</v>
      </c>
      <c r="I555" t="s">
        <v>27</v>
      </c>
      <c r="J555" t="s">
        <v>95</v>
      </c>
      <c r="K555">
        <v>1</v>
      </c>
      <c r="L555" t="s">
        <v>84</v>
      </c>
      <c r="M555">
        <v>36000</v>
      </c>
      <c r="N555">
        <v>14.9</v>
      </c>
      <c r="O555">
        <v>3.4</v>
      </c>
      <c r="P555">
        <v>1.4</v>
      </c>
      <c r="Q555">
        <v>1.3</v>
      </c>
      <c r="R555">
        <v>2</v>
      </c>
      <c r="S555">
        <v>3</v>
      </c>
      <c r="T555">
        <v>3</v>
      </c>
      <c r="U555" t="s">
        <v>30</v>
      </c>
      <c r="V555">
        <v>4</v>
      </c>
      <c r="W555">
        <f>COUNTIF($A$2:A555,A555)</f>
        <v>1</v>
      </c>
    </row>
    <row r="556" spans="1:23" x14ac:dyDescent="0.35">
      <c r="A556" t="s">
        <v>712</v>
      </c>
      <c r="B556" s="2">
        <v>45662</v>
      </c>
      <c r="D556" t="s">
        <v>23</v>
      </c>
      <c r="E556">
        <v>31</v>
      </c>
      <c r="F556" t="s">
        <v>24</v>
      </c>
      <c r="G556" t="s">
        <v>37</v>
      </c>
      <c r="H556" t="s">
        <v>32</v>
      </c>
      <c r="I556" t="s">
        <v>38</v>
      </c>
      <c r="J556" t="s">
        <v>52</v>
      </c>
      <c r="K556">
        <v>2</v>
      </c>
      <c r="L556" t="s">
        <v>66</v>
      </c>
      <c r="M556">
        <v>59000</v>
      </c>
      <c r="N556">
        <v>4</v>
      </c>
      <c r="O556">
        <v>7.1</v>
      </c>
      <c r="P556">
        <v>1</v>
      </c>
      <c r="Q556">
        <v>0</v>
      </c>
      <c r="R556">
        <v>2</v>
      </c>
      <c r="S556">
        <v>3</v>
      </c>
      <c r="T556">
        <v>4</v>
      </c>
      <c r="U556" t="s">
        <v>30</v>
      </c>
      <c r="V556">
        <v>4</v>
      </c>
      <c r="W556">
        <f>COUNTIF($A$2:A556,A556)</f>
        <v>1</v>
      </c>
    </row>
    <row r="557" spans="1:23" x14ac:dyDescent="0.35">
      <c r="A557" t="s">
        <v>934</v>
      </c>
      <c r="B557" s="2">
        <v>43690</v>
      </c>
      <c r="D557" t="s">
        <v>23</v>
      </c>
      <c r="E557">
        <v>39</v>
      </c>
      <c r="F557" t="s">
        <v>36</v>
      </c>
      <c r="G557" t="s">
        <v>37</v>
      </c>
      <c r="H557" t="s">
        <v>58</v>
      </c>
      <c r="I557" t="s">
        <v>59</v>
      </c>
      <c r="J557" t="s">
        <v>75</v>
      </c>
      <c r="K557">
        <v>2</v>
      </c>
      <c r="L557" t="s">
        <v>29</v>
      </c>
      <c r="M557">
        <v>48000</v>
      </c>
      <c r="N557">
        <v>7.1</v>
      </c>
      <c r="O557">
        <v>12.4</v>
      </c>
      <c r="P557">
        <v>6.4</v>
      </c>
      <c r="Q557">
        <v>3.6</v>
      </c>
      <c r="R557">
        <v>3</v>
      </c>
      <c r="S557">
        <v>3</v>
      </c>
      <c r="T557">
        <v>3</v>
      </c>
      <c r="U557" t="s">
        <v>23</v>
      </c>
      <c r="V557">
        <v>3</v>
      </c>
      <c r="W557">
        <f>COUNTIF($A$2:A557,A557)</f>
        <v>1</v>
      </c>
    </row>
    <row r="558" spans="1:23" x14ac:dyDescent="0.35">
      <c r="A558" t="s">
        <v>1382</v>
      </c>
      <c r="B558" s="2">
        <v>42457</v>
      </c>
      <c r="C558" s="2">
        <v>46015</v>
      </c>
      <c r="D558" t="s">
        <v>30</v>
      </c>
      <c r="E558">
        <v>30</v>
      </c>
      <c r="F558" t="s">
        <v>62</v>
      </c>
      <c r="G558" t="s">
        <v>42</v>
      </c>
      <c r="H558" t="s">
        <v>32</v>
      </c>
      <c r="I558" t="s">
        <v>48</v>
      </c>
      <c r="J558" t="s">
        <v>201</v>
      </c>
      <c r="K558">
        <v>3</v>
      </c>
      <c r="L558" t="s">
        <v>84</v>
      </c>
      <c r="M558">
        <v>79000</v>
      </c>
      <c r="N558">
        <v>17.399999999999999</v>
      </c>
      <c r="O558">
        <v>13</v>
      </c>
      <c r="P558">
        <v>9.6999999999999993</v>
      </c>
      <c r="Q558">
        <v>5</v>
      </c>
      <c r="R558">
        <v>4</v>
      </c>
      <c r="S558">
        <v>4</v>
      </c>
      <c r="T558">
        <v>1</v>
      </c>
      <c r="U558" t="s">
        <v>23</v>
      </c>
      <c r="V558">
        <v>2</v>
      </c>
      <c r="W558">
        <f>COUNTIF($A$2:A558,A558)</f>
        <v>1</v>
      </c>
    </row>
    <row r="559" spans="1:23" x14ac:dyDescent="0.35">
      <c r="A559" t="s">
        <v>980</v>
      </c>
      <c r="B559" s="2">
        <v>43574</v>
      </c>
      <c r="D559" t="s">
        <v>23</v>
      </c>
      <c r="E559">
        <v>30</v>
      </c>
      <c r="F559" t="s">
        <v>62</v>
      </c>
      <c r="G559" t="s">
        <v>42</v>
      </c>
      <c r="H559" t="s">
        <v>32</v>
      </c>
      <c r="I559" t="s">
        <v>48</v>
      </c>
      <c r="J559" t="s">
        <v>201</v>
      </c>
      <c r="K559">
        <v>3</v>
      </c>
      <c r="L559" t="s">
        <v>66</v>
      </c>
      <c r="M559">
        <v>74000</v>
      </c>
      <c r="N559">
        <v>12</v>
      </c>
      <c r="O559">
        <v>9.3000000000000007</v>
      </c>
      <c r="P559">
        <v>6.7</v>
      </c>
      <c r="Q559">
        <v>3.8</v>
      </c>
      <c r="R559">
        <v>3</v>
      </c>
      <c r="S559">
        <v>4</v>
      </c>
      <c r="T559">
        <v>4</v>
      </c>
      <c r="U559" t="s">
        <v>30</v>
      </c>
      <c r="V559">
        <v>4</v>
      </c>
      <c r="W559">
        <f>COUNTIF($A$2:A559,A559)</f>
        <v>1</v>
      </c>
    </row>
    <row r="560" spans="1:23" x14ac:dyDescent="0.35">
      <c r="A560" t="s">
        <v>1156</v>
      </c>
      <c r="B560" s="2">
        <v>43680</v>
      </c>
      <c r="D560" t="s">
        <v>23</v>
      </c>
      <c r="E560">
        <v>28</v>
      </c>
      <c r="F560" t="s">
        <v>62</v>
      </c>
      <c r="G560" t="s">
        <v>37</v>
      </c>
      <c r="H560" t="s">
        <v>32</v>
      </c>
      <c r="I560" t="s">
        <v>48</v>
      </c>
      <c r="J560" t="s">
        <v>201</v>
      </c>
      <c r="K560">
        <v>3</v>
      </c>
      <c r="L560" t="s">
        <v>66</v>
      </c>
      <c r="M560">
        <v>92000</v>
      </c>
      <c r="N560">
        <v>14.7</v>
      </c>
      <c r="O560">
        <v>10.199999999999999</v>
      </c>
      <c r="P560">
        <v>6.4</v>
      </c>
      <c r="Q560">
        <v>4</v>
      </c>
      <c r="R560">
        <v>4</v>
      </c>
      <c r="S560">
        <v>3</v>
      </c>
      <c r="T560">
        <v>2</v>
      </c>
      <c r="U560" t="s">
        <v>23</v>
      </c>
      <c r="V560">
        <v>3</v>
      </c>
      <c r="W560">
        <f>COUNTIF($A$2:A560,A560)</f>
        <v>1</v>
      </c>
    </row>
    <row r="561" spans="1:23" x14ac:dyDescent="0.35">
      <c r="A561" t="s">
        <v>1260</v>
      </c>
      <c r="B561" s="2">
        <v>45880</v>
      </c>
      <c r="D561" t="s">
        <v>23</v>
      </c>
      <c r="E561">
        <v>21</v>
      </c>
      <c r="F561" t="s">
        <v>62</v>
      </c>
      <c r="G561" t="s">
        <v>25</v>
      </c>
      <c r="H561" t="s">
        <v>32</v>
      </c>
      <c r="I561" t="s">
        <v>27</v>
      </c>
      <c r="J561" t="s">
        <v>43</v>
      </c>
      <c r="K561">
        <v>1</v>
      </c>
      <c r="L561" t="s">
        <v>40</v>
      </c>
      <c r="M561">
        <v>41000</v>
      </c>
      <c r="N561">
        <v>6.3</v>
      </c>
      <c r="O561">
        <v>4.8</v>
      </c>
      <c r="P561">
        <v>0.4</v>
      </c>
      <c r="Q561">
        <v>0</v>
      </c>
      <c r="R561">
        <v>3</v>
      </c>
      <c r="S561">
        <v>2</v>
      </c>
      <c r="T561">
        <v>3</v>
      </c>
      <c r="U561" t="s">
        <v>23</v>
      </c>
      <c r="V561">
        <v>2</v>
      </c>
      <c r="W561">
        <f>COUNTIF($A$2:A561,A561)</f>
        <v>1</v>
      </c>
    </row>
    <row r="562" spans="1:23" x14ac:dyDescent="0.35">
      <c r="A562" t="s">
        <v>668</v>
      </c>
      <c r="B562" s="2">
        <v>45720</v>
      </c>
      <c r="D562" t="s">
        <v>23</v>
      </c>
      <c r="E562">
        <v>21</v>
      </c>
      <c r="F562" t="s">
        <v>24</v>
      </c>
      <c r="G562" t="s">
        <v>25</v>
      </c>
      <c r="H562" t="s">
        <v>58</v>
      </c>
      <c r="I562" t="s">
        <v>55</v>
      </c>
      <c r="J562" t="s">
        <v>179</v>
      </c>
      <c r="K562">
        <v>1</v>
      </c>
      <c r="L562" t="s">
        <v>29</v>
      </c>
      <c r="M562">
        <v>47000</v>
      </c>
      <c r="N562">
        <v>4.2</v>
      </c>
      <c r="O562">
        <v>6.6</v>
      </c>
      <c r="P562">
        <v>0.8</v>
      </c>
      <c r="Q562">
        <v>0</v>
      </c>
      <c r="R562">
        <v>2</v>
      </c>
      <c r="S562">
        <v>4</v>
      </c>
      <c r="T562">
        <v>4</v>
      </c>
      <c r="U562" t="s">
        <v>23</v>
      </c>
      <c r="V562">
        <v>4</v>
      </c>
      <c r="W562">
        <f>COUNTIF($A$2:A562,A562)</f>
        <v>1</v>
      </c>
    </row>
    <row r="563" spans="1:23" x14ac:dyDescent="0.35">
      <c r="A563" t="s">
        <v>312</v>
      </c>
      <c r="B563" s="2">
        <v>41970</v>
      </c>
      <c r="D563" t="s">
        <v>23</v>
      </c>
      <c r="E563">
        <v>33</v>
      </c>
      <c r="F563" t="s">
        <v>36</v>
      </c>
      <c r="G563" t="s">
        <v>42</v>
      </c>
      <c r="H563" t="s">
        <v>54</v>
      </c>
      <c r="I563" t="s">
        <v>48</v>
      </c>
      <c r="J563" t="s">
        <v>63</v>
      </c>
      <c r="K563">
        <v>3</v>
      </c>
      <c r="L563" t="s">
        <v>29</v>
      </c>
      <c r="M563">
        <v>71000</v>
      </c>
      <c r="N563">
        <v>7.4</v>
      </c>
      <c r="O563">
        <v>13.8</v>
      </c>
      <c r="P563">
        <v>11.1</v>
      </c>
      <c r="Q563">
        <v>1.3</v>
      </c>
      <c r="R563">
        <v>3</v>
      </c>
      <c r="S563">
        <v>3</v>
      </c>
      <c r="T563">
        <v>4</v>
      </c>
      <c r="U563" t="s">
        <v>23</v>
      </c>
      <c r="V563">
        <v>2</v>
      </c>
      <c r="W563">
        <f>COUNTIF($A$2:A563,A563)</f>
        <v>1</v>
      </c>
    </row>
    <row r="564" spans="1:23" x14ac:dyDescent="0.35">
      <c r="A564" t="s">
        <v>531</v>
      </c>
      <c r="B564" s="2">
        <v>44958</v>
      </c>
      <c r="C564" s="2">
        <v>45961</v>
      </c>
      <c r="D564" t="s">
        <v>30</v>
      </c>
      <c r="E564">
        <v>34</v>
      </c>
      <c r="F564" t="s">
        <v>36</v>
      </c>
      <c r="G564" t="s">
        <v>25</v>
      </c>
      <c r="H564" t="s">
        <v>26</v>
      </c>
      <c r="I564" t="s">
        <v>45</v>
      </c>
      <c r="J564" t="s">
        <v>46</v>
      </c>
      <c r="K564">
        <v>4</v>
      </c>
      <c r="L564" t="s">
        <v>84</v>
      </c>
      <c r="M564">
        <v>109000</v>
      </c>
      <c r="N564">
        <v>16.899999999999999</v>
      </c>
      <c r="O564">
        <v>10.199999999999999</v>
      </c>
      <c r="P564">
        <v>2.7</v>
      </c>
      <c r="Q564">
        <v>2</v>
      </c>
      <c r="R564">
        <v>2</v>
      </c>
      <c r="S564">
        <v>2</v>
      </c>
      <c r="T564">
        <v>3</v>
      </c>
      <c r="U564" t="s">
        <v>30</v>
      </c>
      <c r="V564">
        <v>4</v>
      </c>
      <c r="W564">
        <f>COUNTIF($A$2:A564,A564)</f>
        <v>1</v>
      </c>
    </row>
    <row r="565" spans="1:23" x14ac:dyDescent="0.35">
      <c r="A565" t="s">
        <v>984</v>
      </c>
      <c r="B565" s="2">
        <v>41726</v>
      </c>
      <c r="D565" t="s">
        <v>23</v>
      </c>
      <c r="E565">
        <v>44</v>
      </c>
      <c r="F565" t="s">
        <v>62</v>
      </c>
      <c r="G565" t="s">
        <v>42</v>
      </c>
      <c r="H565" t="s">
        <v>58</v>
      </c>
      <c r="I565" t="s">
        <v>38</v>
      </c>
      <c r="J565" t="s">
        <v>139</v>
      </c>
      <c r="K565">
        <v>4</v>
      </c>
      <c r="L565" t="s">
        <v>40</v>
      </c>
      <c r="M565">
        <v>125000</v>
      </c>
      <c r="N565">
        <v>5.4</v>
      </c>
      <c r="O565">
        <v>18.100000000000001</v>
      </c>
      <c r="P565">
        <v>11.8</v>
      </c>
      <c r="Q565">
        <v>3.1</v>
      </c>
      <c r="R565">
        <v>3</v>
      </c>
      <c r="S565">
        <v>3</v>
      </c>
      <c r="T565">
        <v>2</v>
      </c>
      <c r="U565" t="s">
        <v>23</v>
      </c>
      <c r="V565">
        <v>3</v>
      </c>
      <c r="W565">
        <f>COUNTIF($A$2:A565,A565)</f>
        <v>1</v>
      </c>
    </row>
    <row r="566" spans="1:23" x14ac:dyDescent="0.35">
      <c r="A566" t="s">
        <v>165</v>
      </c>
      <c r="B566" s="2">
        <v>43777</v>
      </c>
      <c r="D566" t="s">
        <v>23</v>
      </c>
      <c r="E566">
        <v>32</v>
      </c>
      <c r="F566" t="s">
        <v>62</v>
      </c>
      <c r="G566" t="s">
        <v>37</v>
      </c>
      <c r="H566" t="s">
        <v>58</v>
      </c>
      <c r="I566" t="s">
        <v>59</v>
      </c>
      <c r="J566" t="s">
        <v>150</v>
      </c>
      <c r="K566">
        <v>4</v>
      </c>
      <c r="L566" t="s">
        <v>29</v>
      </c>
      <c r="M566">
        <v>116000</v>
      </c>
      <c r="N566">
        <v>8.5</v>
      </c>
      <c r="O566">
        <v>11.5</v>
      </c>
      <c r="P566">
        <v>6.1</v>
      </c>
      <c r="Q566">
        <v>4.8</v>
      </c>
      <c r="R566">
        <v>3</v>
      </c>
      <c r="S566">
        <v>3</v>
      </c>
      <c r="T566">
        <v>3</v>
      </c>
      <c r="U566" t="s">
        <v>23</v>
      </c>
      <c r="V566">
        <v>3</v>
      </c>
      <c r="W566">
        <f>COUNTIF($A$2:A566,A566)</f>
        <v>1</v>
      </c>
    </row>
    <row r="567" spans="1:23" x14ac:dyDescent="0.35">
      <c r="A567" t="s">
        <v>1138</v>
      </c>
      <c r="B567" s="2">
        <v>45291</v>
      </c>
      <c r="D567" t="s">
        <v>23</v>
      </c>
      <c r="E567">
        <v>23</v>
      </c>
      <c r="F567" t="s">
        <v>24</v>
      </c>
      <c r="G567" t="s">
        <v>25</v>
      </c>
      <c r="H567" t="s">
        <v>26</v>
      </c>
      <c r="I567" t="s">
        <v>27</v>
      </c>
      <c r="J567" t="s">
        <v>33</v>
      </c>
      <c r="K567">
        <v>1</v>
      </c>
      <c r="L567" t="s">
        <v>40</v>
      </c>
      <c r="M567">
        <v>32000</v>
      </c>
      <c r="N567">
        <v>4</v>
      </c>
      <c r="O567">
        <v>2.5</v>
      </c>
      <c r="P567">
        <v>2</v>
      </c>
      <c r="Q567">
        <v>1.6</v>
      </c>
      <c r="R567">
        <v>3</v>
      </c>
      <c r="S567">
        <v>2</v>
      </c>
      <c r="T567">
        <v>3</v>
      </c>
      <c r="U567" t="s">
        <v>30</v>
      </c>
      <c r="V567">
        <v>4</v>
      </c>
      <c r="W567">
        <f>COUNTIF($A$2:A567,A567)</f>
        <v>1</v>
      </c>
    </row>
    <row r="568" spans="1:23" x14ac:dyDescent="0.35">
      <c r="A568" t="s">
        <v>856</v>
      </c>
      <c r="B568" s="2">
        <v>44635</v>
      </c>
      <c r="D568" t="s">
        <v>23</v>
      </c>
      <c r="E568">
        <v>39</v>
      </c>
      <c r="F568" t="s">
        <v>36</v>
      </c>
      <c r="G568" t="s">
        <v>42</v>
      </c>
      <c r="H568" t="s">
        <v>26</v>
      </c>
      <c r="I568" t="s">
        <v>59</v>
      </c>
      <c r="J568" t="s">
        <v>60</v>
      </c>
      <c r="K568">
        <v>3</v>
      </c>
      <c r="L568" t="s">
        <v>66</v>
      </c>
      <c r="M568">
        <v>71000</v>
      </c>
      <c r="N568">
        <v>0</v>
      </c>
      <c r="O568">
        <v>4</v>
      </c>
      <c r="P568">
        <v>3.8</v>
      </c>
      <c r="Q568">
        <v>1.5</v>
      </c>
      <c r="R568">
        <v>4</v>
      </c>
      <c r="S568">
        <v>3</v>
      </c>
      <c r="T568">
        <v>3</v>
      </c>
      <c r="U568" t="s">
        <v>23</v>
      </c>
      <c r="V568">
        <v>3</v>
      </c>
      <c r="W568">
        <f>COUNTIF($A$2:A568,A568)</f>
        <v>1</v>
      </c>
    </row>
    <row r="569" spans="1:23" x14ac:dyDescent="0.35">
      <c r="A569" t="s">
        <v>564</v>
      </c>
      <c r="B569" s="2">
        <v>41968</v>
      </c>
      <c r="C569" s="2">
        <v>45823</v>
      </c>
      <c r="D569" t="s">
        <v>30</v>
      </c>
      <c r="E569">
        <v>36</v>
      </c>
      <c r="F569" t="s">
        <v>36</v>
      </c>
      <c r="G569" t="s">
        <v>25</v>
      </c>
      <c r="H569" t="s">
        <v>32</v>
      </c>
      <c r="I569" t="s">
        <v>45</v>
      </c>
      <c r="J569" t="s">
        <v>77</v>
      </c>
      <c r="K569">
        <v>2</v>
      </c>
      <c r="L569" t="s">
        <v>66</v>
      </c>
      <c r="M569">
        <v>53000</v>
      </c>
      <c r="N569">
        <v>13.9</v>
      </c>
      <c r="O569">
        <v>16.600000000000001</v>
      </c>
      <c r="P569">
        <v>10.6</v>
      </c>
      <c r="Q569">
        <v>3.5</v>
      </c>
      <c r="R569">
        <v>3</v>
      </c>
      <c r="S569">
        <v>4</v>
      </c>
      <c r="T569">
        <v>4</v>
      </c>
      <c r="U569" t="s">
        <v>23</v>
      </c>
      <c r="V569">
        <v>4</v>
      </c>
      <c r="W569">
        <f>COUNTIF($A$2:A569,A569)</f>
        <v>1</v>
      </c>
    </row>
    <row r="570" spans="1:23" x14ac:dyDescent="0.35">
      <c r="A570" t="s">
        <v>776</v>
      </c>
      <c r="B570" s="2">
        <v>44669</v>
      </c>
      <c r="D570" t="s">
        <v>23</v>
      </c>
      <c r="E570">
        <v>38</v>
      </c>
      <c r="F570" t="s">
        <v>24</v>
      </c>
      <c r="G570" t="s">
        <v>42</v>
      </c>
      <c r="H570" t="s">
        <v>54</v>
      </c>
      <c r="I570" t="s">
        <v>55</v>
      </c>
      <c r="J570" t="s">
        <v>80</v>
      </c>
      <c r="K570">
        <v>3</v>
      </c>
      <c r="L570" t="s">
        <v>29</v>
      </c>
      <c r="M570">
        <v>100000</v>
      </c>
      <c r="N570">
        <v>1.9</v>
      </c>
      <c r="O570">
        <v>9.6</v>
      </c>
      <c r="P570">
        <v>3.7</v>
      </c>
      <c r="Q570">
        <v>0</v>
      </c>
      <c r="R570">
        <v>2</v>
      </c>
      <c r="S570">
        <v>3</v>
      </c>
      <c r="T570">
        <v>3</v>
      </c>
      <c r="U570" t="s">
        <v>30</v>
      </c>
      <c r="V570">
        <v>4</v>
      </c>
      <c r="W570">
        <f>COUNTIF($A$2:A570,A570)</f>
        <v>1</v>
      </c>
    </row>
    <row r="571" spans="1:23" x14ac:dyDescent="0.35">
      <c r="A571" t="s">
        <v>1130</v>
      </c>
      <c r="B571" s="2">
        <v>45608</v>
      </c>
      <c r="C571" s="2">
        <v>45931</v>
      </c>
      <c r="D571" t="s">
        <v>30</v>
      </c>
      <c r="E571">
        <v>29</v>
      </c>
      <c r="F571" t="s">
        <v>24</v>
      </c>
      <c r="G571" t="s">
        <v>37</v>
      </c>
      <c r="H571" t="s">
        <v>32</v>
      </c>
      <c r="I571" t="s">
        <v>59</v>
      </c>
      <c r="J571" t="s">
        <v>86</v>
      </c>
      <c r="K571">
        <v>4</v>
      </c>
      <c r="L571" t="s">
        <v>34</v>
      </c>
      <c r="M571">
        <v>107000</v>
      </c>
      <c r="N571">
        <v>10.4</v>
      </c>
      <c r="O571">
        <v>6.1</v>
      </c>
      <c r="P571">
        <v>0.9</v>
      </c>
      <c r="Q571">
        <v>0</v>
      </c>
      <c r="R571">
        <v>2</v>
      </c>
      <c r="S571">
        <v>4</v>
      </c>
      <c r="T571">
        <v>3</v>
      </c>
      <c r="U571" t="s">
        <v>23</v>
      </c>
      <c r="V571">
        <v>3</v>
      </c>
      <c r="W571">
        <f>COUNTIF($A$2:A571,A571)</f>
        <v>1</v>
      </c>
    </row>
    <row r="572" spans="1:23" x14ac:dyDescent="0.35">
      <c r="A572" t="s">
        <v>486</v>
      </c>
      <c r="B572" s="2">
        <v>43228</v>
      </c>
      <c r="D572" t="s">
        <v>23</v>
      </c>
      <c r="E572">
        <v>28</v>
      </c>
      <c r="F572" t="s">
        <v>36</v>
      </c>
      <c r="G572" t="s">
        <v>25</v>
      </c>
      <c r="H572" t="s">
        <v>54</v>
      </c>
      <c r="I572" t="s">
        <v>48</v>
      </c>
      <c r="J572" t="s">
        <v>129</v>
      </c>
      <c r="K572">
        <v>3</v>
      </c>
      <c r="L572" t="s">
        <v>84</v>
      </c>
      <c r="M572">
        <v>80000</v>
      </c>
      <c r="N572">
        <v>4.7</v>
      </c>
      <c r="O572">
        <v>14</v>
      </c>
      <c r="P572">
        <v>7.6</v>
      </c>
      <c r="Q572">
        <v>4</v>
      </c>
      <c r="R572">
        <v>3</v>
      </c>
      <c r="S572">
        <v>4</v>
      </c>
      <c r="T572">
        <v>4</v>
      </c>
      <c r="U572" t="s">
        <v>23</v>
      </c>
      <c r="V572">
        <v>4</v>
      </c>
      <c r="W572">
        <f>COUNTIF($A$2:A572,A572)</f>
        <v>1</v>
      </c>
    </row>
    <row r="573" spans="1:23" x14ac:dyDescent="0.35">
      <c r="A573" t="s">
        <v>117</v>
      </c>
      <c r="B573" s="2">
        <v>45391</v>
      </c>
      <c r="D573" t="s">
        <v>23</v>
      </c>
      <c r="E573">
        <v>38</v>
      </c>
      <c r="F573" t="s">
        <v>62</v>
      </c>
      <c r="G573" t="s">
        <v>37</v>
      </c>
      <c r="H573" t="s">
        <v>54</v>
      </c>
      <c r="I573" t="s">
        <v>38</v>
      </c>
      <c r="J573" t="s">
        <v>118</v>
      </c>
      <c r="K573">
        <v>2</v>
      </c>
      <c r="L573" t="s">
        <v>34</v>
      </c>
      <c r="M573">
        <v>49000</v>
      </c>
      <c r="N573">
        <v>11.7</v>
      </c>
      <c r="O573">
        <v>6.4</v>
      </c>
      <c r="P573">
        <v>1.7</v>
      </c>
      <c r="Q573">
        <v>1.7</v>
      </c>
      <c r="R573">
        <v>4</v>
      </c>
      <c r="S573">
        <v>3</v>
      </c>
      <c r="T573">
        <v>3</v>
      </c>
      <c r="U573" t="s">
        <v>23</v>
      </c>
      <c r="V573">
        <v>2</v>
      </c>
      <c r="W573">
        <f>COUNTIF($A$2:A573,A573)</f>
        <v>1</v>
      </c>
    </row>
    <row r="574" spans="1:23" x14ac:dyDescent="0.35">
      <c r="A574" t="s">
        <v>646</v>
      </c>
      <c r="B574" s="2">
        <v>45837</v>
      </c>
      <c r="D574" t="s">
        <v>23</v>
      </c>
      <c r="E574">
        <v>21</v>
      </c>
      <c r="F574" t="s">
        <v>62</v>
      </c>
      <c r="G574" t="s">
        <v>25</v>
      </c>
      <c r="H574" t="s">
        <v>54</v>
      </c>
      <c r="I574" t="s">
        <v>45</v>
      </c>
      <c r="J574" t="s">
        <v>46</v>
      </c>
      <c r="K574">
        <v>1</v>
      </c>
      <c r="L574" t="s">
        <v>50</v>
      </c>
      <c r="M574">
        <v>25000</v>
      </c>
      <c r="N574">
        <v>13.8</v>
      </c>
      <c r="O574">
        <v>7.4</v>
      </c>
      <c r="P574">
        <v>0.5</v>
      </c>
      <c r="Q574">
        <v>0</v>
      </c>
      <c r="R574">
        <v>3</v>
      </c>
      <c r="S574">
        <v>3</v>
      </c>
      <c r="T574">
        <v>3</v>
      </c>
      <c r="U574" t="s">
        <v>30</v>
      </c>
      <c r="V574">
        <v>3</v>
      </c>
      <c r="W574">
        <f>COUNTIF($A$2:A574,A574)</f>
        <v>1</v>
      </c>
    </row>
    <row r="575" spans="1:23" x14ac:dyDescent="0.35">
      <c r="A575" t="s">
        <v>733</v>
      </c>
      <c r="B575" s="2">
        <v>45178</v>
      </c>
      <c r="D575" t="s">
        <v>23</v>
      </c>
      <c r="E575">
        <v>30</v>
      </c>
      <c r="F575" t="s">
        <v>62</v>
      </c>
      <c r="G575" t="s">
        <v>37</v>
      </c>
      <c r="H575" t="s">
        <v>32</v>
      </c>
      <c r="I575" t="s">
        <v>27</v>
      </c>
      <c r="J575" t="s">
        <v>43</v>
      </c>
      <c r="K575">
        <v>3</v>
      </c>
      <c r="L575" t="s">
        <v>50</v>
      </c>
      <c r="M575">
        <v>78000</v>
      </c>
      <c r="N575">
        <v>12.1</v>
      </c>
      <c r="O575">
        <v>7.9</v>
      </c>
      <c r="P575">
        <v>2.2999999999999998</v>
      </c>
      <c r="Q575">
        <v>0</v>
      </c>
      <c r="R575">
        <v>2</v>
      </c>
      <c r="S575">
        <v>3</v>
      </c>
      <c r="T575">
        <v>3</v>
      </c>
      <c r="U575" t="s">
        <v>23</v>
      </c>
      <c r="V575">
        <v>1</v>
      </c>
      <c r="W575">
        <f>COUNTIF($A$2:A575,A575)</f>
        <v>1</v>
      </c>
    </row>
    <row r="576" spans="1:23" x14ac:dyDescent="0.35">
      <c r="A576" t="s">
        <v>849</v>
      </c>
      <c r="B576" s="2">
        <v>45802</v>
      </c>
      <c r="D576" t="s">
        <v>23</v>
      </c>
      <c r="E576">
        <v>29</v>
      </c>
      <c r="F576" t="s">
        <v>62</v>
      </c>
      <c r="G576" t="s">
        <v>42</v>
      </c>
      <c r="H576" t="s">
        <v>54</v>
      </c>
      <c r="I576" t="s">
        <v>27</v>
      </c>
      <c r="J576" t="s">
        <v>28</v>
      </c>
      <c r="K576">
        <v>4</v>
      </c>
      <c r="L576" t="s">
        <v>40</v>
      </c>
      <c r="M576">
        <v>119000</v>
      </c>
      <c r="N576">
        <v>16</v>
      </c>
      <c r="O576">
        <v>5</v>
      </c>
      <c r="P576">
        <v>0.6</v>
      </c>
      <c r="Q576">
        <v>0</v>
      </c>
      <c r="R576">
        <v>3</v>
      </c>
      <c r="S576">
        <v>4</v>
      </c>
      <c r="T576">
        <v>1</v>
      </c>
      <c r="U576" t="s">
        <v>23</v>
      </c>
      <c r="V576">
        <v>3</v>
      </c>
      <c r="W576">
        <f>COUNTIF($A$2:A576,A576)</f>
        <v>1</v>
      </c>
    </row>
    <row r="577" spans="1:23" x14ac:dyDescent="0.35">
      <c r="A577" t="s">
        <v>1240</v>
      </c>
      <c r="B577" s="2">
        <v>43679</v>
      </c>
      <c r="D577" t="s">
        <v>23</v>
      </c>
      <c r="E577">
        <v>34</v>
      </c>
      <c r="F577" t="s">
        <v>36</v>
      </c>
      <c r="G577" t="s">
        <v>37</v>
      </c>
      <c r="H577" t="s">
        <v>32</v>
      </c>
      <c r="I577" t="s">
        <v>27</v>
      </c>
      <c r="J577" t="s">
        <v>33</v>
      </c>
      <c r="K577">
        <v>3</v>
      </c>
      <c r="L577" t="s">
        <v>66</v>
      </c>
      <c r="M577">
        <v>66000</v>
      </c>
      <c r="N577">
        <v>5.7</v>
      </c>
      <c r="O577">
        <v>8.1</v>
      </c>
      <c r="P577">
        <v>6.4</v>
      </c>
      <c r="Q577">
        <v>0.6</v>
      </c>
      <c r="R577">
        <v>3</v>
      </c>
      <c r="S577">
        <v>4</v>
      </c>
      <c r="T577">
        <v>2</v>
      </c>
      <c r="U577" t="s">
        <v>23</v>
      </c>
      <c r="V577">
        <v>3</v>
      </c>
      <c r="W577">
        <f>COUNTIF($A$2:A577,A577)</f>
        <v>1</v>
      </c>
    </row>
    <row r="578" spans="1:23" x14ac:dyDescent="0.35">
      <c r="A578" t="s">
        <v>683</v>
      </c>
      <c r="B578" s="2">
        <v>44727</v>
      </c>
      <c r="D578" t="s">
        <v>23</v>
      </c>
      <c r="E578">
        <v>36</v>
      </c>
      <c r="F578" t="s">
        <v>62</v>
      </c>
      <c r="G578" t="s">
        <v>42</v>
      </c>
      <c r="H578" t="s">
        <v>32</v>
      </c>
      <c r="I578" t="s">
        <v>27</v>
      </c>
      <c r="J578" t="s">
        <v>95</v>
      </c>
      <c r="K578">
        <v>3</v>
      </c>
      <c r="L578" t="s">
        <v>66</v>
      </c>
      <c r="M578">
        <v>86000</v>
      </c>
      <c r="N578">
        <v>11.6</v>
      </c>
      <c r="O578">
        <v>5.6</v>
      </c>
      <c r="P578">
        <v>3.5</v>
      </c>
      <c r="Q578">
        <v>2.2999999999999998</v>
      </c>
      <c r="R578">
        <v>3</v>
      </c>
      <c r="S578">
        <v>2</v>
      </c>
      <c r="T578">
        <v>3</v>
      </c>
      <c r="U578" t="s">
        <v>23</v>
      </c>
      <c r="V578">
        <v>5</v>
      </c>
      <c r="W578">
        <f>COUNTIF($A$2:A578,A578)</f>
        <v>1</v>
      </c>
    </row>
    <row r="579" spans="1:23" x14ac:dyDescent="0.35">
      <c r="A579" t="s">
        <v>1239</v>
      </c>
      <c r="B579" s="2">
        <v>44762</v>
      </c>
      <c r="D579" t="s">
        <v>23</v>
      </c>
      <c r="E579">
        <v>40</v>
      </c>
      <c r="F579" t="s">
        <v>36</v>
      </c>
      <c r="G579" t="s">
        <v>42</v>
      </c>
      <c r="H579" t="s">
        <v>54</v>
      </c>
      <c r="I579" t="s">
        <v>55</v>
      </c>
      <c r="J579" t="s">
        <v>56</v>
      </c>
      <c r="K579">
        <v>3</v>
      </c>
      <c r="L579" t="s">
        <v>50</v>
      </c>
      <c r="M579">
        <v>81000</v>
      </c>
      <c r="N579">
        <v>7.5</v>
      </c>
      <c r="O579">
        <v>8</v>
      </c>
      <c r="P579">
        <v>3.4</v>
      </c>
      <c r="Q579">
        <v>2.2000000000000002</v>
      </c>
      <c r="R579">
        <v>3</v>
      </c>
      <c r="S579">
        <v>3</v>
      </c>
      <c r="T579">
        <v>2</v>
      </c>
      <c r="U579" t="s">
        <v>23</v>
      </c>
      <c r="V579">
        <v>4</v>
      </c>
      <c r="W579">
        <f>COUNTIF($A$2:A579,A579)</f>
        <v>1</v>
      </c>
    </row>
    <row r="580" spans="1:23" x14ac:dyDescent="0.35">
      <c r="A580" t="s">
        <v>309</v>
      </c>
      <c r="B580" s="2">
        <v>45380</v>
      </c>
      <c r="C580" s="2">
        <v>45985</v>
      </c>
      <c r="D580" t="s">
        <v>30</v>
      </c>
      <c r="E580">
        <v>47</v>
      </c>
      <c r="F580" t="s">
        <v>36</v>
      </c>
      <c r="G580" t="s">
        <v>37</v>
      </c>
      <c r="H580" t="s">
        <v>26</v>
      </c>
      <c r="I580" t="s">
        <v>27</v>
      </c>
      <c r="J580" t="s">
        <v>95</v>
      </c>
      <c r="K580">
        <v>1</v>
      </c>
      <c r="L580" t="s">
        <v>34</v>
      </c>
      <c r="M580">
        <v>60000</v>
      </c>
      <c r="N580">
        <v>11.4</v>
      </c>
      <c r="O580">
        <v>2.4</v>
      </c>
      <c r="P580">
        <v>1.7</v>
      </c>
      <c r="Q580">
        <v>1.5</v>
      </c>
      <c r="R580">
        <v>3</v>
      </c>
      <c r="S580">
        <v>4</v>
      </c>
      <c r="T580">
        <v>2</v>
      </c>
      <c r="U580" t="s">
        <v>30</v>
      </c>
      <c r="V580">
        <v>4</v>
      </c>
      <c r="W580">
        <f>COUNTIF($A$2:A580,A580)</f>
        <v>1</v>
      </c>
    </row>
    <row r="581" spans="1:23" x14ac:dyDescent="0.35">
      <c r="A581" t="s">
        <v>1054</v>
      </c>
      <c r="B581" s="2">
        <v>42568</v>
      </c>
      <c r="D581" t="s">
        <v>23</v>
      </c>
      <c r="E581">
        <v>37</v>
      </c>
      <c r="F581" t="s">
        <v>36</v>
      </c>
      <c r="G581" t="s">
        <v>25</v>
      </c>
      <c r="H581" t="s">
        <v>58</v>
      </c>
      <c r="I581" t="s">
        <v>55</v>
      </c>
      <c r="J581" t="s">
        <v>80</v>
      </c>
      <c r="K581">
        <v>5</v>
      </c>
      <c r="L581" t="s">
        <v>66</v>
      </c>
      <c r="M581">
        <v>187000</v>
      </c>
      <c r="N581">
        <v>7.7</v>
      </c>
      <c r="O581">
        <v>14.2</v>
      </c>
      <c r="P581">
        <v>9.5</v>
      </c>
      <c r="Q581">
        <v>4.8</v>
      </c>
      <c r="R581">
        <v>3</v>
      </c>
      <c r="S581">
        <v>2</v>
      </c>
      <c r="T581">
        <v>3</v>
      </c>
      <c r="U581" t="s">
        <v>30</v>
      </c>
      <c r="V581">
        <v>4</v>
      </c>
      <c r="W581">
        <f>COUNTIF($A$2:A581,A581)</f>
        <v>1</v>
      </c>
    </row>
    <row r="582" spans="1:23" x14ac:dyDescent="0.35">
      <c r="A582" t="s">
        <v>460</v>
      </c>
      <c r="B582" s="2">
        <v>41868</v>
      </c>
      <c r="D582" t="s">
        <v>23</v>
      </c>
      <c r="E582">
        <v>35</v>
      </c>
      <c r="F582" t="s">
        <v>24</v>
      </c>
      <c r="G582" t="s">
        <v>42</v>
      </c>
      <c r="H582" t="s">
        <v>26</v>
      </c>
      <c r="I582" t="s">
        <v>38</v>
      </c>
      <c r="J582" t="s">
        <v>118</v>
      </c>
      <c r="K582">
        <v>2</v>
      </c>
      <c r="L582" t="s">
        <v>29</v>
      </c>
      <c r="M582">
        <v>64000</v>
      </c>
      <c r="N582">
        <v>11.7</v>
      </c>
      <c r="O582">
        <v>19.100000000000001</v>
      </c>
      <c r="P582">
        <v>11.4</v>
      </c>
      <c r="Q582">
        <v>3.2</v>
      </c>
      <c r="R582">
        <v>3</v>
      </c>
      <c r="S582">
        <v>3</v>
      </c>
      <c r="T582">
        <v>4</v>
      </c>
      <c r="U582" t="s">
        <v>23</v>
      </c>
      <c r="V582">
        <v>3</v>
      </c>
      <c r="W582">
        <f>COUNTIF($A$2:A582,A582)</f>
        <v>1</v>
      </c>
    </row>
    <row r="583" spans="1:23" x14ac:dyDescent="0.35">
      <c r="A583" t="s">
        <v>522</v>
      </c>
      <c r="B583" s="2">
        <v>45303</v>
      </c>
      <c r="D583" t="s">
        <v>23</v>
      </c>
      <c r="E583">
        <v>39</v>
      </c>
      <c r="F583" t="s">
        <v>36</v>
      </c>
      <c r="G583" t="s">
        <v>37</v>
      </c>
      <c r="H583" t="s">
        <v>54</v>
      </c>
      <c r="I583" t="s">
        <v>27</v>
      </c>
      <c r="J583" t="s">
        <v>95</v>
      </c>
      <c r="K583">
        <v>3</v>
      </c>
      <c r="L583" t="s">
        <v>84</v>
      </c>
      <c r="M583">
        <v>68000</v>
      </c>
      <c r="N583">
        <v>6.8</v>
      </c>
      <c r="O583">
        <v>7.1</v>
      </c>
      <c r="P583">
        <v>2</v>
      </c>
      <c r="Q583">
        <v>0.7</v>
      </c>
      <c r="R583">
        <v>3</v>
      </c>
      <c r="S583">
        <v>4</v>
      </c>
      <c r="T583">
        <v>3</v>
      </c>
      <c r="U583" t="s">
        <v>23</v>
      </c>
      <c r="V583">
        <v>3</v>
      </c>
      <c r="W583">
        <f>COUNTIF($A$2:A583,A583)</f>
        <v>1</v>
      </c>
    </row>
    <row r="584" spans="1:23" x14ac:dyDescent="0.35">
      <c r="A584" t="s">
        <v>422</v>
      </c>
      <c r="B584" s="2">
        <v>44734</v>
      </c>
      <c r="D584" t="s">
        <v>23</v>
      </c>
      <c r="E584">
        <v>36</v>
      </c>
      <c r="F584" t="s">
        <v>36</v>
      </c>
      <c r="G584" t="s">
        <v>37</v>
      </c>
      <c r="H584" t="s">
        <v>26</v>
      </c>
      <c r="I584" t="s">
        <v>59</v>
      </c>
      <c r="J584" t="s">
        <v>60</v>
      </c>
      <c r="K584">
        <v>3</v>
      </c>
      <c r="L584" t="s">
        <v>50</v>
      </c>
      <c r="M584">
        <v>82000</v>
      </c>
      <c r="N584">
        <v>10.8</v>
      </c>
      <c r="O584">
        <v>10</v>
      </c>
      <c r="P584">
        <v>3.5</v>
      </c>
      <c r="Q584">
        <v>1.1000000000000001</v>
      </c>
      <c r="R584">
        <v>4</v>
      </c>
      <c r="S584">
        <v>4</v>
      </c>
      <c r="T584">
        <v>4</v>
      </c>
      <c r="U584" t="s">
        <v>23</v>
      </c>
      <c r="V584">
        <v>3</v>
      </c>
      <c r="W584">
        <f>COUNTIF($A$2:A584,A584)</f>
        <v>1</v>
      </c>
    </row>
    <row r="585" spans="1:23" x14ac:dyDescent="0.35">
      <c r="A585" t="s">
        <v>206</v>
      </c>
      <c r="B585" s="2">
        <v>45207</v>
      </c>
      <c r="D585" t="s">
        <v>23</v>
      </c>
      <c r="E585">
        <v>33</v>
      </c>
      <c r="F585" t="s">
        <v>62</v>
      </c>
      <c r="G585" t="s">
        <v>37</v>
      </c>
      <c r="H585" t="s">
        <v>54</v>
      </c>
      <c r="I585" t="s">
        <v>45</v>
      </c>
      <c r="J585" t="s">
        <v>97</v>
      </c>
      <c r="K585">
        <v>4</v>
      </c>
      <c r="L585" t="s">
        <v>34</v>
      </c>
      <c r="M585">
        <v>110000</v>
      </c>
      <c r="N585">
        <v>4.5999999999999996</v>
      </c>
      <c r="O585">
        <v>6.2</v>
      </c>
      <c r="P585">
        <v>2.2000000000000002</v>
      </c>
      <c r="Q585">
        <v>1.9</v>
      </c>
      <c r="R585">
        <v>4</v>
      </c>
      <c r="S585">
        <v>4</v>
      </c>
      <c r="T585">
        <v>3</v>
      </c>
      <c r="U585" t="s">
        <v>30</v>
      </c>
      <c r="V585">
        <v>3</v>
      </c>
      <c r="W585">
        <f>COUNTIF($A$2:A585,A585)</f>
        <v>1</v>
      </c>
    </row>
    <row r="586" spans="1:23" x14ac:dyDescent="0.35">
      <c r="A586" t="s">
        <v>928</v>
      </c>
      <c r="B586" s="2">
        <v>43279</v>
      </c>
      <c r="D586" t="s">
        <v>23</v>
      </c>
      <c r="E586">
        <v>38</v>
      </c>
      <c r="F586" t="s">
        <v>62</v>
      </c>
      <c r="G586" t="s">
        <v>25</v>
      </c>
      <c r="H586" t="s">
        <v>26</v>
      </c>
      <c r="I586" t="s">
        <v>27</v>
      </c>
      <c r="J586" t="s">
        <v>43</v>
      </c>
      <c r="K586">
        <v>2</v>
      </c>
      <c r="L586" t="s">
        <v>66</v>
      </c>
      <c r="M586">
        <v>58000</v>
      </c>
      <c r="N586">
        <v>7.8</v>
      </c>
      <c r="O586">
        <v>13.1</v>
      </c>
      <c r="P586">
        <v>7.5</v>
      </c>
      <c r="Q586">
        <v>4.5</v>
      </c>
      <c r="R586">
        <v>4</v>
      </c>
      <c r="S586">
        <v>2</v>
      </c>
      <c r="T586">
        <v>3</v>
      </c>
      <c r="U586" t="s">
        <v>23</v>
      </c>
      <c r="V586">
        <v>5</v>
      </c>
      <c r="W586">
        <f>COUNTIF($A$2:A586,A586)</f>
        <v>1</v>
      </c>
    </row>
    <row r="587" spans="1:23" x14ac:dyDescent="0.35">
      <c r="A587" t="s">
        <v>888</v>
      </c>
      <c r="B587" s="2">
        <v>45494</v>
      </c>
      <c r="C587" s="2">
        <v>45696</v>
      </c>
      <c r="D587" t="s">
        <v>30</v>
      </c>
      <c r="E587">
        <v>22</v>
      </c>
      <c r="F587" t="s">
        <v>24</v>
      </c>
      <c r="G587" t="s">
        <v>42</v>
      </c>
      <c r="H587" t="s">
        <v>26</v>
      </c>
      <c r="I587" t="s">
        <v>48</v>
      </c>
      <c r="J587" t="s">
        <v>49</v>
      </c>
      <c r="K587">
        <v>1</v>
      </c>
      <c r="L587" t="s">
        <v>84</v>
      </c>
      <c r="M587">
        <v>32000</v>
      </c>
      <c r="N587">
        <v>12.6</v>
      </c>
      <c r="O587">
        <v>3.5</v>
      </c>
      <c r="P587">
        <v>0.6</v>
      </c>
      <c r="Q587">
        <v>0</v>
      </c>
      <c r="R587">
        <v>3</v>
      </c>
      <c r="S587">
        <v>3</v>
      </c>
      <c r="T587">
        <v>1</v>
      </c>
      <c r="U587" t="s">
        <v>23</v>
      </c>
      <c r="V587">
        <v>3</v>
      </c>
      <c r="W587">
        <f>COUNTIF($A$2:A587,A587)</f>
        <v>1</v>
      </c>
    </row>
    <row r="588" spans="1:23" x14ac:dyDescent="0.35">
      <c r="A588" t="s">
        <v>1088</v>
      </c>
      <c r="B588" s="2">
        <v>42277</v>
      </c>
      <c r="D588" t="s">
        <v>23</v>
      </c>
      <c r="E588">
        <v>37</v>
      </c>
      <c r="F588" t="s">
        <v>62</v>
      </c>
      <c r="G588" t="s">
        <v>25</v>
      </c>
      <c r="H588" t="s">
        <v>26</v>
      </c>
      <c r="I588" t="s">
        <v>45</v>
      </c>
      <c r="J588" t="s">
        <v>97</v>
      </c>
      <c r="K588">
        <v>4</v>
      </c>
      <c r="L588" t="s">
        <v>34</v>
      </c>
      <c r="M588">
        <v>104000</v>
      </c>
      <c r="N588">
        <v>9</v>
      </c>
      <c r="O588">
        <v>12.4</v>
      </c>
      <c r="P588">
        <v>10.3</v>
      </c>
      <c r="Q588">
        <v>0</v>
      </c>
      <c r="R588">
        <v>3</v>
      </c>
      <c r="S588">
        <v>3</v>
      </c>
      <c r="T588">
        <v>3</v>
      </c>
      <c r="U588" t="s">
        <v>23</v>
      </c>
      <c r="V588">
        <v>5</v>
      </c>
      <c r="W588">
        <f>COUNTIF($A$2:A588,A588)</f>
        <v>1</v>
      </c>
    </row>
    <row r="589" spans="1:23" x14ac:dyDescent="0.35">
      <c r="A589" t="s">
        <v>31</v>
      </c>
      <c r="B589" s="2">
        <v>45888</v>
      </c>
      <c r="C589" s="2">
        <v>45992</v>
      </c>
      <c r="D589" t="s">
        <v>30</v>
      </c>
      <c r="E589">
        <v>38</v>
      </c>
      <c r="F589" t="s">
        <v>24</v>
      </c>
      <c r="G589" t="s">
        <v>25</v>
      </c>
      <c r="H589" t="s">
        <v>32</v>
      </c>
      <c r="I589" t="s">
        <v>27</v>
      </c>
      <c r="J589" t="s">
        <v>33</v>
      </c>
      <c r="K589">
        <v>1</v>
      </c>
      <c r="L589" t="s">
        <v>34</v>
      </c>
      <c r="M589">
        <v>36000</v>
      </c>
      <c r="N589">
        <v>11</v>
      </c>
      <c r="O589">
        <v>7.4</v>
      </c>
      <c r="P589">
        <v>0.3</v>
      </c>
      <c r="Q589">
        <v>0</v>
      </c>
      <c r="R589">
        <v>3</v>
      </c>
      <c r="S589">
        <v>3</v>
      </c>
      <c r="T589">
        <v>2</v>
      </c>
      <c r="U589" t="s">
        <v>23</v>
      </c>
      <c r="V589">
        <v>3</v>
      </c>
      <c r="W589">
        <f>COUNTIF($A$2:A589,A589)</f>
        <v>1</v>
      </c>
    </row>
    <row r="590" spans="1:23" x14ac:dyDescent="0.35">
      <c r="A590" t="s">
        <v>500</v>
      </c>
      <c r="B590" s="2">
        <v>45911</v>
      </c>
      <c r="D590" t="s">
        <v>23</v>
      </c>
      <c r="E590">
        <v>21</v>
      </c>
      <c r="F590" t="s">
        <v>36</v>
      </c>
      <c r="G590" t="s">
        <v>25</v>
      </c>
      <c r="H590" t="s">
        <v>54</v>
      </c>
      <c r="I590" t="s">
        <v>38</v>
      </c>
      <c r="J590" t="s">
        <v>52</v>
      </c>
      <c r="K590">
        <v>1</v>
      </c>
      <c r="M590">
        <v>48000</v>
      </c>
      <c r="N590">
        <v>7.1</v>
      </c>
      <c r="O590">
        <v>3.3</v>
      </c>
      <c r="P590">
        <v>0.3</v>
      </c>
      <c r="Q590">
        <v>0</v>
      </c>
      <c r="R590">
        <v>3</v>
      </c>
      <c r="S590">
        <v>4</v>
      </c>
      <c r="T590">
        <v>3</v>
      </c>
      <c r="U590" t="s">
        <v>23</v>
      </c>
      <c r="V590">
        <v>3</v>
      </c>
      <c r="W590">
        <f>COUNTIF($A$2:A590,A590)</f>
        <v>1</v>
      </c>
    </row>
    <row r="591" spans="1:23" x14ac:dyDescent="0.35">
      <c r="A591" t="s">
        <v>308</v>
      </c>
      <c r="B591" s="2">
        <v>45888</v>
      </c>
      <c r="C591" s="2">
        <v>45984</v>
      </c>
      <c r="D591" t="s">
        <v>30</v>
      </c>
      <c r="E591">
        <v>38</v>
      </c>
      <c r="F591" t="s">
        <v>24</v>
      </c>
      <c r="G591" t="s">
        <v>42</v>
      </c>
      <c r="H591" t="s">
        <v>58</v>
      </c>
      <c r="I591" t="s">
        <v>55</v>
      </c>
      <c r="J591" t="s">
        <v>88</v>
      </c>
      <c r="K591">
        <v>3</v>
      </c>
      <c r="L591" t="s">
        <v>50</v>
      </c>
      <c r="M591">
        <v>86000</v>
      </c>
      <c r="N591">
        <v>13.2</v>
      </c>
      <c r="O591">
        <v>0.6</v>
      </c>
      <c r="P591">
        <v>0.3</v>
      </c>
      <c r="Q591">
        <v>0</v>
      </c>
      <c r="R591">
        <v>3</v>
      </c>
      <c r="S591">
        <v>4</v>
      </c>
      <c r="T591">
        <v>4</v>
      </c>
      <c r="U591" t="s">
        <v>23</v>
      </c>
      <c r="V591">
        <v>2</v>
      </c>
      <c r="W591">
        <f>COUNTIF($A$2:A591,A591)</f>
        <v>1</v>
      </c>
    </row>
    <row r="592" spans="1:23" x14ac:dyDescent="0.35">
      <c r="A592" t="s">
        <v>871</v>
      </c>
      <c r="B592" s="2">
        <v>42495</v>
      </c>
      <c r="D592" t="s">
        <v>23</v>
      </c>
      <c r="E592">
        <v>38</v>
      </c>
      <c r="F592" t="s">
        <v>24</v>
      </c>
      <c r="G592" t="s">
        <v>37</v>
      </c>
      <c r="H592" t="s">
        <v>26</v>
      </c>
      <c r="I592" t="s">
        <v>48</v>
      </c>
      <c r="J592" t="s">
        <v>201</v>
      </c>
      <c r="K592">
        <v>3</v>
      </c>
      <c r="L592" t="s">
        <v>40</v>
      </c>
      <c r="M592">
        <v>68000</v>
      </c>
      <c r="N592">
        <v>13.8</v>
      </c>
      <c r="O592">
        <v>16.7</v>
      </c>
      <c r="P592">
        <v>9.6999999999999993</v>
      </c>
      <c r="Q592">
        <v>3</v>
      </c>
      <c r="R592">
        <v>3</v>
      </c>
      <c r="S592">
        <v>4</v>
      </c>
      <c r="T592">
        <v>4</v>
      </c>
      <c r="U592" t="s">
        <v>23</v>
      </c>
      <c r="V592">
        <v>3</v>
      </c>
      <c r="W592">
        <f>COUNTIF($A$2:A592,A592)</f>
        <v>1</v>
      </c>
    </row>
    <row r="593" spans="1:23" x14ac:dyDescent="0.35">
      <c r="A593" t="s">
        <v>1464</v>
      </c>
      <c r="B593" s="2">
        <v>43194</v>
      </c>
      <c r="D593" t="s">
        <v>23</v>
      </c>
      <c r="E593">
        <v>30</v>
      </c>
      <c r="F593" t="s">
        <v>36</v>
      </c>
      <c r="G593" t="s">
        <v>37</v>
      </c>
      <c r="H593" t="s">
        <v>32</v>
      </c>
      <c r="I593" t="s">
        <v>55</v>
      </c>
      <c r="J593" t="s">
        <v>88</v>
      </c>
      <c r="K593">
        <v>3</v>
      </c>
      <c r="L593" t="s">
        <v>29</v>
      </c>
      <c r="M593">
        <v>91000</v>
      </c>
      <c r="N593">
        <v>1.9</v>
      </c>
      <c r="O593">
        <v>15.6</v>
      </c>
      <c r="P593">
        <v>7.7</v>
      </c>
      <c r="Q593">
        <v>4.4000000000000004</v>
      </c>
      <c r="R593">
        <v>3</v>
      </c>
      <c r="S593">
        <v>3</v>
      </c>
      <c r="T593">
        <v>3</v>
      </c>
      <c r="U593" t="s">
        <v>30</v>
      </c>
      <c r="V593">
        <v>3</v>
      </c>
      <c r="W593">
        <f>COUNTIF($A$2:A593,A593)</f>
        <v>1</v>
      </c>
    </row>
    <row r="594" spans="1:23" x14ac:dyDescent="0.35">
      <c r="A594" t="s">
        <v>698</v>
      </c>
      <c r="B594" s="2">
        <v>45394</v>
      </c>
      <c r="D594" t="s">
        <v>23</v>
      </c>
      <c r="E594">
        <v>26</v>
      </c>
      <c r="F594" t="s">
        <v>62</v>
      </c>
      <c r="G594" t="s">
        <v>25</v>
      </c>
      <c r="H594" t="s">
        <v>32</v>
      </c>
      <c r="I594" t="s">
        <v>27</v>
      </c>
      <c r="J594" t="s">
        <v>95</v>
      </c>
      <c r="K594">
        <v>1</v>
      </c>
      <c r="L594" t="s">
        <v>40</v>
      </c>
      <c r="M594">
        <v>22000</v>
      </c>
      <c r="N594">
        <v>2.9</v>
      </c>
      <c r="O594">
        <v>3.7</v>
      </c>
      <c r="P594">
        <v>1.7</v>
      </c>
      <c r="Q594">
        <v>1.4</v>
      </c>
      <c r="R594">
        <v>4</v>
      </c>
      <c r="S594">
        <v>2</v>
      </c>
      <c r="T594">
        <v>3</v>
      </c>
      <c r="U594" t="s">
        <v>23</v>
      </c>
      <c r="V594">
        <v>4</v>
      </c>
      <c r="W594">
        <f>COUNTIF($A$2:A594,A594)</f>
        <v>1</v>
      </c>
    </row>
    <row r="595" spans="1:23" x14ac:dyDescent="0.35">
      <c r="A595" t="s">
        <v>1567</v>
      </c>
      <c r="B595" s="2">
        <v>45493</v>
      </c>
      <c r="D595" t="s">
        <v>23</v>
      </c>
      <c r="E595">
        <v>29</v>
      </c>
      <c r="F595" t="s">
        <v>36</v>
      </c>
      <c r="G595" t="s">
        <v>25</v>
      </c>
      <c r="H595" t="s">
        <v>32</v>
      </c>
      <c r="I595" t="s">
        <v>59</v>
      </c>
      <c r="J595" t="s">
        <v>86</v>
      </c>
      <c r="K595">
        <v>2</v>
      </c>
      <c r="L595" t="s">
        <v>40</v>
      </c>
      <c r="M595">
        <v>66000</v>
      </c>
      <c r="N595">
        <v>6.9</v>
      </c>
      <c r="O595">
        <v>4.9000000000000004</v>
      </c>
      <c r="P595">
        <v>1.4</v>
      </c>
      <c r="Q595">
        <v>0.9</v>
      </c>
      <c r="R595">
        <v>4</v>
      </c>
      <c r="S595">
        <v>2</v>
      </c>
      <c r="T595">
        <v>1</v>
      </c>
      <c r="U595" t="s">
        <v>30</v>
      </c>
      <c r="V595">
        <v>3</v>
      </c>
      <c r="W595">
        <f>COUNTIF($A$2:A595,A595)</f>
        <v>1</v>
      </c>
    </row>
    <row r="596" spans="1:23" x14ac:dyDescent="0.35">
      <c r="A596" t="s">
        <v>1234</v>
      </c>
      <c r="B596" s="2">
        <v>45090</v>
      </c>
      <c r="D596" t="s">
        <v>23</v>
      </c>
      <c r="E596">
        <v>25</v>
      </c>
      <c r="F596" t="s">
        <v>24</v>
      </c>
      <c r="G596" t="s">
        <v>37</v>
      </c>
      <c r="H596" t="s">
        <v>26</v>
      </c>
      <c r="I596" t="s">
        <v>68</v>
      </c>
      <c r="J596" t="s">
        <v>121</v>
      </c>
      <c r="K596">
        <v>1</v>
      </c>
      <c r="L596" t="s">
        <v>50</v>
      </c>
      <c r="M596">
        <v>45000</v>
      </c>
      <c r="N596">
        <v>8.4</v>
      </c>
      <c r="O596">
        <v>4.7</v>
      </c>
      <c r="P596">
        <v>2.6</v>
      </c>
      <c r="Q596">
        <v>0.7</v>
      </c>
      <c r="R596">
        <v>3</v>
      </c>
      <c r="S596">
        <v>3</v>
      </c>
      <c r="T596">
        <v>3</v>
      </c>
      <c r="U596" t="s">
        <v>23</v>
      </c>
      <c r="V596">
        <v>3</v>
      </c>
      <c r="W596">
        <f>COUNTIF($A$2:A596,A596)</f>
        <v>1</v>
      </c>
    </row>
    <row r="597" spans="1:23" x14ac:dyDescent="0.35">
      <c r="A597" t="s">
        <v>739</v>
      </c>
      <c r="B597" s="2">
        <v>43896</v>
      </c>
      <c r="D597" t="s">
        <v>23</v>
      </c>
      <c r="E597">
        <v>34</v>
      </c>
      <c r="F597" t="s">
        <v>62</v>
      </c>
      <c r="G597" t="s">
        <v>37</v>
      </c>
      <c r="H597" t="s">
        <v>58</v>
      </c>
      <c r="I597" t="s">
        <v>38</v>
      </c>
      <c r="J597" t="s">
        <v>39</v>
      </c>
      <c r="K597">
        <v>2</v>
      </c>
      <c r="L597" t="s">
        <v>84</v>
      </c>
      <c r="M597">
        <v>64000</v>
      </c>
      <c r="N597">
        <v>13.5</v>
      </c>
      <c r="O597">
        <v>13.4</v>
      </c>
      <c r="P597">
        <v>5.8</v>
      </c>
      <c r="Q597">
        <v>2.1</v>
      </c>
      <c r="R597">
        <v>2</v>
      </c>
      <c r="S597">
        <v>3</v>
      </c>
      <c r="T597">
        <v>2</v>
      </c>
      <c r="U597" t="s">
        <v>23</v>
      </c>
      <c r="V597">
        <v>1</v>
      </c>
      <c r="W597">
        <f>COUNTIF($A$2:A597,A597)</f>
        <v>1</v>
      </c>
    </row>
    <row r="598" spans="1:23" x14ac:dyDescent="0.35">
      <c r="A598" t="s">
        <v>513</v>
      </c>
      <c r="B598" s="2">
        <v>43826</v>
      </c>
      <c r="D598" t="s">
        <v>23</v>
      </c>
      <c r="E598">
        <v>30</v>
      </c>
      <c r="F598" t="s">
        <v>24</v>
      </c>
      <c r="G598" t="s">
        <v>25</v>
      </c>
      <c r="H598" t="s">
        <v>32</v>
      </c>
      <c r="I598" t="s">
        <v>45</v>
      </c>
      <c r="J598" t="s">
        <v>77</v>
      </c>
      <c r="K598">
        <v>3</v>
      </c>
      <c r="L598" t="s">
        <v>40</v>
      </c>
      <c r="M598">
        <v>60000</v>
      </c>
      <c r="N598">
        <v>7.3</v>
      </c>
      <c r="O598">
        <v>10.7</v>
      </c>
      <c r="P598">
        <v>6</v>
      </c>
      <c r="Q598">
        <v>0.5</v>
      </c>
      <c r="R598">
        <v>2</v>
      </c>
      <c r="S598">
        <v>2</v>
      </c>
      <c r="T598">
        <v>3</v>
      </c>
      <c r="U598" t="s">
        <v>23</v>
      </c>
      <c r="V598">
        <v>4</v>
      </c>
      <c r="W598">
        <f>COUNTIF($A$2:A598,A598)</f>
        <v>1</v>
      </c>
    </row>
    <row r="599" spans="1:23" x14ac:dyDescent="0.35">
      <c r="A599" t="s">
        <v>1093</v>
      </c>
      <c r="B599" s="2">
        <v>43986</v>
      </c>
      <c r="D599" t="s">
        <v>23</v>
      </c>
      <c r="E599">
        <v>26</v>
      </c>
      <c r="F599" t="s">
        <v>24</v>
      </c>
      <c r="G599" t="s">
        <v>42</v>
      </c>
      <c r="H599" t="s">
        <v>58</v>
      </c>
      <c r="I599" t="s">
        <v>45</v>
      </c>
      <c r="J599" t="s">
        <v>46</v>
      </c>
      <c r="K599">
        <v>1</v>
      </c>
      <c r="L599" t="s">
        <v>66</v>
      </c>
      <c r="M599">
        <v>23000</v>
      </c>
      <c r="N599">
        <v>10.4</v>
      </c>
      <c r="O599">
        <v>11.4</v>
      </c>
      <c r="P599">
        <v>5.6</v>
      </c>
      <c r="Q599">
        <v>5.5</v>
      </c>
      <c r="R599">
        <v>3</v>
      </c>
      <c r="S599">
        <v>2</v>
      </c>
      <c r="T599">
        <v>3</v>
      </c>
      <c r="U599" t="s">
        <v>30</v>
      </c>
      <c r="V599">
        <v>1</v>
      </c>
      <c r="W599">
        <f>COUNTIF($A$2:A599,A599)</f>
        <v>1</v>
      </c>
    </row>
    <row r="600" spans="1:23" x14ac:dyDescent="0.35">
      <c r="A600" t="s">
        <v>91</v>
      </c>
      <c r="B600" s="2">
        <v>42847</v>
      </c>
      <c r="D600" t="s">
        <v>23</v>
      </c>
      <c r="E600">
        <v>33</v>
      </c>
      <c r="F600" t="s">
        <v>24</v>
      </c>
      <c r="G600" t="s">
        <v>42</v>
      </c>
      <c r="H600" t="s">
        <v>26</v>
      </c>
      <c r="I600" t="s">
        <v>68</v>
      </c>
      <c r="J600" t="s">
        <v>69</v>
      </c>
      <c r="K600">
        <v>2</v>
      </c>
      <c r="L600" t="s">
        <v>66</v>
      </c>
      <c r="M600">
        <v>46000</v>
      </c>
      <c r="N600">
        <v>8.1</v>
      </c>
      <c r="O600">
        <v>16.100000000000001</v>
      </c>
      <c r="P600">
        <v>8.6999999999999993</v>
      </c>
      <c r="Q600">
        <v>3</v>
      </c>
      <c r="R600">
        <v>1</v>
      </c>
      <c r="S600">
        <v>1</v>
      </c>
      <c r="T600">
        <v>3</v>
      </c>
      <c r="U600" t="s">
        <v>23</v>
      </c>
      <c r="V600">
        <v>4</v>
      </c>
      <c r="W600">
        <f>COUNTIF($A$2:A600,A600)</f>
        <v>1</v>
      </c>
    </row>
    <row r="601" spans="1:23" x14ac:dyDescent="0.35">
      <c r="A601" t="s">
        <v>332</v>
      </c>
      <c r="B601" s="2">
        <v>44214</v>
      </c>
      <c r="D601" t="s">
        <v>23</v>
      </c>
      <c r="E601">
        <v>39</v>
      </c>
      <c r="F601" t="s">
        <v>36</v>
      </c>
      <c r="G601" t="s">
        <v>37</v>
      </c>
      <c r="H601" t="s">
        <v>32</v>
      </c>
      <c r="I601" t="s">
        <v>38</v>
      </c>
      <c r="J601" t="s">
        <v>139</v>
      </c>
      <c r="K601">
        <v>3</v>
      </c>
      <c r="L601" t="s">
        <v>50</v>
      </c>
      <c r="M601">
        <v>96000</v>
      </c>
      <c r="N601">
        <v>1.6</v>
      </c>
      <c r="O601">
        <v>6.3</v>
      </c>
      <c r="P601">
        <v>5</v>
      </c>
      <c r="Q601">
        <v>3.8</v>
      </c>
      <c r="R601">
        <v>4</v>
      </c>
      <c r="T601">
        <v>4</v>
      </c>
      <c r="U601" t="s">
        <v>23</v>
      </c>
      <c r="V601">
        <v>3</v>
      </c>
      <c r="W601">
        <f>COUNTIF($A$2:A601,A601)</f>
        <v>1</v>
      </c>
    </row>
    <row r="602" spans="1:23" x14ac:dyDescent="0.35">
      <c r="A602" t="s">
        <v>420</v>
      </c>
      <c r="B602" s="2">
        <v>45329</v>
      </c>
      <c r="D602" t="s">
        <v>23</v>
      </c>
      <c r="E602">
        <v>23</v>
      </c>
      <c r="F602" t="s">
        <v>36</v>
      </c>
      <c r="G602" t="s">
        <v>25</v>
      </c>
      <c r="H602" t="s">
        <v>26</v>
      </c>
      <c r="I602" t="s">
        <v>55</v>
      </c>
      <c r="J602" t="s">
        <v>179</v>
      </c>
      <c r="K602">
        <v>1</v>
      </c>
      <c r="L602" t="s">
        <v>40</v>
      </c>
      <c r="M602">
        <v>33000</v>
      </c>
      <c r="N602">
        <v>8.6999999999999993</v>
      </c>
      <c r="O602">
        <v>5.9</v>
      </c>
      <c r="P602">
        <v>1.9</v>
      </c>
      <c r="Q602">
        <v>1.4</v>
      </c>
      <c r="R602">
        <v>4</v>
      </c>
      <c r="S602">
        <v>3</v>
      </c>
      <c r="T602">
        <v>4</v>
      </c>
      <c r="U602" t="s">
        <v>30</v>
      </c>
      <c r="V602">
        <v>3</v>
      </c>
      <c r="W602">
        <f>COUNTIF($A$2:A602,A602)</f>
        <v>1</v>
      </c>
    </row>
    <row r="603" spans="1:23" x14ac:dyDescent="0.35">
      <c r="A603" t="s">
        <v>1354</v>
      </c>
      <c r="B603" s="2">
        <v>44607</v>
      </c>
      <c r="D603" t="s">
        <v>23</v>
      </c>
      <c r="E603">
        <v>27</v>
      </c>
      <c r="F603" t="s">
        <v>24</v>
      </c>
      <c r="G603" t="s">
        <v>25</v>
      </c>
      <c r="H603" t="s">
        <v>26</v>
      </c>
      <c r="I603" t="s">
        <v>55</v>
      </c>
      <c r="J603" t="s">
        <v>56</v>
      </c>
      <c r="K603">
        <v>1</v>
      </c>
      <c r="L603" t="s">
        <v>50</v>
      </c>
      <c r="M603">
        <v>30000</v>
      </c>
      <c r="N603">
        <v>9.8000000000000007</v>
      </c>
      <c r="O603">
        <v>6.1</v>
      </c>
      <c r="P603">
        <v>3.9</v>
      </c>
      <c r="Q603">
        <v>0.5</v>
      </c>
      <c r="R603">
        <v>3</v>
      </c>
      <c r="S603">
        <v>4</v>
      </c>
      <c r="T603">
        <v>1</v>
      </c>
      <c r="U603" t="s">
        <v>23</v>
      </c>
      <c r="V603">
        <v>5</v>
      </c>
      <c r="W603">
        <f>COUNTIF($A$2:A603,A603)</f>
        <v>1</v>
      </c>
    </row>
    <row r="604" spans="1:23" x14ac:dyDescent="0.35">
      <c r="A604" t="s">
        <v>526</v>
      </c>
      <c r="B604" s="2">
        <v>43179</v>
      </c>
      <c r="D604" t="s">
        <v>23</v>
      </c>
      <c r="E604">
        <v>28</v>
      </c>
      <c r="F604" t="s">
        <v>62</v>
      </c>
      <c r="G604" t="s">
        <v>37</v>
      </c>
      <c r="H604" t="s">
        <v>58</v>
      </c>
      <c r="I604" t="s">
        <v>45</v>
      </c>
      <c r="J604" t="s">
        <v>77</v>
      </c>
      <c r="K604">
        <v>3</v>
      </c>
      <c r="L604" t="s">
        <v>40</v>
      </c>
      <c r="M604">
        <v>74000</v>
      </c>
      <c r="N604">
        <v>6.8</v>
      </c>
      <c r="O604">
        <v>9.9</v>
      </c>
      <c r="P604">
        <v>7.8</v>
      </c>
      <c r="Q604">
        <v>0.8</v>
      </c>
      <c r="R604">
        <v>4</v>
      </c>
      <c r="S604">
        <v>4</v>
      </c>
      <c r="T604">
        <v>3</v>
      </c>
      <c r="U604" t="s">
        <v>23</v>
      </c>
      <c r="V604">
        <v>5</v>
      </c>
      <c r="W604">
        <f>COUNTIF($A$2:A604,A604)</f>
        <v>1</v>
      </c>
    </row>
    <row r="605" spans="1:23" x14ac:dyDescent="0.35">
      <c r="A605" t="s">
        <v>1370</v>
      </c>
      <c r="B605" s="2">
        <v>41761</v>
      </c>
      <c r="D605" t="s">
        <v>23</v>
      </c>
      <c r="E605">
        <v>45</v>
      </c>
      <c r="F605" t="s">
        <v>62</v>
      </c>
      <c r="G605" t="s">
        <v>25</v>
      </c>
      <c r="H605" t="s">
        <v>32</v>
      </c>
      <c r="I605" t="s">
        <v>45</v>
      </c>
      <c r="J605" t="s">
        <v>77</v>
      </c>
      <c r="K605">
        <v>2</v>
      </c>
      <c r="L605" t="s">
        <v>34</v>
      </c>
      <c r="M605">
        <v>62000</v>
      </c>
      <c r="N605">
        <v>3.8</v>
      </c>
      <c r="O605">
        <v>17.899999999999999</v>
      </c>
      <c r="P605">
        <v>11.7</v>
      </c>
      <c r="Q605">
        <v>0.6</v>
      </c>
      <c r="R605">
        <v>4</v>
      </c>
      <c r="S605">
        <v>4</v>
      </c>
      <c r="T605">
        <v>3</v>
      </c>
      <c r="U605" t="s">
        <v>23</v>
      </c>
      <c r="V605">
        <v>4</v>
      </c>
      <c r="W605">
        <f>COUNTIF($A$2:A605,A605)</f>
        <v>1</v>
      </c>
    </row>
    <row r="606" spans="1:23" x14ac:dyDescent="0.35">
      <c r="A606" t="s">
        <v>216</v>
      </c>
      <c r="B606" s="2">
        <v>43427</v>
      </c>
      <c r="D606" t="s">
        <v>23</v>
      </c>
      <c r="E606">
        <v>39</v>
      </c>
      <c r="F606" t="s">
        <v>24</v>
      </c>
      <c r="G606" t="s">
        <v>42</v>
      </c>
      <c r="H606" t="s">
        <v>32</v>
      </c>
      <c r="I606" t="s">
        <v>55</v>
      </c>
      <c r="J606" t="s">
        <v>88</v>
      </c>
      <c r="K606">
        <v>2</v>
      </c>
      <c r="L606" t="s">
        <v>40</v>
      </c>
      <c r="M606">
        <v>51000</v>
      </c>
      <c r="N606">
        <v>12.3</v>
      </c>
      <c r="O606">
        <v>9</v>
      </c>
      <c r="P606">
        <v>7.1</v>
      </c>
      <c r="Q606">
        <v>4.4000000000000004</v>
      </c>
      <c r="R606">
        <v>4</v>
      </c>
      <c r="S606">
        <v>3</v>
      </c>
      <c r="T606">
        <v>4</v>
      </c>
      <c r="U606" t="s">
        <v>23</v>
      </c>
      <c r="V606">
        <v>2</v>
      </c>
      <c r="W606">
        <f>COUNTIF($A$2:A606,A606)</f>
        <v>1</v>
      </c>
    </row>
    <row r="607" spans="1:23" x14ac:dyDescent="0.35">
      <c r="A607" t="s">
        <v>659</v>
      </c>
      <c r="B607" s="2">
        <v>44293</v>
      </c>
      <c r="D607" t="s">
        <v>23</v>
      </c>
      <c r="E607">
        <v>25</v>
      </c>
      <c r="F607" t="s">
        <v>36</v>
      </c>
      <c r="G607" t="s">
        <v>37</v>
      </c>
      <c r="H607" t="s">
        <v>54</v>
      </c>
      <c r="I607" t="s">
        <v>55</v>
      </c>
      <c r="J607" t="s">
        <v>80</v>
      </c>
      <c r="K607">
        <v>1</v>
      </c>
      <c r="L607" t="s">
        <v>29</v>
      </c>
      <c r="M607">
        <v>31000</v>
      </c>
      <c r="N607">
        <v>13.1</v>
      </c>
      <c r="O607">
        <v>11.8</v>
      </c>
      <c r="P607">
        <v>4.7</v>
      </c>
      <c r="Q607">
        <v>3.8</v>
      </c>
      <c r="R607">
        <v>3</v>
      </c>
      <c r="S607">
        <v>3</v>
      </c>
      <c r="T607">
        <v>2</v>
      </c>
      <c r="U607" t="s">
        <v>30</v>
      </c>
      <c r="V607">
        <v>2</v>
      </c>
      <c r="W607">
        <f>COUNTIF($A$2:A607,A607)</f>
        <v>1</v>
      </c>
    </row>
    <row r="608" spans="1:23" x14ac:dyDescent="0.35">
      <c r="A608" t="s">
        <v>1277</v>
      </c>
      <c r="B608" s="2">
        <v>45326</v>
      </c>
      <c r="C608" s="2">
        <v>45854</v>
      </c>
      <c r="D608" t="s">
        <v>30</v>
      </c>
      <c r="E608">
        <v>37</v>
      </c>
      <c r="F608" t="s">
        <v>24</v>
      </c>
      <c r="G608" t="s">
        <v>37</v>
      </c>
      <c r="H608" t="s">
        <v>58</v>
      </c>
      <c r="I608" t="s">
        <v>48</v>
      </c>
      <c r="J608" t="s">
        <v>63</v>
      </c>
      <c r="K608">
        <v>3</v>
      </c>
      <c r="L608" t="s">
        <v>40</v>
      </c>
      <c r="M608">
        <v>83000</v>
      </c>
      <c r="N608">
        <v>10.6</v>
      </c>
      <c r="O608">
        <v>1.6</v>
      </c>
      <c r="P608">
        <v>1.4</v>
      </c>
      <c r="Q608">
        <v>1.2</v>
      </c>
      <c r="R608">
        <v>1</v>
      </c>
      <c r="S608">
        <v>4</v>
      </c>
      <c r="T608">
        <v>3</v>
      </c>
      <c r="U608" t="s">
        <v>23</v>
      </c>
      <c r="V608">
        <v>1</v>
      </c>
      <c r="W608">
        <f>COUNTIF($A$2:A608,A608)</f>
        <v>1</v>
      </c>
    </row>
    <row r="609" spans="1:23" x14ac:dyDescent="0.35">
      <c r="A609" t="s">
        <v>965</v>
      </c>
      <c r="B609" s="2">
        <v>45873</v>
      </c>
      <c r="D609" t="s">
        <v>23</v>
      </c>
      <c r="E609">
        <v>40</v>
      </c>
      <c r="F609" t="s">
        <v>24</v>
      </c>
      <c r="G609" t="s">
        <v>42</v>
      </c>
      <c r="H609" t="s">
        <v>58</v>
      </c>
      <c r="I609" t="s">
        <v>45</v>
      </c>
      <c r="J609" t="s">
        <v>164</v>
      </c>
      <c r="K609">
        <v>3</v>
      </c>
      <c r="L609" t="s">
        <v>34</v>
      </c>
      <c r="M609">
        <v>83000</v>
      </c>
      <c r="N609">
        <v>8.1</v>
      </c>
      <c r="O609">
        <v>7.2</v>
      </c>
      <c r="P609">
        <v>0.4</v>
      </c>
      <c r="Q609">
        <v>0</v>
      </c>
      <c r="R609">
        <v>3</v>
      </c>
      <c r="S609">
        <v>2</v>
      </c>
      <c r="T609">
        <v>3</v>
      </c>
      <c r="U609" t="s">
        <v>23</v>
      </c>
      <c r="V609">
        <v>5</v>
      </c>
      <c r="W609">
        <f>COUNTIF($A$2:A609,A609)</f>
        <v>1</v>
      </c>
    </row>
    <row r="610" spans="1:23" x14ac:dyDescent="0.35">
      <c r="A610" t="s">
        <v>701</v>
      </c>
      <c r="B610" s="2">
        <v>45878</v>
      </c>
      <c r="C610" s="2">
        <v>45943</v>
      </c>
      <c r="D610" t="s">
        <v>30</v>
      </c>
      <c r="E610">
        <v>22</v>
      </c>
      <c r="F610" t="s">
        <v>24</v>
      </c>
      <c r="G610" t="s">
        <v>37</v>
      </c>
      <c r="H610" t="s">
        <v>32</v>
      </c>
      <c r="I610" t="s">
        <v>55</v>
      </c>
      <c r="J610" t="s">
        <v>179</v>
      </c>
      <c r="K610">
        <v>1</v>
      </c>
      <c r="L610" t="s">
        <v>34</v>
      </c>
      <c r="M610">
        <v>44000</v>
      </c>
      <c r="N610">
        <v>11.3</v>
      </c>
      <c r="O610">
        <v>1</v>
      </c>
      <c r="P610">
        <v>0.2</v>
      </c>
      <c r="Q610">
        <v>0</v>
      </c>
      <c r="R610">
        <v>3</v>
      </c>
      <c r="S610">
        <v>3</v>
      </c>
      <c r="T610">
        <v>4</v>
      </c>
      <c r="U610" t="s">
        <v>23</v>
      </c>
      <c r="V610">
        <v>2</v>
      </c>
      <c r="W610">
        <f>COUNTIF($A$2:A610,A610)</f>
        <v>1</v>
      </c>
    </row>
    <row r="611" spans="1:23" x14ac:dyDescent="0.35">
      <c r="A611" t="s">
        <v>1198</v>
      </c>
      <c r="B611" s="2">
        <v>44687</v>
      </c>
      <c r="D611" t="s">
        <v>23</v>
      </c>
      <c r="E611">
        <v>41</v>
      </c>
      <c r="F611" t="s">
        <v>36</v>
      </c>
      <c r="G611" t="s">
        <v>42</v>
      </c>
      <c r="H611" t="s">
        <v>26</v>
      </c>
      <c r="I611" t="s">
        <v>48</v>
      </c>
      <c r="J611" t="s">
        <v>49</v>
      </c>
      <c r="K611">
        <v>2</v>
      </c>
      <c r="L611" t="s">
        <v>66</v>
      </c>
      <c r="M611">
        <v>52000</v>
      </c>
      <c r="N611">
        <v>11.3</v>
      </c>
      <c r="O611">
        <v>9.4</v>
      </c>
      <c r="P611">
        <v>3.7</v>
      </c>
      <c r="Q611">
        <v>3.3</v>
      </c>
      <c r="R611">
        <v>3</v>
      </c>
      <c r="S611">
        <v>3</v>
      </c>
      <c r="T611">
        <v>4</v>
      </c>
      <c r="U611" t="s">
        <v>23</v>
      </c>
      <c r="V611">
        <v>3</v>
      </c>
      <c r="W611">
        <f>COUNTIF($A$2:A611,A611)</f>
        <v>1</v>
      </c>
    </row>
    <row r="612" spans="1:23" x14ac:dyDescent="0.35">
      <c r="A612" t="s">
        <v>1168</v>
      </c>
      <c r="B612" s="2">
        <v>41961</v>
      </c>
      <c r="C612" s="2">
        <v>45877</v>
      </c>
      <c r="D612" t="s">
        <v>30</v>
      </c>
      <c r="E612">
        <v>33</v>
      </c>
      <c r="F612" t="s">
        <v>36</v>
      </c>
      <c r="G612" t="s">
        <v>25</v>
      </c>
      <c r="H612" t="s">
        <v>58</v>
      </c>
      <c r="I612" t="s">
        <v>68</v>
      </c>
      <c r="J612" t="s">
        <v>102</v>
      </c>
      <c r="K612">
        <v>2</v>
      </c>
      <c r="L612" t="s">
        <v>84</v>
      </c>
      <c r="M612">
        <v>51000</v>
      </c>
      <c r="N612">
        <v>9.9</v>
      </c>
      <c r="O612">
        <v>15</v>
      </c>
      <c r="P612">
        <v>10.7</v>
      </c>
      <c r="Q612">
        <v>3.6</v>
      </c>
      <c r="R612">
        <v>1</v>
      </c>
      <c r="S612">
        <v>3</v>
      </c>
      <c r="T612">
        <v>2</v>
      </c>
      <c r="U612" t="s">
        <v>30</v>
      </c>
      <c r="V612">
        <v>4</v>
      </c>
      <c r="W612">
        <f>COUNTIF($A$2:A612,A612)</f>
        <v>1</v>
      </c>
    </row>
    <row r="613" spans="1:23" x14ac:dyDescent="0.35">
      <c r="A613" t="s">
        <v>1215</v>
      </c>
      <c r="B613" s="2">
        <v>43085</v>
      </c>
      <c r="D613" t="s">
        <v>23</v>
      </c>
      <c r="E613">
        <v>32</v>
      </c>
      <c r="F613" t="s">
        <v>36</v>
      </c>
      <c r="G613" t="s">
        <v>37</v>
      </c>
      <c r="H613" t="s">
        <v>54</v>
      </c>
      <c r="I613" t="s">
        <v>38</v>
      </c>
      <c r="J613" t="s">
        <v>39</v>
      </c>
      <c r="K613">
        <v>4</v>
      </c>
      <c r="L613" t="s">
        <v>34</v>
      </c>
      <c r="M613" t="s">
        <v>1216</v>
      </c>
      <c r="N613">
        <v>7.3</v>
      </c>
      <c r="O613">
        <v>8.6999999999999993</v>
      </c>
      <c r="P613">
        <v>8</v>
      </c>
      <c r="Q613">
        <v>0</v>
      </c>
      <c r="R613">
        <v>4</v>
      </c>
      <c r="S613">
        <v>4</v>
      </c>
      <c r="T613">
        <v>2</v>
      </c>
      <c r="U613" t="s">
        <v>23</v>
      </c>
      <c r="V613">
        <v>4</v>
      </c>
      <c r="W613">
        <f>COUNTIF($A$2:A613,A613)</f>
        <v>1</v>
      </c>
    </row>
    <row r="614" spans="1:23" x14ac:dyDescent="0.35">
      <c r="A614" t="s">
        <v>358</v>
      </c>
      <c r="B614" s="2">
        <v>45429</v>
      </c>
      <c r="D614" t="s">
        <v>23</v>
      </c>
      <c r="E614">
        <v>45</v>
      </c>
      <c r="F614" t="s">
        <v>36</v>
      </c>
      <c r="G614" t="s">
        <v>25</v>
      </c>
      <c r="H614" t="s">
        <v>54</v>
      </c>
      <c r="I614" t="s">
        <v>45</v>
      </c>
      <c r="J614" t="s">
        <v>46</v>
      </c>
      <c r="K614">
        <v>4</v>
      </c>
      <c r="L614" t="s">
        <v>66</v>
      </c>
      <c r="M614">
        <v>116000</v>
      </c>
      <c r="N614">
        <v>3.8</v>
      </c>
      <c r="O614">
        <v>4.2</v>
      </c>
      <c r="P614">
        <v>1.6</v>
      </c>
      <c r="Q614">
        <v>0.2</v>
      </c>
      <c r="R614">
        <v>3</v>
      </c>
      <c r="S614">
        <v>4</v>
      </c>
      <c r="T614">
        <v>3</v>
      </c>
      <c r="U614" t="s">
        <v>23</v>
      </c>
      <c r="V614">
        <v>3</v>
      </c>
      <c r="W614">
        <f>COUNTIF($A$2:A614,A614)</f>
        <v>1</v>
      </c>
    </row>
    <row r="615" spans="1:23" x14ac:dyDescent="0.35">
      <c r="A615" t="s">
        <v>952</v>
      </c>
      <c r="B615" s="2">
        <v>42913</v>
      </c>
      <c r="D615" t="s">
        <v>23</v>
      </c>
      <c r="E615">
        <v>29</v>
      </c>
      <c r="F615" t="s">
        <v>62</v>
      </c>
      <c r="G615" t="s">
        <v>42</v>
      </c>
      <c r="H615" t="s">
        <v>32</v>
      </c>
      <c r="I615" t="s">
        <v>59</v>
      </c>
      <c r="J615" t="s">
        <v>150</v>
      </c>
      <c r="K615">
        <v>2</v>
      </c>
      <c r="L615" t="s">
        <v>29</v>
      </c>
      <c r="M615">
        <v>54000</v>
      </c>
      <c r="N615">
        <v>10.199999999999999</v>
      </c>
      <c r="O615">
        <v>12.8</v>
      </c>
      <c r="P615">
        <v>8.5</v>
      </c>
      <c r="Q615">
        <v>3</v>
      </c>
      <c r="R615">
        <v>3</v>
      </c>
      <c r="S615">
        <v>3</v>
      </c>
      <c r="T615">
        <v>2</v>
      </c>
      <c r="U615" t="s">
        <v>23</v>
      </c>
      <c r="V615">
        <v>2</v>
      </c>
      <c r="W615">
        <f>COUNTIF($A$2:A615,A615)</f>
        <v>1</v>
      </c>
    </row>
    <row r="616" spans="1:23" x14ac:dyDescent="0.35">
      <c r="A616" t="s">
        <v>145</v>
      </c>
      <c r="B616" s="2">
        <v>45341</v>
      </c>
      <c r="D616" t="s">
        <v>23</v>
      </c>
      <c r="E616">
        <v>28</v>
      </c>
      <c r="F616" t="s">
        <v>24</v>
      </c>
      <c r="G616" t="s">
        <v>42</v>
      </c>
      <c r="H616" t="s">
        <v>54</v>
      </c>
      <c r="I616" t="s">
        <v>38</v>
      </c>
      <c r="J616" t="s">
        <v>139</v>
      </c>
      <c r="K616">
        <v>2</v>
      </c>
      <c r="L616" t="s">
        <v>40</v>
      </c>
      <c r="M616">
        <v>53000</v>
      </c>
      <c r="N616">
        <v>5.3</v>
      </c>
      <c r="O616">
        <v>2.9</v>
      </c>
      <c r="P616">
        <v>1.9</v>
      </c>
      <c r="Q616">
        <v>0.2</v>
      </c>
      <c r="R616">
        <v>3</v>
      </c>
      <c r="S616">
        <v>4</v>
      </c>
      <c r="T616">
        <v>3</v>
      </c>
      <c r="U616" t="s">
        <v>23</v>
      </c>
      <c r="V616">
        <v>4</v>
      </c>
      <c r="W616">
        <f>COUNTIF($A$2:A616,A616)</f>
        <v>1</v>
      </c>
    </row>
    <row r="617" spans="1:23" x14ac:dyDescent="0.35">
      <c r="A617" t="s">
        <v>1326</v>
      </c>
      <c r="B617" s="2">
        <v>42375</v>
      </c>
      <c r="D617" t="s">
        <v>23</v>
      </c>
      <c r="E617">
        <v>33</v>
      </c>
      <c r="F617" t="s">
        <v>62</v>
      </c>
      <c r="G617" t="s">
        <v>37</v>
      </c>
      <c r="H617" t="s">
        <v>26</v>
      </c>
      <c r="I617" t="s">
        <v>59</v>
      </c>
      <c r="J617" t="s">
        <v>60</v>
      </c>
      <c r="K617">
        <v>2</v>
      </c>
      <c r="L617" t="s">
        <v>34</v>
      </c>
      <c r="M617">
        <v>45000</v>
      </c>
      <c r="N617">
        <v>11.7</v>
      </c>
      <c r="O617">
        <v>15.6</v>
      </c>
      <c r="P617">
        <v>10</v>
      </c>
      <c r="Q617">
        <v>2.2999999999999998</v>
      </c>
      <c r="R617">
        <v>2</v>
      </c>
      <c r="S617">
        <v>1</v>
      </c>
      <c r="T617">
        <v>4</v>
      </c>
      <c r="U617" t="s">
        <v>30</v>
      </c>
      <c r="V617">
        <v>3</v>
      </c>
      <c r="W617">
        <f>COUNTIF($A$2:A617,A617)</f>
        <v>1</v>
      </c>
    </row>
    <row r="618" spans="1:23" x14ac:dyDescent="0.35">
      <c r="A618" t="s">
        <v>1050</v>
      </c>
      <c r="B618" s="2">
        <v>44752</v>
      </c>
      <c r="D618" t="s">
        <v>23</v>
      </c>
      <c r="E618">
        <v>29</v>
      </c>
      <c r="F618" t="s">
        <v>62</v>
      </c>
      <c r="G618" t="s">
        <v>42</v>
      </c>
      <c r="H618" t="s">
        <v>54</v>
      </c>
      <c r="I618" t="s">
        <v>59</v>
      </c>
      <c r="J618" t="s">
        <v>86</v>
      </c>
      <c r="K618">
        <v>1</v>
      </c>
      <c r="L618" t="s">
        <v>34</v>
      </c>
      <c r="M618">
        <v>35000</v>
      </c>
      <c r="N618">
        <v>11</v>
      </c>
      <c r="O618">
        <v>10</v>
      </c>
      <c r="P618">
        <v>3.5</v>
      </c>
      <c r="Q618">
        <v>0.5</v>
      </c>
      <c r="R618">
        <v>1</v>
      </c>
      <c r="S618">
        <v>2</v>
      </c>
      <c r="T618">
        <v>3</v>
      </c>
      <c r="U618" t="s">
        <v>30</v>
      </c>
      <c r="V618">
        <v>4</v>
      </c>
      <c r="W618">
        <f>COUNTIF($A$2:A618,A618)</f>
        <v>1</v>
      </c>
    </row>
    <row r="619" spans="1:23" x14ac:dyDescent="0.35">
      <c r="A619" t="s">
        <v>570</v>
      </c>
      <c r="B619" s="2">
        <v>43157</v>
      </c>
      <c r="C619" s="2">
        <v>45986</v>
      </c>
      <c r="D619" t="s">
        <v>30</v>
      </c>
      <c r="E619">
        <v>34</v>
      </c>
      <c r="F619" t="s">
        <v>62</v>
      </c>
      <c r="G619" t="s">
        <v>42</v>
      </c>
      <c r="H619" t="s">
        <v>58</v>
      </c>
      <c r="I619" t="s">
        <v>45</v>
      </c>
      <c r="J619" t="s">
        <v>77</v>
      </c>
      <c r="K619">
        <v>2</v>
      </c>
      <c r="L619" t="s">
        <v>66</v>
      </c>
      <c r="M619">
        <v>56000</v>
      </c>
      <c r="N619">
        <v>10.9</v>
      </c>
      <c r="O619">
        <v>8</v>
      </c>
      <c r="P619">
        <v>7.7</v>
      </c>
      <c r="Q619">
        <v>4.5</v>
      </c>
      <c r="R619">
        <v>2</v>
      </c>
      <c r="S619">
        <v>3</v>
      </c>
      <c r="T619">
        <v>1</v>
      </c>
      <c r="U619" t="s">
        <v>30</v>
      </c>
      <c r="V619">
        <v>4</v>
      </c>
      <c r="W619">
        <f>COUNTIF($A$2:A619,A619)</f>
        <v>1</v>
      </c>
    </row>
    <row r="620" spans="1:23" x14ac:dyDescent="0.35">
      <c r="A620" t="s">
        <v>22</v>
      </c>
      <c r="B620" s="2">
        <v>44102</v>
      </c>
      <c r="D620" t="s">
        <v>23</v>
      </c>
      <c r="E620">
        <v>39</v>
      </c>
      <c r="F620" t="s">
        <v>24</v>
      </c>
      <c r="G620" t="s">
        <v>25</v>
      </c>
      <c r="H620" t="s">
        <v>26</v>
      </c>
      <c r="I620" t="s">
        <v>27</v>
      </c>
      <c r="J620" t="s">
        <v>28</v>
      </c>
      <c r="K620">
        <v>3</v>
      </c>
      <c r="L620" t="s">
        <v>29</v>
      </c>
      <c r="M620">
        <v>82000</v>
      </c>
      <c r="N620">
        <v>5.9</v>
      </c>
      <c r="O620">
        <v>13.1</v>
      </c>
      <c r="P620">
        <v>5.3</v>
      </c>
      <c r="Q620">
        <v>0.7</v>
      </c>
      <c r="R620">
        <v>4</v>
      </c>
      <c r="S620">
        <v>2</v>
      </c>
      <c r="T620">
        <v>3</v>
      </c>
      <c r="U620" t="s">
        <v>30</v>
      </c>
      <c r="V620">
        <v>3</v>
      </c>
      <c r="W620">
        <f>COUNTIF($A$2:A620,A620)</f>
        <v>1</v>
      </c>
    </row>
    <row r="621" spans="1:23" x14ac:dyDescent="0.35">
      <c r="A621" t="s">
        <v>333</v>
      </c>
      <c r="B621" s="2">
        <v>43170</v>
      </c>
      <c r="D621" t="s">
        <v>23</v>
      </c>
      <c r="E621">
        <v>38</v>
      </c>
      <c r="F621" t="s">
        <v>36</v>
      </c>
      <c r="H621" t="s">
        <v>32</v>
      </c>
      <c r="I621" t="s">
        <v>48</v>
      </c>
      <c r="J621" t="s">
        <v>201</v>
      </c>
      <c r="K621">
        <v>2</v>
      </c>
      <c r="L621" t="s">
        <v>84</v>
      </c>
      <c r="M621">
        <v>53000</v>
      </c>
      <c r="N621">
        <v>13.3</v>
      </c>
      <c r="O621">
        <v>13</v>
      </c>
      <c r="P621">
        <v>7.8</v>
      </c>
      <c r="Q621">
        <v>1.2</v>
      </c>
      <c r="R621">
        <v>2</v>
      </c>
      <c r="S621">
        <v>2</v>
      </c>
      <c r="T621">
        <v>2</v>
      </c>
      <c r="U621" t="s">
        <v>334</v>
      </c>
      <c r="V621">
        <v>4</v>
      </c>
      <c r="W621">
        <f>COUNTIF($A$2:A621,A621)</f>
        <v>1</v>
      </c>
    </row>
    <row r="622" spans="1:23" x14ac:dyDescent="0.35">
      <c r="A622" t="s">
        <v>242</v>
      </c>
      <c r="B622" s="2">
        <v>45753</v>
      </c>
      <c r="D622" t="s">
        <v>23</v>
      </c>
      <c r="E622">
        <v>27</v>
      </c>
      <c r="F622" t="s">
        <v>62</v>
      </c>
      <c r="G622" t="s">
        <v>37</v>
      </c>
      <c r="H622" t="s">
        <v>54</v>
      </c>
      <c r="I622" t="s">
        <v>55</v>
      </c>
      <c r="J622" t="s">
        <v>56</v>
      </c>
      <c r="K622">
        <v>1</v>
      </c>
      <c r="L622" t="s">
        <v>50</v>
      </c>
      <c r="M622">
        <v>27000</v>
      </c>
      <c r="N622">
        <v>10.199999999999999</v>
      </c>
      <c r="O622">
        <v>5.2</v>
      </c>
      <c r="P622">
        <v>0.7</v>
      </c>
      <c r="Q622">
        <v>0</v>
      </c>
      <c r="R622">
        <v>4</v>
      </c>
      <c r="S622">
        <v>1</v>
      </c>
      <c r="T622">
        <v>3</v>
      </c>
      <c r="U622" t="s">
        <v>23</v>
      </c>
      <c r="V622">
        <v>5</v>
      </c>
      <c r="W622">
        <f>COUNTIF($A$2:A622,A622)</f>
        <v>1</v>
      </c>
    </row>
    <row r="623" spans="1:23" x14ac:dyDescent="0.35">
      <c r="A623" t="s">
        <v>344</v>
      </c>
      <c r="B623" s="2">
        <v>44707</v>
      </c>
      <c r="D623" t="s">
        <v>23</v>
      </c>
      <c r="E623">
        <v>31</v>
      </c>
      <c r="F623" t="s">
        <v>62</v>
      </c>
      <c r="G623" t="s">
        <v>37</v>
      </c>
      <c r="H623" t="s">
        <v>58</v>
      </c>
      <c r="I623" t="s">
        <v>38</v>
      </c>
      <c r="J623" t="s">
        <v>39</v>
      </c>
      <c r="K623">
        <v>1</v>
      </c>
      <c r="L623" t="s">
        <v>34</v>
      </c>
      <c r="M623">
        <v>51000</v>
      </c>
      <c r="N623">
        <v>3.6</v>
      </c>
      <c r="O623">
        <v>7.6</v>
      </c>
      <c r="P623">
        <v>3.6</v>
      </c>
      <c r="Q623">
        <v>1.1000000000000001</v>
      </c>
      <c r="R623">
        <v>4</v>
      </c>
      <c r="S623">
        <v>3</v>
      </c>
      <c r="T623">
        <v>3</v>
      </c>
      <c r="U623" t="s">
        <v>23</v>
      </c>
      <c r="V623">
        <v>2</v>
      </c>
      <c r="W623">
        <f>COUNTIF($A$2:A623,A623)</f>
        <v>1</v>
      </c>
    </row>
    <row r="624" spans="1:23" x14ac:dyDescent="0.35">
      <c r="A624" t="s">
        <v>1470</v>
      </c>
      <c r="B624" s="2">
        <v>43450</v>
      </c>
      <c r="D624" t="s">
        <v>23</v>
      </c>
      <c r="E624">
        <v>29</v>
      </c>
      <c r="F624" t="s">
        <v>62</v>
      </c>
      <c r="G624" t="s">
        <v>37</v>
      </c>
      <c r="H624" t="s">
        <v>32</v>
      </c>
      <c r="I624" t="s">
        <v>45</v>
      </c>
      <c r="J624" t="s">
        <v>164</v>
      </c>
      <c r="K624">
        <v>3</v>
      </c>
      <c r="L624" t="s">
        <v>40</v>
      </c>
      <c r="M624">
        <v>87000</v>
      </c>
      <c r="N624">
        <v>17</v>
      </c>
      <c r="O624">
        <v>14</v>
      </c>
      <c r="P624">
        <v>7</v>
      </c>
      <c r="Q624">
        <v>0.2</v>
      </c>
      <c r="R624">
        <v>4</v>
      </c>
      <c r="S624">
        <v>2</v>
      </c>
      <c r="T624">
        <v>3</v>
      </c>
      <c r="U624" t="s">
        <v>30</v>
      </c>
      <c r="V624">
        <v>2</v>
      </c>
      <c r="W624">
        <f>COUNTIF($A$2:A624,A624)</f>
        <v>1</v>
      </c>
    </row>
    <row r="625" spans="1:23" x14ac:dyDescent="0.35">
      <c r="A625" t="s">
        <v>1519</v>
      </c>
      <c r="B625" s="2">
        <v>45401</v>
      </c>
      <c r="D625" t="s">
        <v>23</v>
      </c>
      <c r="E625">
        <v>29</v>
      </c>
      <c r="F625" t="s">
        <v>36</v>
      </c>
      <c r="G625" t="s">
        <v>25</v>
      </c>
      <c r="H625" t="s">
        <v>54</v>
      </c>
      <c r="I625" t="s">
        <v>59</v>
      </c>
      <c r="J625" t="s">
        <v>86</v>
      </c>
      <c r="K625">
        <v>3</v>
      </c>
      <c r="L625" t="s">
        <v>50</v>
      </c>
      <c r="M625">
        <v>83000</v>
      </c>
      <c r="N625">
        <v>7.5</v>
      </c>
      <c r="O625">
        <v>6.9</v>
      </c>
      <c r="P625">
        <v>1.7</v>
      </c>
      <c r="Q625">
        <v>1.6</v>
      </c>
      <c r="R625">
        <v>3</v>
      </c>
      <c r="S625">
        <v>3</v>
      </c>
      <c r="T625">
        <v>4</v>
      </c>
      <c r="U625" t="s">
        <v>23</v>
      </c>
      <c r="V625">
        <v>3</v>
      </c>
      <c r="W625">
        <f>COUNTIF($A$2:A625,A625)</f>
        <v>1</v>
      </c>
    </row>
    <row r="626" spans="1:23" x14ac:dyDescent="0.35">
      <c r="A626" t="s">
        <v>1342</v>
      </c>
      <c r="B626" s="2">
        <v>41652</v>
      </c>
      <c r="D626" t="s">
        <v>23</v>
      </c>
      <c r="E626">
        <v>33</v>
      </c>
      <c r="F626" t="s">
        <v>24</v>
      </c>
      <c r="G626" t="s">
        <v>42</v>
      </c>
      <c r="H626" t="s">
        <v>26</v>
      </c>
      <c r="I626" t="s">
        <v>45</v>
      </c>
      <c r="J626" t="s">
        <v>46</v>
      </c>
      <c r="K626">
        <v>2</v>
      </c>
      <c r="L626" t="s">
        <v>34</v>
      </c>
      <c r="M626">
        <v>32000</v>
      </c>
      <c r="N626">
        <v>8.9</v>
      </c>
      <c r="O626">
        <v>19.899999999999999</v>
      </c>
      <c r="P626">
        <v>12</v>
      </c>
      <c r="Q626">
        <v>0.6</v>
      </c>
      <c r="R626">
        <v>4</v>
      </c>
      <c r="S626">
        <v>1</v>
      </c>
      <c r="T626">
        <v>4</v>
      </c>
      <c r="U626" t="s">
        <v>23</v>
      </c>
      <c r="V626">
        <v>3</v>
      </c>
      <c r="W626">
        <f>COUNTIF($A$2:A626,A626)</f>
        <v>1</v>
      </c>
    </row>
    <row r="627" spans="1:23" x14ac:dyDescent="0.35">
      <c r="A627" t="s">
        <v>228</v>
      </c>
      <c r="B627" s="2">
        <v>45341</v>
      </c>
      <c r="C627" s="2">
        <v>45749</v>
      </c>
      <c r="D627" t="s">
        <v>30</v>
      </c>
      <c r="E627">
        <v>30</v>
      </c>
      <c r="F627" t="s">
        <v>36</v>
      </c>
      <c r="G627" t="s">
        <v>25</v>
      </c>
      <c r="H627" t="s">
        <v>32</v>
      </c>
      <c r="I627" t="s">
        <v>68</v>
      </c>
      <c r="J627" t="s">
        <v>109</v>
      </c>
      <c r="K627">
        <v>4</v>
      </c>
      <c r="L627" t="s">
        <v>50</v>
      </c>
      <c r="M627">
        <v>123000</v>
      </c>
      <c r="N627">
        <v>4</v>
      </c>
      <c r="O627">
        <v>6.8</v>
      </c>
      <c r="P627">
        <v>1.1000000000000001</v>
      </c>
      <c r="Q627">
        <v>0.5</v>
      </c>
      <c r="R627">
        <v>3</v>
      </c>
      <c r="S627">
        <v>4</v>
      </c>
      <c r="T627">
        <v>4</v>
      </c>
      <c r="U627" t="s">
        <v>23</v>
      </c>
      <c r="V627">
        <v>4</v>
      </c>
      <c r="W627">
        <f>COUNTIF($A$2:A627,A627)</f>
        <v>1</v>
      </c>
    </row>
    <row r="628" spans="1:23" x14ac:dyDescent="0.35">
      <c r="A628" t="s">
        <v>192</v>
      </c>
      <c r="B628" s="2">
        <v>42556</v>
      </c>
      <c r="D628" t="s">
        <v>23</v>
      </c>
      <c r="E628">
        <v>31</v>
      </c>
      <c r="F628" t="s">
        <v>62</v>
      </c>
      <c r="G628" t="s">
        <v>42</v>
      </c>
      <c r="H628" t="s">
        <v>54</v>
      </c>
      <c r="I628" t="s">
        <v>27</v>
      </c>
      <c r="J628" t="s">
        <v>33</v>
      </c>
      <c r="K628">
        <v>1</v>
      </c>
      <c r="L628" t="s">
        <v>84</v>
      </c>
      <c r="M628">
        <v>30000</v>
      </c>
      <c r="N628">
        <v>12.2</v>
      </c>
      <c r="O628">
        <v>10.5</v>
      </c>
      <c r="P628">
        <v>9.5</v>
      </c>
      <c r="Q628">
        <v>2.2000000000000002</v>
      </c>
      <c r="R628">
        <v>4</v>
      </c>
      <c r="S628">
        <v>4</v>
      </c>
      <c r="T628">
        <v>4</v>
      </c>
      <c r="U628" t="s">
        <v>23</v>
      </c>
      <c r="V628">
        <v>3</v>
      </c>
      <c r="W628">
        <f>COUNTIF($A$2:A628,A628)</f>
        <v>1</v>
      </c>
    </row>
    <row r="629" spans="1:23" x14ac:dyDescent="0.35">
      <c r="A629" t="s">
        <v>267</v>
      </c>
      <c r="B629" s="2">
        <v>43161</v>
      </c>
      <c r="D629" t="s">
        <v>23</v>
      </c>
      <c r="E629">
        <v>37</v>
      </c>
      <c r="F629" t="s">
        <v>24</v>
      </c>
      <c r="G629" t="s">
        <v>37</v>
      </c>
      <c r="H629" t="s">
        <v>54</v>
      </c>
      <c r="I629" t="s">
        <v>45</v>
      </c>
      <c r="J629" t="s">
        <v>164</v>
      </c>
      <c r="K629">
        <v>3</v>
      </c>
      <c r="L629" t="s">
        <v>34</v>
      </c>
      <c r="M629">
        <v>81000</v>
      </c>
      <c r="N629">
        <v>7.7</v>
      </c>
      <c r="O629">
        <v>7.9</v>
      </c>
      <c r="P629">
        <v>7.8</v>
      </c>
      <c r="Q629">
        <v>5.0999999999999996</v>
      </c>
      <c r="R629">
        <v>2</v>
      </c>
      <c r="S629">
        <v>3</v>
      </c>
      <c r="T629">
        <v>2</v>
      </c>
      <c r="U629" t="s">
        <v>23</v>
      </c>
      <c r="V629">
        <v>3</v>
      </c>
      <c r="W629">
        <f>COUNTIF($A$2:A629,A629)</f>
        <v>1</v>
      </c>
    </row>
    <row r="630" spans="1:23" x14ac:dyDescent="0.35">
      <c r="A630" t="s">
        <v>1534</v>
      </c>
      <c r="B630" s="2">
        <v>45314</v>
      </c>
      <c r="D630" t="s">
        <v>23</v>
      </c>
      <c r="E630">
        <v>25</v>
      </c>
      <c r="F630" t="s">
        <v>36</v>
      </c>
      <c r="G630" t="s">
        <v>37</v>
      </c>
      <c r="H630" t="s">
        <v>54</v>
      </c>
      <c r="I630" t="s">
        <v>45</v>
      </c>
      <c r="J630" t="s">
        <v>164</v>
      </c>
      <c r="K630">
        <v>1</v>
      </c>
      <c r="L630" t="s">
        <v>84</v>
      </c>
      <c r="M630">
        <v>24000</v>
      </c>
      <c r="N630">
        <v>20.8</v>
      </c>
      <c r="O630">
        <v>2.8</v>
      </c>
      <c r="P630">
        <v>1.9</v>
      </c>
      <c r="Q630">
        <v>0.3</v>
      </c>
      <c r="R630">
        <v>3</v>
      </c>
      <c r="S630">
        <v>2</v>
      </c>
      <c r="T630">
        <v>4</v>
      </c>
      <c r="U630" t="s">
        <v>23</v>
      </c>
      <c r="V630">
        <v>3</v>
      </c>
      <c r="W630">
        <f>COUNTIF($A$2:A630,A630)</f>
        <v>1</v>
      </c>
    </row>
    <row r="631" spans="1:23" x14ac:dyDescent="0.35">
      <c r="A631" t="s">
        <v>740</v>
      </c>
      <c r="B631" s="2">
        <v>45450</v>
      </c>
      <c r="D631" t="s">
        <v>23</v>
      </c>
      <c r="E631">
        <v>24</v>
      </c>
      <c r="F631" t="s">
        <v>24</v>
      </c>
      <c r="G631" t="s">
        <v>42</v>
      </c>
      <c r="H631" t="s">
        <v>26</v>
      </c>
      <c r="I631" t="s">
        <v>38</v>
      </c>
      <c r="J631" t="s">
        <v>39</v>
      </c>
      <c r="K631">
        <v>1</v>
      </c>
      <c r="L631" t="s">
        <v>66</v>
      </c>
      <c r="M631">
        <v>26000</v>
      </c>
      <c r="N631">
        <v>10.9</v>
      </c>
      <c r="O631">
        <v>2.5</v>
      </c>
      <c r="P631">
        <v>1.6</v>
      </c>
      <c r="Q631">
        <v>0.7</v>
      </c>
      <c r="R631">
        <v>2</v>
      </c>
      <c r="S631">
        <v>3</v>
      </c>
      <c r="T631">
        <v>4</v>
      </c>
      <c r="U631" t="s">
        <v>23</v>
      </c>
      <c r="V631">
        <v>2</v>
      </c>
      <c r="W631">
        <f>COUNTIF($A$2:A631,A631)</f>
        <v>1</v>
      </c>
    </row>
    <row r="632" spans="1:23" x14ac:dyDescent="0.35">
      <c r="A632" t="s">
        <v>511</v>
      </c>
      <c r="B632" s="2">
        <v>42458</v>
      </c>
      <c r="D632" t="s">
        <v>23</v>
      </c>
      <c r="E632">
        <v>37</v>
      </c>
      <c r="F632" t="s">
        <v>24</v>
      </c>
      <c r="G632" t="s">
        <v>37</v>
      </c>
      <c r="H632" t="s">
        <v>32</v>
      </c>
      <c r="I632" t="s">
        <v>59</v>
      </c>
      <c r="J632" t="s">
        <v>60</v>
      </c>
      <c r="K632">
        <v>1</v>
      </c>
      <c r="L632" t="s">
        <v>50</v>
      </c>
      <c r="M632">
        <v>31000</v>
      </c>
      <c r="N632">
        <v>8.5</v>
      </c>
      <c r="O632">
        <v>11.4</v>
      </c>
      <c r="P632">
        <v>9.8000000000000007</v>
      </c>
      <c r="Q632">
        <v>0.1</v>
      </c>
      <c r="R632">
        <v>4</v>
      </c>
      <c r="S632">
        <v>4</v>
      </c>
      <c r="T632">
        <v>3</v>
      </c>
      <c r="U632" t="s">
        <v>23</v>
      </c>
      <c r="V632">
        <v>3</v>
      </c>
      <c r="W632">
        <f>COUNTIF($A$2:A632,A632)</f>
        <v>1</v>
      </c>
    </row>
    <row r="633" spans="1:23" x14ac:dyDescent="0.35">
      <c r="A633" t="s">
        <v>1181</v>
      </c>
      <c r="B633" s="2">
        <v>42179</v>
      </c>
      <c r="D633" t="s">
        <v>23</v>
      </c>
      <c r="E633">
        <v>34</v>
      </c>
      <c r="F633" t="s">
        <v>36</v>
      </c>
      <c r="G633" t="s">
        <v>37</v>
      </c>
      <c r="H633" t="s">
        <v>32</v>
      </c>
      <c r="I633" t="s">
        <v>68</v>
      </c>
      <c r="J633" t="s">
        <v>121</v>
      </c>
      <c r="K633">
        <v>1</v>
      </c>
      <c r="L633" t="s">
        <v>84</v>
      </c>
      <c r="M633">
        <v>22000</v>
      </c>
      <c r="N633">
        <v>8.1</v>
      </c>
      <c r="O633">
        <v>17.7</v>
      </c>
      <c r="P633">
        <v>10.5</v>
      </c>
      <c r="Q633">
        <v>1.1000000000000001</v>
      </c>
      <c r="R633">
        <v>3</v>
      </c>
      <c r="S633">
        <v>1</v>
      </c>
      <c r="T633">
        <v>4</v>
      </c>
      <c r="U633" t="s">
        <v>23</v>
      </c>
      <c r="V633">
        <v>3</v>
      </c>
      <c r="W633">
        <f>COUNTIF($A$2:A633,A633)</f>
        <v>1</v>
      </c>
    </row>
    <row r="634" spans="1:23" x14ac:dyDescent="0.35">
      <c r="A634" t="s">
        <v>976</v>
      </c>
      <c r="B634" s="2">
        <v>42969</v>
      </c>
      <c r="D634" t="s">
        <v>23</v>
      </c>
      <c r="E634">
        <v>34</v>
      </c>
      <c r="F634" t="s">
        <v>24</v>
      </c>
      <c r="G634" t="s">
        <v>25</v>
      </c>
      <c r="H634" t="s">
        <v>32</v>
      </c>
      <c r="I634" t="s">
        <v>48</v>
      </c>
      <c r="J634" t="s">
        <v>201</v>
      </c>
      <c r="K634">
        <v>3</v>
      </c>
      <c r="L634" t="s">
        <v>84</v>
      </c>
      <c r="M634">
        <v>107000</v>
      </c>
      <c r="N634">
        <v>10.5</v>
      </c>
      <c r="O634">
        <v>13.9</v>
      </c>
      <c r="P634">
        <v>8.4</v>
      </c>
      <c r="Q634">
        <v>2.2999999999999998</v>
      </c>
      <c r="R634">
        <v>3</v>
      </c>
      <c r="S634">
        <v>1</v>
      </c>
      <c r="T634">
        <v>4</v>
      </c>
      <c r="U634" t="s">
        <v>30</v>
      </c>
      <c r="V634">
        <v>4</v>
      </c>
      <c r="W634">
        <f>COUNTIF($A$2:A634,A634)</f>
        <v>1</v>
      </c>
    </row>
    <row r="635" spans="1:23" x14ac:dyDescent="0.35">
      <c r="A635" t="s">
        <v>827</v>
      </c>
      <c r="B635" s="2">
        <v>42082</v>
      </c>
      <c r="D635" t="s">
        <v>23</v>
      </c>
      <c r="E635">
        <v>39</v>
      </c>
      <c r="F635" t="s">
        <v>24</v>
      </c>
      <c r="G635" t="s">
        <v>25</v>
      </c>
      <c r="H635" t="s">
        <v>54</v>
      </c>
      <c r="I635" t="s">
        <v>45</v>
      </c>
      <c r="J635" t="s">
        <v>77</v>
      </c>
      <c r="K635">
        <v>1</v>
      </c>
      <c r="L635" t="s">
        <v>29</v>
      </c>
      <c r="M635">
        <v>36000</v>
      </c>
      <c r="N635">
        <v>10.7</v>
      </c>
      <c r="O635">
        <v>17.100000000000001</v>
      </c>
      <c r="P635">
        <v>10.8</v>
      </c>
      <c r="Q635">
        <v>4</v>
      </c>
      <c r="R635">
        <v>3</v>
      </c>
      <c r="S635">
        <v>3</v>
      </c>
      <c r="T635">
        <v>3</v>
      </c>
      <c r="U635" t="s">
        <v>23</v>
      </c>
      <c r="V635">
        <v>5</v>
      </c>
      <c r="W635">
        <f>COUNTIF($A$2:A635,A635)</f>
        <v>1</v>
      </c>
    </row>
    <row r="636" spans="1:23" x14ac:dyDescent="0.35">
      <c r="A636" t="s">
        <v>1145</v>
      </c>
      <c r="B636" s="2">
        <v>42726</v>
      </c>
      <c r="D636" t="s">
        <v>23</v>
      </c>
      <c r="E636">
        <v>47</v>
      </c>
      <c r="F636" t="s">
        <v>24</v>
      </c>
      <c r="G636" t="s">
        <v>42</v>
      </c>
      <c r="H636" t="s">
        <v>58</v>
      </c>
      <c r="I636" t="s">
        <v>27</v>
      </c>
      <c r="J636" t="s">
        <v>43</v>
      </c>
      <c r="K636">
        <v>1</v>
      </c>
      <c r="L636" t="s">
        <v>50</v>
      </c>
      <c r="M636">
        <v>22000</v>
      </c>
      <c r="N636">
        <v>10.9</v>
      </c>
      <c r="O636">
        <v>13.8</v>
      </c>
      <c r="P636">
        <v>9</v>
      </c>
      <c r="Q636">
        <v>1.3</v>
      </c>
      <c r="R636">
        <v>3</v>
      </c>
      <c r="S636">
        <v>2</v>
      </c>
      <c r="T636">
        <v>2</v>
      </c>
      <c r="U636" t="s">
        <v>30</v>
      </c>
      <c r="V636">
        <v>4</v>
      </c>
      <c r="W636">
        <f>COUNTIF($A$2:A636,A636)</f>
        <v>1</v>
      </c>
    </row>
    <row r="637" spans="1:23" x14ac:dyDescent="0.35">
      <c r="A637" t="s">
        <v>1258</v>
      </c>
      <c r="B637" s="2">
        <v>42205</v>
      </c>
      <c r="D637" t="s">
        <v>23</v>
      </c>
      <c r="E637">
        <v>37</v>
      </c>
      <c r="F637" t="s">
        <v>24</v>
      </c>
      <c r="G637" t="s">
        <v>37</v>
      </c>
      <c r="H637" t="s">
        <v>54</v>
      </c>
      <c r="I637" t="s">
        <v>68</v>
      </c>
      <c r="J637" t="s">
        <v>69</v>
      </c>
      <c r="K637">
        <v>3</v>
      </c>
      <c r="L637" t="s">
        <v>34</v>
      </c>
      <c r="M637">
        <v>69000</v>
      </c>
      <c r="N637">
        <v>7.3</v>
      </c>
      <c r="O637">
        <v>13.7</v>
      </c>
      <c r="P637">
        <v>10.5</v>
      </c>
      <c r="Q637">
        <v>2.1</v>
      </c>
      <c r="R637">
        <v>3</v>
      </c>
      <c r="S637">
        <v>3</v>
      </c>
      <c r="T637">
        <v>3</v>
      </c>
      <c r="U637" t="s">
        <v>23</v>
      </c>
      <c r="V637">
        <v>4</v>
      </c>
      <c r="W637">
        <f>COUNTIF($A$2:A637,A637)</f>
        <v>1</v>
      </c>
    </row>
    <row r="638" spans="1:23" x14ac:dyDescent="0.35">
      <c r="A638" t="s">
        <v>1520</v>
      </c>
      <c r="B638" s="2">
        <v>45218</v>
      </c>
      <c r="D638" t="s">
        <v>23</v>
      </c>
      <c r="E638">
        <v>40</v>
      </c>
      <c r="F638" t="s">
        <v>24</v>
      </c>
      <c r="G638" t="s">
        <v>37</v>
      </c>
      <c r="H638" t="s">
        <v>26</v>
      </c>
      <c r="I638" t="s">
        <v>68</v>
      </c>
      <c r="J638" t="s">
        <v>109</v>
      </c>
      <c r="K638">
        <v>3</v>
      </c>
      <c r="L638" t="s">
        <v>50</v>
      </c>
      <c r="M638">
        <v>85000</v>
      </c>
      <c r="N638">
        <v>4</v>
      </c>
      <c r="O638">
        <v>7.6</v>
      </c>
      <c r="P638">
        <v>2.2000000000000002</v>
      </c>
      <c r="Q638">
        <v>1.4</v>
      </c>
      <c r="R638">
        <v>3</v>
      </c>
      <c r="S638">
        <v>3</v>
      </c>
      <c r="T638">
        <v>4</v>
      </c>
      <c r="U638" t="s">
        <v>23</v>
      </c>
      <c r="V638">
        <v>5</v>
      </c>
      <c r="W638">
        <f>COUNTIF($A$2:A638,A638)</f>
        <v>1</v>
      </c>
    </row>
    <row r="639" spans="1:23" x14ac:dyDescent="0.35">
      <c r="A639" t="s">
        <v>1150</v>
      </c>
      <c r="B639" s="2">
        <v>44756</v>
      </c>
      <c r="D639" t="s">
        <v>23</v>
      </c>
      <c r="E639">
        <v>28</v>
      </c>
      <c r="F639" t="s">
        <v>36</v>
      </c>
      <c r="G639" t="s">
        <v>37</v>
      </c>
      <c r="H639" t="s">
        <v>32</v>
      </c>
      <c r="I639" t="s">
        <v>45</v>
      </c>
      <c r="J639" t="s">
        <v>164</v>
      </c>
      <c r="K639">
        <v>3</v>
      </c>
      <c r="L639" t="s">
        <v>34</v>
      </c>
      <c r="M639">
        <v>61000</v>
      </c>
      <c r="O639">
        <v>4.3</v>
      </c>
      <c r="P639">
        <v>3.5</v>
      </c>
      <c r="Q639">
        <v>1.6</v>
      </c>
      <c r="R639">
        <v>4</v>
      </c>
      <c r="S639">
        <v>3</v>
      </c>
      <c r="T639">
        <v>1</v>
      </c>
      <c r="U639" t="s">
        <v>23</v>
      </c>
      <c r="V639">
        <v>3</v>
      </c>
      <c r="W639">
        <f>COUNTIF($A$2:A639,A639)</f>
        <v>1</v>
      </c>
    </row>
    <row r="640" spans="1:23" x14ac:dyDescent="0.35">
      <c r="A640" t="s">
        <v>555</v>
      </c>
      <c r="B640" s="2">
        <v>42253</v>
      </c>
      <c r="D640" t="s">
        <v>23</v>
      </c>
      <c r="E640">
        <v>50</v>
      </c>
      <c r="F640" t="s">
        <v>36</v>
      </c>
      <c r="G640" t="s">
        <v>37</v>
      </c>
      <c r="H640" t="s">
        <v>58</v>
      </c>
      <c r="I640" t="s">
        <v>27</v>
      </c>
      <c r="J640" t="s">
        <v>33</v>
      </c>
      <c r="K640">
        <v>2</v>
      </c>
      <c r="L640" t="s">
        <v>84</v>
      </c>
      <c r="M640">
        <v>54000</v>
      </c>
      <c r="N640">
        <v>3.5</v>
      </c>
      <c r="O640">
        <v>14</v>
      </c>
      <c r="P640">
        <v>10.3</v>
      </c>
      <c r="Q640">
        <v>5.4</v>
      </c>
      <c r="R640">
        <v>3</v>
      </c>
      <c r="S640">
        <v>3</v>
      </c>
      <c r="T640">
        <v>4</v>
      </c>
      <c r="U640" t="s">
        <v>23</v>
      </c>
      <c r="V640">
        <v>3</v>
      </c>
      <c r="W640">
        <f>COUNTIF($A$2:A640,A640)</f>
        <v>1</v>
      </c>
    </row>
    <row r="641" spans="1:23" x14ac:dyDescent="0.35">
      <c r="A641" t="s">
        <v>407</v>
      </c>
      <c r="B641" s="2">
        <v>42055</v>
      </c>
      <c r="C641" s="2">
        <v>45870</v>
      </c>
      <c r="D641" t="s">
        <v>30</v>
      </c>
      <c r="E641">
        <v>40</v>
      </c>
      <c r="F641" t="s">
        <v>62</v>
      </c>
      <c r="G641" t="s">
        <v>25</v>
      </c>
      <c r="H641" t="s">
        <v>58</v>
      </c>
      <c r="I641" t="s">
        <v>45</v>
      </c>
      <c r="J641" t="s">
        <v>77</v>
      </c>
      <c r="K641">
        <v>2</v>
      </c>
      <c r="L641" t="s">
        <v>84</v>
      </c>
      <c r="M641">
        <v>68000</v>
      </c>
      <c r="N641">
        <v>2.7</v>
      </c>
      <c r="O641">
        <v>10.7</v>
      </c>
      <c r="P641">
        <v>10.4</v>
      </c>
      <c r="Q641">
        <v>0.2</v>
      </c>
      <c r="R641">
        <v>3</v>
      </c>
      <c r="S641">
        <v>4</v>
      </c>
      <c r="T641">
        <v>4</v>
      </c>
      <c r="U641" t="s">
        <v>23</v>
      </c>
      <c r="V641">
        <v>3</v>
      </c>
      <c r="W641">
        <f>COUNTIF($A$2:A641,A641)</f>
        <v>1</v>
      </c>
    </row>
    <row r="642" spans="1:23" x14ac:dyDescent="0.35">
      <c r="A642" t="s">
        <v>202</v>
      </c>
      <c r="B642" s="2">
        <v>41753</v>
      </c>
      <c r="D642" t="s">
        <v>23</v>
      </c>
      <c r="E642">
        <v>46</v>
      </c>
      <c r="F642" t="s">
        <v>24</v>
      </c>
      <c r="G642" t="s">
        <v>42</v>
      </c>
      <c r="H642" t="s">
        <v>58</v>
      </c>
      <c r="I642" t="s">
        <v>55</v>
      </c>
      <c r="J642" t="s">
        <v>80</v>
      </c>
      <c r="K642">
        <v>2</v>
      </c>
      <c r="L642" t="s">
        <v>66</v>
      </c>
      <c r="M642">
        <v>65000</v>
      </c>
      <c r="N642">
        <v>5.5</v>
      </c>
      <c r="O642">
        <v>18.100000000000001</v>
      </c>
      <c r="P642">
        <v>11.7</v>
      </c>
      <c r="Q642">
        <v>3.5</v>
      </c>
      <c r="R642">
        <v>3</v>
      </c>
      <c r="S642">
        <v>2</v>
      </c>
      <c r="T642">
        <v>3</v>
      </c>
      <c r="U642" t="s">
        <v>30</v>
      </c>
      <c r="V642">
        <v>5</v>
      </c>
      <c r="W642">
        <f>COUNTIF($A$2:A642,A642)</f>
        <v>1</v>
      </c>
    </row>
    <row r="643" spans="1:23" x14ac:dyDescent="0.35">
      <c r="A643" t="s">
        <v>202</v>
      </c>
      <c r="B643" s="2">
        <v>41753</v>
      </c>
      <c r="D643" t="s">
        <v>23</v>
      </c>
      <c r="E643">
        <v>46</v>
      </c>
      <c r="F643" t="s">
        <v>24</v>
      </c>
      <c r="G643" t="s">
        <v>42</v>
      </c>
      <c r="H643" t="s">
        <v>58</v>
      </c>
      <c r="I643" t="s">
        <v>55</v>
      </c>
      <c r="J643" t="s">
        <v>80</v>
      </c>
      <c r="K643">
        <v>2</v>
      </c>
      <c r="L643" t="s">
        <v>66</v>
      </c>
      <c r="M643">
        <v>65000</v>
      </c>
      <c r="N643">
        <v>5.5</v>
      </c>
      <c r="O643">
        <v>18.100000000000001</v>
      </c>
      <c r="P643">
        <v>11.7</v>
      </c>
      <c r="Q643">
        <v>3.5</v>
      </c>
      <c r="R643">
        <v>3</v>
      </c>
      <c r="S643">
        <v>2</v>
      </c>
      <c r="T643">
        <v>3</v>
      </c>
      <c r="U643" t="s">
        <v>30</v>
      </c>
      <c r="V643">
        <v>5</v>
      </c>
      <c r="W643">
        <f>COUNTIF($A$2:A643,A643)</f>
        <v>2</v>
      </c>
    </row>
    <row r="644" spans="1:23" x14ac:dyDescent="0.35">
      <c r="A644" t="s">
        <v>829</v>
      </c>
      <c r="B644" s="2">
        <v>45854</v>
      </c>
      <c r="C644" s="2">
        <v>45987</v>
      </c>
      <c r="D644" t="s">
        <v>30</v>
      </c>
      <c r="E644">
        <v>21</v>
      </c>
      <c r="F644" t="s">
        <v>36</v>
      </c>
      <c r="G644" t="s">
        <v>37</v>
      </c>
      <c r="H644" t="s">
        <v>26</v>
      </c>
      <c r="I644" t="s">
        <v>55</v>
      </c>
      <c r="J644" t="s">
        <v>80</v>
      </c>
      <c r="K644">
        <v>1</v>
      </c>
      <c r="L644" t="s">
        <v>50</v>
      </c>
      <c r="M644">
        <v>39000</v>
      </c>
      <c r="N644">
        <v>10.3</v>
      </c>
      <c r="O644">
        <v>6.6</v>
      </c>
      <c r="P644">
        <v>0.4</v>
      </c>
      <c r="Q644">
        <v>0</v>
      </c>
      <c r="R644">
        <v>2</v>
      </c>
      <c r="S644">
        <v>3</v>
      </c>
      <c r="T644">
        <v>3</v>
      </c>
      <c r="U644" t="s">
        <v>23</v>
      </c>
      <c r="V644">
        <v>4</v>
      </c>
      <c r="W644">
        <f>COUNTIF($A$2:A644,A644)</f>
        <v>1</v>
      </c>
    </row>
    <row r="645" spans="1:23" x14ac:dyDescent="0.35">
      <c r="A645" t="s">
        <v>93</v>
      </c>
      <c r="B645" s="2">
        <v>45889</v>
      </c>
      <c r="D645" t="s">
        <v>23</v>
      </c>
      <c r="E645">
        <v>26</v>
      </c>
      <c r="F645" t="s">
        <v>36</v>
      </c>
      <c r="G645" t="s">
        <v>25</v>
      </c>
      <c r="H645" t="s">
        <v>58</v>
      </c>
      <c r="I645" t="s">
        <v>38</v>
      </c>
      <c r="J645" t="s">
        <v>52</v>
      </c>
      <c r="K645">
        <v>1</v>
      </c>
      <c r="L645" t="s">
        <v>40</v>
      </c>
      <c r="M645">
        <v>39000</v>
      </c>
      <c r="N645">
        <v>5.3</v>
      </c>
      <c r="O645">
        <v>4.7</v>
      </c>
      <c r="P645">
        <v>0.4</v>
      </c>
      <c r="Q645">
        <v>0</v>
      </c>
      <c r="R645">
        <v>2</v>
      </c>
      <c r="S645">
        <v>3</v>
      </c>
      <c r="T645">
        <v>1</v>
      </c>
      <c r="U645" t="s">
        <v>23</v>
      </c>
      <c r="V645">
        <v>4</v>
      </c>
      <c r="W645">
        <f>COUNTIF($A$2:A645,A645)</f>
        <v>1</v>
      </c>
    </row>
    <row r="646" spans="1:23" x14ac:dyDescent="0.35">
      <c r="A646" t="s">
        <v>1591</v>
      </c>
      <c r="B646" s="2">
        <v>45186</v>
      </c>
      <c r="D646" t="s">
        <v>23</v>
      </c>
      <c r="E646">
        <v>27</v>
      </c>
      <c r="F646" t="s">
        <v>62</v>
      </c>
      <c r="G646" t="s">
        <v>37</v>
      </c>
      <c r="H646" t="s">
        <v>26</v>
      </c>
      <c r="I646" t="s">
        <v>55</v>
      </c>
      <c r="J646" t="s">
        <v>179</v>
      </c>
      <c r="K646">
        <v>1</v>
      </c>
      <c r="L646" t="s">
        <v>50</v>
      </c>
      <c r="M646">
        <v>36000</v>
      </c>
      <c r="N646">
        <v>5</v>
      </c>
      <c r="O646">
        <v>8.6</v>
      </c>
      <c r="P646">
        <v>2.2999999999999998</v>
      </c>
      <c r="Q646">
        <v>1.8</v>
      </c>
      <c r="R646">
        <v>2</v>
      </c>
      <c r="T646">
        <v>3</v>
      </c>
      <c r="U646" t="s">
        <v>23</v>
      </c>
      <c r="V646">
        <v>5</v>
      </c>
      <c r="W646">
        <f>COUNTIF($A$2:A646,A646)</f>
        <v>1</v>
      </c>
    </row>
    <row r="647" spans="1:23" x14ac:dyDescent="0.35">
      <c r="A647" t="s">
        <v>1226</v>
      </c>
      <c r="B647" s="2">
        <v>44706</v>
      </c>
      <c r="D647" t="s">
        <v>23</v>
      </c>
      <c r="E647">
        <v>39</v>
      </c>
      <c r="F647" t="s">
        <v>24</v>
      </c>
      <c r="G647" t="s">
        <v>42</v>
      </c>
      <c r="H647" t="s">
        <v>26</v>
      </c>
      <c r="I647" t="s">
        <v>48</v>
      </c>
      <c r="J647" t="s">
        <v>63</v>
      </c>
      <c r="K647">
        <v>2</v>
      </c>
      <c r="L647" t="s">
        <v>40</v>
      </c>
      <c r="M647">
        <v>53000</v>
      </c>
      <c r="N647">
        <v>9.1999999999999993</v>
      </c>
      <c r="O647">
        <v>6.5</v>
      </c>
      <c r="P647">
        <v>3.6</v>
      </c>
      <c r="Q647">
        <v>3</v>
      </c>
      <c r="R647">
        <v>2</v>
      </c>
      <c r="S647">
        <v>3</v>
      </c>
      <c r="T647">
        <v>3</v>
      </c>
      <c r="U647" t="s">
        <v>23</v>
      </c>
      <c r="V647">
        <v>1</v>
      </c>
      <c r="W647">
        <f>COUNTIF($A$2:A647,A647)</f>
        <v>1</v>
      </c>
    </row>
    <row r="648" spans="1:23" x14ac:dyDescent="0.35">
      <c r="A648" t="s">
        <v>674</v>
      </c>
      <c r="B648" s="2">
        <v>44687</v>
      </c>
      <c r="D648" t="s">
        <v>23</v>
      </c>
      <c r="E648">
        <v>31</v>
      </c>
      <c r="F648" t="s">
        <v>36</v>
      </c>
      <c r="G648" t="s">
        <v>42</v>
      </c>
      <c r="H648" t="s">
        <v>54</v>
      </c>
      <c r="I648" t="s">
        <v>45</v>
      </c>
      <c r="J648" t="s">
        <v>46</v>
      </c>
      <c r="K648">
        <v>2</v>
      </c>
      <c r="L648" t="s">
        <v>66</v>
      </c>
      <c r="M648">
        <v>49000</v>
      </c>
      <c r="N648">
        <v>19.5</v>
      </c>
      <c r="O648">
        <v>3.7</v>
      </c>
      <c r="P648">
        <v>3.7</v>
      </c>
      <c r="Q648">
        <v>0.7</v>
      </c>
      <c r="R648">
        <v>4</v>
      </c>
      <c r="S648">
        <v>3</v>
      </c>
      <c r="T648">
        <v>3</v>
      </c>
      <c r="U648" t="s">
        <v>23</v>
      </c>
      <c r="V648">
        <v>1</v>
      </c>
      <c r="W648">
        <f>COUNTIF($A$2:A648,A648)</f>
        <v>1</v>
      </c>
    </row>
    <row r="649" spans="1:23" x14ac:dyDescent="0.35">
      <c r="A649" t="s">
        <v>368</v>
      </c>
      <c r="B649" s="2">
        <v>42743</v>
      </c>
      <c r="C649" s="2">
        <v>45669</v>
      </c>
      <c r="D649" t="s">
        <v>30</v>
      </c>
      <c r="E649">
        <v>43</v>
      </c>
      <c r="F649" t="s">
        <v>24</v>
      </c>
      <c r="G649" t="s">
        <v>42</v>
      </c>
      <c r="H649" t="s">
        <v>32</v>
      </c>
      <c r="I649" t="s">
        <v>27</v>
      </c>
      <c r="J649" t="s">
        <v>43</v>
      </c>
      <c r="K649">
        <v>2</v>
      </c>
      <c r="L649" t="s">
        <v>40</v>
      </c>
      <c r="M649">
        <v>60000</v>
      </c>
      <c r="N649">
        <v>10.1</v>
      </c>
      <c r="O649">
        <v>12.2</v>
      </c>
      <c r="P649">
        <v>8</v>
      </c>
      <c r="Q649">
        <v>4.5999999999999996</v>
      </c>
      <c r="R649">
        <v>2</v>
      </c>
      <c r="S649">
        <v>2</v>
      </c>
      <c r="T649">
        <v>3</v>
      </c>
      <c r="U649" t="s">
        <v>23</v>
      </c>
      <c r="V649">
        <v>5</v>
      </c>
      <c r="W649">
        <f>COUNTIF($A$2:A649,A649)</f>
        <v>1</v>
      </c>
    </row>
    <row r="650" spans="1:23" x14ac:dyDescent="0.35">
      <c r="A650" t="s">
        <v>138</v>
      </c>
      <c r="B650" s="2">
        <v>43855</v>
      </c>
      <c r="D650" t="s">
        <v>23</v>
      </c>
      <c r="E650">
        <v>36</v>
      </c>
      <c r="F650" t="s">
        <v>24</v>
      </c>
      <c r="G650" t="s">
        <v>42</v>
      </c>
      <c r="H650" t="s">
        <v>32</v>
      </c>
      <c r="I650" t="s">
        <v>38</v>
      </c>
      <c r="J650" t="s">
        <v>139</v>
      </c>
      <c r="K650">
        <v>2</v>
      </c>
      <c r="L650" t="s">
        <v>40</v>
      </c>
      <c r="M650">
        <v>63000</v>
      </c>
      <c r="N650">
        <v>8.8000000000000007</v>
      </c>
      <c r="O650">
        <v>8.3000000000000007</v>
      </c>
      <c r="P650">
        <v>5.9</v>
      </c>
      <c r="Q650">
        <v>4.4000000000000004</v>
      </c>
      <c r="R650">
        <v>3</v>
      </c>
      <c r="S650">
        <v>3</v>
      </c>
      <c r="T650">
        <v>3</v>
      </c>
      <c r="U650" t="s">
        <v>23</v>
      </c>
      <c r="V650">
        <v>3</v>
      </c>
      <c r="W650">
        <f>COUNTIF($A$2:A650,A650)</f>
        <v>1</v>
      </c>
    </row>
    <row r="651" spans="1:23" x14ac:dyDescent="0.35">
      <c r="A651" t="s">
        <v>809</v>
      </c>
      <c r="B651" s="2">
        <v>45473</v>
      </c>
      <c r="D651" t="s">
        <v>23</v>
      </c>
      <c r="E651">
        <v>41</v>
      </c>
      <c r="F651" t="s">
        <v>36</v>
      </c>
      <c r="G651" t="s">
        <v>42</v>
      </c>
      <c r="H651" t="s">
        <v>26</v>
      </c>
      <c r="I651" t="s">
        <v>45</v>
      </c>
      <c r="J651" t="s">
        <v>77</v>
      </c>
      <c r="K651">
        <v>5</v>
      </c>
      <c r="L651" t="s">
        <v>66</v>
      </c>
      <c r="M651">
        <v>138000</v>
      </c>
      <c r="N651">
        <v>3.7</v>
      </c>
      <c r="O651">
        <v>3.1</v>
      </c>
      <c r="P651">
        <v>1.5</v>
      </c>
      <c r="Q651">
        <v>1.1000000000000001</v>
      </c>
      <c r="R651">
        <v>3</v>
      </c>
      <c r="S651">
        <v>3</v>
      </c>
      <c r="T651">
        <v>3</v>
      </c>
      <c r="U651" t="s">
        <v>23</v>
      </c>
      <c r="V651">
        <v>4</v>
      </c>
      <c r="W651">
        <f>COUNTIF($A$2:A651,A651)</f>
        <v>1</v>
      </c>
    </row>
    <row r="652" spans="1:23" x14ac:dyDescent="0.35">
      <c r="A652" t="s">
        <v>905</v>
      </c>
      <c r="B652" s="2">
        <v>45424</v>
      </c>
      <c r="D652" t="s">
        <v>23</v>
      </c>
      <c r="E652">
        <v>27</v>
      </c>
      <c r="F652" t="s">
        <v>62</v>
      </c>
      <c r="G652" t="s">
        <v>25</v>
      </c>
      <c r="H652" t="s">
        <v>58</v>
      </c>
      <c r="I652" t="s">
        <v>48</v>
      </c>
      <c r="J652" t="s">
        <v>201</v>
      </c>
      <c r="K652">
        <v>1</v>
      </c>
      <c r="L652" t="s">
        <v>34</v>
      </c>
      <c r="M652">
        <v>34000</v>
      </c>
      <c r="N652">
        <v>13.9</v>
      </c>
      <c r="O652">
        <v>5.2</v>
      </c>
      <c r="P652">
        <v>1.6</v>
      </c>
      <c r="Q652">
        <v>1.4</v>
      </c>
      <c r="R652">
        <v>4</v>
      </c>
      <c r="S652">
        <v>4</v>
      </c>
      <c r="T652">
        <v>2</v>
      </c>
      <c r="U652" t="s">
        <v>23</v>
      </c>
      <c r="V652">
        <v>3</v>
      </c>
      <c r="W652">
        <f>COUNTIF($A$2:A652,A652)</f>
        <v>1</v>
      </c>
    </row>
    <row r="653" spans="1:23" x14ac:dyDescent="0.35">
      <c r="A653" t="s">
        <v>441</v>
      </c>
      <c r="B653" s="2">
        <v>44534</v>
      </c>
      <c r="C653" s="2">
        <v>45994</v>
      </c>
      <c r="D653" t="s">
        <v>30</v>
      </c>
      <c r="E653">
        <v>33</v>
      </c>
      <c r="F653" t="s">
        <v>62</v>
      </c>
      <c r="G653" t="s">
        <v>42</v>
      </c>
      <c r="H653" t="s">
        <v>32</v>
      </c>
      <c r="I653" t="s">
        <v>38</v>
      </c>
      <c r="J653" t="s">
        <v>118</v>
      </c>
      <c r="K653">
        <v>2</v>
      </c>
      <c r="L653" t="s">
        <v>34</v>
      </c>
      <c r="M653">
        <v>60000</v>
      </c>
      <c r="N653">
        <v>12.4</v>
      </c>
      <c r="O653">
        <v>7</v>
      </c>
      <c r="P653">
        <v>4</v>
      </c>
      <c r="Q653">
        <v>0.6</v>
      </c>
      <c r="R653">
        <v>3</v>
      </c>
      <c r="S653">
        <v>3</v>
      </c>
      <c r="T653">
        <v>1</v>
      </c>
      <c r="U653" t="s">
        <v>23</v>
      </c>
      <c r="V653">
        <v>4</v>
      </c>
      <c r="W653">
        <f>COUNTIF($A$2:A653,A653)</f>
        <v>1</v>
      </c>
    </row>
    <row r="654" spans="1:23" x14ac:dyDescent="0.35">
      <c r="A654" t="s">
        <v>635</v>
      </c>
      <c r="B654" s="2">
        <v>44128</v>
      </c>
      <c r="D654" t="s">
        <v>23</v>
      </c>
      <c r="E654">
        <v>29</v>
      </c>
      <c r="F654" t="s">
        <v>24</v>
      </c>
      <c r="G654" t="s">
        <v>25</v>
      </c>
      <c r="H654" t="s">
        <v>54</v>
      </c>
      <c r="I654" t="s">
        <v>27</v>
      </c>
      <c r="J654" t="s">
        <v>28</v>
      </c>
      <c r="K654">
        <v>4</v>
      </c>
      <c r="L654" t="s">
        <v>29</v>
      </c>
      <c r="M654">
        <v>108000</v>
      </c>
      <c r="N654">
        <v>13.8</v>
      </c>
      <c r="O654">
        <v>6</v>
      </c>
      <c r="P654">
        <v>5.2</v>
      </c>
      <c r="Q654">
        <v>1.4</v>
      </c>
      <c r="R654">
        <v>3</v>
      </c>
      <c r="S654">
        <v>3</v>
      </c>
      <c r="T654">
        <v>4</v>
      </c>
      <c r="U654" t="s">
        <v>23</v>
      </c>
      <c r="V654">
        <v>4</v>
      </c>
      <c r="W654">
        <f>COUNTIF($A$2:A654,A654)</f>
        <v>1</v>
      </c>
    </row>
    <row r="655" spans="1:23" x14ac:dyDescent="0.35">
      <c r="A655" t="s">
        <v>1471</v>
      </c>
      <c r="B655" s="2">
        <v>45832</v>
      </c>
      <c r="D655" t="s">
        <v>23</v>
      </c>
      <c r="E655">
        <v>21</v>
      </c>
      <c r="F655" t="s">
        <v>36</v>
      </c>
      <c r="G655" t="s">
        <v>25</v>
      </c>
      <c r="H655" t="s">
        <v>54</v>
      </c>
      <c r="I655" t="s">
        <v>59</v>
      </c>
      <c r="J655" t="s">
        <v>60</v>
      </c>
      <c r="K655">
        <v>1</v>
      </c>
      <c r="L655" t="s">
        <v>40</v>
      </c>
      <c r="M655">
        <v>38000</v>
      </c>
      <c r="N655">
        <v>6.5</v>
      </c>
      <c r="O655">
        <v>4.5</v>
      </c>
      <c r="P655">
        <v>0.5</v>
      </c>
      <c r="Q655">
        <v>0</v>
      </c>
      <c r="R655">
        <v>2</v>
      </c>
      <c r="S655">
        <v>3</v>
      </c>
      <c r="T655">
        <v>2</v>
      </c>
      <c r="U655" t="s">
        <v>23</v>
      </c>
      <c r="V655">
        <v>3</v>
      </c>
      <c r="W655">
        <f>COUNTIF($A$2:A655,A655)</f>
        <v>1</v>
      </c>
    </row>
    <row r="656" spans="1:23" x14ac:dyDescent="0.35">
      <c r="A656" t="s">
        <v>377</v>
      </c>
      <c r="B656" s="2">
        <v>43868</v>
      </c>
      <c r="D656" t="s">
        <v>23</v>
      </c>
      <c r="E656">
        <v>29</v>
      </c>
      <c r="F656" t="s">
        <v>24</v>
      </c>
      <c r="G656" t="s">
        <v>42</v>
      </c>
      <c r="H656" t="s">
        <v>26</v>
      </c>
      <c r="I656" t="s">
        <v>27</v>
      </c>
      <c r="J656" t="s">
        <v>43</v>
      </c>
      <c r="K656">
        <v>2</v>
      </c>
      <c r="L656" t="s">
        <v>50</v>
      </c>
      <c r="M656">
        <v>49000</v>
      </c>
      <c r="N656">
        <v>6.6</v>
      </c>
      <c r="O656">
        <v>8.1999999999999993</v>
      </c>
      <c r="P656">
        <v>5.9</v>
      </c>
      <c r="Q656">
        <v>5</v>
      </c>
      <c r="R656">
        <v>4</v>
      </c>
      <c r="S656">
        <v>3</v>
      </c>
      <c r="T656">
        <v>4</v>
      </c>
      <c r="U656" t="s">
        <v>23</v>
      </c>
      <c r="V656">
        <v>5</v>
      </c>
      <c r="W656">
        <f>COUNTIF($A$2:A656,A656)</f>
        <v>1</v>
      </c>
    </row>
    <row r="657" spans="1:23" x14ac:dyDescent="0.35">
      <c r="A657" t="s">
        <v>1573</v>
      </c>
      <c r="B657" s="2">
        <v>44139</v>
      </c>
      <c r="D657" t="s">
        <v>23</v>
      </c>
      <c r="E657">
        <v>39</v>
      </c>
      <c r="F657" t="s">
        <v>36</v>
      </c>
      <c r="G657" t="s">
        <v>42</v>
      </c>
      <c r="H657" t="s">
        <v>26</v>
      </c>
      <c r="I657" t="s">
        <v>48</v>
      </c>
      <c r="J657" t="s">
        <v>63</v>
      </c>
      <c r="K657">
        <v>4</v>
      </c>
      <c r="L657" t="s">
        <v>84</v>
      </c>
      <c r="M657">
        <v>126000</v>
      </c>
      <c r="N657">
        <v>11.6</v>
      </c>
      <c r="O657">
        <v>5.8</v>
      </c>
      <c r="P657">
        <v>5.2</v>
      </c>
      <c r="Q657">
        <v>4</v>
      </c>
      <c r="R657">
        <v>3</v>
      </c>
      <c r="S657">
        <v>3</v>
      </c>
      <c r="T657">
        <v>1</v>
      </c>
      <c r="U657" t="s">
        <v>23</v>
      </c>
      <c r="V657">
        <v>3</v>
      </c>
      <c r="W657">
        <f>COUNTIF($A$2:A657,A657)</f>
        <v>1</v>
      </c>
    </row>
    <row r="658" spans="1:23" x14ac:dyDescent="0.35">
      <c r="A658" t="s">
        <v>64</v>
      </c>
      <c r="B658" s="2">
        <v>45709</v>
      </c>
      <c r="D658" t="s">
        <v>23</v>
      </c>
      <c r="E658">
        <v>32</v>
      </c>
      <c r="F658" t="s">
        <v>36</v>
      </c>
      <c r="G658" t="s">
        <v>25</v>
      </c>
      <c r="H658" t="s">
        <v>26</v>
      </c>
      <c r="I658" t="s">
        <v>27</v>
      </c>
      <c r="J658" t="s">
        <v>43</v>
      </c>
      <c r="K658">
        <v>1</v>
      </c>
      <c r="L658" t="s">
        <v>29</v>
      </c>
      <c r="M658">
        <v>32000</v>
      </c>
      <c r="N658">
        <v>11.4</v>
      </c>
      <c r="O658">
        <v>6.4</v>
      </c>
      <c r="P658">
        <v>0.9</v>
      </c>
      <c r="Q658">
        <v>0</v>
      </c>
      <c r="R658">
        <v>2</v>
      </c>
      <c r="S658">
        <v>2</v>
      </c>
      <c r="T658">
        <v>2</v>
      </c>
      <c r="U658" t="s">
        <v>30</v>
      </c>
      <c r="V658">
        <v>5</v>
      </c>
      <c r="W658">
        <f>COUNTIF($A$2:A658,A658)</f>
        <v>1</v>
      </c>
    </row>
    <row r="659" spans="1:23" x14ac:dyDescent="0.35">
      <c r="A659" t="s">
        <v>465</v>
      </c>
      <c r="B659" s="2">
        <v>43705</v>
      </c>
      <c r="C659" s="2">
        <v>45826</v>
      </c>
      <c r="D659" t="s">
        <v>30</v>
      </c>
      <c r="E659">
        <v>28</v>
      </c>
      <c r="F659" t="s">
        <v>62</v>
      </c>
      <c r="G659" t="s">
        <v>42</v>
      </c>
      <c r="H659" t="s">
        <v>26</v>
      </c>
      <c r="I659" t="s">
        <v>59</v>
      </c>
      <c r="J659" t="s">
        <v>75</v>
      </c>
      <c r="K659">
        <v>2</v>
      </c>
      <c r="L659" t="s">
        <v>40</v>
      </c>
      <c r="M659">
        <v>52000</v>
      </c>
      <c r="N659">
        <v>10.8</v>
      </c>
      <c r="O659">
        <v>11.3</v>
      </c>
      <c r="P659">
        <v>5.8</v>
      </c>
      <c r="Q659">
        <v>4.5999999999999996</v>
      </c>
      <c r="R659">
        <v>4</v>
      </c>
      <c r="S659">
        <v>3</v>
      </c>
      <c r="T659">
        <v>3</v>
      </c>
      <c r="U659" t="s">
        <v>30</v>
      </c>
      <c r="V659">
        <v>5</v>
      </c>
      <c r="W659">
        <f>COUNTIF($A$2:A659,A659)</f>
        <v>1</v>
      </c>
    </row>
    <row r="660" spans="1:23" x14ac:dyDescent="0.35">
      <c r="A660" t="s">
        <v>478</v>
      </c>
      <c r="B660" s="2">
        <v>42119</v>
      </c>
      <c r="D660" t="s">
        <v>23</v>
      </c>
      <c r="E660">
        <v>38</v>
      </c>
      <c r="F660" t="s">
        <v>36</v>
      </c>
      <c r="G660" t="s">
        <v>25</v>
      </c>
      <c r="H660" t="s">
        <v>54</v>
      </c>
      <c r="I660" t="s">
        <v>68</v>
      </c>
      <c r="J660" t="s">
        <v>109</v>
      </c>
      <c r="K660">
        <v>3</v>
      </c>
      <c r="L660" t="s">
        <v>40</v>
      </c>
      <c r="M660">
        <v>84000</v>
      </c>
      <c r="N660">
        <v>9.3000000000000007</v>
      </c>
      <c r="O660">
        <v>11.7</v>
      </c>
      <c r="P660">
        <v>10.7</v>
      </c>
      <c r="Q660">
        <v>3.2</v>
      </c>
      <c r="R660">
        <v>3</v>
      </c>
      <c r="S660">
        <v>3</v>
      </c>
      <c r="T660">
        <v>3</v>
      </c>
      <c r="U660" t="s">
        <v>23</v>
      </c>
      <c r="V660">
        <v>5</v>
      </c>
      <c r="W660">
        <f>COUNTIF($A$2:A660,A660)</f>
        <v>1</v>
      </c>
    </row>
    <row r="661" spans="1:23" x14ac:dyDescent="0.35">
      <c r="A661" t="s">
        <v>990</v>
      </c>
      <c r="B661" s="2">
        <v>42873</v>
      </c>
      <c r="D661" t="s">
        <v>23</v>
      </c>
      <c r="E661">
        <v>36</v>
      </c>
      <c r="F661" t="s">
        <v>24</v>
      </c>
      <c r="G661" t="s">
        <v>37</v>
      </c>
      <c r="H661" t="s">
        <v>32</v>
      </c>
      <c r="I661" t="s">
        <v>38</v>
      </c>
      <c r="J661" t="s">
        <v>39</v>
      </c>
      <c r="K661">
        <v>3</v>
      </c>
      <c r="L661" t="s">
        <v>34</v>
      </c>
      <c r="M661">
        <v>79000</v>
      </c>
      <c r="N661">
        <v>14.6</v>
      </c>
      <c r="O661">
        <v>13.8</v>
      </c>
      <c r="P661">
        <v>8.6</v>
      </c>
      <c r="Q661">
        <v>5.0999999999999996</v>
      </c>
      <c r="R661">
        <v>4</v>
      </c>
      <c r="S661">
        <v>3</v>
      </c>
      <c r="T661">
        <v>2</v>
      </c>
      <c r="U661" t="s">
        <v>23</v>
      </c>
      <c r="V661">
        <v>3</v>
      </c>
      <c r="W661">
        <f>COUNTIF($A$2:A661,A661)</f>
        <v>1</v>
      </c>
    </row>
    <row r="662" spans="1:23" x14ac:dyDescent="0.35">
      <c r="A662" t="s">
        <v>98</v>
      </c>
      <c r="B662" s="2">
        <v>45543</v>
      </c>
      <c r="D662" t="s">
        <v>23</v>
      </c>
      <c r="E662">
        <v>30</v>
      </c>
      <c r="F662" t="s">
        <v>62</v>
      </c>
      <c r="G662" t="s">
        <v>37</v>
      </c>
      <c r="H662" t="s">
        <v>32</v>
      </c>
      <c r="I662" t="s">
        <v>59</v>
      </c>
      <c r="J662" t="s">
        <v>60</v>
      </c>
      <c r="K662">
        <v>2</v>
      </c>
      <c r="L662" t="s">
        <v>40</v>
      </c>
      <c r="M662">
        <v>47000</v>
      </c>
      <c r="N662">
        <v>10.199999999999999</v>
      </c>
      <c r="O662">
        <v>8.1999999999999993</v>
      </c>
      <c r="P662">
        <v>1.3</v>
      </c>
      <c r="Q662">
        <v>1</v>
      </c>
      <c r="R662">
        <v>3</v>
      </c>
      <c r="S662">
        <v>3</v>
      </c>
      <c r="T662">
        <v>3</v>
      </c>
      <c r="U662" t="s">
        <v>30</v>
      </c>
      <c r="V662">
        <v>2</v>
      </c>
      <c r="W662">
        <f>COUNTIF($A$2:A662,A662)</f>
        <v>1</v>
      </c>
    </row>
    <row r="663" spans="1:23" x14ac:dyDescent="0.35">
      <c r="A663" t="s">
        <v>1523</v>
      </c>
      <c r="B663" s="2">
        <v>42204</v>
      </c>
      <c r="D663" t="s">
        <v>23</v>
      </c>
      <c r="E663">
        <v>34</v>
      </c>
      <c r="F663" t="s">
        <v>24</v>
      </c>
      <c r="G663" t="s">
        <v>42</v>
      </c>
      <c r="H663" t="s">
        <v>26</v>
      </c>
      <c r="I663" t="s">
        <v>68</v>
      </c>
      <c r="J663" t="s">
        <v>121</v>
      </c>
      <c r="K663">
        <v>5</v>
      </c>
      <c r="L663" t="s">
        <v>29</v>
      </c>
      <c r="M663">
        <v>156000</v>
      </c>
      <c r="N663">
        <v>15.8</v>
      </c>
      <c r="O663">
        <v>12.7</v>
      </c>
      <c r="P663">
        <v>10.5</v>
      </c>
      <c r="Q663">
        <v>1</v>
      </c>
      <c r="R663">
        <v>4</v>
      </c>
      <c r="S663">
        <v>3</v>
      </c>
      <c r="T663">
        <v>4</v>
      </c>
      <c r="U663" t="s">
        <v>23</v>
      </c>
      <c r="V663">
        <v>4</v>
      </c>
      <c r="W663">
        <f>COUNTIF($A$2:A663,A663)</f>
        <v>1</v>
      </c>
    </row>
    <row r="664" spans="1:23" x14ac:dyDescent="0.35">
      <c r="A664" t="s">
        <v>208</v>
      </c>
      <c r="B664" s="2">
        <v>43944</v>
      </c>
      <c r="D664" t="s">
        <v>23</v>
      </c>
      <c r="E664">
        <v>34</v>
      </c>
      <c r="F664" t="s">
        <v>36</v>
      </c>
      <c r="G664" t="s">
        <v>25</v>
      </c>
      <c r="H664" t="s">
        <v>54</v>
      </c>
      <c r="I664" t="s">
        <v>38</v>
      </c>
      <c r="J664" t="s">
        <v>139</v>
      </c>
      <c r="K664">
        <v>1</v>
      </c>
      <c r="L664" t="s">
        <v>66</v>
      </c>
      <c r="M664">
        <v>46000</v>
      </c>
      <c r="N664">
        <v>4.9000000000000004</v>
      </c>
      <c r="O664">
        <v>8.5</v>
      </c>
      <c r="P664">
        <v>5.7</v>
      </c>
      <c r="Q664">
        <v>0.7</v>
      </c>
      <c r="R664">
        <v>3</v>
      </c>
      <c r="S664">
        <v>3</v>
      </c>
      <c r="T664">
        <v>3</v>
      </c>
      <c r="U664" t="s">
        <v>30</v>
      </c>
      <c r="V664">
        <v>3</v>
      </c>
      <c r="W664">
        <f>COUNTIF($A$2:A664,A664)</f>
        <v>1</v>
      </c>
    </row>
    <row r="665" spans="1:23" x14ac:dyDescent="0.35">
      <c r="A665" t="s">
        <v>1127</v>
      </c>
      <c r="B665" s="2">
        <v>44333</v>
      </c>
      <c r="D665" t="s">
        <v>23</v>
      </c>
      <c r="E665">
        <v>46</v>
      </c>
      <c r="F665" t="s">
        <v>62</v>
      </c>
      <c r="G665" t="s">
        <v>42</v>
      </c>
      <c r="H665" t="s">
        <v>26</v>
      </c>
      <c r="I665" t="s">
        <v>68</v>
      </c>
      <c r="J665" t="s">
        <v>102</v>
      </c>
      <c r="K665">
        <v>2</v>
      </c>
      <c r="L665" t="s">
        <v>29</v>
      </c>
      <c r="M665">
        <v>51000</v>
      </c>
      <c r="N665">
        <v>5.6</v>
      </c>
      <c r="O665">
        <v>6.2</v>
      </c>
      <c r="P665">
        <v>4.5999999999999996</v>
      </c>
      <c r="Q665">
        <v>0.9</v>
      </c>
      <c r="R665">
        <v>3</v>
      </c>
      <c r="S665">
        <v>2</v>
      </c>
      <c r="T665">
        <v>3</v>
      </c>
      <c r="U665" t="s">
        <v>30</v>
      </c>
      <c r="V665">
        <v>4</v>
      </c>
      <c r="W665">
        <f>COUNTIF($A$2:A665,A665)</f>
        <v>1</v>
      </c>
    </row>
    <row r="666" spans="1:23" x14ac:dyDescent="0.35">
      <c r="A666" t="s">
        <v>1317</v>
      </c>
      <c r="B666" s="2">
        <v>44267</v>
      </c>
      <c r="C666" s="2">
        <v>45794</v>
      </c>
      <c r="D666" t="s">
        <v>30</v>
      </c>
      <c r="E666">
        <v>25</v>
      </c>
      <c r="F666" t="s">
        <v>36</v>
      </c>
      <c r="G666" t="s">
        <v>42</v>
      </c>
      <c r="H666" t="s">
        <v>54</v>
      </c>
      <c r="I666" t="s">
        <v>38</v>
      </c>
      <c r="J666" t="s">
        <v>139</v>
      </c>
      <c r="K666">
        <v>1</v>
      </c>
      <c r="L666" t="s">
        <v>50</v>
      </c>
      <c r="M666">
        <v>31000</v>
      </c>
      <c r="N666">
        <v>7.5</v>
      </c>
      <c r="O666">
        <v>6.1</v>
      </c>
      <c r="P666">
        <v>4.2</v>
      </c>
      <c r="Q666">
        <v>2.2000000000000002</v>
      </c>
      <c r="R666">
        <v>1</v>
      </c>
      <c r="S666">
        <v>3</v>
      </c>
      <c r="T666">
        <v>4</v>
      </c>
      <c r="U666" t="s">
        <v>30</v>
      </c>
      <c r="V666">
        <v>4</v>
      </c>
      <c r="W666">
        <f>COUNTIF($A$2:A666,A666)</f>
        <v>1</v>
      </c>
    </row>
    <row r="667" spans="1:23" x14ac:dyDescent="0.35">
      <c r="A667" t="s">
        <v>231</v>
      </c>
      <c r="B667" s="2">
        <v>45182</v>
      </c>
      <c r="D667" t="s">
        <v>23</v>
      </c>
      <c r="E667">
        <v>33</v>
      </c>
      <c r="F667" t="s">
        <v>62</v>
      </c>
      <c r="G667" t="s">
        <v>42</v>
      </c>
      <c r="H667" t="s">
        <v>32</v>
      </c>
      <c r="I667" t="s">
        <v>55</v>
      </c>
      <c r="J667" t="s">
        <v>88</v>
      </c>
      <c r="K667">
        <v>3</v>
      </c>
      <c r="L667" t="s">
        <v>40</v>
      </c>
      <c r="M667">
        <v>98000</v>
      </c>
      <c r="N667">
        <v>5.4</v>
      </c>
      <c r="O667">
        <v>4.5999999999999996</v>
      </c>
      <c r="P667">
        <v>2.2999999999999998</v>
      </c>
      <c r="Q667">
        <v>0</v>
      </c>
      <c r="R667">
        <v>3</v>
      </c>
      <c r="S667">
        <v>2</v>
      </c>
      <c r="T667">
        <v>4</v>
      </c>
      <c r="U667" t="s">
        <v>30</v>
      </c>
      <c r="V667">
        <v>4</v>
      </c>
      <c r="W667">
        <f>COUNTIF($A$2:A667,A667)</f>
        <v>1</v>
      </c>
    </row>
    <row r="668" spans="1:23" x14ac:dyDescent="0.35">
      <c r="A668" t="s">
        <v>1531</v>
      </c>
      <c r="B668" s="2">
        <v>44493</v>
      </c>
      <c r="D668" t="s">
        <v>23</v>
      </c>
      <c r="E668">
        <v>37</v>
      </c>
      <c r="F668" t="s">
        <v>24</v>
      </c>
      <c r="G668" t="s">
        <v>25</v>
      </c>
      <c r="H668" t="s">
        <v>58</v>
      </c>
      <c r="I668" t="s">
        <v>68</v>
      </c>
      <c r="J668" t="s">
        <v>102</v>
      </c>
      <c r="K668">
        <v>2</v>
      </c>
      <c r="L668" t="s">
        <v>34</v>
      </c>
      <c r="M668">
        <v>62000</v>
      </c>
      <c r="N668">
        <v>6.4</v>
      </c>
      <c r="O668">
        <v>7.6</v>
      </c>
      <c r="P668">
        <v>4.2</v>
      </c>
      <c r="Q668">
        <v>0.1</v>
      </c>
      <c r="R668">
        <v>4</v>
      </c>
      <c r="S668">
        <v>4</v>
      </c>
      <c r="T668">
        <v>4</v>
      </c>
      <c r="U668" t="s">
        <v>23</v>
      </c>
      <c r="V668">
        <v>3</v>
      </c>
      <c r="W668">
        <f>COUNTIF($A$2:A668,A668)</f>
        <v>1</v>
      </c>
    </row>
    <row r="669" spans="1:23" x14ac:dyDescent="0.35">
      <c r="A669" t="s">
        <v>209</v>
      </c>
      <c r="B669" s="2">
        <v>45075</v>
      </c>
      <c r="D669" t="s">
        <v>23</v>
      </c>
      <c r="E669">
        <v>25</v>
      </c>
      <c r="F669" t="s">
        <v>24</v>
      </c>
      <c r="G669" t="s">
        <v>37</v>
      </c>
      <c r="H669" t="s">
        <v>26</v>
      </c>
      <c r="I669" t="s">
        <v>27</v>
      </c>
      <c r="J669" t="s">
        <v>43</v>
      </c>
      <c r="K669">
        <v>1</v>
      </c>
      <c r="L669" t="s">
        <v>84</v>
      </c>
      <c r="M669">
        <v>40000</v>
      </c>
      <c r="N669">
        <v>9.6999999999999993</v>
      </c>
      <c r="O669">
        <v>7.1</v>
      </c>
      <c r="P669">
        <v>2.6</v>
      </c>
      <c r="Q669">
        <v>2.6</v>
      </c>
      <c r="R669">
        <v>2</v>
      </c>
      <c r="S669">
        <v>4</v>
      </c>
      <c r="T669">
        <v>3</v>
      </c>
      <c r="U669" t="s">
        <v>30</v>
      </c>
      <c r="V669">
        <v>2</v>
      </c>
      <c r="W669">
        <f>COUNTIF($A$2:A669,A669)</f>
        <v>1</v>
      </c>
    </row>
    <row r="670" spans="1:23" x14ac:dyDescent="0.35">
      <c r="A670" t="s">
        <v>1405</v>
      </c>
      <c r="B670" s="2">
        <v>45136</v>
      </c>
      <c r="D670" t="s">
        <v>23</v>
      </c>
      <c r="E670">
        <v>25</v>
      </c>
      <c r="F670" t="s">
        <v>62</v>
      </c>
      <c r="G670" t="s">
        <v>25</v>
      </c>
      <c r="H670" t="s">
        <v>54</v>
      </c>
      <c r="I670" t="s">
        <v>59</v>
      </c>
      <c r="J670" t="s">
        <v>150</v>
      </c>
      <c r="K670">
        <v>1</v>
      </c>
      <c r="L670" t="s">
        <v>50</v>
      </c>
      <c r="M670">
        <v>25000</v>
      </c>
      <c r="N670">
        <v>11.4</v>
      </c>
      <c r="O670">
        <v>6.3</v>
      </c>
      <c r="P670">
        <v>2.4</v>
      </c>
      <c r="Q670">
        <v>0.9</v>
      </c>
      <c r="R670">
        <v>4</v>
      </c>
      <c r="S670">
        <v>1</v>
      </c>
      <c r="T670">
        <v>3</v>
      </c>
      <c r="U670" t="s">
        <v>23</v>
      </c>
      <c r="V670">
        <v>4</v>
      </c>
      <c r="W670">
        <f>COUNTIF($A$2:A670,A670)</f>
        <v>1</v>
      </c>
    </row>
    <row r="671" spans="1:23" x14ac:dyDescent="0.35">
      <c r="A671" t="s">
        <v>638</v>
      </c>
      <c r="B671" s="2">
        <v>44159</v>
      </c>
      <c r="D671" t="s">
        <v>23</v>
      </c>
      <c r="E671">
        <v>36</v>
      </c>
      <c r="F671" t="s">
        <v>24</v>
      </c>
      <c r="G671" t="s">
        <v>37</v>
      </c>
      <c r="H671" t="s">
        <v>54</v>
      </c>
      <c r="I671" t="s">
        <v>68</v>
      </c>
      <c r="J671" t="s">
        <v>102</v>
      </c>
      <c r="K671">
        <v>2</v>
      </c>
      <c r="L671" t="s">
        <v>29</v>
      </c>
      <c r="M671">
        <v>40000</v>
      </c>
      <c r="N671">
        <v>12.4</v>
      </c>
      <c r="O671">
        <v>5.3</v>
      </c>
      <c r="P671">
        <v>5.0999999999999996</v>
      </c>
      <c r="Q671">
        <v>2.9</v>
      </c>
      <c r="R671">
        <v>4</v>
      </c>
      <c r="S671">
        <v>3</v>
      </c>
      <c r="T671">
        <v>3</v>
      </c>
      <c r="U671" t="s">
        <v>30</v>
      </c>
      <c r="V671">
        <v>3</v>
      </c>
      <c r="W671">
        <f>COUNTIF($A$2:A671,A671)</f>
        <v>1</v>
      </c>
    </row>
    <row r="672" spans="1:23" x14ac:dyDescent="0.35">
      <c r="A672" t="s">
        <v>621</v>
      </c>
      <c r="B672" s="2">
        <v>43012</v>
      </c>
      <c r="D672" t="s">
        <v>23</v>
      </c>
      <c r="E672">
        <v>37</v>
      </c>
      <c r="F672" t="s">
        <v>36</v>
      </c>
      <c r="G672" t="s">
        <v>42</v>
      </c>
      <c r="H672" t="s">
        <v>58</v>
      </c>
      <c r="I672" t="s">
        <v>38</v>
      </c>
      <c r="J672" t="s">
        <v>39</v>
      </c>
      <c r="K672">
        <v>4</v>
      </c>
      <c r="L672" t="s">
        <v>40</v>
      </c>
      <c r="M672">
        <v>130000</v>
      </c>
      <c r="N672">
        <v>6.2</v>
      </c>
      <c r="O672">
        <v>12.5</v>
      </c>
      <c r="P672">
        <v>8.1999999999999993</v>
      </c>
      <c r="Q672">
        <v>1.6</v>
      </c>
      <c r="R672">
        <v>3</v>
      </c>
      <c r="S672">
        <v>3</v>
      </c>
      <c r="T672">
        <v>4</v>
      </c>
      <c r="U672" t="s">
        <v>23</v>
      </c>
      <c r="V672">
        <v>3</v>
      </c>
      <c r="W672">
        <f>COUNTIF($A$2:A672,A672)</f>
        <v>1</v>
      </c>
    </row>
    <row r="673" spans="1:23" x14ac:dyDescent="0.35">
      <c r="A673" t="s">
        <v>81</v>
      </c>
      <c r="B673" s="2">
        <v>45387</v>
      </c>
      <c r="D673" t="s">
        <v>23</v>
      </c>
      <c r="E673">
        <v>35</v>
      </c>
      <c r="F673" t="s">
        <v>62</v>
      </c>
      <c r="G673" t="s">
        <v>37</v>
      </c>
      <c r="H673" t="s">
        <v>58</v>
      </c>
      <c r="I673" t="s">
        <v>38</v>
      </c>
      <c r="J673" t="s">
        <v>39</v>
      </c>
      <c r="K673">
        <v>4</v>
      </c>
      <c r="L673" t="s">
        <v>66</v>
      </c>
      <c r="M673">
        <v>119000</v>
      </c>
      <c r="N673">
        <v>5</v>
      </c>
      <c r="O673">
        <v>4.5</v>
      </c>
      <c r="P673">
        <v>1.7</v>
      </c>
      <c r="Q673">
        <v>0.2</v>
      </c>
      <c r="R673">
        <v>3</v>
      </c>
      <c r="S673">
        <v>1</v>
      </c>
      <c r="T673">
        <v>4</v>
      </c>
      <c r="U673" t="s">
        <v>23</v>
      </c>
      <c r="V673">
        <v>2</v>
      </c>
      <c r="W673">
        <f>COUNTIF($A$2:A673,A673)</f>
        <v>1</v>
      </c>
    </row>
    <row r="674" spans="1:23" x14ac:dyDescent="0.35">
      <c r="A674" t="s">
        <v>256</v>
      </c>
      <c r="B674" s="2">
        <v>44681</v>
      </c>
      <c r="C674" s="2">
        <v>45802</v>
      </c>
      <c r="D674" t="s">
        <v>30</v>
      </c>
      <c r="E674">
        <v>35</v>
      </c>
      <c r="F674" t="s">
        <v>24</v>
      </c>
      <c r="G674" t="s">
        <v>37</v>
      </c>
      <c r="H674" t="s">
        <v>58</v>
      </c>
      <c r="I674" t="s">
        <v>27</v>
      </c>
      <c r="J674" t="s">
        <v>95</v>
      </c>
      <c r="K674">
        <v>2</v>
      </c>
      <c r="L674" t="s">
        <v>40</v>
      </c>
      <c r="M674">
        <v>37000</v>
      </c>
      <c r="N674">
        <v>9.4</v>
      </c>
      <c r="O674">
        <v>9.6999999999999993</v>
      </c>
      <c r="P674">
        <v>3.1</v>
      </c>
      <c r="Q674">
        <v>0.4</v>
      </c>
      <c r="R674">
        <v>1</v>
      </c>
      <c r="S674">
        <v>3</v>
      </c>
      <c r="T674">
        <v>1</v>
      </c>
      <c r="U674" t="s">
        <v>23</v>
      </c>
      <c r="V674">
        <v>3</v>
      </c>
      <c r="W674">
        <f>COUNTIF($A$2:A674,A674)</f>
        <v>1</v>
      </c>
    </row>
    <row r="675" spans="1:23" x14ac:dyDescent="0.35">
      <c r="A675" t="s">
        <v>567</v>
      </c>
      <c r="B675" s="2">
        <v>43768</v>
      </c>
      <c r="D675" t="s">
        <v>23</v>
      </c>
      <c r="E675">
        <v>38</v>
      </c>
      <c r="F675" t="s">
        <v>36</v>
      </c>
      <c r="G675" t="s">
        <v>37</v>
      </c>
      <c r="H675" t="s">
        <v>26</v>
      </c>
      <c r="I675" t="s">
        <v>68</v>
      </c>
      <c r="J675" t="s">
        <v>69</v>
      </c>
      <c r="K675">
        <v>3</v>
      </c>
      <c r="L675" t="s">
        <v>34</v>
      </c>
      <c r="M675">
        <v>74000</v>
      </c>
      <c r="N675">
        <v>7.7</v>
      </c>
      <c r="O675">
        <v>11.9</v>
      </c>
      <c r="P675">
        <v>6.2</v>
      </c>
      <c r="Q675">
        <v>0.9</v>
      </c>
      <c r="R675">
        <v>3</v>
      </c>
      <c r="S675">
        <v>3</v>
      </c>
      <c r="T675">
        <v>3</v>
      </c>
      <c r="U675" t="s">
        <v>23</v>
      </c>
      <c r="V675">
        <v>5</v>
      </c>
      <c r="W675">
        <f>COUNTIF($A$2:A675,A675)</f>
        <v>1</v>
      </c>
    </row>
    <row r="676" spans="1:23" x14ac:dyDescent="0.35">
      <c r="A676" t="s">
        <v>268</v>
      </c>
      <c r="B676" s="2">
        <v>43191</v>
      </c>
      <c r="C676" s="2">
        <v>45791</v>
      </c>
      <c r="D676" t="s">
        <v>30</v>
      </c>
      <c r="E676">
        <v>35</v>
      </c>
      <c r="F676" t="s">
        <v>62</v>
      </c>
      <c r="G676" t="s">
        <v>37</v>
      </c>
      <c r="H676" t="s">
        <v>32</v>
      </c>
      <c r="I676" t="s">
        <v>68</v>
      </c>
      <c r="J676" t="s">
        <v>109</v>
      </c>
      <c r="K676">
        <v>4</v>
      </c>
      <c r="L676" t="s">
        <v>84</v>
      </c>
      <c r="M676">
        <v>113000</v>
      </c>
      <c r="N676">
        <v>10.9</v>
      </c>
      <c r="O676">
        <v>14.5</v>
      </c>
      <c r="P676">
        <v>7.1</v>
      </c>
      <c r="Q676">
        <v>3.6</v>
      </c>
      <c r="R676">
        <v>4</v>
      </c>
      <c r="S676">
        <v>2</v>
      </c>
      <c r="T676">
        <v>3</v>
      </c>
      <c r="U676" t="s">
        <v>23</v>
      </c>
      <c r="V676">
        <v>5</v>
      </c>
      <c r="W676">
        <f>COUNTIF($A$2:A676,A676)</f>
        <v>1</v>
      </c>
    </row>
    <row r="677" spans="1:23" x14ac:dyDescent="0.35">
      <c r="A677" t="s">
        <v>852</v>
      </c>
      <c r="B677" s="2">
        <v>44626</v>
      </c>
      <c r="D677" t="s">
        <v>23</v>
      </c>
      <c r="E677">
        <v>38</v>
      </c>
      <c r="F677" t="s">
        <v>36</v>
      </c>
      <c r="G677" t="s">
        <v>25</v>
      </c>
      <c r="H677" t="s">
        <v>58</v>
      </c>
      <c r="I677" t="s">
        <v>55</v>
      </c>
      <c r="J677" t="s">
        <v>80</v>
      </c>
      <c r="K677">
        <v>3</v>
      </c>
      <c r="L677" t="s">
        <v>66</v>
      </c>
      <c r="M677">
        <v>95000</v>
      </c>
      <c r="N677">
        <v>4.9000000000000004</v>
      </c>
      <c r="O677">
        <v>8.1999999999999993</v>
      </c>
      <c r="P677">
        <v>3.8</v>
      </c>
      <c r="Q677">
        <v>1.4</v>
      </c>
      <c r="R677">
        <v>3</v>
      </c>
      <c r="S677">
        <v>4</v>
      </c>
      <c r="T677">
        <v>3</v>
      </c>
      <c r="U677" t="s">
        <v>30</v>
      </c>
      <c r="V677">
        <v>2</v>
      </c>
      <c r="W677">
        <f>COUNTIF($A$2:A677,A677)</f>
        <v>1</v>
      </c>
    </row>
    <row r="678" spans="1:23" x14ac:dyDescent="0.35">
      <c r="A678" t="s">
        <v>258</v>
      </c>
      <c r="B678" s="2">
        <v>44085</v>
      </c>
      <c r="C678" s="2">
        <v>45944</v>
      </c>
      <c r="D678" t="s">
        <v>30</v>
      </c>
      <c r="E678">
        <v>33</v>
      </c>
      <c r="F678" t="s">
        <v>24</v>
      </c>
      <c r="G678" t="s">
        <v>25</v>
      </c>
      <c r="H678" t="s">
        <v>58</v>
      </c>
      <c r="I678" t="s">
        <v>45</v>
      </c>
      <c r="J678" t="s">
        <v>77</v>
      </c>
      <c r="K678">
        <v>3</v>
      </c>
      <c r="L678" t="s">
        <v>40</v>
      </c>
      <c r="M678">
        <v>71000</v>
      </c>
      <c r="N678">
        <v>10.3</v>
      </c>
      <c r="O678">
        <v>5.3</v>
      </c>
      <c r="P678">
        <v>5.0999999999999996</v>
      </c>
      <c r="Q678">
        <v>3.9</v>
      </c>
      <c r="R678">
        <v>3</v>
      </c>
      <c r="S678">
        <v>2</v>
      </c>
      <c r="T678">
        <v>2</v>
      </c>
      <c r="U678" t="s">
        <v>23</v>
      </c>
      <c r="V678">
        <v>5</v>
      </c>
      <c r="W678">
        <f>COUNTIF($A$2:A678,A678)</f>
        <v>1</v>
      </c>
    </row>
    <row r="679" spans="1:23" x14ac:dyDescent="0.35">
      <c r="A679" t="s">
        <v>566</v>
      </c>
      <c r="B679" s="2">
        <v>42301</v>
      </c>
      <c r="D679" t="s">
        <v>23</v>
      </c>
      <c r="E679">
        <v>41</v>
      </c>
      <c r="F679" t="s">
        <v>62</v>
      </c>
      <c r="G679" t="s">
        <v>37</v>
      </c>
      <c r="H679" t="s">
        <v>58</v>
      </c>
      <c r="I679" t="s">
        <v>27</v>
      </c>
      <c r="J679" t="s">
        <v>28</v>
      </c>
      <c r="K679">
        <v>1</v>
      </c>
      <c r="L679" t="s">
        <v>66</v>
      </c>
      <c r="M679">
        <v>22000</v>
      </c>
      <c r="N679">
        <v>11.5</v>
      </c>
      <c r="O679">
        <v>16.3</v>
      </c>
      <c r="P679">
        <v>10.199999999999999</v>
      </c>
      <c r="Q679">
        <v>3.1</v>
      </c>
      <c r="R679">
        <v>3</v>
      </c>
      <c r="S679">
        <v>4</v>
      </c>
      <c r="T679">
        <v>2</v>
      </c>
      <c r="U679" t="s">
        <v>30</v>
      </c>
      <c r="V679">
        <v>3</v>
      </c>
      <c r="W679">
        <f>COUNTIF($A$2:A679,A679)</f>
        <v>1</v>
      </c>
    </row>
    <row r="680" spans="1:23" x14ac:dyDescent="0.35">
      <c r="A680" t="s">
        <v>349</v>
      </c>
      <c r="B680" s="2">
        <v>42962</v>
      </c>
      <c r="D680" t="s">
        <v>23</v>
      </c>
      <c r="E680">
        <v>36</v>
      </c>
      <c r="F680" t="s">
        <v>36</v>
      </c>
      <c r="G680" t="s">
        <v>37</v>
      </c>
      <c r="H680" t="s">
        <v>32</v>
      </c>
      <c r="I680" t="s">
        <v>38</v>
      </c>
      <c r="J680" t="s">
        <v>39</v>
      </c>
      <c r="K680">
        <v>3</v>
      </c>
      <c r="L680" t="s">
        <v>29</v>
      </c>
      <c r="M680">
        <v>96000</v>
      </c>
      <c r="N680">
        <v>17</v>
      </c>
      <c r="O680">
        <v>12.5</v>
      </c>
      <c r="P680">
        <v>8.4</v>
      </c>
      <c r="Q680">
        <v>4.3</v>
      </c>
      <c r="R680">
        <v>2</v>
      </c>
      <c r="S680">
        <v>3</v>
      </c>
      <c r="T680">
        <v>3</v>
      </c>
      <c r="U680" t="s">
        <v>23</v>
      </c>
      <c r="V680">
        <v>4</v>
      </c>
      <c r="W680">
        <f>COUNTIF($A$2:A680,A680)</f>
        <v>1</v>
      </c>
    </row>
    <row r="681" spans="1:23" x14ac:dyDescent="0.35">
      <c r="A681" t="s">
        <v>495</v>
      </c>
      <c r="B681" s="2">
        <v>44584</v>
      </c>
      <c r="D681" t="s">
        <v>23</v>
      </c>
      <c r="E681">
        <v>35</v>
      </c>
      <c r="F681" t="s">
        <v>24</v>
      </c>
      <c r="G681" t="s">
        <v>37</v>
      </c>
      <c r="H681" t="s">
        <v>32</v>
      </c>
      <c r="I681" t="s">
        <v>45</v>
      </c>
      <c r="J681" t="s">
        <v>97</v>
      </c>
      <c r="K681">
        <v>2</v>
      </c>
      <c r="L681" t="s">
        <v>50</v>
      </c>
      <c r="M681">
        <v>59000</v>
      </c>
      <c r="N681">
        <v>9.6</v>
      </c>
      <c r="O681">
        <v>9.4</v>
      </c>
      <c r="P681">
        <v>3.9</v>
      </c>
      <c r="Q681">
        <v>0.4</v>
      </c>
      <c r="R681">
        <v>1</v>
      </c>
      <c r="S681">
        <v>1</v>
      </c>
      <c r="T681">
        <v>3</v>
      </c>
      <c r="U681" t="s">
        <v>23</v>
      </c>
      <c r="V681">
        <v>2</v>
      </c>
      <c r="W681">
        <f>COUNTIF($A$2:A681,A681)</f>
        <v>1</v>
      </c>
    </row>
    <row r="682" spans="1:23" x14ac:dyDescent="0.35">
      <c r="A682" t="s">
        <v>1114</v>
      </c>
      <c r="B682" s="2">
        <v>44178</v>
      </c>
      <c r="D682" t="s">
        <v>23</v>
      </c>
      <c r="E682">
        <v>31</v>
      </c>
      <c r="F682" t="s">
        <v>62</v>
      </c>
      <c r="G682" t="s">
        <v>42</v>
      </c>
      <c r="H682" t="s">
        <v>26</v>
      </c>
      <c r="I682" t="s">
        <v>48</v>
      </c>
      <c r="J682" t="s">
        <v>63</v>
      </c>
      <c r="K682">
        <v>4</v>
      </c>
      <c r="L682" t="s">
        <v>34</v>
      </c>
      <c r="M682">
        <v>129000</v>
      </c>
      <c r="N682">
        <v>5.7</v>
      </c>
      <c r="O682">
        <v>12.9</v>
      </c>
      <c r="P682">
        <v>5</v>
      </c>
      <c r="Q682">
        <v>4.0999999999999996</v>
      </c>
      <c r="R682">
        <v>2</v>
      </c>
      <c r="S682">
        <v>4</v>
      </c>
      <c r="T682">
        <v>3</v>
      </c>
      <c r="U682" t="s">
        <v>30</v>
      </c>
      <c r="V682">
        <v>4</v>
      </c>
      <c r="W682">
        <f>COUNTIF($A$2:A682,A682)</f>
        <v>1</v>
      </c>
    </row>
    <row r="683" spans="1:23" x14ac:dyDescent="0.35">
      <c r="A683" t="s">
        <v>747</v>
      </c>
      <c r="B683" s="2">
        <v>42415</v>
      </c>
      <c r="D683" t="s">
        <v>23</v>
      </c>
      <c r="E683">
        <v>36</v>
      </c>
      <c r="F683" t="s">
        <v>36</v>
      </c>
      <c r="G683" t="s">
        <v>42</v>
      </c>
      <c r="H683" t="s">
        <v>58</v>
      </c>
      <c r="I683" t="s">
        <v>55</v>
      </c>
      <c r="J683" t="s">
        <v>56</v>
      </c>
      <c r="K683">
        <v>2</v>
      </c>
      <c r="L683" t="s">
        <v>34</v>
      </c>
      <c r="M683">
        <v>49000</v>
      </c>
      <c r="N683">
        <v>10.5</v>
      </c>
      <c r="O683">
        <v>14.2</v>
      </c>
      <c r="P683">
        <v>9.9</v>
      </c>
      <c r="Q683">
        <v>2.9</v>
      </c>
      <c r="R683">
        <v>2</v>
      </c>
      <c r="S683">
        <v>3</v>
      </c>
      <c r="T683">
        <v>3</v>
      </c>
      <c r="U683" t="s">
        <v>23</v>
      </c>
      <c r="V683">
        <v>5</v>
      </c>
      <c r="W683">
        <f>COUNTIF($A$2:A683,A683)</f>
        <v>1</v>
      </c>
    </row>
    <row r="684" spans="1:23" x14ac:dyDescent="0.35">
      <c r="A684" t="s">
        <v>271</v>
      </c>
      <c r="B684" s="2">
        <v>42437</v>
      </c>
      <c r="C684" s="2">
        <v>45857</v>
      </c>
      <c r="D684" t="s">
        <v>30</v>
      </c>
      <c r="E684">
        <v>37</v>
      </c>
      <c r="F684" t="s">
        <v>24</v>
      </c>
      <c r="G684" t="s">
        <v>42</v>
      </c>
      <c r="H684" t="s">
        <v>32</v>
      </c>
      <c r="I684" t="s">
        <v>48</v>
      </c>
      <c r="J684" t="s">
        <v>63</v>
      </c>
      <c r="K684">
        <v>3</v>
      </c>
      <c r="L684" t="s">
        <v>34</v>
      </c>
      <c r="M684">
        <v>88000</v>
      </c>
      <c r="N684">
        <v>6.6</v>
      </c>
      <c r="O684">
        <v>9.5</v>
      </c>
      <c r="P684">
        <v>9.4</v>
      </c>
      <c r="Q684">
        <v>1.8</v>
      </c>
      <c r="R684">
        <v>3</v>
      </c>
      <c r="S684">
        <v>3</v>
      </c>
      <c r="T684">
        <v>4</v>
      </c>
      <c r="U684" t="s">
        <v>30</v>
      </c>
      <c r="V684">
        <v>4</v>
      </c>
      <c r="W684">
        <f>COUNTIF($A$2:A684,A684)</f>
        <v>1</v>
      </c>
    </row>
    <row r="685" spans="1:23" x14ac:dyDescent="0.35">
      <c r="A685" t="s">
        <v>667</v>
      </c>
      <c r="B685" s="2">
        <v>41717</v>
      </c>
      <c r="D685" t="s">
        <v>23</v>
      </c>
      <c r="E685">
        <v>47</v>
      </c>
      <c r="F685" t="s">
        <v>36</v>
      </c>
      <c r="G685" t="s">
        <v>25</v>
      </c>
      <c r="H685" t="s">
        <v>58</v>
      </c>
      <c r="I685" t="s">
        <v>45</v>
      </c>
      <c r="J685" t="s">
        <v>46</v>
      </c>
      <c r="K685">
        <v>2</v>
      </c>
      <c r="L685" t="s">
        <v>34</v>
      </c>
      <c r="M685">
        <v>45000</v>
      </c>
      <c r="N685">
        <v>4.8</v>
      </c>
      <c r="O685">
        <v>14.6</v>
      </c>
      <c r="P685">
        <v>11.8</v>
      </c>
      <c r="Q685">
        <v>4.2</v>
      </c>
      <c r="R685">
        <v>4</v>
      </c>
      <c r="S685">
        <v>3</v>
      </c>
      <c r="T685">
        <v>2</v>
      </c>
      <c r="U685" t="s">
        <v>23</v>
      </c>
      <c r="V685">
        <v>4</v>
      </c>
      <c r="W685">
        <f>COUNTIF($A$2:A685,A685)</f>
        <v>1</v>
      </c>
    </row>
    <row r="686" spans="1:23" x14ac:dyDescent="0.35">
      <c r="A686" t="s">
        <v>735</v>
      </c>
      <c r="B686" s="2">
        <v>42654</v>
      </c>
      <c r="D686" t="s">
        <v>23</v>
      </c>
      <c r="E686">
        <v>47</v>
      </c>
      <c r="F686" t="s">
        <v>62</v>
      </c>
      <c r="G686" t="s">
        <v>25</v>
      </c>
      <c r="H686" t="s">
        <v>58</v>
      </c>
      <c r="I686" t="s">
        <v>45</v>
      </c>
      <c r="J686" t="s">
        <v>97</v>
      </c>
      <c r="K686">
        <v>2</v>
      </c>
      <c r="L686" t="s">
        <v>40</v>
      </c>
      <c r="M686">
        <v>50000</v>
      </c>
      <c r="N686">
        <v>13</v>
      </c>
      <c r="O686">
        <v>14.4</v>
      </c>
      <c r="P686">
        <v>9.1999999999999993</v>
      </c>
      <c r="Q686">
        <v>2.2999999999999998</v>
      </c>
      <c r="R686">
        <v>3</v>
      </c>
      <c r="S686">
        <v>3</v>
      </c>
      <c r="T686">
        <v>3</v>
      </c>
      <c r="U686" t="s">
        <v>23</v>
      </c>
      <c r="V686">
        <v>4</v>
      </c>
      <c r="W686">
        <f>COUNTIF($A$2:A686,A686)</f>
        <v>1</v>
      </c>
    </row>
    <row r="687" spans="1:23" x14ac:dyDescent="0.35">
      <c r="A687" t="s">
        <v>899</v>
      </c>
      <c r="B687" s="2">
        <v>44280</v>
      </c>
      <c r="C687" s="2">
        <v>45673</v>
      </c>
      <c r="D687" t="s">
        <v>30</v>
      </c>
      <c r="E687">
        <v>28</v>
      </c>
      <c r="F687" t="s">
        <v>36</v>
      </c>
      <c r="G687" t="s">
        <v>42</v>
      </c>
      <c r="H687" t="s">
        <v>32</v>
      </c>
      <c r="I687" t="s">
        <v>45</v>
      </c>
      <c r="J687" t="s">
        <v>77</v>
      </c>
      <c r="K687">
        <v>3</v>
      </c>
      <c r="L687" t="s">
        <v>29</v>
      </c>
      <c r="M687">
        <v>68000</v>
      </c>
      <c r="N687">
        <v>13.9</v>
      </c>
      <c r="O687">
        <v>10.6</v>
      </c>
      <c r="P687">
        <v>3.8</v>
      </c>
      <c r="Q687">
        <v>0.6</v>
      </c>
      <c r="R687">
        <v>4</v>
      </c>
      <c r="S687">
        <v>2</v>
      </c>
      <c r="T687">
        <v>2</v>
      </c>
      <c r="U687" t="s">
        <v>23</v>
      </c>
      <c r="V687">
        <v>5</v>
      </c>
      <c r="W687">
        <f>COUNTIF($A$2:A687,A687)</f>
        <v>1</v>
      </c>
    </row>
    <row r="688" spans="1:23" x14ac:dyDescent="0.35">
      <c r="A688" t="s">
        <v>1144</v>
      </c>
      <c r="B688" s="2">
        <v>42149</v>
      </c>
      <c r="D688" t="s">
        <v>23</v>
      </c>
      <c r="E688">
        <v>37</v>
      </c>
      <c r="F688" t="s">
        <v>36</v>
      </c>
      <c r="G688" t="s">
        <v>42</v>
      </c>
      <c r="H688" t="s">
        <v>26</v>
      </c>
      <c r="I688" t="s">
        <v>59</v>
      </c>
      <c r="J688" t="s">
        <v>86</v>
      </c>
      <c r="K688">
        <v>2</v>
      </c>
      <c r="L688" t="s">
        <v>40</v>
      </c>
      <c r="M688">
        <v>44000</v>
      </c>
      <c r="N688">
        <v>16.899999999999999</v>
      </c>
      <c r="O688">
        <v>18</v>
      </c>
      <c r="P688">
        <v>10.6</v>
      </c>
      <c r="Q688">
        <v>0.4</v>
      </c>
      <c r="R688">
        <v>3</v>
      </c>
      <c r="S688">
        <v>3</v>
      </c>
      <c r="T688">
        <v>1</v>
      </c>
      <c r="U688" t="s">
        <v>23</v>
      </c>
      <c r="V688">
        <v>4</v>
      </c>
      <c r="W688">
        <f>COUNTIF($A$2:A688,A688)</f>
        <v>1</v>
      </c>
    </row>
    <row r="689" spans="1:23" x14ac:dyDescent="0.35">
      <c r="A689" t="s">
        <v>690</v>
      </c>
      <c r="B689" s="2">
        <v>44437</v>
      </c>
      <c r="D689" t="s">
        <v>23</v>
      </c>
      <c r="E689">
        <v>31</v>
      </c>
      <c r="F689" t="s">
        <v>62</v>
      </c>
      <c r="G689" t="s">
        <v>37</v>
      </c>
      <c r="H689" t="s">
        <v>26</v>
      </c>
      <c r="I689" t="s">
        <v>68</v>
      </c>
      <c r="J689" t="s">
        <v>102</v>
      </c>
      <c r="K689">
        <v>3</v>
      </c>
      <c r="L689" t="s">
        <v>66</v>
      </c>
      <c r="M689">
        <v>80000</v>
      </c>
      <c r="N689">
        <v>15.2</v>
      </c>
      <c r="O689">
        <v>6.4</v>
      </c>
      <c r="P689">
        <v>4.3</v>
      </c>
      <c r="Q689">
        <v>1.9</v>
      </c>
      <c r="R689">
        <v>3</v>
      </c>
      <c r="S689">
        <v>3</v>
      </c>
      <c r="T689">
        <v>2</v>
      </c>
      <c r="U689" t="s">
        <v>23</v>
      </c>
      <c r="V689">
        <v>2</v>
      </c>
      <c r="W689">
        <f>COUNTIF($A$2:A689,A689)</f>
        <v>1</v>
      </c>
    </row>
    <row r="690" spans="1:23" x14ac:dyDescent="0.35">
      <c r="A690" t="s">
        <v>725</v>
      </c>
      <c r="B690" s="2">
        <v>42451</v>
      </c>
      <c r="D690" t="s">
        <v>23</v>
      </c>
      <c r="E690">
        <v>36</v>
      </c>
      <c r="F690" t="s">
        <v>62</v>
      </c>
      <c r="G690" t="s">
        <v>25</v>
      </c>
      <c r="H690" t="s">
        <v>54</v>
      </c>
      <c r="I690" t="s">
        <v>38</v>
      </c>
      <c r="J690" t="s">
        <v>118</v>
      </c>
      <c r="K690">
        <v>2</v>
      </c>
      <c r="L690" t="s">
        <v>40</v>
      </c>
      <c r="M690">
        <v>64000</v>
      </c>
      <c r="N690">
        <v>9.1999999999999993</v>
      </c>
      <c r="O690">
        <v>14.1</v>
      </c>
      <c r="P690">
        <v>9.8000000000000007</v>
      </c>
      <c r="Q690">
        <v>0.4</v>
      </c>
      <c r="R690">
        <v>3</v>
      </c>
      <c r="S690">
        <v>2</v>
      </c>
      <c r="T690">
        <v>3</v>
      </c>
      <c r="U690" t="s">
        <v>23</v>
      </c>
      <c r="V690">
        <v>5</v>
      </c>
      <c r="W690">
        <f>COUNTIF($A$2:A690,A690)</f>
        <v>1</v>
      </c>
    </row>
    <row r="691" spans="1:23" x14ac:dyDescent="0.35">
      <c r="A691" t="s">
        <v>731</v>
      </c>
      <c r="B691" s="2">
        <v>45767</v>
      </c>
      <c r="D691" t="s">
        <v>23</v>
      </c>
      <c r="E691">
        <v>21</v>
      </c>
      <c r="F691" t="s">
        <v>24</v>
      </c>
      <c r="G691" t="s">
        <v>25</v>
      </c>
      <c r="H691" t="s">
        <v>26</v>
      </c>
      <c r="I691" t="s">
        <v>59</v>
      </c>
      <c r="J691" t="s">
        <v>86</v>
      </c>
      <c r="K691">
        <v>1</v>
      </c>
      <c r="L691" t="s">
        <v>40</v>
      </c>
      <c r="M691">
        <v>30000</v>
      </c>
      <c r="N691">
        <v>10</v>
      </c>
      <c r="O691">
        <v>5.2</v>
      </c>
      <c r="P691">
        <v>0.7</v>
      </c>
      <c r="Q691">
        <v>0</v>
      </c>
      <c r="R691">
        <v>3</v>
      </c>
      <c r="S691">
        <v>1</v>
      </c>
      <c r="T691">
        <v>3</v>
      </c>
      <c r="U691" t="s">
        <v>23</v>
      </c>
      <c r="V691">
        <v>3</v>
      </c>
      <c r="W691">
        <f>COUNTIF($A$2:A691,A691)</f>
        <v>1</v>
      </c>
    </row>
    <row r="692" spans="1:23" x14ac:dyDescent="0.35">
      <c r="A692" t="s">
        <v>1224</v>
      </c>
      <c r="B692" s="2">
        <v>43782</v>
      </c>
      <c r="C692" s="2">
        <v>45806</v>
      </c>
      <c r="D692" t="s">
        <v>30</v>
      </c>
      <c r="E692">
        <v>36</v>
      </c>
      <c r="F692" t="s">
        <v>36</v>
      </c>
      <c r="G692" t="s">
        <v>37</v>
      </c>
      <c r="H692" t="s">
        <v>32</v>
      </c>
      <c r="I692" t="s">
        <v>59</v>
      </c>
      <c r="J692" t="s">
        <v>150</v>
      </c>
      <c r="K692">
        <v>2</v>
      </c>
      <c r="L692" t="s">
        <v>66</v>
      </c>
      <c r="M692">
        <v>50000</v>
      </c>
      <c r="N692">
        <v>16</v>
      </c>
      <c r="O692">
        <v>12.9</v>
      </c>
      <c r="P692">
        <v>5.5</v>
      </c>
      <c r="Q692">
        <v>1.4</v>
      </c>
      <c r="R692">
        <v>3</v>
      </c>
      <c r="S692">
        <v>3</v>
      </c>
      <c r="T692">
        <v>2</v>
      </c>
      <c r="U692" t="s">
        <v>30</v>
      </c>
      <c r="V692">
        <v>5</v>
      </c>
      <c r="W692">
        <f>COUNTIF($A$2:A692,A692)</f>
        <v>1</v>
      </c>
    </row>
    <row r="693" spans="1:23" x14ac:dyDescent="0.35">
      <c r="A693" t="s">
        <v>1489</v>
      </c>
      <c r="B693" s="2">
        <v>45712</v>
      </c>
      <c r="D693" t="s">
        <v>23</v>
      </c>
      <c r="E693">
        <v>30</v>
      </c>
      <c r="F693" t="s">
        <v>36</v>
      </c>
      <c r="G693" t="s">
        <v>37</v>
      </c>
      <c r="H693" t="s">
        <v>32</v>
      </c>
      <c r="I693" t="s">
        <v>27</v>
      </c>
      <c r="J693" t="s">
        <v>28</v>
      </c>
      <c r="K693">
        <v>2</v>
      </c>
      <c r="L693" t="s">
        <v>40</v>
      </c>
      <c r="M693">
        <v>49000</v>
      </c>
      <c r="N693">
        <v>8.6999999999999993</v>
      </c>
      <c r="O693">
        <v>8.1999999999999993</v>
      </c>
      <c r="P693">
        <v>0.8</v>
      </c>
      <c r="Q693">
        <v>0</v>
      </c>
      <c r="R693">
        <v>2</v>
      </c>
      <c r="S693">
        <v>1</v>
      </c>
      <c r="T693">
        <v>3</v>
      </c>
      <c r="U693" t="s">
        <v>23</v>
      </c>
      <c r="V693">
        <v>3</v>
      </c>
      <c r="W693">
        <f>COUNTIF($A$2:A693,A693)</f>
        <v>1</v>
      </c>
    </row>
    <row r="694" spans="1:23" x14ac:dyDescent="0.35">
      <c r="A694" t="s">
        <v>458</v>
      </c>
      <c r="B694" s="2">
        <v>43078</v>
      </c>
      <c r="C694" s="2">
        <v>45946</v>
      </c>
      <c r="D694" t="s">
        <v>30</v>
      </c>
      <c r="E694">
        <v>34</v>
      </c>
      <c r="F694" t="s">
        <v>36</v>
      </c>
      <c r="G694" t="s">
        <v>25</v>
      </c>
      <c r="H694" t="s">
        <v>26</v>
      </c>
      <c r="I694" t="s">
        <v>459</v>
      </c>
      <c r="J694" t="s">
        <v>28</v>
      </c>
      <c r="K694">
        <v>4</v>
      </c>
      <c r="L694" t="s">
        <v>66</v>
      </c>
      <c r="M694">
        <v>99000</v>
      </c>
      <c r="N694">
        <v>4.5</v>
      </c>
      <c r="O694">
        <v>15.1</v>
      </c>
      <c r="P694">
        <v>7.9</v>
      </c>
      <c r="Q694">
        <v>4.2</v>
      </c>
      <c r="R694">
        <v>2</v>
      </c>
      <c r="S694">
        <v>4</v>
      </c>
      <c r="T694">
        <v>1</v>
      </c>
      <c r="U694" t="s">
        <v>23</v>
      </c>
      <c r="V694">
        <v>5</v>
      </c>
      <c r="W694">
        <f>COUNTIF($A$2:A694,A694)</f>
        <v>1</v>
      </c>
    </row>
    <row r="695" spans="1:23" x14ac:dyDescent="0.35">
      <c r="A695" t="s">
        <v>1550</v>
      </c>
      <c r="B695" s="2">
        <v>45735</v>
      </c>
      <c r="D695" t="s">
        <v>23</v>
      </c>
      <c r="E695">
        <v>37</v>
      </c>
      <c r="F695" t="s">
        <v>24</v>
      </c>
      <c r="G695" t="s">
        <v>37</v>
      </c>
      <c r="H695" t="s">
        <v>32</v>
      </c>
      <c r="I695" t="s">
        <v>48</v>
      </c>
      <c r="J695" t="s">
        <v>49</v>
      </c>
      <c r="K695">
        <v>2</v>
      </c>
      <c r="L695" t="s">
        <v>66</v>
      </c>
      <c r="M695">
        <v>48000</v>
      </c>
      <c r="N695">
        <v>12.6</v>
      </c>
      <c r="O695">
        <v>4.2</v>
      </c>
      <c r="P695">
        <v>0.8</v>
      </c>
      <c r="Q695">
        <v>0</v>
      </c>
      <c r="R695">
        <v>3</v>
      </c>
      <c r="S695">
        <v>4</v>
      </c>
      <c r="T695">
        <v>4</v>
      </c>
      <c r="U695" t="s">
        <v>30</v>
      </c>
      <c r="V695">
        <v>1</v>
      </c>
      <c r="W695">
        <f>COUNTIF($A$2:A695,A695)</f>
        <v>1</v>
      </c>
    </row>
    <row r="696" spans="1:23" x14ac:dyDescent="0.35">
      <c r="A696" t="s">
        <v>1214</v>
      </c>
      <c r="B696" s="2">
        <v>42759</v>
      </c>
      <c r="D696" t="s">
        <v>23</v>
      </c>
      <c r="E696">
        <v>35</v>
      </c>
      <c r="F696" t="s">
        <v>62</v>
      </c>
      <c r="G696" t="s">
        <v>42</v>
      </c>
      <c r="H696" t="s">
        <v>58</v>
      </c>
      <c r="I696" t="s">
        <v>27</v>
      </c>
      <c r="J696" t="s">
        <v>33</v>
      </c>
      <c r="K696">
        <v>3</v>
      </c>
      <c r="L696" t="s">
        <v>40</v>
      </c>
      <c r="M696">
        <v>81000</v>
      </c>
      <c r="N696">
        <v>8.9</v>
      </c>
      <c r="O696">
        <v>14.5</v>
      </c>
      <c r="P696">
        <v>8.9</v>
      </c>
      <c r="Q696">
        <v>2.6</v>
      </c>
      <c r="R696">
        <v>1</v>
      </c>
      <c r="S696">
        <v>3</v>
      </c>
      <c r="T696">
        <v>2</v>
      </c>
      <c r="U696" t="s">
        <v>23</v>
      </c>
      <c r="V696">
        <v>3</v>
      </c>
      <c r="W696">
        <f>COUNTIF($A$2:A696,A696)</f>
        <v>1</v>
      </c>
    </row>
    <row r="697" spans="1:23" x14ac:dyDescent="0.35">
      <c r="A697" t="s">
        <v>1090</v>
      </c>
      <c r="B697" s="2">
        <v>45156</v>
      </c>
      <c r="D697" t="s">
        <v>23</v>
      </c>
      <c r="E697">
        <v>29</v>
      </c>
      <c r="F697" t="s">
        <v>62</v>
      </c>
      <c r="G697" t="s">
        <v>37</v>
      </c>
      <c r="H697" t="s">
        <v>26</v>
      </c>
      <c r="I697" t="s">
        <v>68</v>
      </c>
      <c r="J697" t="s">
        <v>121</v>
      </c>
      <c r="K697">
        <v>4</v>
      </c>
      <c r="L697" t="s">
        <v>50</v>
      </c>
      <c r="M697">
        <v>109000</v>
      </c>
      <c r="N697">
        <v>8.1999999999999993</v>
      </c>
      <c r="O697">
        <v>8.4</v>
      </c>
      <c r="P697">
        <v>2.4</v>
      </c>
      <c r="Q697">
        <v>1.9</v>
      </c>
      <c r="R697">
        <v>1</v>
      </c>
      <c r="S697">
        <v>3</v>
      </c>
      <c r="T697">
        <v>1</v>
      </c>
      <c r="U697" t="s">
        <v>30</v>
      </c>
      <c r="V697">
        <v>4</v>
      </c>
      <c r="W697">
        <f>COUNTIF($A$2:A697,A697)</f>
        <v>1</v>
      </c>
    </row>
    <row r="698" spans="1:23" x14ac:dyDescent="0.35">
      <c r="A698" t="s">
        <v>592</v>
      </c>
      <c r="B698" s="2">
        <v>44705</v>
      </c>
      <c r="D698" t="s">
        <v>23</v>
      </c>
      <c r="E698">
        <v>32</v>
      </c>
      <c r="F698" t="s">
        <v>24</v>
      </c>
      <c r="G698" t="s">
        <v>42</v>
      </c>
      <c r="H698" t="s">
        <v>32</v>
      </c>
      <c r="I698" t="s">
        <v>38</v>
      </c>
      <c r="J698" t="s">
        <v>139</v>
      </c>
      <c r="K698">
        <v>2</v>
      </c>
      <c r="L698" t="s">
        <v>34</v>
      </c>
      <c r="M698">
        <v>45000</v>
      </c>
      <c r="N698">
        <v>7</v>
      </c>
      <c r="O698">
        <v>11.6</v>
      </c>
      <c r="P698">
        <v>3.6</v>
      </c>
      <c r="Q698">
        <v>0.5</v>
      </c>
      <c r="R698">
        <v>3</v>
      </c>
      <c r="S698">
        <v>3</v>
      </c>
      <c r="T698">
        <v>3</v>
      </c>
      <c r="U698" t="s">
        <v>23</v>
      </c>
      <c r="V698">
        <v>4</v>
      </c>
      <c r="W698">
        <f>COUNTIF($A$2:A698,A698)</f>
        <v>1</v>
      </c>
    </row>
    <row r="699" spans="1:23" x14ac:dyDescent="0.35">
      <c r="A699" t="s">
        <v>1123</v>
      </c>
      <c r="B699" s="2">
        <v>42557</v>
      </c>
      <c r="D699" t="s">
        <v>23</v>
      </c>
      <c r="E699">
        <v>31</v>
      </c>
      <c r="F699" t="s">
        <v>62</v>
      </c>
      <c r="G699" t="s">
        <v>25</v>
      </c>
      <c r="H699" t="s">
        <v>26</v>
      </c>
      <c r="I699" t="s">
        <v>45</v>
      </c>
      <c r="J699" t="s">
        <v>77</v>
      </c>
      <c r="K699">
        <v>4</v>
      </c>
      <c r="L699" t="s">
        <v>50</v>
      </c>
      <c r="M699">
        <v>101000</v>
      </c>
      <c r="N699">
        <v>8.8000000000000007</v>
      </c>
      <c r="O699">
        <v>13.9</v>
      </c>
      <c r="P699">
        <v>9.5</v>
      </c>
      <c r="Q699">
        <v>5.2</v>
      </c>
      <c r="R699">
        <v>3</v>
      </c>
      <c r="S699">
        <v>2</v>
      </c>
      <c r="T699">
        <v>4</v>
      </c>
      <c r="U699" t="s">
        <v>23</v>
      </c>
      <c r="V699">
        <v>3</v>
      </c>
      <c r="W699">
        <f>COUNTIF($A$2:A699,A699)</f>
        <v>1</v>
      </c>
    </row>
    <row r="700" spans="1:23" x14ac:dyDescent="0.35">
      <c r="A700" t="s">
        <v>778</v>
      </c>
      <c r="B700" s="2">
        <v>43255</v>
      </c>
      <c r="C700" s="2">
        <v>45924</v>
      </c>
      <c r="D700" t="s">
        <v>30</v>
      </c>
      <c r="E700">
        <v>39</v>
      </c>
      <c r="F700" t="s">
        <v>24</v>
      </c>
      <c r="G700" t="s">
        <v>37</v>
      </c>
      <c r="H700" t="s">
        <v>32</v>
      </c>
      <c r="I700" t="s">
        <v>68</v>
      </c>
      <c r="J700" t="s">
        <v>121</v>
      </c>
      <c r="K700">
        <v>3</v>
      </c>
      <c r="L700" t="s">
        <v>29</v>
      </c>
      <c r="M700">
        <v>71000</v>
      </c>
      <c r="N700">
        <v>4.2</v>
      </c>
      <c r="O700">
        <v>9.1999999999999993</v>
      </c>
      <c r="P700">
        <v>7.3</v>
      </c>
      <c r="Q700">
        <v>4.5</v>
      </c>
      <c r="R700">
        <v>2</v>
      </c>
      <c r="S700">
        <v>2</v>
      </c>
      <c r="T700">
        <v>3</v>
      </c>
      <c r="U700" t="s">
        <v>30</v>
      </c>
      <c r="V700">
        <v>4</v>
      </c>
      <c r="W700">
        <f>COUNTIF($A$2:A700,A700)</f>
        <v>1</v>
      </c>
    </row>
    <row r="701" spans="1:23" x14ac:dyDescent="0.35">
      <c r="A701" t="s">
        <v>200</v>
      </c>
      <c r="B701" s="2">
        <v>45837</v>
      </c>
      <c r="D701" t="s">
        <v>23</v>
      </c>
      <c r="E701">
        <v>30</v>
      </c>
      <c r="F701" t="s">
        <v>24</v>
      </c>
      <c r="G701" t="s">
        <v>42</v>
      </c>
      <c r="H701" t="s">
        <v>54</v>
      </c>
      <c r="I701" t="s">
        <v>48</v>
      </c>
      <c r="J701" t="s">
        <v>201</v>
      </c>
      <c r="K701">
        <v>5</v>
      </c>
      <c r="L701" t="s">
        <v>34</v>
      </c>
      <c r="M701">
        <v>157000</v>
      </c>
      <c r="N701">
        <v>5.9</v>
      </c>
      <c r="O701">
        <v>2.9</v>
      </c>
      <c r="P701">
        <v>0.5</v>
      </c>
      <c r="Q701">
        <v>0</v>
      </c>
      <c r="R701">
        <v>3</v>
      </c>
      <c r="S701">
        <v>1</v>
      </c>
      <c r="T701">
        <v>4</v>
      </c>
      <c r="U701" t="s">
        <v>23</v>
      </c>
      <c r="V701">
        <v>3</v>
      </c>
      <c r="W701">
        <f>COUNTIF($A$2:A701,A701)</f>
        <v>1</v>
      </c>
    </row>
    <row r="702" spans="1:23" x14ac:dyDescent="0.35">
      <c r="A702" t="s">
        <v>509</v>
      </c>
      <c r="B702" s="2">
        <v>45260</v>
      </c>
      <c r="D702" t="s">
        <v>23</v>
      </c>
      <c r="E702">
        <v>30</v>
      </c>
      <c r="F702" t="s">
        <v>36</v>
      </c>
      <c r="G702" t="s">
        <v>25</v>
      </c>
      <c r="H702" t="s">
        <v>32</v>
      </c>
      <c r="I702" t="s">
        <v>38</v>
      </c>
      <c r="J702" t="s">
        <v>139</v>
      </c>
      <c r="K702">
        <v>2</v>
      </c>
      <c r="L702" t="s">
        <v>50</v>
      </c>
      <c r="M702">
        <v>61000</v>
      </c>
      <c r="N702">
        <v>11.4</v>
      </c>
      <c r="O702">
        <v>6.4</v>
      </c>
      <c r="P702">
        <v>2.1</v>
      </c>
      <c r="Q702">
        <v>0.7</v>
      </c>
      <c r="R702">
        <v>1</v>
      </c>
      <c r="S702">
        <v>1</v>
      </c>
      <c r="T702">
        <v>3</v>
      </c>
      <c r="U702" t="s">
        <v>23</v>
      </c>
      <c r="V702">
        <v>5</v>
      </c>
      <c r="W702">
        <f>COUNTIF($A$2:A702,A702)</f>
        <v>1</v>
      </c>
    </row>
    <row r="703" spans="1:23" x14ac:dyDescent="0.35">
      <c r="A703" t="s">
        <v>1082</v>
      </c>
      <c r="B703" s="2">
        <v>43140</v>
      </c>
      <c r="D703" t="s">
        <v>23</v>
      </c>
      <c r="E703">
        <v>30</v>
      </c>
      <c r="F703" t="s">
        <v>62</v>
      </c>
      <c r="G703" t="s">
        <v>42</v>
      </c>
      <c r="H703" t="s">
        <v>54</v>
      </c>
      <c r="I703" t="s">
        <v>68</v>
      </c>
      <c r="J703" t="s">
        <v>121</v>
      </c>
      <c r="K703">
        <v>4</v>
      </c>
      <c r="L703" t="s">
        <v>66</v>
      </c>
      <c r="M703">
        <v>102000</v>
      </c>
      <c r="N703">
        <v>8.9</v>
      </c>
      <c r="O703">
        <v>12.3</v>
      </c>
      <c r="P703">
        <v>7.9</v>
      </c>
      <c r="Q703">
        <v>5.7</v>
      </c>
      <c r="R703">
        <v>4</v>
      </c>
      <c r="S703">
        <v>4</v>
      </c>
      <c r="T703">
        <v>3</v>
      </c>
      <c r="U703" t="s">
        <v>23</v>
      </c>
      <c r="V703">
        <v>5</v>
      </c>
      <c r="W703">
        <f>COUNTIF($A$2:A703,A703)</f>
        <v>1</v>
      </c>
    </row>
    <row r="704" spans="1:23" x14ac:dyDescent="0.35">
      <c r="A704" t="s">
        <v>1013</v>
      </c>
      <c r="B704" s="2">
        <v>44284</v>
      </c>
      <c r="D704" t="s">
        <v>23</v>
      </c>
      <c r="E704">
        <v>37</v>
      </c>
      <c r="F704" t="s">
        <v>62</v>
      </c>
      <c r="G704" t="s">
        <v>42</v>
      </c>
      <c r="H704" t="s">
        <v>58</v>
      </c>
      <c r="I704" t="s">
        <v>45</v>
      </c>
      <c r="J704" t="s">
        <v>77</v>
      </c>
      <c r="K704">
        <v>2</v>
      </c>
      <c r="L704" t="s">
        <v>66</v>
      </c>
      <c r="M704">
        <v>33000</v>
      </c>
      <c r="N704">
        <v>7.6</v>
      </c>
      <c r="O704">
        <v>4.9000000000000004</v>
      </c>
      <c r="P704">
        <v>4.8</v>
      </c>
      <c r="Q704">
        <v>3.8</v>
      </c>
      <c r="R704">
        <v>4</v>
      </c>
      <c r="S704">
        <v>4</v>
      </c>
      <c r="T704">
        <v>2</v>
      </c>
      <c r="U704" t="s">
        <v>23</v>
      </c>
      <c r="V704">
        <v>3</v>
      </c>
      <c r="W704">
        <f>COUNTIF($A$2:A704,A704)</f>
        <v>1</v>
      </c>
    </row>
    <row r="705" spans="1:23" x14ac:dyDescent="0.35">
      <c r="A705" t="s">
        <v>1039</v>
      </c>
      <c r="B705" s="2">
        <v>44367</v>
      </c>
      <c r="D705" t="s">
        <v>23</v>
      </c>
      <c r="E705">
        <v>34</v>
      </c>
      <c r="F705" t="s">
        <v>24</v>
      </c>
      <c r="G705" t="s">
        <v>42</v>
      </c>
      <c r="H705" t="s">
        <v>54</v>
      </c>
      <c r="I705" t="s">
        <v>48</v>
      </c>
      <c r="J705" t="s">
        <v>63</v>
      </c>
      <c r="K705">
        <v>3</v>
      </c>
      <c r="L705" t="s">
        <v>50</v>
      </c>
      <c r="M705">
        <v>104000</v>
      </c>
      <c r="N705">
        <v>10.4</v>
      </c>
      <c r="O705">
        <v>9.4</v>
      </c>
      <c r="P705">
        <v>4.5</v>
      </c>
      <c r="Q705">
        <v>0.6</v>
      </c>
      <c r="R705">
        <v>4</v>
      </c>
      <c r="S705">
        <v>3</v>
      </c>
      <c r="T705">
        <v>3</v>
      </c>
      <c r="U705" t="s">
        <v>23</v>
      </c>
      <c r="V705">
        <v>3</v>
      </c>
      <c r="W705">
        <f>COUNTIF($A$2:A705,A705)</f>
        <v>1</v>
      </c>
    </row>
    <row r="706" spans="1:23" x14ac:dyDescent="0.35">
      <c r="A706" t="s">
        <v>322</v>
      </c>
      <c r="B706" s="2">
        <v>41785</v>
      </c>
      <c r="D706" t="s">
        <v>23</v>
      </c>
      <c r="E706">
        <v>32</v>
      </c>
      <c r="F706" t="s">
        <v>24</v>
      </c>
      <c r="G706" t="s">
        <v>42</v>
      </c>
      <c r="H706" t="s">
        <v>32</v>
      </c>
      <c r="I706" t="s">
        <v>48</v>
      </c>
      <c r="J706" t="s">
        <v>63</v>
      </c>
      <c r="K706">
        <v>3</v>
      </c>
      <c r="L706" t="s">
        <v>84</v>
      </c>
      <c r="M706">
        <v>64000</v>
      </c>
      <c r="N706">
        <v>8.6999999999999993</v>
      </c>
      <c r="O706">
        <v>12.1</v>
      </c>
      <c r="P706">
        <v>11.6</v>
      </c>
      <c r="Q706">
        <v>5.6</v>
      </c>
      <c r="R706">
        <v>4</v>
      </c>
      <c r="S706">
        <v>3</v>
      </c>
      <c r="T706">
        <v>3</v>
      </c>
      <c r="U706" t="s">
        <v>23</v>
      </c>
      <c r="V706">
        <v>3</v>
      </c>
      <c r="W706">
        <f>COUNTIF($A$2:A706,A706)</f>
        <v>1</v>
      </c>
    </row>
    <row r="707" spans="1:23" x14ac:dyDescent="0.35">
      <c r="A707" t="s">
        <v>1086</v>
      </c>
      <c r="B707" s="2">
        <v>43798</v>
      </c>
      <c r="D707" t="s">
        <v>23</v>
      </c>
      <c r="E707">
        <v>39</v>
      </c>
      <c r="F707" t="s">
        <v>36</v>
      </c>
      <c r="G707" t="s">
        <v>25</v>
      </c>
      <c r="H707" t="s">
        <v>58</v>
      </c>
      <c r="I707" t="s">
        <v>59</v>
      </c>
      <c r="J707" t="s">
        <v>150</v>
      </c>
      <c r="K707">
        <v>2</v>
      </c>
      <c r="L707" t="s">
        <v>50</v>
      </c>
      <c r="M707">
        <v>47000</v>
      </c>
      <c r="N707">
        <v>8.5</v>
      </c>
      <c r="O707">
        <v>11.3</v>
      </c>
      <c r="P707">
        <v>6.1</v>
      </c>
      <c r="Q707">
        <v>1.4</v>
      </c>
      <c r="R707">
        <v>2</v>
      </c>
      <c r="S707">
        <v>3</v>
      </c>
      <c r="T707">
        <v>2</v>
      </c>
      <c r="U707" t="s">
        <v>30</v>
      </c>
      <c r="V707">
        <v>3</v>
      </c>
      <c r="W707">
        <f>COUNTIF($A$2:A707,A707)</f>
        <v>1</v>
      </c>
    </row>
    <row r="708" spans="1:23" x14ac:dyDescent="0.35">
      <c r="A708" t="s">
        <v>766</v>
      </c>
      <c r="B708" s="2">
        <v>42859</v>
      </c>
      <c r="D708" t="s">
        <v>23</v>
      </c>
      <c r="E708">
        <v>45</v>
      </c>
      <c r="F708" t="s">
        <v>24</v>
      </c>
      <c r="G708" t="s">
        <v>25</v>
      </c>
      <c r="H708" t="s">
        <v>54</v>
      </c>
      <c r="I708" t="s">
        <v>27</v>
      </c>
      <c r="J708" t="s">
        <v>95</v>
      </c>
      <c r="K708">
        <v>1</v>
      </c>
      <c r="L708" t="s">
        <v>50</v>
      </c>
      <c r="M708">
        <v>29000</v>
      </c>
      <c r="N708">
        <v>16.3</v>
      </c>
      <c r="O708">
        <v>15.5</v>
      </c>
      <c r="P708">
        <v>8.6999999999999993</v>
      </c>
      <c r="Q708">
        <v>2.1</v>
      </c>
      <c r="R708">
        <v>3</v>
      </c>
      <c r="S708">
        <v>3</v>
      </c>
      <c r="T708">
        <v>3</v>
      </c>
      <c r="U708" t="s">
        <v>30</v>
      </c>
      <c r="V708">
        <v>3</v>
      </c>
      <c r="W708">
        <f>COUNTIF($A$2:A708,A708)</f>
        <v>1</v>
      </c>
    </row>
    <row r="709" spans="1:23" x14ac:dyDescent="0.35">
      <c r="A709" t="s">
        <v>549</v>
      </c>
      <c r="B709" s="2">
        <v>44521</v>
      </c>
      <c r="D709" t="s">
        <v>23</v>
      </c>
      <c r="E709">
        <v>36</v>
      </c>
      <c r="F709" t="s">
        <v>36</v>
      </c>
      <c r="G709" t="s">
        <v>42</v>
      </c>
      <c r="H709" t="s">
        <v>58</v>
      </c>
      <c r="I709" t="s">
        <v>27</v>
      </c>
      <c r="J709" t="s">
        <v>43</v>
      </c>
      <c r="K709">
        <v>2</v>
      </c>
      <c r="L709" t="s">
        <v>34</v>
      </c>
      <c r="M709">
        <v>54000</v>
      </c>
      <c r="N709">
        <v>10.6</v>
      </c>
      <c r="O709">
        <v>9.1999999999999993</v>
      </c>
      <c r="P709">
        <v>4.0999999999999996</v>
      </c>
      <c r="Q709">
        <v>3.6</v>
      </c>
      <c r="R709">
        <v>4</v>
      </c>
      <c r="S709">
        <v>2</v>
      </c>
      <c r="T709">
        <v>3</v>
      </c>
      <c r="U709" t="s">
        <v>23</v>
      </c>
      <c r="V709">
        <v>4</v>
      </c>
      <c r="W709">
        <f>COUNTIF($A$2:A709,A709)</f>
        <v>1</v>
      </c>
    </row>
    <row r="710" spans="1:23" x14ac:dyDescent="0.35">
      <c r="A710" t="s">
        <v>1439</v>
      </c>
      <c r="B710" s="2">
        <v>45739</v>
      </c>
      <c r="C710" s="2">
        <v>45954</v>
      </c>
      <c r="D710" t="s">
        <v>30</v>
      </c>
      <c r="E710">
        <v>31</v>
      </c>
      <c r="F710" t="s">
        <v>62</v>
      </c>
      <c r="G710" t="s">
        <v>42</v>
      </c>
      <c r="H710" t="s">
        <v>32</v>
      </c>
      <c r="I710" t="s">
        <v>68</v>
      </c>
      <c r="J710" t="s">
        <v>102</v>
      </c>
      <c r="K710">
        <v>2</v>
      </c>
      <c r="L710" t="s">
        <v>34</v>
      </c>
      <c r="M710">
        <v>60000</v>
      </c>
      <c r="N710">
        <v>8.8000000000000007</v>
      </c>
      <c r="O710">
        <v>2.2999999999999998</v>
      </c>
      <c r="P710">
        <v>0.6</v>
      </c>
      <c r="Q710">
        <v>0</v>
      </c>
      <c r="R710">
        <v>4</v>
      </c>
      <c r="S710">
        <v>3</v>
      </c>
      <c r="T710">
        <v>3</v>
      </c>
      <c r="U710" t="s">
        <v>23</v>
      </c>
      <c r="V710">
        <v>4</v>
      </c>
      <c r="W710">
        <f>COUNTIF($A$2:A710,A710)</f>
        <v>1</v>
      </c>
    </row>
    <row r="711" spans="1:23" x14ac:dyDescent="0.35">
      <c r="A711" t="s">
        <v>804</v>
      </c>
      <c r="B711" s="2">
        <v>45272</v>
      </c>
      <c r="D711" t="s">
        <v>23</v>
      </c>
      <c r="E711">
        <v>33</v>
      </c>
      <c r="F711" t="s">
        <v>62</v>
      </c>
      <c r="G711" t="s">
        <v>42</v>
      </c>
      <c r="H711" t="s">
        <v>26</v>
      </c>
      <c r="I711" t="s">
        <v>59</v>
      </c>
      <c r="J711" t="s">
        <v>75</v>
      </c>
      <c r="K711">
        <v>3</v>
      </c>
      <c r="L711" t="s">
        <v>66</v>
      </c>
      <c r="M711">
        <v>91000</v>
      </c>
      <c r="N711">
        <v>14</v>
      </c>
      <c r="O711">
        <v>9.6999999999999993</v>
      </c>
      <c r="P711">
        <v>2.1</v>
      </c>
      <c r="Q711">
        <v>2.1</v>
      </c>
      <c r="R711">
        <v>3</v>
      </c>
      <c r="S711">
        <v>3</v>
      </c>
      <c r="T711">
        <v>4</v>
      </c>
      <c r="U711" t="s">
        <v>23</v>
      </c>
      <c r="V711">
        <v>4</v>
      </c>
      <c r="W711">
        <f>COUNTIF($A$2:A711,A711)</f>
        <v>1</v>
      </c>
    </row>
    <row r="712" spans="1:23" x14ac:dyDescent="0.35">
      <c r="A712" t="s">
        <v>685</v>
      </c>
      <c r="B712" s="2">
        <v>43096</v>
      </c>
      <c r="D712" t="s">
        <v>23</v>
      </c>
      <c r="E712">
        <v>40</v>
      </c>
      <c r="F712" t="s">
        <v>24</v>
      </c>
      <c r="G712" t="s">
        <v>42</v>
      </c>
      <c r="H712" t="s">
        <v>58</v>
      </c>
      <c r="I712" t="s">
        <v>59</v>
      </c>
      <c r="J712" t="s">
        <v>75</v>
      </c>
      <c r="K712">
        <v>3</v>
      </c>
      <c r="L712" t="s">
        <v>29</v>
      </c>
      <c r="M712">
        <v>72000</v>
      </c>
      <c r="N712">
        <v>2.2000000000000002</v>
      </c>
      <c r="O712">
        <v>12.6</v>
      </c>
      <c r="P712">
        <v>8</v>
      </c>
      <c r="Q712">
        <v>5.5</v>
      </c>
      <c r="R712">
        <v>3</v>
      </c>
      <c r="S712">
        <v>3</v>
      </c>
      <c r="T712">
        <v>4</v>
      </c>
      <c r="U712" t="s">
        <v>23</v>
      </c>
      <c r="V712">
        <v>5</v>
      </c>
      <c r="W712">
        <f>COUNTIF($A$2:A712,A712)</f>
        <v>1</v>
      </c>
    </row>
    <row r="713" spans="1:23" x14ac:dyDescent="0.35">
      <c r="A713" t="s">
        <v>938</v>
      </c>
      <c r="B713" s="2">
        <v>41821</v>
      </c>
      <c r="D713" t="s">
        <v>23</v>
      </c>
      <c r="E713">
        <v>44</v>
      </c>
      <c r="F713" t="s">
        <v>24</v>
      </c>
      <c r="G713" t="s">
        <v>25</v>
      </c>
      <c r="H713" t="s">
        <v>32</v>
      </c>
      <c r="I713" t="s">
        <v>38</v>
      </c>
      <c r="J713" t="s">
        <v>139</v>
      </c>
      <c r="K713">
        <v>2</v>
      </c>
      <c r="L713" t="s">
        <v>66</v>
      </c>
      <c r="M713">
        <v>57000</v>
      </c>
      <c r="N713">
        <v>8</v>
      </c>
      <c r="O713">
        <v>12.1</v>
      </c>
      <c r="P713">
        <v>11.5</v>
      </c>
      <c r="Q713">
        <v>2.2000000000000002</v>
      </c>
      <c r="R713">
        <v>1</v>
      </c>
      <c r="S713">
        <v>3</v>
      </c>
      <c r="T713">
        <v>2</v>
      </c>
      <c r="U713" t="s">
        <v>23</v>
      </c>
      <c r="V713">
        <v>4</v>
      </c>
      <c r="W713">
        <f>COUNTIF($A$2:A713,A713)</f>
        <v>1</v>
      </c>
    </row>
    <row r="714" spans="1:23" x14ac:dyDescent="0.35">
      <c r="A714" t="s">
        <v>964</v>
      </c>
      <c r="B714" s="2">
        <v>43067</v>
      </c>
      <c r="D714" t="s">
        <v>23</v>
      </c>
      <c r="E714">
        <v>46</v>
      </c>
      <c r="F714" t="s">
        <v>24</v>
      </c>
      <c r="G714" t="s">
        <v>37</v>
      </c>
      <c r="H714" t="s">
        <v>54</v>
      </c>
      <c r="I714" t="s">
        <v>55</v>
      </c>
      <c r="J714" t="s">
        <v>80</v>
      </c>
      <c r="K714">
        <v>3</v>
      </c>
      <c r="L714" t="s">
        <v>50</v>
      </c>
      <c r="M714">
        <v>104000</v>
      </c>
      <c r="N714">
        <v>17.899999999999999</v>
      </c>
      <c r="O714">
        <v>9</v>
      </c>
      <c r="P714">
        <v>8.1</v>
      </c>
      <c r="Q714">
        <v>2.5</v>
      </c>
      <c r="R714">
        <v>4</v>
      </c>
      <c r="S714">
        <v>3</v>
      </c>
      <c r="T714">
        <v>2</v>
      </c>
      <c r="U714" t="s">
        <v>23</v>
      </c>
      <c r="V714">
        <v>3</v>
      </c>
      <c r="W714">
        <f>COUNTIF($A$2:A714,A714)</f>
        <v>1</v>
      </c>
    </row>
    <row r="715" spans="1:23" x14ac:dyDescent="0.35">
      <c r="A715" t="s">
        <v>1197</v>
      </c>
      <c r="B715" s="2">
        <v>42642</v>
      </c>
      <c r="C715" s="2">
        <v>45675</v>
      </c>
      <c r="D715" t="s">
        <v>30</v>
      </c>
      <c r="E715">
        <v>35</v>
      </c>
      <c r="F715" t="s">
        <v>62</v>
      </c>
      <c r="G715" t="s">
        <v>42</v>
      </c>
      <c r="H715" t="s">
        <v>54</v>
      </c>
      <c r="I715" t="s">
        <v>55</v>
      </c>
      <c r="J715" t="s">
        <v>56</v>
      </c>
      <c r="K715">
        <v>2</v>
      </c>
      <c r="L715" t="s">
        <v>84</v>
      </c>
      <c r="M715">
        <v>48000</v>
      </c>
      <c r="N715">
        <v>14.9</v>
      </c>
      <c r="O715">
        <v>15</v>
      </c>
      <c r="P715">
        <v>8.3000000000000007</v>
      </c>
      <c r="Q715">
        <v>0.1</v>
      </c>
      <c r="R715">
        <v>3</v>
      </c>
      <c r="S715">
        <v>2</v>
      </c>
      <c r="T715">
        <v>2</v>
      </c>
      <c r="U715" t="s">
        <v>23</v>
      </c>
      <c r="V715">
        <v>3</v>
      </c>
      <c r="W715">
        <f>COUNTIF($A$2:A715,A715)</f>
        <v>1</v>
      </c>
    </row>
    <row r="716" spans="1:23" x14ac:dyDescent="0.35">
      <c r="A716" t="s">
        <v>823</v>
      </c>
      <c r="B716" s="2">
        <v>44881</v>
      </c>
      <c r="D716" t="s">
        <v>23</v>
      </c>
      <c r="E716">
        <v>35</v>
      </c>
      <c r="F716" t="s">
        <v>36</v>
      </c>
      <c r="G716" t="s">
        <v>42</v>
      </c>
      <c r="H716" t="s">
        <v>54</v>
      </c>
      <c r="I716" t="s">
        <v>55</v>
      </c>
      <c r="J716" t="s">
        <v>80</v>
      </c>
      <c r="K716">
        <v>3</v>
      </c>
      <c r="L716" t="s">
        <v>29</v>
      </c>
      <c r="M716">
        <v>80000</v>
      </c>
      <c r="N716">
        <v>6.6</v>
      </c>
      <c r="O716">
        <v>5.8</v>
      </c>
      <c r="P716">
        <v>3.1</v>
      </c>
      <c r="Q716">
        <v>1.9</v>
      </c>
      <c r="R716">
        <v>3</v>
      </c>
      <c r="S716">
        <v>2</v>
      </c>
      <c r="T716">
        <v>3</v>
      </c>
      <c r="U716" t="s">
        <v>23</v>
      </c>
      <c r="V716">
        <v>2</v>
      </c>
      <c r="W716">
        <f>COUNTIF($A$2:A716,A716)</f>
        <v>1</v>
      </c>
    </row>
    <row r="717" spans="1:23" x14ac:dyDescent="0.35">
      <c r="A717" t="s">
        <v>507</v>
      </c>
      <c r="B717" s="2">
        <v>44397</v>
      </c>
      <c r="D717" t="s">
        <v>23</v>
      </c>
      <c r="E717">
        <v>29</v>
      </c>
      <c r="F717" t="s">
        <v>36</v>
      </c>
      <c r="G717" t="s">
        <v>25</v>
      </c>
      <c r="H717" t="s">
        <v>54</v>
      </c>
      <c r="I717" t="s">
        <v>48</v>
      </c>
      <c r="J717" t="s">
        <v>201</v>
      </c>
      <c r="K717">
        <v>2</v>
      </c>
      <c r="L717" t="s">
        <v>34</v>
      </c>
      <c r="M717">
        <v>50000</v>
      </c>
      <c r="N717">
        <v>6.8</v>
      </c>
      <c r="O717">
        <v>11.8</v>
      </c>
      <c r="P717">
        <v>4.4000000000000004</v>
      </c>
      <c r="Q717">
        <v>4.0999999999999996</v>
      </c>
      <c r="R717">
        <v>2</v>
      </c>
      <c r="S717">
        <v>2</v>
      </c>
      <c r="T717">
        <v>4</v>
      </c>
      <c r="U717" t="s">
        <v>30</v>
      </c>
      <c r="V717">
        <v>4</v>
      </c>
      <c r="W717">
        <f>COUNTIF($A$2:A717,A717)</f>
        <v>1</v>
      </c>
    </row>
    <row r="718" spans="1:23" x14ac:dyDescent="0.35">
      <c r="A718" t="s">
        <v>507</v>
      </c>
      <c r="B718" s="2">
        <v>44397</v>
      </c>
      <c r="D718" t="s">
        <v>23</v>
      </c>
      <c r="E718">
        <v>29</v>
      </c>
      <c r="F718" t="s">
        <v>36</v>
      </c>
      <c r="G718" t="s">
        <v>25</v>
      </c>
      <c r="H718" t="s">
        <v>54</v>
      </c>
      <c r="I718" t="s">
        <v>48</v>
      </c>
      <c r="J718" t="s">
        <v>201</v>
      </c>
      <c r="K718">
        <v>2</v>
      </c>
      <c r="L718" t="s">
        <v>34</v>
      </c>
      <c r="M718">
        <v>50000</v>
      </c>
      <c r="N718">
        <v>6.8</v>
      </c>
      <c r="O718">
        <v>11.8</v>
      </c>
      <c r="P718">
        <v>4.4000000000000004</v>
      </c>
      <c r="Q718">
        <v>4.0999999999999996</v>
      </c>
      <c r="R718">
        <v>2</v>
      </c>
      <c r="S718">
        <v>2</v>
      </c>
      <c r="T718">
        <v>4</v>
      </c>
      <c r="U718" t="s">
        <v>30</v>
      </c>
      <c r="V718">
        <v>4</v>
      </c>
      <c r="W718">
        <f>COUNTIF($A$2:A718,A718)</f>
        <v>2</v>
      </c>
    </row>
    <row r="719" spans="1:23" x14ac:dyDescent="0.35">
      <c r="A719" t="s">
        <v>1053</v>
      </c>
      <c r="B719" s="2">
        <v>45610</v>
      </c>
      <c r="D719" t="s">
        <v>23</v>
      </c>
      <c r="E719">
        <v>25</v>
      </c>
      <c r="F719" t="s">
        <v>62</v>
      </c>
      <c r="G719" t="s">
        <v>42</v>
      </c>
      <c r="H719" t="s">
        <v>58</v>
      </c>
      <c r="I719" t="s">
        <v>68</v>
      </c>
      <c r="J719" t="s">
        <v>121</v>
      </c>
      <c r="K719">
        <v>1</v>
      </c>
      <c r="L719" t="s">
        <v>84</v>
      </c>
      <c r="M719">
        <v>36000</v>
      </c>
      <c r="N719">
        <v>13.9</v>
      </c>
      <c r="O719">
        <v>3</v>
      </c>
      <c r="P719">
        <v>1.1000000000000001</v>
      </c>
      <c r="Q719">
        <v>0.5</v>
      </c>
      <c r="R719">
        <v>3</v>
      </c>
      <c r="S719">
        <v>1</v>
      </c>
      <c r="T719">
        <v>3</v>
      </c>
      <c r="U719" t="s">
        <v>23</v>
      </c>
      <c r="V719">
        <v>4</v>
      </c>
      <c r="W719">
        <f>COUNTIF($A$2:A719,A719)</f>
        <v>1</v>
      </c>
    </row>
    <row r="720" spans="1:23" x14ac:dyDescent="0.35">
      <c r="A720" t="s">
        <v>287</v>
      </c>
      <c r="B720" s="2">
        <v>43231</v>
      </c>
      <c r="D720" t="s">
        <v>23</v>
      </c>
      <c r="E720">
        <v>28</v>
      </c>
      <c r="F720" t="s">
        <v>36</v>
      </c>
      <c r="G720" t="s">
        <v>42</v>
      </c>
      <c r="H720" t="s">
        <v>32</v>
      </c>
      <c r="I720" t="s">
        <v>48</v>
      </c>
      <c r="J720" t="s">
        <v>129</v>
      </c>
      <c r="K720">
        <v>3</v>
      </c>
      <c r="L720" t="s">
        <v>50</v>
      </c>
      <c r="M720">
        <v>78000</v>
      </c>
      <c r="N720">
        <v>13.7</v>
      </c>
      <c r="O720">
        <v>13.5</v>
      </c>
      <c r="P720">
        <v>7.6</v>
      </c>
      <c r="Q720">
        <v>2.6</v>
      </c>
      <c r="R720">
        <v>4</v>
      </c>
      <c r="S720">
        <v>3</v>
      </c>
      <c r="T720">
        <v>4</v>
      </c>
      <c r="U720" t="s">
        <v>30</v>
      </c>
      <c r="V720">
        <v>3</v>
      </c>
      <c r="W720">
        <f>COUNTIF($A$2:A720,A720)</f>
        <v>1</v>
      </c>
    </row>
    <row r="721" spans="1:23" x14ac:dyDescent="0.35">
      <c r="A721" t="s">
        <v>1332</v>
      </c>
      <c r="B721" s="2">
        <v>45202</v>
      </c>
      <c r="D721" t="s">
        <v>23</v>
      </c>
      <c r="E721">
        <v>29</v>
      </c>
      <c r="F721" t="s">
        <v>62</v>
      </c>
      <c r="G721" t="s">
        <v>25</v>
      </c>
      <c r="H721" t="s">
        <v>32</v>
      </c>
      <c r="I721" t="s">
        <v>68</v>
      </c>
      <c r="J721" t="s">
        <v>69</v>
      </c>
      <c r="K721">
        <v>3</v>
      </c>
      <c r="L721" t="s">
        <v>50</v>
      </c>
      <c r="M721">
        <v>81000</v>
      </c>
      <c r="N721">
        <v>4.5999999999999996</v>
      </c>
      <c r="O721">
        <v>7.1</v>
      </c>
      <c r="P721">
        <v>2.2000000000000002</v>
      </c>
      <c r="Q721">
        <v>0.2</v>
      </c>
      <c r="R721">
        <v>4</v>
      </c>
      <c r="S721">
        <v>2</v>
      </c>
      <c r="T721">
        <v>3</v>
      </c>
      <c r="U721" t="s">
        <v>30</v>
      </c>
      <c r="V721">
        <v>2</v>
      </c>
      <c r="W721">
        <f>COUNTIF($A$2:A721,A721)</f>
        <v>1</v>
      </c>
    </row>
    <row r="722" spans="1:23" x14ac:dyDescent="0.35">
      <c r="A722" t="s">
        <v>629</v>
      </c>
      <c r="B722" s="2">
        <v>43606</v>
      </c>
      <c r="D722" t="s">
        <v>23</v>
      </c>
      <c r="E722">
        <v>36</v>
      </c>
      <c r="F722" t="s">
        <v>62</v>
      </c>
      <c r="G722" t="s">
        <v>37</v>
      </c>
      <c r="H722" t="s">
        <v>54</v>
      </c>
      <c r="I722" t="s">
        <v>27</v>
      </c>
      <c r="J722" t="s">
        <v>43</v>
      </c>
      <c r="K722">
        <v>5</v>
      </c>
      <c r="L722" t="s">
        <v>84</v>
      </c>
      <c r="M722">
        <v>144000</v>
      </c>
      <c r="N722">
        <v>5.6</v>
      </c>
      <c r="O722">
        <v>6.8</v>
      </c>
      <c r="P722">
        <v>6.6</v>
      </c>
      <c r="Q722">
        <v>1.2</v>
      </c>
      <c r="R722">
        <v>1</v>
      </c>
      <c r="S722">
        <v>4</v>
      </c>
      <c r="T722">
        <v>3</v>
      </c>
      <c r="U722" t="s">
        <v>23</v>
      </c>
      <c r="V722">
        <v>4</v>
      </c>
      <c r="W722">
        <f>COUNTIF($A$2:A722,A722)</f>
        <v>1</v>
      </c>
    </row>
    <row r="723" spans="1:23" x14ac:dyDescent="0.35">
      <c r="A723" t="s">
        <v>471</v>
      </c>
      <c r="B723" s="2">
        <v>44066</v>
      </c>
      <c r="D723" t="s">
        <v>23</v>
      </c>
      <c r="E723">
        <v>37</v>
      </c>
      <c r="F723" t="s">
        <v>62</v>
      </c>
      <c r="G723" t="s">
        <v>37</v>
      </c>
      <c r="H723" t="s">
        <v>58</v>
      </c>
      <c r="I723" t="s">
        <v>38</v>
      </c>
      <c r="J723" t="s">
        <v>118</v>
      </c>
      <c r="K723">
        <v>2</v>
      </c>
      <c r="L723" t="s">
        <v>40</v>
      </c>
      <c r="M723">
        <v>70000</v>
      </c>
      <c r="N723">
        <v>6.5</v>
      </c>
      <c r="O723">
        <v>11.2</v>
      </c>
      <c r="P723">
        <v>5.4</v>
      </c>
      <c r="Q723">
        <v>0.6</v>
      </c>
      <c r="R723">
        <v>4</v>
      </c>
      <c r="S723">
        <v>3</v>
      </c>
      <c r="T723">
        <v>2</v>
      </c>
      <c r="U723" t="s">
        <v>30</v>
      </c>
      <c r="V723">
        <v>4</v>
      </c>
      <c r="W723">
        <f>COUNTIF($A$2:A723,A723)</f>
        <v>1</v>
      </c>
    </row>
    <row r="724" spans="1:23" x14ac:dyDescent="0.35">
      <c r="A724" t="s">
        <v>65</v>
      </c>
      <c r="B724" s="2">
        <v>45842</v>
      </c>
      <c r="D724" t="s">
        <v>23</v>
      </c>
      <c r="E724">
        <v>21</v>
      </c>
      <c r="F724" t="s">
        <v>62</v>
      </c>
      <c r="G724" t="s">
        <v>42</v>
      </c>
      <c r="H724" t="s">
        <v>32</v>
      </c>
      <c r="I724" t="s">
        <v>27</v>
      </c>
      <c r="J724" t="s">
        <v>28</v>
      </c>
      <c r="K724">
        <v>1</v>
      </c>
      <c r="L724" t="s">
        <v>66</v>
      </c>
      <c r="M724">
        <v>27000</v>
      </c>
      <c r="N724">
        <v>8.9</v>
      </c>
      <c r="O724">
        <v>6.1</v>
      </c>
      <c r="P724">
        <v>0.5</v>
      </c>
      <c r="Q724">
        <v>0</v>
      </c>
      <c r="R724">
        <v>3</v>
      </c>
      <c r="S724">
        <v>4</v>
      </c>
      <c r="T724">
        <v>3</v>
      </c>
      <c r="U724" t="s">
        <v>23</v>
      </c>
      <c r="V724">
        <v>5</v>
      </c>
      <c r="W724">
        <f>COUNTIF($A$2:A724,A724)</f>
        <v>1</v>
      </c>
    </row>
    <row r="725" spans="1:23" x14ac:dyDescent="0.35">
      <c r="A725" t="s">
        <v>703</v>
      </c>
      <c r="B725" s="2">
        <v>43937</v>
      </c>
      <c r="D725" t="s">
        <v>23</v>
      </c>
      <c r="E725">
        <v>26</v>
      </c>
      <c r="F725" t="s">
        <v>24</v>
      </c>
      <c r="G725" t="s">
        <v>25</v>
      </c>
      <c r="H725" t="s">
        <v>54</v>
      </c>
      <c r="I725" t="s">
        <v>45</v>
      </c>
      <c r="J725" t="s">
        <v>164</v>
      </c>
      <c r="K725">
        <v>1</v>
      </c>
      <c r="L725" t="s">
        <v>84</v>
      </c>
      <c r="M725">
        <v>25000</v>
      </c>
      <c r="N725">
        <v>10.199999999999999</v>
      </c>
      <c r="O725">
        <v>12.7</v>
      </c>
      <c r="P725">
        <v>5.7</v>
      </c>
      <c r="Q725">
        <v>1.3</v>
      </c>
      <c r="R725">
        <v>2</v>
      </c>
      <c r="S725">
        <v>2</v>
      </c>
      <c r="T725">
        <v>3</v>
      </c>
      <c r="U725" t="s">
        <v>23</v>
      </c>
      <c r="V725">
        <v>3</v>
      </c>
      <c r="W725">
        <f>COUNTIF($A$2:A725,A725)</f>
        <v>1</v>
      </c>
    </row>
    <row r="726" spans="1:23" x14ac:dyDescent="0.35">
      <c r="A726" t="s">
        <v>588</v>
      </c>
      <c r="B726" s="2">
        <v>45751</v>
      </c>
      <c r="D726" t="s">
        <v>23</v>
      </c>
      <c r="E726">
        <v>21</v>
      </c>
      <c r="F726" t="s">
        <v>24</v>
      </c>
      <c r="G726" t="s">
        <v>42</v>
      </c>
      <c r="H726" t="s">
        <v>58</v>
      </c>
      <c r="I726" t="s">
        <v>55</v>
      </c>
      <c r="J726" t="s">
        <v>179</v>
      </c>
      <c r="K726">
        <v>1</v>
      </c>
      <c r="L726" t="s">
        <v>66</v>
      </c>
      <c r="M726">
        <v>22000</v>
      </c>
      <c r="N726">
        <v>6.6</v>
      </c>
      <c r="O726">
        <v>2.5</v>
      </c>
      <c r="P726">
        <v>0.7</v>
      </c>
      <c r="Q726">
        <v>0</v>
      </c>
      <c r="R726">
        <v>3</v>
      </c>
      <c r="S726">
        <v>3</v>
      </c>
      <c r="T726">
        <v>3</v>
      </c>
      <c r="U726" t="s">
        <v>30</v>
      </c>
      <c r="V726">
        <v>4</v>
      </c>
      <c r="W726">
        <f>COUNTIF($A$2:A726,A726)</f>
        <v>1</v>
      </c>
    </row>
    <row r="727" spans="1:23" x14ac:dyDescent="0.35">
      <c r="A727" t="s">
        <v>975</v>
      </c>
      <c r="B727" s="2">
        <v>45750</v>
      </c>
      <c r="C727" s="2">
        <v>45886</v>
      </c>
      <c r="D727" t="s">
        <v>30</v>
      </c>
      <c r="E727">
        <v>21</v>
      </c>
      <c r="F727" t="s">
        <v>62</v>
      </c>
      <c r="G727" t="s">
        <v>42</v>
      </c>
      <c r="H727" t="s">
        <v>54</v>
      </c>
      <c r="I727" t="s">
        <v>48</v>
      </c>
      <c r="J727" t="s">
        <v>49</v>
      </c>
      <c r="K727">
        <v>1</v>
      </c>
      <c r="L727" t="s">
        <v>84</v>
      </c>
      <c r="M727">
        <v>31000</v>
      </c>
      <c r="N727">
        <v>6.9</v>
      </c>
      <c r="O727">
        <v>7.1</v>
      </c>
      <c r="P727">
        <v>0.4</v>
      </c>
      <c r="Q727">
        <v>0</v>
      </c>
      <c r="R727">
        <v>3</v>
      </c>
      <c r="S727">
        <v>3</v>
      </c>
      <c r="T727">
        <v>3</v>
      </c>
      <c r="U727" t="s">
        <v>23</v>
      </c>
      <c r="V727">
        <v>4</v>
      </c>
      <c r="W727">
        <f>COUNTIF($A$2:A727,A727)</f>
        <v>1</v>
      </c>
    </row>
    <row r="728" spans="1:23" x14ac:dyDescent="0.35">
      <c r="A728" t="s">
        <v>400</v>
      </c>
      <c r="B728" s="2">
        <v>42792</v>
      </c>
      <c r="D728" t="s">
        <v>23</v>
      </c>
      <c r="E728">
        <v>30</v>
      </c>
      <c r="F728" t="s">
        <v>24</v>
      </c>
      <c r="G728" t="s">
        <v>42</v>
      </c>
      <c r="H728" t="s">
        <v>54</v>
      </c>
      <c r="I728" t="s">
        <v>38</v>
      </c>
      <c r="J728" t="s">
        <v>139</v>
      </c>
      <c r="K728">
        <v>2</v>
      </c>
      <c r="L728" t="s">
        <v>29</v>
      </c>
      <c r="M728">
        <v>63000</v>
      </c>
      <c r="N728">
        <v>9.6</v>
      </c>
      <c r="O728">
        <v>11.4</v>
      </c>
      <c r="P728">
        <v>8.8000000000000007</v>
      </c>
      <c r="Q728">
        <v>4</v>
      </c>
      <c r="R728">
        <v>3</v>
      </c>
      <c r="S728">
        <v>2</v>
      </c>
      <c r="T728">
        <v>3</v>
      </c>
      <c r="U728" t="s">
        <v>23</v>
      </c>
      <c r="V728">
        <v>3</v>
      </c>
      <c r="W728">
        <f>COUNTIF($A$2:A728,A728)</f>
        <v>1</v>
      </c>
    </row>
    <row r="729" spans="1:23" x14ac:dyDescent="0.35">
      <c r="A729" t="s">
        <v>833</v>
      </c>
      <c r="B729" s="2">
        <v>42221</v>
      </c>
      <c r="C729" s="2">
        <v>45795</v>
      </c>
      <c r="D729" t="s">
        <v>30</v>
      </c>
      <c r="E729">
        <v>38</v>
      </c>
      <c r="F729" t="s">
        <v>36</v>
      </c>
      <c r="G729" t="s">
        <v>25</v>
      </c>
      <c r="H729" t="s">
        <v>58</v>
      </c>
      <c r="I729" t="s">
        <v>55</v>
      </c>
      <c r="J729" t="s">
        <v>80</v>
      </c>
      <c r="K729">
        <v>4</v>
      </c>
      <c r="L729" t="s">
        <v>34</v>
      </c>
      <c r="M729">
        <v>131000</v>
      </c>
      <c r="N729">
        <v>11</v>
      </c>
      <c r="O729">
        <v>13.8</v>
      </c>
      <c r="P729">
        <v>9.8000000000000007</v>
      </c>
      <c r="Q729">
        <v>5.3</v>
      </c>
      <c r="R729">
        <v>3</v>
      </c>
      <c r="S729">
        <v>4</v>
      </c>
      <c r="T729">
        <v>2</v>
      </c>
      <c r="U729" t="s">
        <v>23</v>
      </c>
      <c r="V729">
        <v>4</v>
      </c>
      <c r="W729">
        <f>COUNTIF($A$2:A729,A729)</f>
        <v>1</v>
      </c>
    </row>
    <row r="730" spans="1:23" x14ac:dyDescent="0.35">
      <c r="A730" t="s">
        <v>503</v>
      </c>
      <c r="B730" s="2">
        <v>45804</v>
      </c>
      <c r="D730" t="s">
        <v>23</v>
      </c>
      <c r="E730">
        <v>21</v>
      </c>
      <c r="F730" t="s">
        <v>24</v>
      </c>
      <c r="G730" t="s">
        <v>25</v>
      </c>
      <c r="H730" t="s">
        <v>32</v>
      </c>
      <c r="I730" t="s">
        <v>48</v>
      </c>
      <c r="J730" t="s">
        <v>201</v>
      </c>
      <c r="K730">
        <v>1</v>
      </c>
      <c r="L730" t="s">
        <v>29</v>
      </c>
      <c r="M730">
        <v>51000</v>
      </c>
      <c r="N730">
        <v>7.9</v>
      </c>
      <c r="O730">
        <v>2.2999999999999998</v>
      </c>
      <c r="P730">
        <v>0.6</v>
      </c>
      <c r="Q730">
        <v>0</v>
      </c>
      <c r="R730">
        <v>1</v>
      </c>
      <c r="S730">
        <v>1</v>
      </c>
      <c r="T730">
        <v>3</v>
      </c>
      <c r="U730" t="s">
        <v>30</v>
      </c>
      <c r="V730">
        <v>3</v>
      </c>
      <c r="W730">
        <f>COUNTIF($A$2:A730,A730)</f>
        <v>1</v>
      </c>
    </row>
    <row r="731" spans="1:23" x14ac:dyDescent="0.35">
      <c r="A731" t="s">
        <v>518</v>
      </c>
      <c r="B731" s="2">
        <v>43606</v>
      </c>
      <c r="D731" t="s">
        <v>23</v>
      </c>
      <c r="E731">
        <v>33</v>
      </c>
      <c r="F731" t="s">
        <v>24</v>
      </c>
      <c r="G731" t="s">
        <v>25</v>
      </c>
      <c r="H731" t="s">
        <v>32</v>
      </c>
      <c r="I731" t="s">
        <v>38</v>
      </c>
      <c r="J731" t="s">
        <v>39</v>
      </c>
      <c r="K731">
        <v>2</v>
      </c>
      <c r="L731" t="s">
        <v>84</v>
      </c>
      <c r="M731">
        <v>56000</v>
      </c>
      <c r="N731">
        <v>6.7</v>
      </c>
      <c r="O731">
        <v>12.9</v>
      </c>
      <c r="P731">
        <v>6.6</v>
      </c>
      <c r="Q731">
        <v>2</v>
      </c>
      <c r="R731">
        <v>1</v>
      </c>
      <c r="S731">
        <v>3</v>
      </c>
      <c r="T731">
        <v>4</v>
      </c>
      <c r="U731" t="s">
        <v>23</v>
      </c>
      <c r="V731">
        <v>2</v>
      </c>
      <c r="W731">
        <f>COUNTIF($A$2:A731,A731)</f>
        <v>1</v>
      </c>
    </row>
    <row r="732" spans="1:23" x14ac:dyDescent="0.35">
      <c r="A732" t="s">
        <v>233</v>
      </c>
      <c r="B732" s="2">
        <v>45301</v>
      </c>
      <c r="D732" t="s">
        <v>23</v>
      </c>
      <c r="E732">
        <v>22</v>
      </c>
      <c r="F732" t="s">
        <v>24</v>
      </c>
      <c r="G732" t="s">
        <v>37</v>
      </c>
      <c r="H732" t="s">
        <v>26</v>
      </c>
      <c r="I732" t="s">
        <v>27</v>
      </c>
      <c r="J732" t="s">
        <v>95</v>
      </c>
      <c r="K732">
        <v>1</v>
      </c>
      <c r="L732" t="s">
        <v>50</v>
      </c>
      <c r="M732">
        <v>39000</v>
      </c>
      <c r="N732">
        <v>7.3</v>
      </c>
      <c r="O732">
        <v>4.3</v>
      </c>
      <c r="P732">
        <v>2</v>
      </c>
      <c r="Q732">
        <v>0.3</v>
      </c>
      <c r="R732">
        <v>3</v>
      </c>
      <c r="S732">
        <v>3</v>
      </c>
      <c r="T732">
        <v>3</v>
      </c>
      <c r="U732" t="s">
        <v>23</v>
      </c>
      <c r="V732">
        <v>4</v>
      </c>
      <c r="W732">
        <f>COUNTIF($A$2:A732,A732)</f>
        <v>1</v>
      </c>
    </row>
    <row r="733" spans="1:23" x14ac:dyDescent="0.35">
      <c r="A733" t="s">
        <v>1179</v>
      </c>
      <c r="B733" s="2">
        <v>43109</v>
      </c>
      <c r="C733" s="2">
        <v>45981</v>
      </c>
      <c r="D733" t="s">
        <v>30</v>
      </c>
      <c r="E733">
        <v>30</v>
      </c>
      <c r="F733" t="s">
        <v>62</v>
      </c>
      <c r="G733" t="s">
        <v>42</v>
      </c>
      <c r="H733" t="s">
        <v>32</v>
      </c>
      <c r="I733" t="s">
        <v>59</v>
      </c>
      <c r="J733" t="s">
        <v>75</v>
      </c>
      <c r="K733">
        <v>3</v>
      </c>
      <c r="L733" t="s">
        <v>29</v>
      </c>
      <c r="M733">
        <v>87000</v>
      </c>
      <c r="N733">
        <v>6.9</v>
      </c>
      <c r="O733">
        <v>14</v>
      </c>
      <c r="P733">
        <v>7.9</v>
      </c>
      <c r="Q733">
        <v>1.5</v>
      </c>
      <c r="R733">
        <v>3</v>
      </c>
      <c r="S733">
        <v>3</v>
      </c>
      <c r="T733">
        <v>2</v>
      </c>
      <c r="U733" t="s">
        <v>30</v>
      </c>
      <c r="V733">
        <v>4</v>
      </c>
      <c r="W733">
        <f>COUNTIF($A$2:A733,A733)</f>
        <v>1</v>
      </c>
    </row>
    <row r="734" spans="1:23" x14ac:dyDescent="0.35">
      <c r="A734" t="s">
        <v>982</v>
      </c>
      <c r="B734" s="2">
        <v>44494</v>
      </c>
      <c r="C734" s="2">
        <v>45935</v>
      </c>
      <c r="D734" t="s">
        <v>30</v>
      </c>
      <c r="E734">
        <v>28</v>
      </c>
      <c r="F734" t="s">
        <v>62</v>
      </c>
      <c r="G734" t="s">
        <v>42</v>
      </c>
      <c r="H734" t="s">
        <v>58</v>
      </c>
      <c r="I734" t="s">
        <v>68</v>
      </c>
      <c r="J734" t="s">
        <v>102</v>
      </c>
      <c r="K734">
        <v>1</v>
      </c>
      <c r="L734" t="s">
        <v>34</v>
      </c>
      <c r="M734">
        <v>40000</v>
      </c>
      <c r="N734">
        <v>11.7</v>
      </c>
      <c r="O734">
        <v>8.8000000000000007</v>
      </c>
      <c r="P734">
        <v>3.9</v>
      </c>
      <c r="Q734">
        <v>0.6</v>
      </c>
      <c r="R734">
        <v>4</v>
      </c>
      <c r="S734">
        <v>3</v>
      </c>
      <c r="T734">
        <v>4</v>
      </c>
      <c r="U734" t="s">
        <v>23</v>
      </c>
      <c r="V734">
        <v>3</v>
      </c>
      <c r="W734">
        <f>COUNTIF($A$2:A734,A734)</f>
        <v>1</v>
      </c>
    </row>
    <row r="735" spans="1:23" x14ac:dyDescent="0.35">
      <c r="A735" t="s">
        <v>1033</v>
      </c>
      <c r="B735" s="2">
        <v>43952</v>
      </c>
      <c r="D735" t="s">
        <v>23</v>
      </c>
      <c r="E735">
        <v>32</v>
      </c>
      <c r="F735" t="s">
        <v>36</v>
      </c>
      <c r="G735" t="s">
        <v>25</v>
      </c>
      <c r="H735" t="s">
        <v>32</v>
      </c>
      <c r="I735" t="s">
        <v>27</v>
      </c>
      <c r="J735" t="s">
        <v>43</v>
      </c>
      <c r="K735">
        <v>2</v>
      </c>
      <c r="L735" t="s">
        <v>34</v>
      </c>
      <c r="M735">
        <v>57000</v>
      </c>
      <c r="N735">
        <v>9.4</v>
      </c>
      <c r="O735">
        <v>8.6999999999999993</v>
      </c>
      <c r="P735">
        <v>5.7</v>
      </c>
      <c r="Q735">
        <v>2.4</v>
      </c>
      <c r="R735">
        <v>4</v>
      </c>
      <c r="S735">
        <v>2</v>
      </c>
      <c r="T735">
        <v>3</v>
      </c>
      <c r="U735" t="s">
        <v>30</v>
      </c>
      <c r="V735">
        <v>3</v>
      </c>
      <c r="W735">
        <f>COUNTIF($A$2:A735,A735)</f>
        <v>1</v>
      </c>
    </row>
    <row r="736" spans="1:23" x14ac:dyDescent="0.35">
      <c r="A736" t="s">
        <v>784</v>
      </c>
      <c r="B736" s="2">
        <v>43237</v>
      </c>
      <c r="D736" t="s">
        <v>23</v>
      </c>
      <c r="E736">
        <v>28</v>
      </c>
      <c r="F736" t="s">
        <v>24</v>
      </c>
      <c r="G736" t="s">
        <v>25</v>
      </c>
      <c r="H736" t="s">
        <v>58</v>
      </c>
      <c r="I736" t="s">
        <v>38</v>
      </c>
      <c r="J736" t="s">
        <v>52</v>
      </c>
      <c r="K736">
        <v>3</v>
      </c>
      <c r="L736" t="s">
        <v>84</v>
      </c>
      <c r="M736">
        <v>93000</v>
      </c>
      <c r="N736">
        <v>8.1999999999999993</v>
      </c>
      <c r="O736">
        <v>12.2</v>
      </c>
      <c r="P736">
        <v>7.6</v>
      </c>
      <c r="Q736">
        <v>0.1</v>
      </c>
      <c r="R736">
        <v>3</v>
      </c>
      <c r="S736">
        <v>4</v>
      </c>
      <c r="T736">
        <v>3</v>
      </c>
      <c r="U736" t="s">
        <v>23</v>
      </c>
      <c r="V736">
        <v>3</v>
      </c>
      <c r="W736">
        <f>COUNTIF($A$2:A736,A736)</f>
        <v>1</v>
      </c>
    </row>
    <row r="737" spans="1:23" x14ac:dyDescent="0.35">
      <c r="A737" t="s">
        <v>1430</v>
      </c>
      <c r="B737" s="2">
        <v>45190</v>
      </c>
      <c r="D737" t="s">
        <v>23</v>
      </c>
      <c r="E737">
        <v>34</v>
      </c>
      <c r="F737" t="s">
        <v>24</v>
      </c>
      <c r="G737" t="s">
        <v>37</v>
      </c>
      <c r="H737" t="s">
        <v>54</v>
      </c>
      <c r="I737" t="s">
        <v>55</v>
      </c>
      <c r="J737" t="s">
        <v>56</v>
      </c>
      <c r="K737">
        <v>1</v>
      </c>
      <c r="L737" t="s">
        <v>84</v>
      </c>
      <c r="M737">
        <v>41000</v>
      </c>
      <c r="N737">
        <v>8.5</v>
      </c>
      <c r="O737">
        <v>3.4</v>
      </c>
      <c r="P737">
        <v>2.2999999999999998</v>
      </c>
      <c r="Q737">
        <v>1.4</v>
      </c>
      <c r="R737">
        <v>3</v>
      </c>
      <c r="S737">
        <v>3</v>
      </c>
      <c r="T737">
        <v>3</v>
      </c>
      <c r="U737" t="s">
        <v>23</v>
      </c>
      <c r="V737">
        <v>4</v>
      </c>
      <c r="W737">
        <f>COUNTIF($A$2:A737,A737)</f>
        <v>1</v>
      </c>
    </row>
    <row r="738" spans="1:23" x14ac:dyDescent="0.35">
      <c r="A738" t="s">
        <v>1212</v>
      </c>
      <c r="B738" s="2">
        <v>42348</v>
      </c>
      <c r="D738" t="s">
        <v>23</v>
      </c>
      <c r="E738">
        <v>44</v>
      </c>
      <c r="F738" t="s">
        <v>36</v>
      </c>
      <c r="G738" t="s">
        <v>42</v>
      </c>
      <c r="H738" t="s">
        <v>32</v>
      </c>
      <c r="I738" t="s">
        <v>48</v>
      </c>
      <c r="J738" t="s">
        <v>129</v>
      </c>
      <c r="K738">
        <v>3</v>
      </c>
      <c r="L738" t="s">
        <v>84</v>
      </c>
      <c r="M738">
        <v>89000</v>
      </c>
      <c r="N738">
        <v>12.5</v>
      </c>
      <c r="O738">
        <v>17</v>
      </c>
      <c r="P738">
        <v>10.1</v>
      </c>
      <c r="Q738">
        <v>1.6</v>
      </c>
      <c r="R738">
        <v>3</v>
      </c>
      <c r="S738">
        <v>2</v>
      </c>
      <c r="T738">
        <v>3</v>
      </c>
      <c r="U738" t="s">
        <v>30</v>
      </c>
      <c r="V738">
        <v>3</v>
      </c>
      <c r="W738">
        <f>COUNTIF($A$2:A738,A738)</f>
        <v>1</v>
      </c>
    </row>
    <row r="739" spans="1:23" x14ac:dyDescent="0.35">
      <c r="A739" t="s">
        <v>355</v>
      </c>
      <c r="B739" s="2">
        <v>44654</v>
      </c>
      <c r="C739" s="2">
        <v>45711</v>
      </c>
      <c r="D739" t="s">
        <v>30</v>
      </c>
      <c r="E739">
        <v>27</v>
      </c>
      <c r="F739" t="s">
        <v>24</v>
      </c>
      <c r="G739" t="s">
        <v>37</v>
      </c>
      <c r="H739" t="s">
        <v>32</v>
      </c>
      <c r="I739" t="s">
        <v>48</v>
      </c>
      <c r="J739" t="s">
        <v>201</v>
      </c>
      <c r="K739">
        <v>1</v>
      </c>
      <c r="L739" t="s">
        <v>34</v>
      </c>
      <c r="M739">
        <v>44000</v>
      </c>
      <c r="N739">
        <v>12.5</v>
      </c>
      <c r="O739">
        <v>6.3</v>
      </c>
      <c r="P739">
        <v>2.9</v>
      </c>
      <c r="Q739">
        <v>0.2</v>
      </c>
      <c r="S739">
        <v>2</v>
      </c>
      <c r="T739">
        <v>1</v>
      </c>
      <c r="U739" t="s">
        <v>23</v>
      </c>
      <c r="V739">
        <v>3</v>
      </c>
      <c r="W739">
        <f>COUNTIF($A$2:A739,A739)</f>
        <v>1</v>
      </c>
    </row>
    <row r="740" spans="1:23" x14ac:dyDescent="0.35">
      <c r="A740" t="s">
        <v>1122</v>
      </c>
      <c r="B740" s="2">
        <v>44565</v>
      </c>
      <c r="D740" t="s">
        <v>23</v>
      </c>
      <c r="E740">
        <v>29</v>
      </c>
      <c r="F740" t="s">
        <v>36</v>
      </c>
      <c r="G740" t="s">
        <v>25</v>
      </c>
      <c r="H740" t="s">
        <v>58</v>
      </c>
      <c r="I740" t="s">
        <v>59</v>
      </c>
      <c r="J740" t="s">
        <v>75</v>
      </c>
      <c r="K740">
        <v>1</v>
      </c>
      <c r="L740" t="s">
        <v>66</v>
      </c>
      <c r="M740">
        <v>31000</v>
      </c>
      <c r="N740">
        <v>2.4</v>
      </c>
      <c r="O740">
        <v>10</v>
      </c>
      <c r="P740">
        <v>4</v>
      </c>
      <c r="Q740">
        <v>2.2000000000000002</v>
      </c>
      <c r="R740">
        <v>4</v>
      </c>
      <c r="S740">
        <v>3</v>
      </c>
      <c r="T740">
        <v>3</v>
      </c>
      <c r="U740" t="s">
        <v>30</v>
      </c>
      <c r="V740">
        <v>3</v>
      </c>
      <c r="W740">
        <f>COUNTIF($A$2:A740,A740)</f>
        <v>1</v>
      </c>
    </row>
    <row r="741" spans="1:23" x14ac:dyDescent="0.35">
      <c r="A741" t="s">
        <v>1242</v>
      </c>
      <c r="B741" s="2">
        <v>45204</v>
      </c>
      <c r="D741" t="s">
        <v>23</v>
      </c>
      <c r="E741">
        <v>40</v>
      </c>
      <c r="F741" t="s">
        <v>36</v>
      </c>
      <c r="G741" t="s">
        <v>25</v>
      </c>
      <c r="H741" t="s">
        <v>32</v>
      </c>
      <c r="I741" t="s">
        <v>68</v>
      </c>
      <c r="J741" t="s">
        <v>69</v>
      </c>
      <c r="K741">
        <v>3</v>
      </c>
      <c r="L741" t="s">
        <v>40</v>
      </c>
      <c r="M741">
        <v>73000</v>
      </c>
      <c r="N741">
        <v>11.6</v>
      </c>
      <c r="O741">
        <v>9.9</v>
      </c>
      <c r="P741">
        <v>2.2000000000000002</v>
      </c>
      <c r="Q741">
        <v>0.8</v>
      </c>
      <c r="R741">
        <v>3</v>
      </c>
      <c r="S741">
        <v>3</v>
      </c>
      <c r="T741">
        <v>3</v>
      </c>
      <c r="U741" t="s">
        <v>23</v>
      </c>
      <c r="V741">
        <v>3</v>
      </c>
      <c r="W741">
        <f>COUNTIF($A$2:A741,A741)</f>
        <v>1</v>
      </c>
    </row>
    <row r="742" spans="1:23" x14ac:dyDescent="0.35">
      <c r="A742" t="s">
        <v>112</v>
      </c>
      <c r="B742" s="2">
        <v>44134</v>
      </c>
      <c r="D742" t="s">
        <v>23</v>
      </c>
      <c r="E742">
        <v>35</v>
      </c>
      <c r="F742" t="s">
        <v>24</v>
      </c>
      <c r="G742" t="s">
        <v>25</v>
      </c>
      <c r="H742" t="s">
        <v>54</v>
      </c>
      <c r="I742" t="s">
        <v>27</v>
      </c>
      <c r="J742" t="s">
        <v>33</v>
      </c>
      <c r="K742">
        <v>1</v>
      </c>
      <c r="L742" t="s">
        <v>66</v>
      </c>
      <c r="M742">
        <v>22000</v>
      </c>
      <c r="N742">
        <v>9.3000000000000007</v>
      </c>
      <c r="O742">
        <v>7.7</v>
      </c>
      <c r="P742">
        <v>5.2</v>
      </c>
      <c r="Q742">
        <v>1</v>
      </c>
      <c r="R742">
        <v>1</v>
      </c>
      <c r="S742">
        <v>3</v>
      </c>
      <c r="T742">
        <v>3</v>
      </c>
      <c r="U742" t="s">
        <v>30</v>
      </c>
      <c r="V742">
        <v>3</v>
      </c>
      <c r="W742">
        <f>COUNTIF($A$2:A742,A742)</f>
        <v>1</v>
      </c>
    </row>
    <row r="743" spans="1:23" x14ac:dyDescent="0.35">
      <c r="A743" t="s">
        <v>1367</v>
      </c>
      <c r="B743" s="2">
        <v>43523</v>
      </c>
      <c r="D743" t="s">
        <v>23</v>
      </c>
      <c r="E743">
        <v>32</v>
      </c>
      <c r="F743" t="s">
        <v>62</v>
      </c>
      <c r="G743" t="s">
        <v>42</v>
      </c>
      <c r="H743" t="s">
        <v>58</v>
      </c>
      <c r="I743" t="s">
        <v>55</v>
      </c>
      <c r="J743" t="s">
        <v>56</v>
      </c>
      <c r="K743">
        <v>2</v>
      </c>
      <c r="L743" t="s">
        <v>66</v>
      </c>
      <c r="M743">
        <v>47000</v>
      </c>
      <c r="N743">
        <v>13.8</v>
      </c>
      <c r="O743">
        <v>9</v>
      </c>
      <c r="P743">
        <v>6.8</v>
      </c>
      <c r="Q743">
        <v>4.9000000000000004</v>
      </c>
      <c r="R743">
        <v>3</v>
      </c>
      <c r="S743">
        <v>4</v>
      </c>
      <c r="T743">
        <v>3</v>
      </c>
      <c r="U743" t="s">
        <v>30</v>
      </c>
      <c r="V743">
        <v>3</v>
      </c>
      <c r="W743">
        <f>COUNTIF($A$2:A743,A743)</f>
        <v>1</v>
      </c>
    </row>
    <row r="744" spans="1:23" x14ac:dyDescent="0.35">
      <c r="A744" t="s">
        <v>541</v>
      </c>
      <c r="B744" s="2">
        <v>45262</v>
      </c>
      <c r="D744" t="s">
        <v>23</v>
      </c>
      <c r="E744">
        <v>36</v>
      </c>
      <c r="F744" t="s">
        <v>62</v>
      </c>
      <c r="G744" t="s">
        <v>25</v>
      </c>
      <c r="H744" t="s">
        <v>58</v>
      </c>
      <c r="I744" t="s">
        <v>27</v>
      </c>
      <c r="J744" t="s">
        <v>95</v>
      </c>
      <c r="K744">
        <v>1</v>
      </c>
      <c r="L744" t="s">
        <v>29</v>
      </c>
      <c r="M744">
        <v>46000</v>
      </c>
      <c r="N744">
        <v>5.2</v>
      </c>
      <c r="O744">
        <v>2.9</v>
      </c>
      <c r="P744">
        <v>2.1</v>
      </c>
      <c r="Q744">
        <v>1.7</v>
      </c>
      <c r="R744">
        <v>3</v>
      </c>
      <c r="S744">
        <v>3</v>
      </c>
      <c r="T744">
        <v>4</v>
      </c>
      <c r="U744" t="s">
        <v>23</v>
      </c>
      <c r="V744">
        <v>3</v>
      </c>
      <c r="W744">
        <f>COUNTIF($A$2:A744,A744)</f>
        <v>1</v>
      </c>
    </row>
    <row r="745" spans="1:23" x14ac:dyDescent="0.35">
      <c r="A745" t="s">
        <v>1386</v>
      </c>
      <c r="B745" s="2">
        <v>45902</v>
      </c>
      <c r="D745" t="s">
        <v>23</v>
      </c>
      <c r="E745">
        <v>40</v>
      </c>
      <c r="F745" t="s">
        <v>24</v>
      </c>
      <c r="G745" t="s">
        <v>37</v>
      </c>
      <c r="H745" t="s">
        <v>54</v>
      </c>
      <c r="I745" t="s">
        <v>59</v>
      </c>
      <c r="J745" t="s">
        <v>60</v>
      </c>
      <c r="K745">
        <v>2</v>
      </c>
      <c r="L745" t="s">
        <v>34</v>
      </c>
      <c r="M745">
        <v>50000</v>
      </c>
      <c r="N745">
        <v>13.5</v>
      </c>
      <c r="O745">
        <v>5.2</v>
      </c>
      <c r="P745">
        <v>0.3</v>
      </c>
      <c r="Q745">
        <v>0</v>
      </c>
      <c r="R745">
        <v>2</v>
      </c>
      <c r="S745">
        <v>3</v>
      </c>
      <c r="T745">
        <v>1</v>
      </c>
      <c r="U745" t="s">
        <v>30</v>
      </c>
      <c r="V745">
        <v>2</v>
      </c>
      <c r="W745">
        <f>COUNTIF($A$2:A745,A745)</f>
        <v>1</v>
      </c>
    </row>
    <row r="746" spans="1:23" x14ac:dyDescent="0.35">
      <c r="A746" t="s">
        <v>1561</v>
      </c>
      <c r="B746" s="2">
        <v>45112</v>
      </c>
      <c r="D746" t="s">
        <v>23</v>
      </c>
      <c r="E746">
        <v>27</v>
      </c>
      <c r="F746" t="s">
        <v>62</v>
      </c>
      <c r="G746" t="s">
        <v>37</v>
      </c>
      <c r="H746" t="s">
        <v>32</v>
      </c>
      <c r="I746" t="s">
        <v>45</v>
      </c>
      <c r="J746" t="s">
        <v>46</v>
      </c>
      <c r="K746">
        <v>1</v>
      </c>
      <c r="L746" t="s">
        <v>40</v>
      </c>
      <c r="M746">
        <v>26000</v>
      </c>
      <c r="N746">
        <v>6.9</v>
      </c>
      <c r="O746">
        <v>5.5</v>
      </c>
      <c r="P746">
        <v>2.5</v>
      </c>
      <c r="Q746">
        <v>1</v>
      </c>
      <c r="R746">
        <v>2</v>
      </c>
      <c r="S746">
        <v>3</v>
      </c>
      <c r="T746">
        <v>3</v>
      </c>
      <c r="U746" t="s">
        <v>23</v>
      </c>
      <c r="V746">
        <v>4</v>
      </c>
      <c r="W746">
        <f>COUNTIF($A$2:A746,A746)</f>
        <v>1</v>
      </c>
    </row>
    <row r="747" spans="1:23" x14ac:dyDescent="0.35">
      <c r="A747" t="s">
        <v>1563</v>
      </c>
      <c r="B747" s="2">
        <v>42324</v>
      </c>
      <c r="D747" t="s">
        <v>23</v>
      </c>
      <c r="E747">
        <v>42</v>
      </c>
      <c r="F747" t="s">
        <v>36</v>
      </c>
      <c r="G747" t="s">
        <v>42</v>
      </c>
      <c r="H747" t="s">
        <v>58</v>
      </c>
      <c r="I747" t="s">
        <v>45</v>
      </c>
      <c r="J747" t="s">
        <v>77</v>
      </c>
      <c r="K747">
        <v>3</v>
      </c>
      <c r="L747" t="s">
        <v>29</v>
      </c>
      <c r="M747">
        <v>70000</v>
      </c>
      <c r="N747">
        <v>10.4</v>
      </c>
      <c r="O747">
        <v>15.6</v>
      </c>
      <c r="P747">
        <v>10.1</v>
      </c>
      <c r="Q747">
        <v>3.3</v>
      </c>
      <c r="R747">
        <v>3</v>
      </c>
      <c r="S747">
        <v>3</v>
      </c>
      <c r="T747">
        <v>3</v>
      </c>
      <c r="U747" t="s">
        <v>23</v>
      </c>
      <c r="V747">
        <v>1</v>
      </c>
      <c r="W747">
        <f>COUNTIF($A$2:A747,A747)</f>
        <v>1</v>
      </c>
    </row>
    <row r="748" spans="1:23" x14ac:dyDescent="0.35">
      <c r="A748" t="s">
        <v>408</v>
      </c>
      <c r="B748" s="2">
        <v>45755</v>
      </c>
      <c r="C748" s="2">
        <v>45910</v>
      </c>
      <c r="D748" t="s">
        <v>30</v>
      </c>
      <c r="E748">
        <v>21</v>
      </c>
      <c r="F748" t="s">
        <v>24</v>
      </c>
      <c r="G748" t="s">
        <v>25</v>
      </c>
      <c r="H748" t="s">
        <v>58</v>
      </c>
      <c r="I748" t="s">
        <v>48</v>
      </c>
      <c r="J748" t="s">
        <v>49</v>
      </c>
      <c r="K748">
        <v>1</v>
      </c>
      <c r="L748" t="s">
        <v>84</v>
      </c>
      <c r="M748">
        <v>37000</v>
      </c>
      <c r="N748">
        <v>1.4</v>
      </c>
      <c r="O748">
        <v>1.9</v>
      </c>
      <c r="P748">
        <v>0.4</v>
      </c>
      <c r="Q748">
        <v>0</v>
      </c>
      <c r="R748">
        <v>4</v>
      </c>
      <c r="S748">
        <v>1</v>
      </c>
      <c r="T748">
        <v>3</v>
      </c>
      <c r="U748" t="s">
        <v>23</v>
      </c>
      <c r="V748">
        <v>4</v>
      </c>
      <c r="W748">
        <f>COUNTIF($A$2:A748,A748)</f>
        <v>1</v>
      </c>
    </row>
    <row r="749" spans="1:23" x14ac:dyDescent="0.35">
      <c r="A749" t="s">
        <v>1312</v>
      </c>
      <c r="B749" s="2">
        <v>45010</v>
      </c>
      <c r="D749" t="s">
        <v>23</v>
      </c>
      <c r="E749">
        <v>23</v>
      </c>
      <c r="F749" t="s">
        <v>36</v>
      </c>
      <c r="H749" t="s">
        <v>26</v>
      </c>
      <c r="I749" t="s">
        <v>38</v>
      </c>
      <c r="J749" t="s">
        <v>39</v>
      </c>
      <c r="K749">
        <v>1</v>
      </c>
      <c r="L749" t="s">
        <v>66</v>
      </c>
      <c r="M749">
        <v>56000</v>
      </c>
      <c r="N749">
        <v>12.6</v>
      </c>
      <c r="O749">
        <v>7.9</v>
      </c>
      <c r="P749">
        <v>2.8</v>
      </c>
      <c r="Q749">
        <v>1.8</v>
      </c>
      <c r="R749">
        <v>1</v>
      </c>
      <c r="S749">
        <v>3</v>
      </c>
      <c r="T749">
        <v>4</v>
      </c>
      <c r="U749" t="s">
        <v>23</v>
      </c>
      <c r="V749">
        <v>4</v>
      </c>
      <c r="W749">
        <f>COUNTIF($A$2:A749,A749)</f>
        <v>1</v>
      </c>
    </row>
    <row r="750" spans="1:23" x14ac:dyDescent="0.35">
      <c r="A750" t="s">
        <v>1160</v>
      </c>
      <c r="B750" s="2">
        <v>41949</v>
      </c>
      <c r="D750" t="s">
        <v>23</v>
      </c>
      <c r="E750">
        <v>42</v>
      </c>
      <c r="F750" t="s">
        <v>24</v>
      </c>
      <c r="G750" t="s">
        <v>25</v>
      </c>
      <c r="H750" t="s">
        <v>32</v>
      </c>
      <c r="I750" t="s">
        <v>1161</v>
      </c>
      <c r="J750" t="s">
        <v>75</v>
      </c>
      <c r="K750">
        <v>4</v>
      </c>
      <c r="L750" t="s">
        <v>29</v>
      </c>
      <c r="M750">
        <v>100000</v>
      </c>
      <c r="N750">
        <v>11.2</v>
      </c>
      <c r="O750">
        <v>14.9</v>
      </c>
      <c r="P750">
        <v>11.2</v>
      </c>
      <c r="Q750">
        <v>5.2</v>
      </c>
      <c r="R750">
        <v>3</v>
      </c>
      <c r="S750">
        <v>4</v>
      </c>
      <c r="T750">
        <v>4</v>
      </c>
      <c r="U750" t="s">
        <v>23</v>
      </c>
      <c r="V750">
        <v>1</v>
      </c>
      <c r="W750">
        <f>COUNTIF($A$2:A750,A750)</f>
        <v>1</v>
      </c>
    </row>
    <row r="751" spans="1:23" x14ac:dyDescent="0.35">
      <c r="A751" t="s">
        <v>1049</v>
      </c>
      <c r="B751" s="2">
        <v>45350</v>
      </c>
      <c r="C751" s="2">
        <v>45984</v>
      </c>
      <c r="D751" t="s">
        <v>30</v>
      </c>
      <c r="E751">
        <v>35</v>
      </c>
      <c r="F751" t="s">
        <v>62</v>
      </c>
      <c r="G751" t="s">
        <v>25</v>
      </c>
      <c r="H751" t="s">
        <v>26</v>
      </c>
      <c r="I751" t="s">
        <v>45</v>
      </c>
      <c r="J751" t="s">
        <v>97</v>
      </c>
      <c r="K751">
        <v>4</v>
      </c>
      <c r="L751" t="s">
        <v>84</v>
      </c>
      <c r="M751">
        <v>115000</v>
      </c>
      <c r="N751">
        <v>11.9</v>
      </c>
      <c r="O751">
        <v>7.4</v>
      </c>
      <c r="P751">
        <v>1.7</v>
      </c>
      <c r="Q751">
        <v>0.5</v>
      </c>
      <c r="R751">
        <v>4</v>
      </c>
      <c r="S751">
        <v>4</v>
      </c>
      <c r="T751">
        <v>3</v>
      </c>
      <c r="U751" t="s">
        <v>23</v>
      </c>
      <c r="V751">
        <v>4</v>
      </c>
      <c r="W751">
        <f>COUNTIF($A$2:A751,A751)</f>
        <v>1</v>
      </c>
    </row>
    <row r="752" spans="1:23" x14ac:dyDescent="0.35">
      <c r="A752" t="s">
        <v>978</v>
      </c>
      <c r="B752" s="2">
        <v>45683</v>
      </c>
      <c r="D752" t="s">
        <v>23</v>
      </c>
      <c r="E752">
        <v>21</v>
      </c>
      <c r="F752" t="s">
        <v>24</v>
      </c>
      <c r="G752" t="s">
        <v>37</v>
      </c>
      <c r="H752" t="s">
        <v>32</v>
      </c>
      <c r="I752" t="s">
        <v>59</v>
      </c>
      <c r="J752" t="s">
        <v>150</v>
      </c>
      <c r="K752">
        <v>1</v>
      </c>
      <c r="L752" t="s">
        <v>66</v>
      </c>
      <c r="M752">
        <v>24000</v>
      </c>
      <c r="N752">
        <v>8.5</v>
      </c>
      <c r="O752">
        <v>3.9</v>
      </c>
      <c r="P752">
        <v>0.9</v>
      </c>
      <c r="Q752">
        <v>0</v>
      </c>
      <c r="R752">
        <v>4</v>
      </c>
      <c r="S752">
        <v>3</v>
      </c>
      <c r="T752">
        <v>3</v>
      </c>
      <c r="U752" t="s">
        <v>30</v>
      </c>
      <c r="V752">
        <v>4</v>
      </c>
      <c r="W752">
        <f>COUNTIF($A$2:A752,A752)</f>
        <v>1</v>
      </c>
    </row>
    <row r="753" spans="1:23" x14ac:dyDescent="0.35">
      <c r="A753" t="s">
        <v>1194</v>
      </c>
      <c r="B753" s="2">
        <v>45769</v>
      </c>
      <c r="D753" t="s">
        <v>23</v>
      </c>
      <c r="E753">
        <v>25</v>
      </c>
      <c r="F753" t="s">
        <v>36</v>
      </c>
      <c r="G753" t="s">
        <v>25</v>
      </c>
      <c r="H753" t="s">
        <v>58</v>
      </c>
      <c r="I753" t="s">
        <v>55</v>
      </c>
      <c r="J753" t="s">
        <v>88</v>
      </c>
      <c r="K753">
        <v>1</v>
      </c>
      <c r="L753" t="s">
        <v>50</v>
      </c>
      <c r="M753">
        <v>61000</v>
      </c>
      <c r="N753">
        <v>15.1</v>
      </c>
      <c r="O753">
        <v>4.7</v>
      </c>
      <c r="P753">
        <v>0.7</v>
      </c>
      <c r="Q753">
        <v>0</v>
      </c>
      <c r="R753">
        <v>3</v>
      </c>
      <c r="S753">
        <v>4</v>
      </c>
      <c r="T753">
        <v>4</v>
      </c>
      <c r="U753" t="s">
        <v>23</v>
      </c>
      <c r="V753">
        <v>1</v>
      </c>
      <c r="W753">
        <f>COUNTIF($A$2:A753,A753)</f>
        <v>1</v>
      </c>
    </row>
    <row r="754" spans="1:23" x14ac:dyDescent="0.35">
      <c r="A754" t="s">
        <v>1509</v>
      </c>
      <c r="B754" s="2">
        <v>42937</v>
      </c>
      <c r="C754" s="2">
        <v>45704</v>
      </c>
      <c r="D754" t="s">
        <v>30</v>
      </c>
      <c r="E754">
        <v>34</v>
      </c>
      <c r="F754" t="s">
        <v>24</v>
      </c>
      <c r="G754" t="s">
        <v>37</v>
      </c>
      <c r="H754" t="s">
        <v>32</v>
      </c>
      <c r="I754" t="s">
        <v>68</v>
      </c>
      <c r="J754" t="s">
        <v>121</v>
      </c>
      <c r="K754">
        <v>3</v>
      </c>
      <c r="L754" t="s">
        <v>29</v>
      </c>
      <c r="M754">
        <v>75000</v>
      </c>
      <c r="N754">
        <v>5.2</v>
      </c>
      <c r="O754">
        <v>9</v>
      </c>
      <c r="P754">
        <v>7.6</v>
      </c>
      <c r="Q754">
        <v>0.5</v>
      </c>
      <c r="R754">
        <v>3</v>
      </c>
      <c r="S754">
        <v>3</v>
      </c>
      <c r="T754">
        <v>3</v>
      </c>
      <c r="U754" t="s">
        <v>23</v>
      </c>
      <c r="V754">
        <v>1</v>
      </c>
      <c r="W754">
        <f>COUNTIF($A$2:A754,A754)</f>
        <v>1</v>
      </c>
    </row>
    <row r="755" spans="1:23" x14ac:dyDescent="0.35">
      <c r="A755" t="s">
        <v>1313</v>
      </c>
      <c r="B755" s="2">
        <v>42818</v>
      </c>
      <c r="D755" t="s">
        <v>23</v>
      </c>
      <c r="E755">
        <v>35</v>
      </c>
      <c r="F755" t="s">
        <v>62</v>
      </c>
      <c r="G755" t="s">
        <v>42</v>
      </c>
      <c r="H755" t="s">
        <v>32</v>
      </c>
      <c r="I755" t="s">
        <v>68</v>
      </c>
      <c r="J755" t="s">
        <v>121</v>
      </c>
      <c r="K755">
        <v>1</v>
      </c>
      <c r="L755" t="s">
        <v>84</v>
      </c>
      <c r="M755">
        <v>22000</v>
      </c>
      <c r="N755">
        <v>10.3</v>
      </c>
      <c r="O755">
        <v>16</v>
      </c>
      <c r="P755">
        <v>8.8000000000000007</v>
      </c>
      <c r="Q755">
        <v>1.1000000000000001</v>
      </c>
      <c r="R755">
        <v>4</v>
      </c>
      <c r="S755">
        <v>4</v>
      </c>
      <c r="T755">
        <v>2</v>
      </c>
      <c r="U755" t="s">
        <v>30</v>
      </c>
      <c r="V755">
        <v>2</v>
      </c>
      <c r="W755">
        <f>COUNTIF($A$2:A755,A755)</f>
        <v>1</v>
      </c>
    </row>
    <row r="756" spans="1:23" x14ac:dyDescent="0.35">
      <c r="A756" t="s">
        <v>1562</v>
      </c>
      <c r="B756" s="2">
        <v>45807</v>
      </c>
      <c r="C756" s="2">
        <v>45942</v>
      </c>
      <c r="D756" t="s">
        <v>30</v>
      </c>
      <c r="E756">
        <v>21</v>
      </c>
      <c r="F756" t="s">
        <v>62</v>
      </c>
      <c r="G756" t="s">
        <v>25</v>
      </c>
      <c r="H756" t="s">
        <v>54</v>
      </c>
      <c r="I756" t="s">
        <v>55</v>
      </c>
      <c r="J756" t="s">
        <v>88</v>
      </c>
      <c r="K756">
        <v>1</v>
      </c>
      <c r="L756" t="s">
        <v>29</v>
      </c>
      <c r="M756">
        <v>31000</v>
      </c>
      <c r="N756">
        <v>7.3</v>
      </c>
      <c r="O756">
        <v>2.4</v>
      </c>
      <c r="P756">
        <v>0.4</v>
      </c>
      <c r="Q756">
        <v>0</v>
      </c>
      <c r="R756">
        <v>3</v>
      </c>
      <c r="S756">
        <v>2</v>
      </c>
      <c r="T756">
        <v>3</v>
      </c>
      <c r="U756" t="s">
        <v>23</v>
      </c>
      <c r="V756">
        <v>3</v>
      </c>
      <c r="W756">
        <f>COUNTIF($A$2:A756,A756)</f>
        <v>1</v>
      </c>
    </row>
    <row r="757" spans="1:23" x14ac:dyDescent="0.35">
      <c r="A757" t="s">
        <v>1201</v>
      </c>
      <c r="B757" s="2">
        <v>42346</v>
      </c>
      <c r="D757" t="s">
        <v>23</v>
      </c>
      <c r="E757">
        <v>37</v>
      </c>
      <c r="F757" t="s">
        <v>62</v>
      </c>
      <c r="G757" t="s">
        <v>25</v>
      </c>
      <c r="H757" t="s">
        <v>58</v>
      </c>
      <c r="I757" t="s">
        <v>45</v>
      </c>
      <c r="J757" t="s">
        <v>97</v>
      </c>
      <c r="K757">
        <v>1</v>
      </c>
      <c r="L757" t="s">
        <v>50</v>
      </c>
      <c r="M757">
        <v>22000</v>
      </c>
      <c r="N757">
        <v>10.9</v>
      </c>
      <c r="O757">
        <v>15.7</v>
      </c>
      <c r="P757">
        <v>10.1</v>
      </c>
      <c r="Q757">
        <v>2.1</v>
      </c>
      <c r="R757">
        <v>3</v>
      </c>
      <c r="S757">
        <v>4</v>
      </c>
      <c r="T757">
        <v>4</v>
      </c>
      <c r="U757" t="s">
        <v>23</v>
      </c>
      <c r="V757">
        <v>3</v>
      </c>
      <c r="W757">
        <f>COUNTIF($A$2:A757,A757)</f>
        <v>1</v>
      </c>
    </row>
    <row r="758" spans="1:23" x14ac:dyDescent="0.35">
      <c r="A758" t="s">
        <v>174</v>
      </c>
      <c r="B758" s="2">
        <v>43914</v>
      </c>
      <c r="D758" t="s">
        <v>23</v>
      </c>
      <c r="E758">
        <v>41</v>
      </c>
      <c r="F758" t="s">
        <v>62</v>
      </c>
      <c r="G758" t="s">
        <v>37</v>
      </c>
      <c r="H758" t="s">
        <v>58</v>
      </c>
      <c r="I758" t="s">
        <v>27</v>
      </c>
      <c r="J758" t="s">
        <v>95</v>
      </c>
      <c r="K758">
        <v>2</v>
      </c>
      <c r="L758" t="s">
        <v>29</v>
      </c>
      <c r="M758">
        <v>46000</v>
      </c>
      <c r="N758">
        <v>8.6</v>
      </c>
      <c r="O758">
        <v>7.3</v>
      </c>
      <c r="P758">
        <v>5.8</v>
      </c>
      <c r="Q758">
        <v>0.8</v>
      </c>
      <c r="R758">
        <v>2</v>
      </c>
      <c r="S758">
        <v>3</v>
      </c>
      <c r="T758">
        <v>3</v>
      </c>
      <c r="U758" t="s">
        <v>30</v>
      </c>
      <c r="V758">
        <v>3</v>
      </c>
      <c r="W758">
        <f>COUNTIF($A$2:A758,A758)</f>
        <v>1</v>
      </c>
    </row>
    <row r="759" spans="1:23" x14ac:dyDescent="0.35">
      <c r="A759" t="s">
        <v>1204</v>
      </c>
      <c r="B759" s="2">
        <v>44738</v>
      </c>
      <c r="D759" t="s">
        <v>23</v>
      </c>
      <c r="E759">
        <v>24</v>
      </c>
      <c r="F759" t="s">
        <v>24</v>
      </c>
      <c r="G759" t="s">
        <v>37</v>
      </c>
      <c r="H759" t="s">
        <v>54</v>
      </c>
      <c r="I759" t="s">
        <v>38</v>
      </c>
      <c r="J759" t="s">
        <v>39</v>
      </c>
      <c r="K759">
        <v>1</v>
      </c>
      <c r="L759" t="s">
        <v>66</v>
      </c>
      <c r="M759">
        <v>25000</v>
      </c>
      <c r="N759">
        <v>6.7</v>
      </c>
      <c r="O759">
        <v>8.6999999999999993</v>
      </c>
      <c r="P759">
        <v>3.5</v>
      </c>
      <c r="Q759">
        <v>0.4</v>
      </c>
      <c r="R759">
        <v>3</v>
      </c>
      <c r="S759">
        <v>4</v>
      </c>
      <c r="T759">
        <v>3</v>
      </c>
      <c r="U759" t="s">
        <v>30</v>
      </c>
      <c r="V759">
        <v>3</v>
      </c>
      <c r="W759">
        <f>COUNTIF($A$2:A759,A759)</f>
        <v>1</v>
      </c>
    </row>
    <row r="760" spans="1:23" x14ac:dyDescent="0.35">
      <c r="A760" t="s">
        <v>627</v>
      </c>
      <c r="B760" s="2">
        <v>45459</v>
      </c>
      <c r="D760" t="s">
        <v>23</v>
      </c>
      <c r="E760">
        <v>22</v>
      </c>
      <c r="F760" t="s">
        <v>24</v>
      </c>
      <c r="G760" t="s">
        <v>25</v>
      </c>
      <c r="H760" t="s">
        <v>26</v>
      </c>
      <c r="I760" t="s">
        <v>48</v>
      </c>
      <c r="J760" t="s">
        <v>201</v>
      </c>
      <c r="K760">
        <v>1</v>
      </c>
      <c r="L760" t="s">
        <v>34</v>
      </c>
      <c r="M760">
        <v>22000</v>
      </c>
      <c r="N760">
        <v>7.2</v>
      </c>
      <c r="O760">
        <v>6.3</v>
      </c>
      <c r="P760">
        <v>1.5</v>
      </c>
      <c r="Q760">
        <v>0.7</v>
      </c>
      <c r="R760">
        <v>2</v>
      </c>
      <c r="S760">
        <v>3</v>
      </c>
      <c r="T760">
        <v>1</v>
      </c>
      <c r="U760" t="s">
        <v>23</v>
      </c>
      <c r="V760">
        <v>5</v>
      </c>
      <c r="W760">
        <f>COUNTIF($A$2:A760,A760)</f>
        <v>1</v>
      </c>
    </row>
    <row r="761" spans="1:23" x14ac:dyDescent="0.35">
      <c r="A761" t="s">
        <v>1314</v>
      </c>
      <c r="B761" s="2">
        <v>44200</v>
      </c>
      <c r="D761" t="s">
        <v>23</v>
      </c>
      <c r="E761">
        <v>41</v>
      </c>
      <c r="F761" t="s">
        <v>24</v>
      </c>
      <c r="G761" t="s">
        <v>37</v>
      </c>
      <c r="H761" t="s">
        <v>58</v>
      </c>
      <c r="I761" t="s">
        <v>48</v>
      </c>
      <c r="J761" t="s">
        <v>129</v>
      </c>
      <c r="K761">
        <v>5</v>
      </c>
      <c r="L761" t="s">
        <v>50</v>
      </c>
      <c r="M761">
        <v>156000</v>
      </c>
      <c r="N761">
        <v>7.4</v>
      </c>
      <c r="O761">
        <v>12.1</v>
      </c>
      <c r="P761">
        <v>5</v>
      </c>
      <c r="Q761">
        <v>4.8</v>
      </c>
      <c r="R761">
        <v>3</v>
      </c>
      <c r="S761">
        <v>4</v>
      </c>
      <c r="T761">
        <v>2</v>
      </c>
      <c r="U761" t="s">
        <v>30</v>
      </c>
      <c r="V761">
        <v>5</v>
      </c>
      <c r="W761">
        <f>COUNTIF($A$2:A761,A761)</f>
        <v>1</v>
      </c>
    </row>
    <row r="762" spans="1:23" x14ac:dyDescent="0.35">
      <c r="A762" t="s">
        <v>197</v>
      </c>
      <c r="B762" s="2">
        <v>45710</v>
      </c>
      <c r="D762" t="s">
        <v>23</v>
      </c>
      <c r="E762">
        <v>21</v>
      </c>
      <c r="F762" t="s">
        <v>24</v>
      </c>
      <c r="G762" t="s">
        <v>37</v>
      </c>
      <c r="H762" t="s">
        <v>32</v>
      </c>
      <c r="I762" t="s">
        <v>38</v>
      </c>
      <c r="J762" t="s">
        <v>39</v>
      </c>
      <c r="K762">
        <v>1</v>
      </c>
      <c r="L762" t="s">
        <v>34</v>
      </c>
      <c r="M762">
        <v>34000</v>
      </c>
      <c r="N762">
        <v>9.8000000000000007</v>
      </c>
      <c r="O762">
        <v>4.5</v>
      </c>
      <c r="P762">
        <v>0.9</v>
      </c>
      <c r="Q762">
        <v>0</v>
      </c>
      <c r="R762">
        <v>3</v>
      </c>
      <c r="S762">
        <v>2</v>
      </c>
      <c r="T762">
        <v>2</v>
      </c>
      <c r="U762" t="s">
        <v>30</v>
      </c>
      <c r="V762">
        <v>3</v>
      </c>
      <c r="W762">
        <f>COUNTIF($A$2:A762,A762)</f>
        <v>1</v>
      </c>
    </row>
    <row r="763" spans="1:23" x14ac:dyDescent="0.35">
      <c r="A763" t="s">
        <v>204</v>
      </c>
      <c r="B763" s="2">
        <v>44148</v>
      </c>
      <c r="C763" s="2">
        <v>45709</v>
      </c>
      <c r="D763" t="s">
        <v>30</v>
      </c>
      <c r="E763">
        <v>29</v>
      </c>
      <c r="F763" t="s">
        <v>36</v>
      </c>
      <c r="G763" t="s">
        <v>25</v>
      </c>
      <c r="H763" t="s">
        <v>32</v>
      </c>
      <c r="I763" t="s">
        <v>38</v>
      </c>
      <c r="J763" t="s">
        <v>139</v>
      </c>
      <c r="K763">
        <v>2</v>
      </c>
      <c r="L763" t="s">
        <v>50</v>
      </c>
      <c r="M763">
        <v>60000</v>
      </c>
      <c r="N763">
        <v>0</v>
      </c>
      <c r="O763">
        <v>8</v>
      </c>
      <c r="P763">
        <v>4.3</v>
      </c>
      <c r="Q763">
        <v>3</v>
      </c>
      <c r="R763">
        <v>1</v>
      </c>
      <c r="S763">
        <v>3</v>
      </c>
      <c r="T763">
        <v>4</v>
      </c>
      <c r="U763" t="s">
        <v>23</v>
      </c>
      <c r="V763">
        <v>4</v>
      </c>
      <c r="W763">
        <f>COUNTIF($A$2:A763,A763)</f>
        <v>1</v>
      </c>
    </row>
    <row r="764" spans="1:23" x14ac:dyDescent="0.35">
      <c r="A764" t="s">
        <v>760</v>
      </c>
      <c r="B764" s="2">
        <v>41916</v>
      </c>
      <c r="D764" t="s">
        <v>23</v>
      </c>
      <c r="E764">
        <v>36</v>
      </c>
      <c r="F764" t="s">
        <v>62</v>
      </c>
      <c r="G764" t="s">
        <v>25</v>
      </c>
      <c r="H764" t="s">
        <v>26</v>
      </c>
      <c r="I764" t="s">
        <v>48</v>
      </c>
      <c r="J764" t="s">
        <v>49</v>
      </c>
      <c r="K764">
        <v>2</v>
      </c>
      <c r="L764" t="s">
        <v>40</v>
      </c>
      <c r="M764">
        <v>46000</v>
      </c>
      <c r="N764">
        <v>9.1999999999999993</v>
      </c>
      <c r="O764">
        <v>16.600000000000001</v>
      </c>
      <c r="P764">
        <v>11.2</v>
      </c>
      <c r="Q764">
        <v>5.2</v>
      </c>
      <c r="R764">
        <v>3</v>
      </c>
      <c r="S764">
        <v>3</v>
      </c>
      <c r="T764">
        <v>3</v>
      </c>
      <c r="U764" t="s">
        <v>23</v>
      </c>
      <c r="V764">
        <v>3</v>
      </c>
      <c r="W764">
        <f>COUNTIF($A$2:A764,A764)</f>
        <v>1</v>
      </c>
    </row>
    <row r="765" spans="1:23" x14ac:dyDescent="0.35">
      <c r="A765" t="s">
        <v>505</v>
      </c>
      <c r="B765" s="2">
        <v>44470</v>
      </c>
      <c r="D765" t="s">
        <v>23</v>
      </c>
      <c r="E765">
        <v>31</v>
      </c>
      <c r="F765" t="s">
        <v>24</v>
      </c>
      <c r="G765" t="s">
        <v>42</v>
      </c>
      <c r="H765" t="s">
        <v>54</v>
      </c>
      <c r="I765" t="s">
        <v>27</v>
      </c>
      <c r="J765" t="s">
        <v>95</v>
      </c>
      <c r="K765">
        <v>3</v>
      </c>
      <c r="L765" t="s">
        <v>50</v>
      </c>
      <c r="M765">
        <v>75000</v>
      </c>
      <c r="N765">
        <v>5.0999999999999996</v>
      </c>
      <c r="O765">
        <v>10.3</v>
      </c>
      <c r="P765">
        <v>4.2</v>
      </c>
      <c r="Q765">
        <v>3.8</v>
      </c>
      <c r="R765">
        <v>4</v>
      </c>
      <c r="S765">
        <v>3</v>
      </c>
      <c r="T765">
        <v>2</v>
      </c>
      <c r="U765" t="s">
        <v>23</v>
      </c>
      <c r="V765">
        <v>3</v>
      </c>
      <c r="W765">
        <f>COUNTIF($A$2:A765,A765)</f>
        <v>1</v>
      </c>
    </row>
    <row r="766" spans="1:23" x14ac:dyDescent="0.35">
      <c r="A766" t="s">
        <v>1465</v>
      </c>
      <c r="B766" s="2">
        <v>44094</v>
      </c>
      <c r="D766" t="s">
        <v>23</v>
      </c>
      <c r="E766">
        <v>37</v>
      </c>
      <c r="F766" t="s">
        <v>24</v>
      </c>
      <c r="G766" t="s">
        <v>42</v>
      </c>
      <c r="H766" t="s">
        <v>26</v>
      </c>
      <c r="I766" t="s">
        <v>68</v>
      </c>
      <c r="J766" t="s">
        <v>121</v>
      </c>
      <c r="K766">
        <v>3</v>
      </c>
      <c r="L766" t="s">
        <v>84</v>
      </c>
      <c r="M766">
        <v>78000</v>
      </c>
      <c r="N766">
        <v>6.7</v>
      </c>
      <c r="O766">
        <v>5.6</v>
      </c>
      <c r="P766">
        <v>5.3</v>
      </c>
      <c r="Q766">
        <v>5.0999999999999996</v>
      </c>
      <c r="R766">
        <v>3</v>
      </c>
      <c r="S766">
        <v>3</v>
      </c>
      <c r="T766">
        <v>2</v>
      </c>
      <c r="U766" t="s">
        <v>23</v>
      </c>
      <c r="V766">
        <v>4</v>
      </c>
      <c r="W766">
        <f>COUNTIF($A$2:A766,A766)</f>
        <v>1</v>
      </c>
    </row>
    <row r="767" spans="1:23" x14ac:dyDescent="0.35">
      <c r="A767" t="s">
        <v>1560</v>
      </c>
      <c r="B767" s="2">
        <v>44184</v>
      </c>
      <c r="C767" s="2">
        <v>45917</v>
      </c>
      <c r="D767" t="s">
        <v>30</v>
      </c>
      <c r="E767">
        <v>38</v>
      </c>
      <c r="F767" t="s">
        <v>24</v>
      </c>
      <c r="G767" t="s">
        <v>42</v>
      </c>
      <c r="H767" t="s">
        <v>54</v>
      </c>
      <c r="I767" t="s">
        <v>45</v>
      </c>
      <c r="J767" t="s">
        <v>164</v>
      </c>
      <c r="K767">
        <v>3</v>
      </c>
      <c r="L767" t="s">
        <v>84</v>
      </c>
      <c r="M767">
        <v>54000</v>
      </c>
      <c r="N767">
        <v>13.6</v>
      </c>
      <c r="O767">
        <v>7.8</v>
      </c>
      <c r="P767">
        <v>4.7</v>
      </c>
      <c r="Q767">
        <v>2.1</v>
      </c>
      <c r="R767">
        <v>2</v>
      </c>
      <c r="S767">
        <v>3</v>
      </c>
      <c r="T767">
        <v>4</v>
      </c>
      <c r="U767" t="s">
        <v>23</v>
      </c>
      <c r="V767">
        <v>3</v>
      </c>
      <c r="W767">
        <f>COUNTIF($A$2:A767,A767)</f>
        <v>1</v>
      </c>
    </row>
    <row r="768" spans="1:23" x14ac:dyDescent="0.35">
      <c r="A768" t="s">
        <v>1566</v>
      </c>
      <c r="B768" s="2">
        <v>42484</v>
      </c>
      <c r="D768" t="s">
        <v>23</v>
      </c>
      <c r="E768">
        <v>36</v>
      </c>
      <c r="F768" t="s">
        <v>62</v>
      </c>
      <c r="G768" t="s">
        <v>42</v>
      </c>
      <c r="H768" t="s">
        <v>26</v>
      </c>
      <c r="I768" t="s">
        <v>45</v>
      </c>
      <c r="J768" t="s">
        <v>164</v>
      </c>
      <c r="K768">
        <v>3</v>
      </c>
      <c r="L768" t="s">
        <v>40</v>
      </c>
      <c r="M768">
        <v>83000</v>
      </c>
      <c r="N768">
        <v>3.5</v>
      </c>
      <c r="O768">
        <v>12.4</v>
      </c>
      <c r="P768">
        <v>9.6999999999999993</v>
      </c>
      <c r="Q768">
        <v>3.2</v>
      </c>
      <c r="R768">
        <v>3</v>
      </c>
      <c r="T768">
        <v>4</v>
      </c>
      <c r="U768" t="s">
        <v>23</v>
      </c>
      <c r="V768">
        <v>5</v>
      </c>
      <c r="W768">
        <f>COUNTIF($A$2:A768,A768)</f>
        <v>1</v>
      </c>
    </row>
    <row r="769" spans="1:23" x14ac:dyDescent="0.35">
      <c r="A769" t="s">
        <v>99</v>
      </c>
      <c r="B769" s="2">
        <v>43148</v>
      </c>
      <c r="D769" t="s">
        <v>23</v>
      </c>
      <c r="E769">
        <v>31</v>
      </c>
      <c r="F769" t="s">
        <v>36</v>
      </c>
      <c r="G769" t="s">
        <v>42</v>
      </c>
      <c r="H769" t="s">
        <v>26</v>
      </c>
      <c r="I769" t="s">
        <v>38</v>
      </c>
      <c r="J769" t="s">
        <v>39</v>
      </c>
      <c r="K769">
        <v>4</v>
      </c>
      <c r="L769" t="s">
        <v>66</v>
      </c>
      <c r="M769">
        <v>117000</v>
      </c>
      <c r="N769">
        <v>15.9</v>
      </c>
      <c r="O769">
        <v>14.8</v>
      </c>
      <c r="P769">
        <v>7.9</v>
      </c>
      <c r="Q769">
        <v>2.6</v>
      </c>
      <c r="R769">
        <v>3</v>
      </c>
      <c r="S769">
        <v>3</v>
      </c>
      <c r="T769">
        <v>1</v>
      </c>
      <c r="U769" t="s">
        <v>30</v>
      </c>
      <c r="V769">
        <v>4</v>
      </c>
      <c r="W769">
        <f>COUNTIF($A$2:A769,A769)</f>
        <v>1</v>
      </c>
    </row>
    <row r="770" spans="1:23" x14ac:dyDescent="0.35">
      <c r="A770" t="s">
        <v>715</v>
      </c>
      <c r="B770" s="2">
        <v>44841</v>
      </c>
      <c r="D770" t="s">
        <v>23</v>
      </c>
      <c r="E770">
        <v>29</v>
      </c>
      <c r="F770" t="s">
        <v>62</v>
      </c>
      <c r="G770" t="s">
        <v>37</v>
      </c>
      <c r="H770" t="s">
        <v>58</v>
      </c>
      <c r="I770" t="s">
        <v>45</v>
      </c>
      <c r="J770" t="s">
        <v>77</v>
      </c>
      <c r="K770">
        <v>2</v>
      </c>
      <c r="L770" t="s">
        <v>29</v>
      </c>
      <c r="M770">
        <v>51000</v>
      </c>
      <c r="N770">
        <v>4.2</v>
      </c>
      <c r="O770">
        <v>4.7</v>
      </c>
      <c r="P770">
        <v>3.2</v>
      </c>
      <c r="Q770">
        <v>1.1000000000000001</v>
      </c>
      <c r="R770">
        <v>4</v>
      </c>
      <c r="S770">
        <v>1</v>
      </c>
      <c r="T770">
        <v>3</v>
      </c>
      <c r="U770" t="s">
        <v>23</v>
      </c>
      <c r="V770">
        <v>4</v>
      </c>
      <c r="W770">
        <f>COUNTIF($A$2:A770,A770)</f>
        <v>1</v>
      </c>
    </row>
    <row r="771" spans="1:23" x14ac:dyDescent="0.35">
      <c r="A771" t="s">
        <v>1415</v>
      </c>
      <c r="B771" s="2">
        <v>45554</v>
      </c>
      <c r="D771" t="s">
        <v>23</v>
      </c>
      <c r="E771">
        <v>35</v>
      </c>
      <c r="F771" t="s">
        <v>62</v>
      </c>
      <c r="G771" t="s">
        <v>25</v>
      </c>
      <c r="H771" t="s">
        <v>54</v>
      </c>
      <c r="I771" t="s">
        <v>38</v>
      </c>
      <c r="J771" t="s">
        <v>52</v>
      </c>
      <c r="K771">
        <v>2</v>
      </c>
      <c r="L771" t="s">
        <v>50</v>
      </c>
      <c r="M771">
        <v>56000</v>
      </c>
      <c r="N771">
        <v>8.6</v>
      </c>
      <c r="O771">
        <v>4.7</v>
      </c>
      <c r="P771">
        <v>1.3</v>
      </c>
      <c r="Q771">
        <v>0.4</v>
      </c>
      <c r="R771">
        <v>3</v>
      </c>
      <c r="S771">
        <v>4</v>
      </c>
      <c r="T771">
        <v>3</v>
      </c>
      <c r="U771" t="s">
        <v>30</v>
      </c>
      <c r="V771">
        <v>3</v>
      </c>
      <c r="W771">
        <f>COUNTIF($A$2:A771,A771)</f>
        <v>1</v>
      </c>
    </row>
    <row r="772" spans="1:23" x14ac:dyDescent="0.35">
      <c r="A772" t="s">
        <v>670</v>
      </c>
      <c r="B772" s="2">
        <v>45681</v>
      </c>
      <c r="D772" t="s">
        <v>23</v>
      </c>
      <c r="E772">
        <v>22</v>
      </c>
      <c r="F772" t="s">
        <v>62</v>
      </c>
      <c r="G772" t="s">
        <v>42</v>
      </c>
      <c r="H772" t="s">
        <v>54</v>
      </c>
      <c r="I772" t="s">
        <v>38</v>
      </c>
      <c r="J772" t="s">
        <v>39</v>
      </c>
      <c r="K772">
        <v>1</v>
      </c>
      <c r="L772" t="s">
        <v>34</v>
      </c>
      <c r="M772">
        <v>41000</v>
      </c>
      <c r="N772">
        <v>16</v>
      </c>
      <c r="O772">
        <v>8</v>
      </c>
      <c r="P772">
        <v>0.9</v>
      </c>
      <c r="Q772">
        <v>0</v>
      </c>
      <c r="R772">
        <v>4</v>
      </c>
      <c r="S772">
        <v>4</v>
      </c>
      <c r="T772">
        <v>2</v>
      </c>
      <c r="U772" t="s">
        <v>30</v>
      </c>
      <c r="V772">
        <v>5</v>
      </c>
      <c r="W772">
        <f>COUNTIF($A$2:A772,A772)</f>
        <v>1</v>
      </c>
    </row>
    <row r="773" spans="1:23" x14ac:dyDescent="0.35">
      <c r="A773" t="s">
        <v>992</v>
      </c>
      <c r="B773" s="2">
        <v>44815</v>
      </c>
      <c r="D773" t="s">
        <v>23</v>
      </c>
      <c r="E773">
        <v>35</v>
      </c>
      <c r="F773" t="s">
        <v>62</v>
      </c>
      <c r="G773" t="s">
        <v>25</v>
      </c>
      <c r="H773" t="s">
        <v>32</v>
      </c>
      <c r="I773" t="s">
        <v>38</v>
      </c>
      <c r="J773" t="s">
        <v>139</v>
      </c>
      <c r="K773">
        <v>5</v>
      </c>
      <c r="L773" t="s">
        <v>29</v>
      </c>
      <c r="M773">
        <v>179000</v>
      </c>
      <c r="N773">
        <v>3.9</v>
      </c>
      <c r="O773">
        <v>6.8</v>
      </c>
      <c r="P773">
        <v>3.3</v>
      </c>
      <c r="Q773">
        <v>0.4</v>
      </c>
      <c r="R773">
        <v>4</v>
      </c>
      <c r="S773">
        <v>2</v>
      </c>
      <c r="T773">
        <v>3</v>
      </c>
      <c r="U773" t="s">
        <v>23</v>
      </c>
      <c r="V773">
        <v>3</v>
      </c>
      <c r="W773">
        <f>COUNTIF($A$2:A773,A773)</f>
        <v>1</v>
      </c>
    </row>
    <row r="774" spans="1:23" x14ac:dyDescent="0.35">
      <c r="A774" t="s">
        <v>552</v>
      </c>
      <c r="B774" s="2">
        <v>43892</v>
      </c>
      <c r="D774" t="s">
        <v>23</v>
      </c>
      <c r="E774">
        <v>34</v>
      </c>
      <c r="F774" t="s">
        <v>62</v>
      </c>
      <c r="G774" t="s">
        <v>42</v>
      </c>
      <c r="H774" t="s">
        <v>58</v>
      </c>
      <c r="I774" t="s">
        <v>59</v>
      </c>
      <c r="J774" t="s">
        <v>75</v>
      </c>
      <c r="K774">
        <v>2</v>
      </c>
      <c r="L774" t="s">
        <v>50</v>
      </c>
      <c r="M774">
        <v>66000</v>
      </c>
      <c r="N774">
        <v>6.1</v>
      </c>
      <c r="O774">
        <v>12.1</v>
      </c>
      <c r="P774">
        <v>5.8</v>
      </c>
      <c r="Q774">
        <v>1.6</v>
      </c>
      <c r="R774">
        <v>3</v>
      </c>
      <c r="S774">
        <v>3</v>
      </c>
      <c r="T774">
        <v>3</v>
      </c>
      <c r="U774" t="s">
        <v>23</v>
      </c>
      <c r="V774">
        <v>5</v>
      </c>
      <c r="W774">
        <f>COUNTIF($A$2:A774,A774)</f>
        <v>1</v>
      </c>
    </row>
    <row r="775" spans="1:23" x14ac:dyDescent="0.35">
      <c r="A775" t="s">
        <v>446</v>
      </c>
      <c r="B775" s="2">
        <v>44142</v>
      </c>
      <c r="D775" t="s">
        <v>23</v>
      </c>
      <c r="E775">
        <v>38</v>
      </c>
      <c r="F775" t="s">
        <v>24</v>
      </c>
      <c r="G775" t="s">
        <v>25</v>
      </c>
      <c r="H775" t="s">
        <v>58</v>
      </c>
      <c r="I775" t="s">
        <v>48</v>
      </c>
      <c r="J775" t="s">
        <v>49</v>
      </c>
      <c r="K775">
        <v>1</v>
      </c>
      <c r="L775" t="s">
        <v>29</v>
      </c>
      <c r="M775">
        <v>40000</v>
      </c>
      <c r="N775">
        <v>9.9</v>
      </c>
      <c r="O775">
        <v>13</v>
      </c>
      <c r="P775">
        <v>5.0999999999999996</v>
      </c>
      <c r="Q775">
        <v>1.6</v>
      </c>
      <c r="R775">
        <v>3</v>
      </c>
      <c r="S775">
        <v>2</v>
      </c>
      <c r="T775">
        <v>1</v>
      </c>
      <c r="U775" t="s">
        <v>30</v>
      </c>
      <c r="V775">
        <v>3</v>
      </c>
      <c r="W775">
        <f>COUNTIF($A$2:A775,A775)</f>
        <v>1</v>
      </c>
    </row>
    <row r="776" spans="1:23" x14ac:dyDescent="0.35">
      <c r="A776" t="s">
        <v>341</v>
      </c>
      <c r="B776" s="2">
        <v>43200</v>
      </c>
      <c r="D776" t="s">
        <v>23</v>
      </c>
      <c r="E776">
        <v>41</v>
      </c>
      <c r="F776" t="s">
        <v>62</v>
      </c>
      <c r="G776" t="s">
        <v>42</v>
      </c>
      <c r="H776" t="s">
        <v>32</v>
      </c>
      <c r="I776" t="s">
        <v>45</v>
      </c>
      <c r="J776" t="s">
        <v>46</v>
      </c>
      <c r="K776">
        <v>3</v>
      </c>
      <c r="L776" t="s">
        <v>66</v>
      </c>
      <c r="M776">
        <v>73000</v>
      </c>
      <c r="N776">
        <v>1.1000000000000001</v>
      </c>
      <c r="O776">
        <v>7.8</v>
      </c>
      <c r="P776">
        <v>7.7</v>
      </c>
      <c r="Q776">
        <v>2</v>
      </c>
      <c r="R776">
        <v>3</v>
      </c>
      <c r="S776">
        <v>3</v>
      </c>
      <c r="T776">
        <v>3</v>
      </c>
      <c r="U776" t="s">
        <v>23</v>
      </c>
      <c r="V776">
        <v>3</v>
      </c>
      <c r="W776">
        <f>COUNTIF($A$2:A776,A776)</f>
        <v>1</v>
      </c>
    </row>
    <row r="777" spans="1:23" x14ac:dyDescent="0.35">
      <c r="A777" t="s">
        <v>435</v>
      </c>
      <c r="B777" s="2">
        <v>44820</v>
      </c>
      <c r="D777" t="s">
        <v>23</v>
      </c>
      <c r="E777">
        <v>32</v>
      </c>
      <c r="F777" t="s">
        <v>36</v>
      </c>
      <c r="G777" t="s">
        <v>42</v>
      </c>
      <c r="H777" t="s">
        <v>58</v>
      </c>
      <c r="I777" t="s">
        <v>45</v>
      </c>
      <c r="J777" t="s">
        <v>97</v>
      </c>
      <c r="K777">
        <v>3</v>
      </c>
      <c r="L777" t="s">
        <v>84</v>
      </c>
      <c r="M777">
        <v>75000</v>
      </c>
      <c r="N777">
        <v>8.8000000000000007</v>
      </c>
      <c r="O777">
        <v>8.3000000000000007</v>
      </c>
      <c r="P777">
        <v>3.3</v>
      </c>
      <c r="Q777">
        <v>1.9</v>
      </c>
      <c r="R777">
        <v>4</v>
      </c>
      <c r="S777">
        <v>3</v>
      </c>
      <c r="T777">
        <v>2</v>
      </c>
      <c r="U777" t="s">
        <v>30</v>
      </c>
      <c r="V777">
        <v>5</v>
      </c>
      <c r="W777">
        <f>COUNTIF($A$2:A777,A777)</f>
        <v>1</v>
      </c>
    </row>
    <row r="778" spans="1:23" x14ac:dyDescent="0.35">
      <c r="A778" t="s">
        <v>1262</v>
      </c>
      <c r="B778" s="2">
        <v>45905</v>
      </c>
      <c r="D778" t="s">
        <v>23</v>
      </c>
      <c r="E778">
        <v>21</v>
      </c>
      <c r="F778" t="s">
        <v>36</v>
      </c>
      <c r="G778" t="s">
        <v>37</v>
      </c>
      <c r="H778" t="s">
        <v>54</v>
      </c>
      <c r="I778" t="s">
        <v>48</v>
      </c>
      <c r="J778" t="s">
        <v>201</v>
      </c>
      <c r="K778">
        <v>1</v>
      </c>
      <c r="L778" t="s">
        <v>66</v>
      </c>
      <c r="M778">
        <v>36000</v>
      </c>
      <c r="N778">
        <v>1.7</v>
      </c>
      <c r="O778">
        <v>3.8</v>
      </c>
      <c r="P778">
        <v>0.3</v>
      </c>
      <c r="Q778">
        <v>0</v>
      </c>
      <c r="R778">
        <v>2</v>
      </c>
      <c r="S778">
        <v>1</v>
      </c>
      <c r="T778">
        <v>4</v>
      </c>
      <c r="U778" t="s">
        <v>23</v>
      </c>
      <c r="V778">
        <v>4</v>
      </c>
      <c r="W778">
        <f>COUNTIF($A$2:A778,A778)</f>
        <v>1</v>
      </c>
    </row>
    <row r="779" spans="1:23" x14ac:dyDescent="0.35">
      <c r="A779" t="s">
        <v>1549</v>
      </c>
      <c r="B779" s="2">
        <v>42282</v>
      </c>
      <c r="D779" t="s">
        <v>23</v>
      </c>
      <c r="E779">
        <v>32</v>
      </c>
      <c r="F779" t="s">
        <v>36</v>
      </c>
      <c r="G779" t="s">
        <v>25</v>
      </c>
      <c r="H779" t="s">
        <v>54</v>
      </c>
      <c r="I779" t="s">
        <v>55</v>
      </c>
      <c r="J779" t="s">
        <v>80</v>
      </c>
      <c r="K779">
        <v>3</v>
      </c>
      <c r="L779" t="s">
        <v>84</v>
      </c>
      <c r="M779">
        <v>93000</v>
      </c>
      <c r="N779">
        <v>5.5</v>
      </c>
      <c r="O779">
        <v>14.8</v>
      </c>
      <c r="P779">
        <v>10.199999999999999</v>
      </c>
      <c r="Q779">
        <v>1.1000000000000001</v>
      </c>
      <c r="R779">
        <v>2</v>
      </c>
      <c r="S779">
        <v>2</v>
      </c>
      <c r="T779">
        <v>4</v>
      </c>
      <c r="U779" t="s">
        <v>30</v>
      </c>
      <c r="V779">
        <v>4</v>
      </c>
      <c r="W779">
        <f>COUNTIF($A$2:A779,A779)</f>
        <v>1</v>
      </c>
    </row>
    <row r="780" spans="1:23" x14ac:dyDescent="0.35">
      <c r="A780" t="s">
        <v>384</v>
      </c>
      <c r="B780" s="2">
        <v>43352</v>
      </c>
      <c r="C780" s="2">
        <v>46009</v>
      </c>
      <c r="D780" t="s">
        <v>30</v>
      </c>
      <c r="E780">
        <v>40</v>
      </c>
      <c r="F780" t="s">
        <v>36</v>
      </c>
      <c r="G780" t="s">
        <v>42</v>
      </c>
      <c r="H780" t="s">
        <v>54</v>
      </c>
      <c r="I780" t="s">
        <v>59</v>
      </c>
      <c r="J780" t="s">
        <v>86</v>
      </c>
      <c r="K780">
        <v>2</v>
      </c>
      <c r="L780" t="s">
        <v>84</v>
      </c>
      <c r="M780">
        <v>57000</v>
      </c>
      <c r="N780">
        <v>8.5</v>
      </c>
      <c r="O780">
        <v>15</v>
      </c>
      <c r="P780">
        <v>7.3</v>
      </c>
      <c r="Q780">
        <v>4.5999999999999996</v>
      </c>
      <c r="R780">
        <v>3</v>
      </c>
      <c r="S780">
        <v>3</v>
      </c>
      <c r="T780">
        <v>3</v>
      </c>
      <c r="U780" t="s">
        <v>23</v>
      </c>
      <c r="V780">
        <v>3</v>
      </c>
      <c r="W780">
        <f>COUNTIF($A$2:A780,A780)</f>
        <v>1</v>
      </c>
    </row>
    <row r="781" spans="1:23" x14ac:dyDescent="0.35">
      <c r="A781" t="s">
        <v>1051</v>
      </c>
      <c r="B781" s="2">
        <v>43457</v>
      </c>
      <c r="D781" t="s">
        <v>23</v>
      </c>
      <c r="E781">
        <v>28</v>
      </c>
      <c r="F781" t="s">
        <v>36</v>
      </c>
      <c r="G781" t="s">
        <v>42</v>
      </c>
      <c r="H781" t="s">
        <v>54</v>
      </c>
      <c r="I781" t="s">
        <v>59</v>
      </c>
      <c r="J781" t="s">
        <v>60</v>
      </c>
      <c r="K781">
        <v>2</v>
      </c>
      <c r="L781" t="s">
        <v>40</v>
      </c>
      <c r="M781">
        <v>59000</v>
      </c>
      <c r="N781">
        <v>15.6</v>
      </c>
      <c r="O781">
        <v>13.1</v>
      </c>
      <c r="P781">
        <v>7</v>
      </c>
      <c r="Q781">
        <v>3.9</v>
      </c>
      <c r="R781">
        <v>1</v>
      </c>
      <c r="S781">
        <v>3</v>
      </c>
      <c r="T781">
        <v>2</v>
      </c>
      <c r="U781" t="s">
        <v>23</v>
      </c>
      <c r="V781">
        <v>4</v>
      </c>
      <c r="W781">
        <f>COUNTIF($A$2:A781,A781)</f>
        <v>1</v>
      </c>
    </row>
    <row r="782" spans="1:23" x14ac:dyDescent="0.35">
      <c r="A782" t="s">
        <v>365</v>
      </c>
      <c r="B782" s="2">
        <v>45523</v>
      </c>
      <c r="D782" t="s">
        <v>23</v>
      </c>
      <c r="E782">
        <v>28</v>
      </c>
      <c r="F782" t="s">
        <v>36</v>
      </c>
      <c r="G782" t="s">
        <v>25</v>
      </c>
      <c r="H782" t="s">
        <v>26</v>
      </c>
      <c r="I782" t="s">
        <v>366</v>
      </c>
      <c r="J782" t="s">
        <v>164</v>
      </c>
      <c r="K782">
        <v>3</v>
      </c>
      <c r="L782" t="s">
        <v>84</v>
      </c>
      <c r="M782">
        <v>75000</v>
      </c>
      <c r="N782">
        <v>3.8</v>
      </c>
      <c r="O782">
        <v>7.2</v>
      </c>
      <c r="P782">
        <v>1.4</v>
      </c>
      <c r="Q782">
        <v>1.3</v>
      </c>
      <c r="R782">
        <v>4</v>
      </c>
      <c r="S782">
        <v>3</v>
      </c>
      <c r="T782">
        <v>2</v>
      </c>
      <c r="U782" t="s">
        <v>23</v>
      </c>
      <c r="V782">
        <v>4</v>
      </c>
      <c r="W782">
        <f>COUNTIF($A$2:A782,A782)</f>
        <v>1</v>
      </c>
    </row>
    <row r="783" spans="1:23" x14ac:dyDescent="0.35">
      <c r="A783" t="s">
        <v>968</v>
      </c>
      <c r="B783" s="2">
        <v>42223</v>
      </c>
      <c r="D783" t="s">
        <v>23</v>
      </c>
      <c r="E783">
        <v>36</v>
      </c>
      <c r="F783" t="s">
        <v>36</v>
      </c>
      <c r="G783" t="s">
        <v>37</v>
      </c>
      <c r="H783" t="s">
        <v>26</v>
      </c>
      <c r="I783" t="s">
        <v>38</v>
      </c>
      <c r="J783" t="s">
        <v>52</v>
      </c>
      <c r="K783">
        <v>3</v>
      </c>
      <c r="L783" t="s">
        <v>40</v>
      </c>
      <c r="M783">
        <v>70000</v>
      </c>
      <c r="N783">
        <v>4.4000000000000004</v>
      </c>
      <c r="O783">
        <v>17.399999999999999</v>
      </c>
      <c r="P783">
        <v>10.4</v>
      </c>
      <c r="Q783">
        <v>1.1000000000000001</v>
      </c>
      <c r="R783">
        <v>2</v>
      </c>
      <c r="S783">
        <v>4</v>
      </c>
      <c r="T783">
        <v>4</v>
      </c>
      <c r="U783" t="s">
        <v>23</v>
      </c>
      <c r="V783">
        <v>3</v>
      </c>
      <c r="W783">
        <f>COUNTIF($A$2:A783,A783)</f>
        <v>1</v>
      </c>
    </row>
    <row r="784" spans="1:23" x14ac:dyDescent="0.35">
      <c r="A784" t="s">
        <v>406</v>
      </c>
      <c r="B784" s="2">
        <v>43241</v>
      </c>
      <c r="D784" t="s">
        <v>23</v>
      </c>
      <c r="E784">
        <v>31</v>
      </c>
      <c r="F784" t="s">
        <v>24</v>
      </c>
      <c r="G784" t="s">
        <v>37</v>
      </c>
      <c r="H784" t="s">
        <v>54</v>
      </c>
      <c r="I784" t="s">
        <v>27</v>
      </c>
      <c r="J784" t="s">
        <v>33</v>
      </c>
      <c r="K784">
        <v>3</v>
      </c>
      <c r="L784" t="s">
        <v>29</v>
      </c>
      <c r="M784">
        <v>63000</v>
      </c>
      <c r="N784">
        <v>10.6</v>
      </c>
      <c r="O784">
        <v>11.3</v>
      </c>
      <c r="P784">
        <v>7.6</v>
      </c>
      <c r="Q784">
        <v>3.8</v>
      </c>
      <c r="R784">
        <v>2</v>
      </c>
      <c r="S784">
        <v>4</v>
      </c>
      <c r="T784">
        <v>4</v>
      </c>
      <c r="U784" t="s">
        <v>23</v>
      </c>
      <c r="V784">
        <v>5</v>
      </c>
      <c r="W784">
        <f>COUNTIF($A$2:A784,A784)</f>
        <v>1</v>
      </c>
    </row>
    <row r="785" spans="1:23" x14ac:dyDescent="0.35">
      <c r="A785" t="s">
        <v>1533</v>
      </c>
      <c r="B785" s="2">
        <v>42998</v>
      </c>
      <c r="D785" t="s">
        <v>23</v>
      </c>
      <c r="E785">
        <v>32</v>
      </c>
      <c r="F785" t="s">
        <v>62</v>
      </c>
      <c r="G785" t="s">
        <v>25</v>
      </c>
      <c r="H785" t="s">
        <v>26</v>
      </c>
      <c r="I785" t="s">
        <v>38</v>
      </c>
      <c r="J785" t="s">
        <v>118</v>
      </c>
      <c r="K785">
        <v>3</v>
      </c>
      <c r="L785" t="s">
        <v>34</v>
      </c>
      <c r="M785">
        <v>80000</v>
      </c>
      <c r="N785">
        <v>13.2</v>
      </c>
      <c r="O785">
        <v>11.4</v>
      </c>
      <c r="P785">
        <v>8.3000000000000007</v>
      </c>
      <c r="Q785">
        <v>4.7</v>
      </c>
      <c r="R785">
        <v>3</v>
      </c>
      <c r="S785">
        <v>4</v>
      </c>
      <c r="T785">
        <v>4</v>
      </c>
      <c r="U785" t="s">
        <v>23</v>
      </c>
      <c r="V785">
        <v>4</v>
      </c>
      <c r="W785">
        <f>COUNTIF($A$2:A785,A785)</f>
        <v>1</v>
      </c>
    </row>
    <row r="786" spans="1:23" x14ac:dyDescent="0.35">
      <c r="A786" t="s">
        <v>78</v>
      </c>
      <c r="B786" s="2">
        <v>44501</v>
      </c>
      <c r="D786" t="s">
        <v>23</v>
      </c>
      <c r="E786">
        <v>30</v>
      </c>
      <c r="F786" t="s">
        <v>24</v>
      </c>
      <c r="G786" t="s">
        <v>42</v>
      </c>
      <c r="H786" t="s">
        <v>26</v>
      </c>
      <c r="I786" t="s">
        <v>48</v>
      </c>
      <c r="J786" t="s">
        <v>63</v>
      </c>
      <c r="K786">
        <v>2</v>
      </c>
      <c r="L786" t="s">
        <v>29</v>
      </c>
      <c r="M786">
        <v>49000</v>
      </c>
      <c r="N786">
        <v>11</v>
      </c>
      <c r="O786">
        <v>9.9</v>
      </c>
      <c r="P786">
        <v>4.2</v>
      </c>
      <c r="Q786">
        <v>2.1</v>
      </c>
      <c r="R786">
        <v>4</v>
      </c>
      <c r="S786">
        <v>3</v>
      </c>
      <c r="T786">
        <v>3</v>
      </c>
      <c r="U786" t="s">
        <v>23</v>
      </c>
      <c r="V786">
        <v>2</v>
      </c>
      <c r="W786">
        <f>COUNTIF($A$2:A786,A786)</f>
        <v>1</v>
      </c>
    </row>
    <row r="787" spans="1:23" x14ac:dyDescent="0.35">
      <c r="A787" t="s">
        <v>713</v>
      </c>
      <c r="B787" s="2">
        <v>44461</v>
      </c>
      <c r="D787" t="s">
        <v>23</v>
      </c>
      <c r="E787">
        <v>32</v>
      </c>
      <c r="F787" t="s">
        <v>24</v>
      </c>
      <c r="G787" t="s">
        <v>42</v>
      </c>
      <c r="H787" t="s">
        <v>58</v>
      </c>
      <c r="I787" t="s">
        <v>55</v>
      </c>
      <c r="J787" t="s">
        <v>88</v>
      </c>
      <c r="K787">
        <v>2</v>
      </c>
      <c r="L787" t="s">
        <v>84</v>
      </c>
      <c r="M787">
        <v>68000</v>
      </c>
      <c r="N787">
        <v>1.4</v>
      </c>
      <c r="O787">
        <v>5.0999999999999996</v>
      </c>
      <c r="P787">
        <v>4.3</v>
      </c>
      <c r="Q787">
        <v>2.8</v>
      </c>
      <c r="R787">
        <v>4</v>
      </c>
      <c r="S787">
        <v>2</v>
      </c>
      <c r="T787">
        <v>4</v>
      </c>
      <c r="U787" t="s">
        <v>23</v>
      </c>
      <c r="V787">
        <v>3</v>
      </c>
      <c r="W787">
        <f>COUNTIF($A$2:A787,A787)</f>
        <v>1</v>
      </c>
    </row>
    <row r="788" spans="1:23" x14ac:dyDescent="0.35">
      <c r="A788" t="s">
        <v>1228</v>
      </c>
      <c r="B788" s="2">
        <v>43988</v>
      </c>
      <c r="C788" s="2">
        <v>45729</v>
      </c>
      <c r="D788" t="s">
        <v>30</v>
      </c>
      <c r="E788">
        <v>34</v>
      </c>
      <c r="F788" t="s">
        <v>36</v>
      </c>
      <c r="G788" t="s">
        <v>42</v>
      </c>
      <c r="H788" t="s">
        <v>32</v>
      </c>
      <c r="I788" t="s">
        <v>45</v>
      </c>
      <c r="J788" t="s">
        <v>46</v>
      </c>
      <c r="K788">
        <v>2</v>
      </c>
      <c r="L788" t="s">
        <v>66</v>
      </c>
      <c r="M788">
        <v>46000</v>
      </c>
      <c r="N788">
        <v>8.6</v>
      </c>
      <c r="O788">
        <v>6</v>
      </c>
      <c r="P788">
        <v>4.8</v>
      </c>
      <c r="Q788">
        <v>1.4</v>
      </c>
      <c r="R788">
        <v>3</v>
      </c>
      <c r="S788">
        <v>2</v>
      </c>
      <c r="T788">
        <v>3</v>
      </c>
      <c r="U788" t="s">
        <v>30</v>
      </c>
      <c r="V788">
        <v>3</v>
      </c>
      <c r="W788">
        <f>COUNTIF($A$2:A788,A788)</f>
        <v>1</v>
      </c>
    </row>
    <row r="789" spans="1:23" x14ac:dyDescent="0.35">
      <c r="A789" t="s">
        <v>649</v>
      </c>
      <c r="B789" s="2">
        <v>45791</v>
      </c>
      <c r="D789" t="s">
        <v>23</v>
      </c>
      <c r="E789">
        <v>21</v>
      </c>
      <c r="F789" t="s">
        <v>24</v>
      </c>
      <c r="G789" t="s">
        <v>37</v>
      </c>
      <c r="H789" t="s">
        <v>58</v>
      </c>
      <c r="I789" t="s">
        <v>45</v>
      </c>
      <c r="J789" t="s">
        <v>77</v>
      </c>
      <c r="K789">
        <v>1</v>
      </c>
      <c r="L789" t="s">
        <v>40</v>
      </c>
      <c r="M789">
        <v>45000</v>
      </c>
      <c r="N789">
        <v>9.1999999999999993</v>
      </c>
      <c r="O789">
        <v>6.2</v>
      </c>
      <c r="P789">
        <v>0.6</v>
      </c>
      <c r="Q789">
        <v>0</v>
      </c>
      <c r="R789">
        <v>3</v>
      </c>
      <c r="S789">
        <v>3</v>
      </c>
      <c r="T789">
        <v>3</v>
      </c>
      <c r="U789" t="s">
        <v>23</v>
      </c>
      <c r="V789">
        <v>4</v>
      </c>
      <c r="W789">
        <f>COUNTIF($A$2:A789,A789)</f>
        <v>1</v>
      </c>
    </row>
    <row r="790" spans="1:23" x14ac:dyDescent="0.35">
      <c r="A790" t="s">
        <v>298</v>
      </c>
      <c r="B790" s="2">
        <v>42831</v>
      </c>
      <c r="D790" t="s">
        <v>23</v>
      </c>
      <c r="E790">
        <v>40</v>
      </c>
      <c r="F790" t="s">
        <v>36</v>
      </c>
      <c r="G790" t="s">
        <v>25</v>
      </c>
      <c r="H790" t="s">
        <v>58</v>
      </c>
      <c r="I790" t="s">
        <v>27</v>
      </c>
      <c r="J790" t="s">
        <v>43</v>
      </c>
      <c r="K790">
        <v>2</v>
      </c>
      <c r="L790" t="s">
        <v>34</v>
      </c>
      <c r="M790">
        <v>41000</v>
      </c>
      <c r="N790">
        <v>10.9</v>
      </c>
      <c r="O790">
        <v>13.7</v>
      </c>
      <c r="P790">
        <v>8.6999999999999993</v>
      </c>
      <c r="Q790">
        <v>1</v>
      </c>
      <c r="R790">
        <v>4</v>
      </c>
      <c r="S790">
        <v>3</v>
      </c>
      <c r="T790">
        <v>2</v>
      </c>
      <c r="U790" t="s">
        <v>23</v>
      </c>
      <c r="V790">
        <v>4</v>
      </c>
      <c r="W790">
        <f>COUNTIF($A$2:A790,A790)</f>
        <v>1</v>
      </c>
    </row>
    <row r="791" spans="1:23" x14ac:dyDescent="0.35">
      <c r="A791" t="s">
        <v>1094</v>
      </c>
      <c r="B791" s="2">
        <v>42192</v>
      </c>
      <c r="D791" t="s">
        <v>23</v>
      </c>
      <c r="E791">
        <v>39</v>
      </c>
      <c r="F791" t="s">
        <v>62</v>
      </c>
      <c r="G791" t="s">
        <v>25</v>
      </c>
      <c r="H791" t="s">
        <v>26</v>
      </c>
      <c r="I791" t="s">
        <v>59</v>
      </c>
      <c r="J791" t="s">
        <v>60</v>
      </c>
      <c r="K791">
        <v>3</v>
      </c>
      <c r="L791" t="s">
        <v>29</v>
      </c>
      <c r="M791">
        <v>56000</v>
      </c>
      <c r="N791">
        <v>8.6</v>
      </c>
      <c r="O791">
        <v>15.8</v>
      </c>
      <c r="P791">
        <v>10.5</v>
      </c>
      <c r="Q791">
        <v>0.4</v>
      </c>
      <c r="R791">
        <v>3</v>
      </c>
      <c r="S791">
        <v>2</v>
      </c>
      <c r="T791">
        <v>2</v>
      </c>
      <c r="U791" t="s">
        <v>23</v>
      </c>
      <c r="V791">
        <v>2</v>
      </c>
      <c r="W791">
        <f>COUNTIF($A$2:A791,A791)</f>
        <v>1</v>
      </c>
    </row>
    <row r="792" spans="1:23" x14ac:dyDescent="0.35">
      <c r="A792" t="s">
        <v>487</v>
      </c>
      <c r="B792" s="2">
        <v>43480</v>
      </c>
      <c r="D792" t="s">
        <v>23</v>
      </c>
      <c r="E792">
        <v>36</v>
      </c>
      <c r="F792" t="s">
        <v>24</v>
      </c>
      <c r="G792" t="s">
        <v>42</v>
      </c>
      <c r="H792" t="s">
        <v>26</v>
      </c>
      <c r="I792" t="s">
        <v>55</v>
      </c>
      <c r="J792" t="s">
        <v>88</v>
      </c>
      <c r="K792">
        <v>3</v>
      </c>
      <c r="L792" t="s">
        <v>84</v>
      </c>
      <c r="M792">
        <v>94000</v>
      </c>
      <c r="N792">
        <v>6.2</v>
      </c>
      <c r="O792">
        <v>13.5</v>
      </c>
      <c r="P792">
        <v>7</v>
      </c>
      <c r="Q792">
        <v>4.7</v>
      </c>
      <c r="R792">
        <v>1</v>
      </c>
      <c r="S792">
        <v>4</v>
      </c>
      <c r="T792">
        <v>3</v>
      </c>
      <c r="U792" t="s">
        <v>23</v>
      </c>
      <c r="V792">
        <v>3</v>
      </c>
      <c r="W792">
        <f>COUNTIF($A$2:A792,A792)</f>
        <v>1</v>
      </c>
    </row>
    <row r="793" spans="1:23" x14ac:dyDescent="0.35">
      <c r="A793" t="s">
        <v>270</v>
      </c>
      <c r="B793" s="2">
        <v>41803</v>
      </c>
      <c r="C793" s="2">
        <v>45686</v>
      </c>
      <c r="D793" t="s">
        <v>30</v>
      </c>
      <c r="E793">
        <v>32</v>
      </c>
      <c r="F793" t="s">
        <v>62</v>
      </c>
      <c r="G793" t="s">
        <v>37</v>
      </c>
      <c r="H793" t="s">
        <v>32</v>
      </c>
      <c r="I793" t="s">
        <v>27</v>
      </c>
      <c r="J793" t="s">
        <v>43</v>
      </c>
      <c r="K793">
        <v>2</v>
      </c>
      <c r="L793" t="s">
        <v>29</v>
      </c>
      <c r="M793">
        <v>43000</v>
      </c>
      <c r="N793">
        <v>12.4</v>
      </c>
      <c r="O793">
        <v>14.2</v>
      </c>
      <c r="P793">
        <v>10.6</v>
      </c>
      <c r="Q793">
        <v>3.1</v>
      </c>
      <c r="R793">
        <v>3</v>
      </c>
      <c r="S793">
        <v>2</v>
      </c>
      <c r="T793">
        <v>4</v>
      </c>
      <c r="U793" t="s">
        <v>23</v>
      </c>
      <c r="V793">
        <v>3</v>
      </c>
      <c r="W793">
        <f>COUNTIF($A$2:A793,A793)</f>
        <v>1</v>
      </c>
    </row>
    <row r="794" spans="1:23" x14ac:dyDescent="0.35">
      <c r="A794" t="s">
        <v>498</v>
      </c>
      <c r="B794" s="2">
        <v>45868</v>
      </c>
      <c r="D794" t="s">
        <v>23</v>
      </c>
      <c r="E794">
        <v>21</v>
      </c>
      <c r="F794" t="s">
        <v>36</v>
      </c>
      <c r="G794" t="s">
        <v>37</v>
      </c>
      <c r="H794" t="s">
        <v>32</v>
      </c>
      <c r="I794" t="s">
        <v>45</v>
      </c>
      <c r="J794" t="s">
        <v>46</v>
      </c>
      <c r="K794">
        <v>1</v>
      </c>
      <c r="L794" t="s">
        <v>40</v>
      </c>
      <c r="M794">
        <v>28000</v>
      </c>
      <c r="N794">
        <v>4.8</v>
      </c>
      <c r="O794">
        <v>6.4</v>
      </c>
      <c r="P794">
        <v>0.4</v>
      </c>
      <c r="Q794">
        <v>0</v>
      </c>
      <c r="R794">
        <v>3</v>
      </c>
      <c r="S794">
        <v>4</v>
      </c>
      <c r="T794">
        <v>4</v>
      </c>
      <c r="U794" t="s">
        <v>23</v>
      </c>
      <c r="V794">
        <v>2</v>
      </c>
      <c r="W794">
        <f>COUNTIF($A$2:A794,A794)</f>
        <v>1</v>
      </c>
    </row>
    <row r="795" spans="1:23" x14ac:dyDescent="0.35">
      <c r="A795" t="s">
        <v>797</v>
      </c>
      <c r="B795" s="2">
        <v>45285</v>
      </c>
      <c r="D795" t="s">
        <v>23</v>
      </c>
      <c r="E795">
        <v>24</v>
      </c>
      <c r="F795" t="s">
        <v>62</v>
      </c>
      <c r="G795" t="s">
        <v>25</v>
      </c>
      <c r="H795" t="s">
        <v>32</v>
      </c>
      <c r="I795" t="s">
        <v>55</v>
      </c>
      <c r="J795" t="s">
        <v>80</v>
      </c>
      <c r="K795">
        <v>1</v>
      </c>
      <c r="L795" t="s">
        <v>66</v>
      </c>
      <c r="M795">
        <v>40000</v>
      </c>
      <c r="N795">
        <v>14.3</v>
      </c>
      <c r="O795">
        <v>7.1</v>
      </c>
      <c r="P795">
        <v>2</v>
      </c>
      <c r="Q795">
        <v>0.4</v>
      </c>
      <c r="R795">
        <v>4</v>
      </c>
      <c r="S795">
        <v>2</v>
      </c>
      <c r="T795">
        <v>2</v>
      </c>
      <c r="U795" t="s">
        <v>23</v>
      </c>
      <c r="V795">
        <v>3</v>
      </c>
      <c r="W795">
        <f>COUNTIF($A$2:A795,A795)</f>
        <v>1</v>
      </c>
    </row>
    <row r="796" spans="1:23" x14ac:dyDescent="0.35">
      <c r="A796" t="s">
        <v>1551</v>
      </c>
      <c r="B796" s="2">
        <v>44064</v>
      </c>
      <c r="D796" t="s">
        <v>23</v>
      </c>
      <c r="E796">
        <v>29</v>
      </c>
      <c r="F796" t="s">
        <v>24</v>
      </c>
      <c r="G796" t="s">
        <v>42</v>
      </c>
      <c r="H796" t="s">
        <v>54</v>
      </c>
      <c r="I796" t="s">
        <v>48</v>
      </c>
      <c r="J796" t="s">
        <v>129</v>
      </c>
      <c r="K796">
        <v>3</v>
      </c>
      <c r="L796" t="s">
        <v>66</v>
      </c>
      <c r="M796">
        <v>84000</v>
      </c>
      <c r="N796">
        <v>7.2</v>
      </c>
      <c r="O796">
        <v>11.6</v>
      </c>
      <c r="P796">
        <v>5.4</v>
      </c>
      <c r="Q796">
        <v>1.1000000000000001</v>
      </c>
      <c r="R796">
        <v>2</v>
      </c>
      <c r="S796">
        <v>4</v>
      </c>
      <c r="T796">
        <v>3</v>
      </c>
      <c r="U796" t="s">
        <v>23</v>
      </c>
      <c r="V796">
        <v>3</v>
      </c>
      <c r="W796">
        <f>COUNTIF($A$2:A796,A796)</f>
        <v>1</v>
      </c>
    </row>
    <row r="797" spans="1:23" x14ac:dyDescent="0.35">
      <c r="A797" t="s">
        <v>307</v>
      </c>
      <c r="B797" s="2">
        <v>44829</v>
      </c>
      <c r="D797" t="s">
        <v>23</v>
      </c>
      <c r="E797">
        <v>25</v>
      </c>
      <c r="F797" t="s">
        <v>62</v>
      </c>
      <c r="G797" t="s">
        <v>42</v>
      </c>
      <c r="H797" t="s">
        <v>54</v>
      </c>
      <c r="I797" t="s">
        <v>68</v>
      </c>
      <c r="J797" t="s">
        <v>121</v>
      </c>
      <c r="K797">
        <v>1</v>
      </c>
      <c r="L797" t="s">
        <v>50</v>
      </c>
      <c r="M797">
        <v>22000</v>
      </c>
      <c r="N797">
        <v>7.4</v>
      </c>
      <c r="O797">
        <v>8.4</v>
      </c>
      <c r="P797">
        <v>3.3</v>
      </c>
      <c r="Q797">
        <v>0.9</v>
      </c>
      <c r="R797">
        <v>3</v>
      </c>
      <c r="S797">
        <v>3</v>
      </c>
      <c r="T797">
        <v>3</v>
      </c>
      <c r="U797" t="s">
        <v>23</v>
      </c>
      <c r="V797">
        <v>4</v>
      </c>
      <c r="W797">
        <f>COUNTIF($A$2:A797,A797)</f>
        <v>1</v>
      </c>
    </row>
    <row r="798" spans="1:23" x14ac:dyDescent="0.35">
      <c r="A798" t="s">
        <v>656</v>
      </c>
      <c r="B798" s="2">
        <v>44549</v>
      </c>
      <c r="D798" t="s">
        <v>23</v>
      </c>
      <c r="E798">
        <v>32</v>
      </c>
      <c r="F798" t="s">
        <v>62</v>
      </c>
      <c r="G798" t="s">
        <v>25</v>
      </c>
      <c r="H798" t="s">
        <v>32</v>
      </c>
      <c r="I798" t="s">
        <v>59</v>
      </c>
      <c r="J798" t="s">
        <v>86</v>
      </c>
      <c r="K798">
        <v>3</v>
      </c>
      <c r="L798" t="s">
        <v>40</v>
      </c>
      <c r="M798">
        <v>71000</v>
      </c>
      <c r="N798">
        <v>5.2</v>
      </c>
      <c r="O798">
        <v>4.5999999999999996</v>
      </c>
      <c r="P798">
        <v>4</v>
      </c>
      <c r="Q798">
        <v>1.7</v>
      </c>
      <c r="R798">
        <v>3</v>
      </c>
      <c r="S798">
        <v>3</v>
      </c>
      <c r="T798">
        <v>4</v>
      </c>
      <c r="U798" t="s">
        <v>23</v>
      </c>
      <c r="V798">
        <v>3</v>
      </c>
      <c r="W798">
        <f>COUNTIF($A$2:A798,A798)</f>
        <v>1</v>
      </c>
    </row>
    <row r="799" spans="1:23" x14ac:dyDescent="0.35">
      <c r="A799" t="s">
        <v>985</v>
      </c>
      <c r="B799" s="2">
        <v>44882</v>
      </c>
      <c r="D799" t="s">
        <v>23</v>
      </c>
      <c r="E799">
        <v>24</v>
      </c>
      <c r="F799" t="s">
        <v>24</v>
      </c>
      <c r="G799" t="s">
        <v>42</v>
      </c>
      <c r="H799" t="s">
        <v>32</v>
      </c>
      <c r="I799" t="s">
        <v>59</v>
      </c>
      <c r="J799" t="s">
        <v>75</v>
      </c>
      <c r="K799">
        <v>1</v>
      </c>
      <c r="L799" t="s">
        <v>40</v>
      </c>
      <c r="M799">
        <v>40000</v>
      </c>
      <c r="N799">
        <v>5</v>
      </c>
      <c r="O799">
        <v>7.4</v>
      </c>
      <c r="P799">
        <v>3.1</v>
      </c>
      <c r="Q799">
        <v>0.3</v>
      </c>
      <c r="R799">
        <v>3</v>
      </c>
      <c r="S799">
        <v>3</v>
      </c>
      <c r="T799">
        <v>3</v>
      </c>
      <c r="U799" t="s">
        <v>30</v>
      </c>
      <c r="V799">
        <v>4</v>
      </c>
      <c r="W799">
        <f>COUNTIF($A$2:A799,A799)</f>
        <v>1</v>
      </c>
    </row>
    <row r="800" spans="1:23" x14ac:dyDescent="0.35">
      <c r="A800" t="s">
        <v>1331</v>
      </c>
      <c r="B800" s="2">
        <v>45138</v>
      </c>
      <c r="C800" s="2">
        <v>45922</v>
      </c>
      <c r="D800" t="s">
        <v>30</v>
      </c>
      <c r="E800">
        <v>23</v>
      </c>
      <c r="F800" t="s">
        <v>36</v>
      </c>
      <c r="G800" t="s">
        <v>42</v>
      </c>
      <c r="H800" t="s">
        <v>58</v>
      </c>
      <c r="I800" t="s">
        <v>59</v>
      </c>
      <c r="J800" t="s">
        <v>60</v>
      </c>
      <c r="K800">
        <v>1</v>
      </c>
      <c r="L800" t="s">
        <v>84</v>
      </c>
      <c r="M800">
        <v>28000</v>
      </c>
      <c r="N800">
        <v>12.9</v>
      </c>
      <c r="O800">
        <v>10</v>
      </c>
      <c r="P800">
        <v>2.1</v>
      </c>
      <c r="Q800">
        <v>1.4</v>
      </c>
      <c r="R800">
        <v>3</v>
      </c>
      <c r="S800">
        <v>4</v>
      </c>
      <c r="T800">
        <v>4</v>
      </c>
      <c r="U800" t="s">
        <v>23</v>
      </c>
      <c r="V800">
        <v>3</v>
      </c>
      <c r="W800">
        <f>COUNTIF($A$2:A800,A800)</f>
        <v>1</v>
      </c>
    </row>
    <row r="801" spans="1:23" x14ac:dyDescent="0.35">
      <c r="A801" t="s">
        <v>1485</v>
      </c>
      <c r="B801" s="2">
        <v>44400</v>
      </c>
      <c r="D801" t="s">
        <v>23</v>
      </c>
      <c r="E801">
        <v>40</v>
      </c>
      <c r="F801" t="s">
        <v>36</v>
      </c>
      <c r="G801" t="s">
        <v>25</v>
      </c>
      <c r="H801" t="s">
        <v>32</v>
      </c>
      <c r="I801" t="s">
        <v>55</v>
      </c>
      <c r="J801" t="s">
        <v>88</v>
      </c>
      <c r="K801">
        <v>2</v>
      </c>
      <c r="L801" t="s">
        <v>34</v>
      </c>
      <c r="M801">
        <v>66000</v>
      </c>
      <c r="N801">
        <v>4.5999999999999996</v>
      </c>
      <c r="O801">
        <v>7.6</v>
      </c>
      <c r="P801">
        <v>4.4000000000000004</v>
      </c>
      <c r="Q801">
        <v>1.8</v>
      </c>
      <c r="R801">
        <v>3</v>
      </c>
      <c r="S801">
        <v>4</v>
      </c>
      <c r="T801">
        <v>3</v>
      </c>
      <c r="U801" t="s">
        <v>23</v>
      </c>
      <c r="V801">
        <v>5</v>
      </c>
      <c r="W801">
        <f>COUNTIF($A$2:A801,A801)</f>
        <v>1</v>
      </c>
    </row>
    <row r="802" spans="1:23" x14ac:dyDescent="0.35">
      <c r="A802" t="s">
        <v>942</v>
      </c>
      <c r="B802" s="2">
        <v>43932</v>
      </c>
      <c r="D802" t="s">
        <v>23</v>
      </c>
      <c r="E802">
        <v>28</v>
      </c>
      <c r="F802" t="s">
        <v>24</v>
      </c>
      <c r="G802" t="s">
        <v>37</v>
      </c>
      <c r="H802" t="s">
        <v>54</v>
      </c>
      <c r="I802" t="s">
        <v>59</v>
      </c>
      <c r="J802" t="s">
        <v>150</v>
      </c>
      <c r="K802">
        <v>1</v>
      </c>
      <c r="L802" t="s">
        <v>84</v>
      </c>
      <c r="M802">
        <v>45000</v>
      </c>
      <c r="N802">
        <v>4.2</v>
      </c>
      <c r="O802">
        <v>8.6999999999999993</v>
      </c>
      <c r="P802">
        <v>5.7</v>
      </c>
      <c r="Q802">
        <v>1.8</v>
      </c>
      <c r="R802">
        <v>3</v>
      </c>
      <c r="S802">
        <v>4</v>
      </c>
      <c r="T802">
        <v>3</v>
      </c>
      <c r="U802" t="s">
        <v>30</v>
      </c>
      <c r="V802">
        <v>4</v>
      </c>
      <c r="W802">
        <f>COUNTIF($A$2:A802,A802)</f>
        <v>1</v>
      </c>
    </row>
    <row r="803" spans="1:23" x14ac:dyDescent="0.35">
      <c r="A803" t="s">
        <v>894</v>
      </c>
      <c r="B803" s="2">
        <v>44522</v>
      </c>
      <c r="D803" t="s">
        <v>23</v>
      </c>
      <c r="E803">
        <v>39</v>
      </c>
      <c r="F803" t="s">
        <v>36</v>
      </c>
      <c r="G803" t="s">
        <v>37</v>
      </c>
      <c r="H803" t="s">
        <v>58</v>
      </c>
      <c r="I803" t="s">
        <v>38</v>
      </c>
      <c r="J803" t="s">
        <v>118</v>
      </c>
      <c r="K803">
        <v>2</v>
      </c>
      <c r="L803" t="s">
        <v>66</v>
      </c>
      <c r="M803">
        <v>76000</v>
      </c>
      <c r="N803">
        <v>7.4</v>
      </c>
      <c r="O803">
        <v>11.9</v>
      </c>
      <c r="P803">
        <v>4.0999999999999996</v>
      </c>
      <c r="Q803">
        <v>0.2</v>
      </c>
      <c r="R803">
        <v>3</v>
      </c>
      <c r="S803">
        <v>3</v>
      </c>
      <c r="T803">
        <v>3</v>
      </c>
      <c r="U803" t="s">
        <v>23</v>
      </c>
      <c r="V803">
        <v>5</v>
      </c>
      <c r="W803">
        <f>COUNTIF($A$2:A803,A803)</f>
        <v>1</v>
      </c>
    </row>
    <row r="804" spans="1:23" x14ac:dyDescent="0.35">
      <c r="A804" t="s">
        <v>301</v>
      </c>
      <c r="B804" s="2">
        <v>45673</v>
      </c>
      <c r="D804" t="s">
        <v>23</v>
      </c>
      <c r="E804">
        <v>49</v>
      </c>
      <c r="F804" t="s">
        <v>62</v>
      </c>
      <c r="G804" t="s">
        <v>42</v>
      </c>
      <c r="H804" t="s">
        <v>32</v>
      </c>
      <c r="I804" t="s">
        <v>27</v>
      </c>
      <c r="J804" t="s">
        <v>33</v>
      </c>
      <c r="K804">
        <v>1</v>
      </c>
      <c r="L804" t="s">
        <v>40</v>
      </c>
      <c r="M804">
        <v>27000</v>
      </c>
      <c r="N804">
        <v>2.9</v>
      </c>
      <c r="O804">
        <v>3.2</v>
      </c>
      <c r="P804">
        <v>1</v>
      </c>
      <c r="Q804">
        <v>0.5</v>
      </c>
      <c r="R804">
        <v>3</v>
      </c>
      <c r="S804">
        <v>4</v>
      </c>
      <c r="T804">
        <v>2</v>
      </c>
      <c r="U804" t="s">
        <v>23</v>
      </c>
      <c r="V804">
        <v>5</v>
      </c>
      <c r="W804">
        <f>COUNTIF($A$2:A804,A804)</f>
        <v>1</v>
      </c>
    </row>
    <row r="805" spans="1:23" x14ac:dyDescent="0.35">
      <c r="A805" t="s">
        <v>845</v>
      </c>
      <c r="B805" s="2">
        <v>43512</v>
      </c>
      <c r="D805" t="s">
        <v>23</v>
      </c>
      <c r="E805">
        <v>38</v>
      </c>
      <c r="F805" t="s">
        <v>24</v>
      </c>
      <c r="G805" t="s">
        <v>25</v>
      </c>
      <c r="H805" t="s">
        <v>58</v>
      </c>
      <c r="I805" t="s">
        <v>27</v>
      </c>
      <c r="J805" t="s">
        <v>28</v>
      </c>
      <c r="K805">
        <v>3</v>
      </c>
      <c r="L805" t="s">
        <v>84</v>
      </c>
      <c r="M805">
        <v>57000</v>
      </c>
      <c r="N805">
        <v>7.5</v>
      </c>
      <c r="O805">
        <v>12.2</v>
      </c>
      <c r="P805">
        <v>6.9</v>
      </c>
      <c r="Q805">
        <v>3.3</v>
      </c>
      <c r="R805">
        <v>3</v>
      </c>
      <c r="S805">
        <v>4</v>
      </c>
      <c r="T805">
        <v>3</v>
      </c>
      <c r="U805" t="s">
        <v>23</v>
      </c>
      <c r="V805">
        <v>2</v>
      </c>
      <c r="W805">
        <f>COUNTIF($A$2:A805,A805)</f>
        <v>1</v>
      </c>
    </row>
    <row r="806" spans="1:23" x14ac:dyDescent="0.35">
      <c r="A806" t="s">
        <v>554</v>
      </c>
      <c r="B806" s="2">
        <v>44995</v>
      </c>
      <c r="D806" t="s">
        <v>23</v>
      </c>
      <c r="E806">
        <v>34</v>
      </c>
      <c r="F806" t="s">
        <v>24</v>
      </c>
      <c r="G806" t="s">
        <v>37</v>
      </c>
      <c r="H806" t="s">
        <v>54</v>
      </c>
      <c r="I806" t="s">
        <v>59</v>
      </c>
      <c r="J806" t="s">
        <v>60</v>
      </c>
      <c r="K806">
        <v>3</v>
      </c>
      <c r="L806" t="s">
        <v>34</v>
      </c>
      <c r="M806">
        <v>79000</v>
      </c>
      <c r="N806">
        <v>9.9</v>
      </c>
      <c r="O806">
        <v>4.4000000000000004</v>
      </c>
      <c r="P806">
        <v>2.8</v>
      </c>
      <c r="Q806">
        <v>2.7</v>
      </c>
      <c r="R806">
        <v>2</v>
      </c>
      <c r="S806">
        <v>3</v>
      </c>
      <c r="T806">
        <v>3</v>
      </c>
      <c r="U806" t="s">
        <v>23</v>
      </c>
      <c r="V806">
        <v>5</v>
      </c>
      <c r="W806">
        <f>COUNTIF($A$2:A806,A806)</f>
        <v>1</v>
      </c>
    </row>
    <row r="807" spans="1:23" x14ac:dyDescent="0.35">
      <c r="A807" t="s">
        <v>764</v>
      </c>
      <c r="B807" s="2">
        <v>44251</v>
      </c>
      <c r="D807" t="s">
        <v>23</v>
      </c>
      <c r="E807">
        <v>26</v>
      </c>
      <c r="F807" t="s">
        <v>36</v>
      </c>
      <c r="G807" t="s">
        <v>25</v>
      </c>
      <c r="H807" t="s">
        <v>54</v>
      </c>
      <c r="I807" t="s">
        <v>48</v>
      </c>
      <c r="J807" t="s">
        <v>201</v>
      </c>
      <c r="K807">
        <v>1</v>
      </c>
      <c r="L807" t="s">
        <v>84</v>
      </c>
      <c r="M807">
        <v>29000</v>
      </c>
      <c r="N807">
        <v>5.9</v>
      </c>
      <c r="O807">
        <v>7.8</v>
      </c>
      <c r="P807">
        <v>4.8</v>
      </c>
      <c r="Q807">
        <v>2.7</v>
      </c>
      <c r="R807">
        <v>1</v>
      </c>
      <c r="S807">
        <v>4</v>
      </c>
      <c r="T807">
        <v>4</v>
      </c>
      <c r="U807" t="s">
        <v>23</v>
      </c>
      <c r="V807">
        <v>5</v>
      </c>
      <c r="W807">
        <f>COUNTIF($A$2:A807,A807)</f>
        <v>1</v>
      </c>
    </row>
    <row r="808" spans="1:23" x14ac:dyDescent="0.35">
      <c r="A808" t="s">
        <v>718</v>
      </c>
      <c r="B808" s="2">
        <v>42774</v>
      </c>
      <c r="D808" t="s">
        <v>23</v>
      </c>
      <c r="E808">
        <v>39</v>
      </c>
      <c r="F808" t="s">
        <v>62</v>
      </c>
      <c r="G808" t="s">
        <v>25</v>
      </c>
      <c r="H808" t="s">
        <v>32</v>
      </c>
      <c r="I808" t="s">
        <v>27</v>
      </c>
      <c r="J808" t="s">
        <v>28</v>
      </c>
      <c r="K808">
        <v>3</v>
      </c>
      <c r="L808" t="s">
        <v>50</v>
      </c>
      <c r="M808">
        <v>78000</v>
      </c>
      <c r="N808">
        <v>13.7</v>
      </c>
      <c r="O808">
        <v>13.1</v>
      </c>
      <c r="P808">
        <v>8.9</v>
      </c>
      <c r="Q808">
        <v>4.8</v>
      </c>
      <c r="R808">
        <v>4</v>
      </c>
      <c r="S808">
        <v>4</v>
      </c>
      <c r="T808">
        <v>2</v>
      </c>
      <c r="U808" t="s">
        <v>23</v>
      </c>
      <c r="V808">
        <v>5</v>
      </c>
      <c r="W808">
        <f>COUNTIF($A$2:A808,A808)</f>
        <v>1</v>
      </c>
    </row>
    <row r="809" spans="1:23" x14ac:dyDescent="0.35">
      <c r="A809" t="s">
        <v>126</v>
      </c>
      <c r="B809" s="2">
        <v>43923</v>
      </c>
      <c r="D809" t="s">
        <v>23</v>
      </c>
      <c r="E809">
        <v>45</v>
      </c>
      <c r="F809" t="s">
        <v>62</v>
      </c>
      <c r="G809" t="s">
        <v>42</v>
      </c>
      <c r="H809" t="s">
        <v>26</v>
      </c>
      <c r="I809" t="s">
        <v>59</v>
      </c>
      <c r="J809" t="s">
        <v>60</v>
      </c>
      <c r="K809">
        <v>4</v>
      </c>
      <c r="L809" t="s">
        <v>34</v>
      </c>
      <c r="M809">
        <v>122000</v>
      </c>
      <c r="N809">
        <v>11.9</v>
      </c>
      <c r="O809">
        <v>8.4</v>
      </c>
      <c r="P809">
        <v>5.7</v>
      </c>
      <c r="Q809">
        <v>1</v>
      </c>
      <c r="R809">
        <v>4</v>
      </c>
      <c r="S809">
        <v>3</v>
      </c>
      <c r="T809">
        <v>3</v>
      </c>
      <c r="U809" t="s">
        <v>23</v>
      </c>
      <c r="V809">
        <v>4</v>
      </c>
      <c r="W809">
        <f>COUNTIF($A$2:A809,A809)</f>
        <v>1</v>
      </c>
    </row>
    <row r="810" spans="1:23" x14ac:dyDescent="0.35">
      <c r="A810" t="s">
        <v>750</v>
      </c>
      <c r="B810" s="2">
        <v>45911</v>
      </c>
      <c r="C810" s="2">
        <v>45998</v>
      </c>
      <c r="D810" t="s">
        <v>30</v>
      </c>
      <c r="E810">
        <v>21</v>
      </c>
      <c r="F810" t="s">
        <v>62</v>
      </c>
      <c r="G810" t="s">
        <v>25</v>
      </c>
      <c r="H810" t="s">
        <v>32</v>
      </c>
      <c r="I810" t="s">
        <v>27</v>
      </c>
      <c r="J810" t="s">
        <v>28</v>
      </c>
      <c r="K810">
        <v>1</v>
      </c>
      <c r="L810" t="s">
        <v>66</v>
      </c>
      <c r="M810">
        <v>27000</v>
      </c>
      <c r="N810">
        <v>6.1</v>
      </c>
      <c r="O810">
        <v>1.4</v>
      </c>
      <c r="P810">
        <v>0.2</v>
      </c>
      <c r="Q810">
        <v>0</v>
      </c>
      <c r="R810">
        <v>1</v>
      </c>
      <c r="S810">
        <v>3</v>
      </c>
      <c r="T810">
        <v>4</v>
      </c>
      <c r="U810" t="s">
        <v>23</v>
      </c>
      <c r="V810">
        <v>4</v>
      </c>
      <c r="W810">
        <f>COUNTIF($A$2:A810,A810)</f>
        <v>1</v>
      </c>
    </row>
    <row r="811" spans="1:23" x14ac:dyDescent="0.35">
      <c r="A811" t="s">
        <v>828</v>
      </c>
      <c r="B811" s="2">
        <v>45520</v>
      </c>
      <c r="C811" s="2">
        <v>45931</v>
      </c>
      <c r="D811" t="s">
        <v>30</v>
      </c>
      <c r="E811">
        <v>26</v>
      </c>
      <c r="F811" t="s">
        <v>36</v>
      </c>
      <c r="G811" t="s">
        <v>42</v>
      </c>
      <c r="H811" t="s">
        <v>32</v>
      </c>
      <c r="I811" t="s">
        <v>68</v>
      </c>
      <c r="J811" t="s">
        <v>109</v>
      </c>
      <c r="K811">
        <v>1</v>
      </c>
      <c r="L811" t="s">
        <v>29</v>
      </c>
      <c r="M811">
        <v>40000</v>
      </c>
      <c r="N811">
        <v>14.5</v>
      </c>
      <c r="O811">
        <v>5.9</v>
      </c>
      <c r="P811">
        <v>1.1000000000000001</v>
      </c>
      <c r="Q811">
        <v>0.9</v>
      </c>
      <c r="R811">
        <v>3</v>
      </c>
      <c r="S811">
        <v>4</v>
      </c>
      <c r="T811">
        <v>3</v>
      </c>
      <c r="U811" t="s">
        <v>30</v>
      </c>
      <c r="V811">
        <v>5</v>
      </c>
      <c r="W811">
        <f>COUNTIF($A$2:A811,A811)</f>
        <v>1</v>
      </c>
    </row>
    <row r="812" spans="1:23" x14ac:dyDescent="0.35">
      <c r="A812" t="s">
        <v>203</v>
      </c>
      <c r="B812" s="2">
        <v>44100</v>
      </c>
      <c r="D812" t="s">
        <v>23</v>
      </c>
      <c r="E812">
        <v>35</v>
      </c>
      <c r="F812" t="s">
        <v>36</v>
      </c>
      <c r="G812" t="s">
        <v>37</v>
      </c>
      <c r="H812" t="s">
        <v>54</v>
      </c>
      <c r="I812" t="s">
        <v>55</v>
      </c>
      <c r="J812" t="s">
        <v>179</v>
      </c>
      <c r="K812">
        <v>2</v>
      </c>
      <c r="L812" t="s">
        <v>29</v>
      </c>
      <c r="M812">
        <v>53000</v>
      </c>
      <c r="N812">
        <v>5.6</v>
      </c>
      <c r="O812">
        <v>8.1</v>
      </c>
      <c r="P812">
        <v>5.3</v>
      </c>
      <c r="Q812">
        <v>0.7</v>
      </c>
      <c r="R812">
        <v>4</v>
      </c>
      <c r="S812">
        <v>4</v>
      </c>
      <c r="T812">
        <v>3</v>
      </c>
      <c r="U812" t="s">
        <v>30</v>
      </c>
      <c r="V812">
        <v>4</v>
      </c>
      <c r="W812">
        <f>COUNTIF($A$2:A812,A812)</f>
        <v>1</v>
      </c>
    </row>
    <row r="813" spans="1:23" x14ac:dyDescent="0.35">
      <c r="A813" t="s">
        <v>1568</v>
      </c>
      <c r="B813" s="2">
        <v>44004</v>
      </c>
      <c r="D813" t="s">
        <v>23</v>
      </c>
      <c r="E813">
        <v>38</v>
      </c>
      <c r="F813" t="s">
        <v>24</v>
      </c>
      <c r="G813" t="s">
        <v>37</v>
      </c>
      <c r="H813" t="s">
        <v>32</v>
      </c>
      <c r="I813" t="s">
        <v>59</v>
      </c>
      <c r="J813" t="s">
        <v>86</v>
      </c>
      <c r="K813">
        <v>2</v>
      </c>
      <c r="L813" t="s">
        <v>50</v>
      </c>
      <c r="M813">
        <v>51000</v>
      </c>
      <c r="N813">
        <v>7.3</v>
      </c>
      <c r="O813">
        <v>12</v>
      </c>
      <c r="P813">
        <v>5.5</v>
      </c>
      <c r="Q813">
        <v>0.5</v>
      </c>
      <c r="R813">
        <v>2</v>
      </c>
      <c r="S813">
        <v>2</v>
      </c>
      <c r="T813">
        <v>4</v>
      </c>
      <c r="U813" t="s">
        <v>23</v>
      </c>
      <c r="V813">
        <v>4</v>
      </c>
      <c r="W813">
        <f>COUNTIF($A$2:A813,A813)</f>
        <v>1</v>
      </c>
    </row>
    <row r="814" spans="1:23" x14ac:dyDescent="0.35">
      <c r="A814" t="s">
        <v>130</v>
      </c>
      <c r="B814" s="2">
        <v>44352</v>
      </c>
      <c r="D814" t="s">
        <v>23</v>
      </c>
      <c r="E814">
        <v>26</v>
      </c>
      <c r="F814" t="s">
        <v>24</v>
      </c>
      <c r="G814" t="s">
        <v>42</v>
      </c>
      <c r="H814" t="s">
        <v>54</v>
      </c>
      <c r="I814" t="s">
        <v>48</v>
      </c>
      <c r="J814" t="s">
        <v>129</v>
      </c>
      <c r="K814">
        <v>1</v>
      </c>
      <c r="L814" t="s">
        <v>34</v>
      </c>
      <c r="M814">
        <v>52000</v>
      </c>
      <c r="N814">
        <v>3.9</v>
      </c>
      <c r="O814">
        <v>11</v>
      </c>
      <c r="P814">
        <v>4.5999999999999996</v>
      </c>
      <c r="Q814">
        <v>1.7</v>
      </c>
      <c r="R814">
        <v>2</v>
      </c>
      <c r="S814">
        <v>3</v>
      </c>
      <c r="T814">
        <v>2</v>
      </c>
      <c r="U814" t="s">
        <v>23</v>
      </c>
      <c r="V814">
        <v>3</v>
      </c>
      <c r="W814">
        <f>COUNTIF($A$2:A814,A814)</f>
        <v>1</v>
      </c>
    </row>
    <row r="815" spans="1:23" x14ac:dyDescent="0.35">
      <c r="A815" t="s">
        <v>909</v>
      </c>
      <c r="B815" s="2">
        <v>41871</v>
      </c>
      <c r="D815" t="s">
        <v>23</v>
      </c>
      <c r="E815">
        <v>40</v>
      </c>
      <c r="F815" t="s">
        <v>36</v>
      </c>
      <c r="G815" t="s">
        <v>37</v>
      </c>
      <c r="H815" t="s">
        <v>58</v>
      </c>
      <c r="I815" t="s">
        <v>59</v>
      </c>
      <c r="J815" t="s">
        <v>75</v>
      </c>
      <c r="K815">
        <v>2</v>
      </c>
      <c r="L815" t="s">
        <v>29</v>
      </c>
      <c r="M815">
        <v>40000</v>
      </c>
      <c r="N815">
        <v>9.6999999999999993</v>
      </c>
      <c r="O815">
        <v>13.8</v>
      </c>
      <c r="P815">
        <v>11.4</v>
      </c>
      <c r="Q815">
        <v>6</v>
      </c>
      <c r="R815">
        <v>3</v>
      </c>
      <c r="S815">
        <v>2</v>
      </c>
      <c r="T815">
        <v>3</v>
      </c>
      <c r="U815" t="s">
        <v>23</v>
      </c>
      <c r="V815">
        <v>3</v>
      </c>
      <c r="W815">
        <f>COUNTIF($A$2:A815,A815)</f>
        <v>1</v>
      </c>
    </row>
    <row r="816" spans="1:23" x14ac:dyDescent="0.35">
      <c r="A816" t="s">
        <v>476</v>
      </c>
      <c r="B816" s="2">
        <v>42292</v>
      </c>
      <c r="D816" t="s">
        <v>23</v>
      </c>
      <c r="E816">
        <v>33</v>
      </c>
      <c r="F816" t="s">
        <v>62</v>
      </c>
      <c r="G816" t="s">
        <v>25</v>
      </c>
      <c r="H816" t="s">
        <v>58</v>
      </c>
      <c r="I816" t="s">
        <v>45</v>
      </c>
      <c r="J816" t="s">
        <v>77</v>
      </c>
      <c r="K816">
        <v>1</v>
      </c>
      <c r="L816" t="s">
        <v>84</v>
      </c>
      <c r="M816">
        <v>57000</v>
      </c>
      <c r="N816">
        <v>2.2999999999999998</v>
      </c>
      <c r="O816">
        <v>11.3</v>
      </c>
      <c r="P816">
        <v>10.199999999999999</v>
      </c>
      <c r="Q816">
        <v>2.8</v>
      </c>
      <c r="R816">
        <v>1</v>
      </c>
      <c r="S816">
        <v>1</v>
      </c>
      <c r="T816">
        <v>3</v>
      </c>
      <c r="U816" t="s">
        <v>30</v>
      </c>
      <c r="V816">
        <v>3</v>
      </c>
      <c r="W816">
        <f>COUNTIF($A$2:A816,A816)</f>
        <v>1</v>
      </c>
    </row>
    <row r="817" spans="1:23" x14ac:dyDescent="0.35">
      <c r="A817" t="s">
        <v>1316</v>
      </c>
      <c r="B817" s="2">
        <v>44121</v>
      </c>
      <c r="D817" t="s">
        <v>23</v>
      </c>
      <c r="E817">
        <v>32</v>
      </c>
      <c r="F817" t="s">
        <v>24</v>
      </c>
      <c r="G817" t="s">
        <v>42</v>
      </c>
      <c r="H817" t="s">
        <v>32</v>
      </c>
      <c r="I817" t="s">
        <v>27</v>
      </c>
      <c r="J817" t="s">
        <v>33</v>
      </c>
      <c r="K817">
        <v>4</v>
      </c>
      <c r="L817" t="s">
        <v>84</v>
      </c>
      <c r="M817">
        <v>113000</v>
      </c>
      <c r="N817">
        <v>10.8</v>
      </c>
      <c r="O817">
        <v>11.7</v>
      </c>
      <c r="P817">
        <v>5.2</v>
      </c>
      <c r="Q817">
        <v>3.5</v>
      </c>
      <c r="R817">
        <v>3</v>
      </c>
      <c r="S817">
        <v>3</v>
      </c>
      <c r="T817">
        <v>4</v>
      </c>
      <c r="U817" t="s">
        <v>30</v>
      </c>
      <c r="V817">
        <v>4</v>
      </c>
      <c r="W817">
        <f>COUNTIF($A$2:A817,A817)</f>
        <v>1</v>
      </c>
    </row>
    <row r="818" spans="1:23" x14ac:dyDescent="0.35">
      <c r="A818" t="s">
        <v>787</v>
      </c>
      <c r="B818" s="2">
        <v>44780</v>
      </c>
      <c r="D818" t="s">
        <v>23</v>
      </c>
      <c r="E818">
        <v>35</v>
      </c>
      <c r="F818" t="s">
        <v>36</v>
      </c>
      <c r="G818" t="s">
        <v>25</v>
      </c>
      <c r="H818" t="s">
        <v>32</v>
      </c>
      <c r="I818" t="s">
        <v>48</v>
      </c>
      <c r="J818" t="s">
        <v>129</v>
      </c>
      <c r="K818">
        <v>4</v>
      </c>
      <c r="L818" t="s">
        <v>40</v>
      </c>
      <c r="M818">
        <v>98000</v>
      </c>
      <c r="N818">
        <v>11.4</v>
      </c>
      <c r="O818">
        <v>10.5</v>
      </c>
      <c r="P818">
        <v>3.4</v>
      </c>
      <c r="Q818">
        <v>0.1</v>
      </c>
      <c r="R818">
        <v>4</v>
      </c>
      <c r="S818">
        <v>4</v>
      </c>
      <c r="T818">
        <v>4</v>
      </c>
      <c r="U818" t="s">
        <v>23</v>
      </c>
      <c r="V818">
        <v>1</v>
      </c>
      <c r="W818">
        <f>COUNTIF($A$2:A818,A818)</f>
        <v>1</v>
      </c>
    </row>
    <row r="819" spans="1:23" x14ac:dyDescent="0.35">
      <c r="A819" t="s">
        <v>162</v>
      </c>
      <c r="B819" s="2">
        <v>44961</v>
      </c>
      <c r="D819" t="s">
        <v>23</v>
      </c>
      <c r="E819">
        <v>37</v>
      </c>
      <c r="F819" t="s">
        <v>62</v>
      </c>
      <c r="G819" t="s">
        <v>37</v>
      </c>
      <c r="H819" t="s">
        <v>58</v>
      </c>
      <c r="I819" t="s">
        <v>38</v>
      </c>
      <c r="J819" t="s">
        <v>118</v>
      </c>
      <c r="K819">
        <v>2</v>
      </c>
      <c r="L819" t="s">
        <v>34</v>
      </c>
      <c r="M819">
        <v>69000</v>
      </c>
      <c r="N819">
        <v>10.5</v>
      </c>
      <c r="O819">
        <v>6.6</v>
      </c>
      <c r="P819">
        <v>2.9</v>
      </c>
      <c r="Q819">
        <v>1.2</v>
      </c>
      <c r="R819">
        <v>1</v>
      </c>
      <c r="S819">
        <v>4</v>
      </c>
      <c r="T819">
        <v>3</v>
      </c>
      <c r="U819" t="s">
        <v>23</v>
      </c>
      <c r="V819">
        <v>4</v>
      </c>
      <c r="W819">
        <f>COUNTIF($A$2:A819,A819)</f>
        <v>1</v>
      </c>
    </row>
    <row r="820" spans="1:23" x14ac:dyDescent="0.35">
      <c r="A820" t="s">
        <v>1136</v>
      </c>
      <c r="B820" s="2">
        <v>45599</v>
      </c>
      <c r="D820" t="s">
        <v>23</v>
      </c>
      <c r="E820">
        <v>27</v>
      </c>
      <c r="F820" t="s">
        <v>24</v>
      </c>
      <c r="G820" t="s">
        <v>25</v>
      </c>
      <c r="H820" t="s">
        <v>32</v>
      </c>
      <c r="I820" t="s">
        <v>48</v>
      </c>
      <c r="J820" t="s">
        <v>129</v>
      </c>
      <c r="K820">
        <v>1</v>
      </c>
      <c r="L820" t="s">
        <v>40</v>
      </c>
      <c r="M820">
        <v>29000</v>
      </c>
      <c r="N820">
        <v>13.7</v>
      </c>
      <c r="O820">
        <v>6.9</v>
      </c>
      <c r="P820">
        <v>1.2</v>
      </c>
      <c r="Q820">
        <v>0.6</v>
      </c>
      <c r="R820">
        <v>3</v>
      </c>
      <c r="S820">
        <v>4</v>
      </c>
      <c r="T820">
        <v>4</v>
      </c>
      <c r="U820" t="s">
        <v>23</v>
      </c>
      <c r="V820">
        <v>3</v>
      </c>
      <c r="W820">
        <f>COUNTIF($A$2:A820,A820)</f>
        <v>1</v>
      </c>
    </row>
    <row r="821" spans="1:23" x14ac:dyDescent="0.35">
      <c r="A821" t="s">
        <v>1271</v>
      </c>
      <c r="B821" s="2">
        <v>43110</v>
      </c>
      <c r="D821" t="s">
        <v>23</v>
      </c>
      <c r="E821">
        <v>31</v>
      </c>
      <c r="F821" t="s">
        <v>62</v>
      </c>
      <c r="G821" t="s">
        <v>25</v>
      </c>
      <c r="H821" t="s">
        <v>58</v>
      </c>
      <c r="I821" t="s">
        <v>55</v>
      </c>
      <c r="J821" t="s">
        <v>56</v>
      </c>
      <c r="K821">
        <v>3</v>
      </c>
      <c r="L821" t="s">
        <v>40</v>
      </c>
      <c r="M821">
        <v>90000</v>
      </c>
      <c r="N821">
        <v>5.4</v>
      </c>
      <c r="O821">
        <v>10</v>
      </c>
      <c r="P821">
        <v>8</v>
      </c>
      <c r="Q821">
        <v>4.4000000000000004</v>
      </c>
      <c r="R821">
        <v>3</v>
      </c>
      <c r="S821">
        <v>3</v>
      </c>
      <c r="T821">
        <v>3</v>
      </c>
      <c r="U821" t="s">
        <v>23</v>
      </c>
      <c r="V821">
        <v>3</v>
      </c>
      <c r="W821">
        <f>COUNTIF($A$2:A821,A821)</f>
        <v>1</v>
      </c>
    </row>
    <row r="822" spans="1:23" x14ac:dyDescent="0.35">
      <c r="A822" t="s">
        <v>497</v>
      </c>
      <c r="B822" s="2">
        <v>45292</v>
      </c>
      <c r="D822" t="s">
        <v>23</v>
      </c>
      <c r="E822">
        <v>38</v>
      </c>
      <c r="F822" t="s">
        <v>62</v>
      </c>
      <c r="G822" t="s">
        <v>37</v>
      </c>
      <c r="H822" t="s">
        <v>32</v>
      </c>
      <c r="I822" t="s">
        <v>68</v>
      </c>
      <c r="J822" t="s">
        <v>121</v>
      </c>
      <c r="K822">
        <v>2</v>
      </c>
      <c r="L822" t="s">
        <v>40</v>
      </c>
      <c r="M822">
        <v>70000</v>
      </c>
      <c r="N822">
        <v>5.5</v>
      </c>
      <c r="O822">
        <v>8.4</v>
      </c>
      <c r="P822">
        <v>2</v>
      </c>
      <c r="Q822">
        <v>1.3</v>
      </c>
      <c r="R822">
        <v>4</v>
      </c>
      <c r="S822">
        <v>4</v>
      </c>
      <c r="T822">
        <v>4</v>
      </c>
      <c r="U822" t="s">
        <v>23</v>
      </c>
      <c r="V822">
        <v>1</v>
      </c>
      <c r="W822">
        <f>COUNTIF($A$2:A822,A822)</f>
        <v>1</v>
      </c>
    </row>
    <row r="823" spans="1:23" x14ac:dyDescent="0.35">
      <c r="A823" t="s">
        <v>144</v>
      </c>
      <c r="B823" s="2">
        <v>43858</v>
      </c>
      <c r="D823" t="s">
        <v>23</v>
      </c>
      <c r="E823">
        <v>35</v>
      </c>
      <c r="F823" t="s">
        <v>36</v>
      </c>
      <c r="G823" t="s">
        <v>37</v>
      </c>
      <c r="H823" t="s">
        <v>58</v>
      </c>
      <c r="I823" t="s">
        <v>48</v>
      </c>
      <c r="J823" t="s">
        <v>129</v>
      </c>
      <c r="K823">
        <v>1</v>
      </c>
      <c r="L823" t="s">
        <v>29</v>
      </c>
      <c r="M823">
        <v>41000</v>
      </c>
      <c r="N823">
        <v>8.1</v>
      </c>
      <c r="O823">
        <v>13.7</v>
      </c>
      <c r="P823">
        <v>5.9</v>
      </c>
      <c r="Q823">
        <v>2.4</v>
      </c>
      <c r="R823">
        <v>2</v>
      </c>
      <c r="S823">
        <v>4</v>
      </c>
      <c r="T823">
        <v>3</v>
      </c>
      <c r="U823" t="s">
        <v>23</v>
      </c>
      <c r="V823">
        <v>3</v>
      </c>
      <c r="W823">
        <f>COUNTIF($A$2:A823,A823)</f>
        <v>1</v>
      </c>
    </row>
    <row r="824" spans="1:23" x14ac:dyDescent="0.35">
      <c r="A824" t="s">
        <v>680</v>
      </c>
      <c r="B824" s="2">
        <v>42099</v>
      </c>
      <c r="D824" t="s">
        <v>23</v>
      </c>
      <c r="E824">
        <v>39</v>
      </c>
      <c r="F824" t="s">
        <v>24</v>
      </c>
      <c r="G824" t="s">
        <v>42</v>
      </c>
      <c r="H824" t="s">
        <v>54</v>
      </c>
      <c r="I824" t="s">
        <v>59</v>
      </c>
      <c r="J824" t="s">
        <v>150</v>
      </c>
      <c r="K824">
        <v>2</v>
      </c>
      <c r="L824" t="s">
        <v>29</v>
      </c>
      <c r="M824">
        <v>58000</v>
      </c>
      <c r="N824">
        <v>5.3</v>
      </c>
      <c r="O824">
        <v>15.1</v>
      </c>
      <c r="P824">
        <v>10.7</v>
      </c>
      <c r="Q824">
        <v>4</v>
      </c>
      <c r="R824">
        <v>4</v>
      </c>
      <c r="S824">
        <v>3</v>
      </c>
      <c r="T824">
        <v>3</v>
      </c>
      <c r="U824" t="s">
        <v>30</v>
      </c>
      <c r="V824">
        <v>3</v>
      </c>
      <c r="W824">
        <f>COUNTIF($A$2:A824,A824)</f>
        <v>1</v>
      </c>
    </row>
    <row r="825" spans="1:23" x14ac:dyDescent="0.35">
      <c r="A825" t="s">
        <v>842</v>
      </c>
      <c r="B825" s="2">
        <v>41746</v>
      </c>
      <c r="D825" t="s">
        <v>23</v>
      </c>
      <c r="E825">
        <v>41</v>
      </c>
      <c r="F825" t="s">
        <v>62</v>
      </c>
      <c r="G825" t="s">
        <v>37</v>
      </c>
      <c r="H825" t="s">
        <v>54</v>
      </c>
      <c r="I825" t="s">
        <v>38</v>
      </c>
      <c r="J825" t="s">
        <v>139</v>
      </c>
      <c r="K825">
        <v>1</v>
      </c>
      <c r="L825" t="s">
        <v>66</v>
      </c>
      <c r="M825">
        <v>39000</v>
      </c>
      <c r="N825">
        <v>9.3000000000000007</v>
      </c>
      <c r="O825">
        <v>12.7</v>
      </c>
      <c r="P825">
        <v>11.7</v>
      </c>
      <c r="Q825">
        <v>2.1</v>
      </c>
      <c r="R825">
        <v>2</v>
      </c>
      <c r="S825">
        <v>3</v>
      </c>
      <c r="T825">
        <v>3</v>
      </c>
      <c r="U825" t="s">
        <v>23</v>
      </c>
      <c r="V825">
        <v>5</v>
      </c>
      <c r="W825">
        <f>COUNTIF($A$2:A825,A825)</f>
        <v>1</v>
      </c>
    </row>
    <row r="826" spans="1:23" x14ac:dyDescent="0.35">
      <c r="A826" t="s">
        <v>328</v>
      </c>
      <c r="B826" s="2">
        <v>43857</v>
      </c>
      <c r="D826" t="s">
        <v>23</v>
      </c>
      <c r="E826">
        <v>27</v>
      </c>
      <c r="F826" t="s">
        <v>62</v>
      </c>
      <c r="G826" t="s">
        <v>42</v>
      </c>
      <c r="H826" t="s">
        <v>32</v>
      </c>
      <c r="I826" t="s">
        <v>55</v>
      </c>
      <c r="J826" t="s">
        <v>179</v>
      </c>
      <c r="K826">
        <v>1</v>
      </c>
      <c r="L826" t="s">
        <v>29</v>
      </c>
      <c r="M826">
        <v>39000</v>
      </c>
      <c r="N826">
        <v>0.4</v>
      </c>
      <c r="O826">
        <v>8.8000000000000007</v>
      </c>
      <c r="P826">
        <v>5.9</v>
      </c>
      <c r="Q826">
        <v>3.5</v>
      </c>
      <c r="R826">
        <v>1</v>
      </c>
      <c r="S826">
        <v>2</v>
      </c>
      <c r="T826">
        <v>4</v>
      </c>
      <c r="U826" t="s">
        <v>30</v>
      </c>
      <c r="V826">
        <v>4</v>
      </c>
      <c r="W826">
        <f>COUNTIF($A$2:A826,A826)</f>
        <v>1</v>
      </c>
    </row>
    <row r="827" spans="1:23" x14ac:dyDescent="0.35">
      <c r="A827" t="s">
        <v>414</v>
      </c>
      <c r="B827" s="2">
        <v>45680</v>
      </c>
      <c r="D827" t="s">
        <v>23</v>
      </c>
      <c r="E827">
        <v>22</v>
      </c>
      <c r="F827" t="s">
        <v>62</v>
      </c>
      <c r="G827" t="s">
        <v>42</v>
      </c>
      <c r="H827" t="s">
        <v>32</v>
      </c>
      <c r="I827" t="s">
        <v>27</v>
      </c>
      <c r="J827" t="s">
        <v>95</v>
      </c>
      <c r="K827">
        <v>1</v>
      </c>
      <c r="L827" t="s">
        <v>84</v>
      </c>
      <c r="M827">
        <v>46000</v>
      </c>
      <c r="N827">
        <v>7.7</v>
      </c>
      <c r="O827">
        <v>5.9</v>
      </c>
      <c r="P827">
        <v>0.9</v>
      </c>
      <c r="Q827">
        <v>0</v>
      </c>
      <c r="R827">
        <v>2</v>
      </c>
      <c r="S827">
        <v>4</v>
      </c>
      <c r="T827">
        <v>2</v>
      </c>
      <c r="U827" t="s">
        <v>30</v>
      </c>
      <c r="V827">
        <v>5</v>
      </c>
      <c r="W827">
        <f>COUNTIF($A$2:A827,A827)</f>
        <v>1</v>
      </c>
    </row>
    <row r="828" spans="1:23" x14ac:dyDescent="0.35">
      <c r="A828" t="s">
        <v>51</v>
      </c>
      <c r="B828" s="2">
        <v>43050</v>
      </c>
      <c r="D828" t="s">
        <v>23</v>
      </c>
      <c r="E828">
        <v>29</v>
      </c>
      <c r="F828" t="s">
        <v>36</v>
      </c>
      <c r="G828" t="s">
        <v>37</v>
      </c>
      <c r="H828" t="s">
        <v>26</v>
      </c>
      <c r="I828" t="s">
        <v>38</v>
      </c>
      <c r="J828" t="s">
        <v>52</v>
      </c>
      <c r="K828">
        <v>2</v>
      </c>
      <c r="L828" t="s">
        <v>50</v>
      </c>
      <c r="M828">
        <v>57000</v>
      </c>
      <c r="N828">
        <v>14.7</v>
      </c>
      <c r="O828">
        <v>9.1999999999999993</v>
      </c>
      <c r="P828">
        <v>8.1</v>
      </c>
      <c r="Q828">
        <v>5.6</v>
      </c>
      <c r="R828">
        <v>4</v>
      </c>
      <c r="S828">
        <v>1</v>
      </c>
      <c r="T828">
        <v>2</v>
      </c>
      <c r="U828" t="s">
        <v>23</v>
      </c>
      <c r="V828">
        <v>4</v>
      </c>
      <c r="W828">
        <f>COUNTIF($A$2:A828,A828)</f>
        <v>1</v>
      </c>
    </row>
    <row r="829" spans="1:23" x14ac:dyDescent="0.35">
      <c r="A829" t="s">
        <v>1492</v>
      </c>
      <c r="B829" s="2">
        <v>43858</v>
      </c>
      <c r="D829" t="s">
        <v>23</v>
      </c>
      <c r="E829">
        <v>42</v>
      </c>
      <c r="F829" t="s">
        <v>24</v>
      </c>
      <c r="G829" t="s">
        <v>42</v>
      </c>
      <c r="H829" t="s">
        <v>26</v>
      </c>
      <c r="I829" t="s">
        <v>59</v>
      </c>
      <c r="J829" t="s">
        <v>60</v>
      </c>
      <c r="K829">
        <v>2</v>
      </c>
      <c r="L829" t="s">
        <v>40</v>
      </c>
      <c r="M829">
        <v>55000</v>
      </c>
      <c r="N829">
        <v>4.2</v>
      </c>
      <c r="O829">
        <v>13.8</v>
      </c>
      <c r="P829">
        <v>5.9</v>
      </c>
      <c r="Q829">
        <v>2.2999999999999998</v>
      </c>
      <c r="R829">
        <v>4</v>
      </c>
      <c r="S829">
        <v>2</v>
      </c>
      <c r="T829">
        <v>3</v>
      </c>
      <c r="U829" t="s">
        <v>30</v>
      </c>
      <c r="V829">
        <v>4</v>
      </c>
      <c r="W829">
        <f>COUNTIF($A$2:A829,A829)</f>
        <v>1</v>
      </c>
    </row>
    <row r="830" spans="1:23" x14ac:dyDescent="0.35">
      <c r="A830" t="s">
        <v>288</v>
      </c>
      <c r="B830" s="2">
        <v>45385</v>
      </c>
      <c r="C830" s="2">
        <v>45885</v>
      </c>
      <c r="D830" t="s">
        <v>30</v>
      </c>
      <c r="E830">
        <v>45</v>
      </c>
      <c r="F830" t="s">
        <v>62</v>
      </c>
      <c r="G830" t="s">
        <v>37</v>
      </c>
      <c r="H830" t="s">
        <v>54</v>
      </c>
      <c r="I830" t="s">
        <v>68</v>
      </c>
      <c r="J830" t="s">
        <v>109</v>
      </c>
      <c r="K830">
        <v>4</v>
      </c>
      <c r="L830" t="s">
        <v>40</v>
      </c>
      <c r="M830">
        <v>102000</v>
      </c>
      <c r="N830">
        <v>4.4000000000000004</v>
      </c>
      <c r="O830">
        <v>2.5</v>
      </c>
      <c r="P830">
        <v>1.4</v>
      </c>
      <c r="Q830">
        <v>0.4</v>
      </c>
      <c r="R830">
        <v>4</v>
      </c>
      <c r="S830">
        <v>3</v>
      </c>
      <c r="T830">
        <v>3</v>
      </c>
      <c r="U830" t="s">
        <v>23</v>
      </c>
      <c r="V830">
        <v>4</v>
      </c>
      <c r="W830">
        <f>COUNTIF($A$2:A830,A830)</f>
        <v>1</v>
      </c>
    </row>
    <row r="831" spans="1:23" x14ac:dyDescent="0.35">
      <c r="A831" t="s">
        <v>558</v>
      </c>
      <c r="B831" s="2">
        <v>45379</v>
      </c>
      <c r="C831" s="2">
        <v>45832</v>
      </c>
      <c r="D831" t="s">
        <v>30</v>
      </c>
      <c r="E831">
        <v>35</v>
      </c>
      <c r="F831" t="s">
        <v>62</v>
      </c>
      <c r="G831" t="s">
        <v>42</v>
      </c>
      <c r="H831" t="s">
        <v>54</v>
      </c>
      <c r="I831" t="s">
        <v>45</v>
      </c>
      <c r="J831" t="s">
        <v>46</v>
      </c>
      <c r="K831">
        <v>2</v>
      </c>
      <c r="L831" t="s">
        <v>66</v>
      </c>
      <c r="M831">
        <v>41000</v>
      </c>
      <c r="N831">
        <v>9.9</v>
      </c>
      <c r="O831">
        <v>8.1999999999999993</v>
      </c>
      <c r="P831">
        <v>1.2</v>
      </c>
      <c r="Q831">
        <v>1.1000000000000001</v>
      </c>
      <c r="R831">
        <v>3</v>
      </c>
      <c r="S831">
        <v>1</v>
      </c>
      <c r="T831">
        <v>4</v>
      </c>
      <c r="U831" t="s">
        <v>23</v>
      </c>
      <c r="V831">
        <v>3</v>
      </c>
      <c r="W831">
        <f>COUNTIF($A$2:A831,A831)</f>
        <v>1</v>
      </c>
    </row>
    <row r="832" spans="1:23" x14ac:dyDescent="0.35">
      <c r="A832" t="s">
        <v>1357</v>
      </c>
      <c r="B832" s="2">
        <v>44953</v>
      </c>
      <c r="D832" t="s">
        <v>23</v>
      </c>
      <c r="E832">
        <v>41</v>
      </c>
      <c r="F832" t="s">
        <v>36</v>
      </c>
      <c r="G832" t="s">
        <v>42</v>
      </c>
      <c r="H832" t="s">
        <v>26</v>
      </c>
      <c r="I832" t="s">
        <v>55</v>
      </c>
      <c r="J832" t="s">
        <v>80</v>
      </c>
      <c r="K832">
        <v>3</v>
      </c>
      <c r="L832" t="s">
        <v>29</v>
      </c>
      <c r="M832">
        <v>99000</v>
      </c>
      <c r="N832">
        <v>11.1</v>
      </c>
      <c r="O832">
        <v>7.7</v>
      </c>
      <c r="P832">
        <v>2.9</v>
      </c>
      <c r="Q832">
        <v>1.1000000000000001</v>
      </c>
      <c r="R832">
        <v>4</v>
      </c>
      <c r="S832">
        <v>4</v>
      </c>
      <c r="T832">
        <v>3</v>
      </c>
      <c r="U832" t="s">
        <v>30</v>
      </c>
      <c r="V832">
        <v>4</v>
      </c>
      <c r="W832">
        <f>COUNTIF($A$2:A832,A832)</f>
        <v>1</v>
      </c>
    </row>
    <row r="833" spans="1:23" x14ac:dyDescent="0.35">
      <c r="A833" t="s">
        <v>651</v>
      </c>
      <c r="B833" s="2">
        <v>42783</v>
      </c>
      <c r="D833" t="s">
        <v>23</v>
      </c>
      <c r="E833">
        <v>45</v>
      </c>
      <c r="F833" t="s">
        <v>36</v>
      </c>
      <c r="G833" t="s">
        <v>37</v>
      </c>
      <c r="H833" t="s">
        <v>54</v>
      </c>
      <c r="I833" t="s">
        <v>38</v>
      </c>
      <c r="J833" t="s">
        <v>39</v>
      </c>
      <c r="K833">
        <v>4</v>
      </c>
      <c r="L833" t="s">
        <v>40</v>
      </c>
      <c r="M833">
        <v>124000</v>
      </c>
      <c r="N833">
        <v>4.3</v>
      </c>
      <c r="O833">
        <v>14.2</v>
      </c>
      <c r="P833">
        <v>8.9</v>
      </c>
      <c r="Q833">
        <v>1.5</v>
      </c>
      <c r="R833">
        <v>3</v>
      </c>
      <c r="S833">
        <v>3</v>
      </c>
      <c r="T833">
        <v>1</v>
      </c>
      <c r="U833" t="s">
        <v>23</v>
      </c>
      <c r="V833">
        <v>4</v>
      </c>
      <c r="W833">
        <f>COUNTIF($A$2:A833,A833)</f>
        <v>1</v>
      </c>
    </row>
    <row r="834" spans="1:23" x14ac:dyDescent="0.35">
      <c r="A834" t="s">
        <v>562</v>
      </c>
      <c r="B834" s="2">
        <v>45469</v>
      </c>
      <c r="D834" t="s">
        <v>23</v>
      </c>
      <c r="E834">
        <v>48</v>
      </c>
      <c r="F834" t="s">
        <v>62</v>
      </c>
      <c r="G834" t="s">
        <v>37</v>
      </c>
      <c r="H834" t="s">
        <v>26</v>
      </c>
      <c r="I834" t="s">
        <v>27</v>
      </c>
      <c r="J834" t="s">
        <v>33</v>
      </c>
      <c r="K834">
        <v>3</v>
      </c>
      <c r="L834" t="s">
        <v>66</v>
      </c>
      <c r="M834">
        <v>64000</v>
      </c>
      <c r="N834">
        <v>7.6</v>
      </c>
      <c r="O834">
        <v>8.1999999999999993</v>
      </c>
      <c r="P834">
        <v>1.5</v>
      </c>
      <c r="Q834">
        <v>0.6</v>
      </c>
      <c r="R834">
        <v>3</v>
      </c>
      <c r="S834">
        <v>3</v>
      </c>
      <c r="T834">
        <v>4</v>
      </c>
      <c r="U834" t="s">
        <v>23</v>
      </c>
      <c r="V834">
        <v>3</v>
      </c>
      <c r="W834">
        <f>COUNTIF($A$2:A834,A834)</f>
        <v>1</v>
      </c>
    </row>
    <row r="835" spans="1:23" x14ac:dyDescent="0.35">
      <c r="A835" t="s">
        <v>723</v>
      </c>
      <c r="B835" s="2">
        <v>44893</v>
      </c>
      <c r="D835" t="s">
        <v>23</v>
      </c>
      <c r="E835">
        <v>33</v>
      </c>
      <c r="F835" t="s">
        <v>36</v>
      </c>
      <c r="G835" t="s">
        <v>25</v>
      </c>
      <c r="H835" t="s">
        <v>26</v>
      </c>
      <c r="I835" t="s">
        <v>38</v>
      </c>
      <c r="J835" t="s">
        <v>118</v>
      </c>
      <c r="K835">
        <v>5</v>
      </c>
      <c r="L835" t="s">
        <v>34</v>
      </c>
      <c r="M835">
        <v>164000</v>
      </c>
      <c r="N835">
        <v>13.5</v>
      </c>
      <c r="O835">
        <v>9.6</v>
      </c>
      <c r="P835">
        <v>3.1</v>
      </c>
      <c r="Q835">
        <v>2.2000000000000002</v>
      </c>
      <c r="R835">
        <v>3</v>
      </c>
      <c r="S835">
        <v>1</v>
      </c>
      <c r="T835">
        <v>3</v>
      </c>
      <c r="U835" t="s">
        <v>23</v>
      </c>
      <c r="V835">
        <v>3</v>
      </c>
      <c r="W835">
        <f>COUNTIF($A$2:A835,A835)</f>
        <v>1</v>
      </c>
    </row>
    <row r="836" spans="1:23" x14ac:dyDescent="0.35">
      <c r="A836" t="s">
        <v>1564</v>
      </c>
      <c r="B836" s="2">
        <v>45803</v>
      </c>
      <c r="D836" t="s">
        <v>23</v>
      </c>
      <c r="E836">
        <v>34</v>
      </c>
      <c r="F836" t="s">
        <v>36</v>
      </c>
      <c r="G836" t="s">
        <v>42</v>
      </c>
      <c r="H836" t="s">
        <v>58</v>
      </c>
      <c r="I836" t="s">
        <v>59</v>
      </c>
      <c r="J836" t="s">
        <v>60</v>
      </c>
      <c r="K836">
        <v>3</v>
      </c>
      <c r="L836" t="s">
        <v>84</v>
      </c>
      <c r="M836">
        <v>67000</v>
      </c>
      <c r="N836">
        <v>2.8</v>
      </c>
      <c r="O836">
        <v>1.4</v>
      </c>
      <c r="P836">
        <v>0.6</v>
      </c>
      <c r="Q836">
        <v>0</v>
      </c>
      <c r="R836">
        <v>1</v>
      </c>
      <c r="S836">
        <v>4</v>
      </c>
      <c r="T836">
        <v>3</v>
      </c>
      <c r="U836" t="s">
        <v>23</v>
      </c>
      <c r="V836">
        <v>4</v>
      </c>
      <c r="W836">
        <f>COUNTIF($A$2:A836,A836)</f>
        <v>1</v>
      </c>
    </row>
    <row r="837" spans="1:23" x14ac:dyDescent="0.35">
      <c r="A837" t="s">
        <v>544</v>
      </c>
      <c r="B837" s="2">
        <v>45709</v>
      </c>
      <c r="D837" t="s">
        <v>23</v>
      </c>
      <c r="E837">
        <v>41</v>
      </c>
      <c r="F837" t="s">
        <v>36</v>
      </c>
      <c r="G837" t="s">
        <v>42</v>
      </c>
      <c r="H837" t="s">
        <v>32</v>
      </c>
      <c r="I837" t="s">
        <v>55</v>
      </c>
      <c r="J837" t="s">
        <v>88</v>
      </c>
      <c r="K837">
        <v>2</v>
      </c>
      <c r="L837" t="s">
        <v>34</v>
      </c>
      <c r="M837">
        <v>66000</v>
      </c>
      <c r="N837">
        <v>9</v>
      </c>
      <c r="O837">
        <v>7.2</v>
      </c>
      <c r="P837">
        <v>0.9</v>
      </c>
      <c r="Q837">
        <v>0</v>
      </c>
      <c r="R837">
        <v>4</v>
      </c>
      <c r="S837">
        <v>4</v>
      </c>
      <c r="T837">
        <v>3</v>
      </c>
      <c r="U837" t="s">
        <v>23</v>
      </c>
      <c r="V837">
        <v>3</v>
      </c>
      <c r="W837">
        <f>COUNTIF($A$2:A837,A837)</f>
        <v>1</v>
      </c>
    </row>
    <row r="838" spans="1:23" x14ac:dyDescent="0.35">
      <c r="A838" t="s">
        <v>224</v>
      </c>
      <c r="B838" s="2">
        <v>45340</v>
      </c>
      <c r="D838" t="s">
        <v>23</v>
      </c>
      <c r="E838">
        <v>25</v>
      </c>
      <c r="F838" t="s">
        <v>36</v>
      </c>
      <c r="G838" t="s">
        <v>25</v>
      </c>
      <c r="H838" t="s">
        <v>54</v>
      </c>
      <c r="I838" t="s">
        <v>59</v>
      </c>
      <c r="J838" t="s">
        <v>75</v>
      </c>
      <c r="K838">
        <v>1</v>
      </c>
      <c r="L838" t="s">
        <v>29</v>
      </c>
      <c r="M838">
        <v>40000</v>
      </c>
      <c r="N838">
        <v>12.7</v>
      </c>
      <c r="O838">
        <v>3.7</v>
      </c>
      <c r="P838">
        <v>1.9</v>
      </c>
      <c r="Q838">
        <v>1.6</v>
      </c>
      <c r="R838">
        <v>4</v>
      </c>
      <c r="S838">
        <v>2</v>
      </c>
      <c r="T838">
        <v>3</v>
      </c>
      <c r="U838" t="s">
        <v>23</v>
      </c>
      <c r="V838">
        <v>4</v>
      </c>
      <c r="W838">
        <f>COUNTIF($A$2:A838,A838)</f>
        <v>1</v>
      </c>
    </row>
    <row r="839" spans="1:23" x14ac:dyDescent="0.35">
      <c r="A839" t="s">
        <v>996</v>
      </c>
      <c r="B839" s="2">
        <v>42255</v>
      </c>
      <c r="D839" t="s">
        <v>23</v>
      </c>
      <c r="E839">
        <v>44</v>
      </c>
      <c r="F839" t="s">
        <v>36</v>
      </c>
      <c r="G839" t="s">
        <v>25</v>
      </c>
      <c r="H839" t="s">
        <v>58</v>
      </c>
      <c r="I839" t="s">
        <v>55</v>
      </c>
      <c r="J839" t="s">
        <v>80</v>
      </c>
      <c r="K839">
        <v>2</v>
      </c>
      <c r="L839" t="s">
        <v>66</v>
      </c>
      <c r="M839">
        <v>67000</v>
      </c>
      <c r="N839">
        <v>14.6</v>
      </c>
      <c r="O839">
        <v>13.2</v>
      </c>
      <c r="P839">
        <v>10.3</v>
      </c>
      <c r="Q839">
        <v>1</v>
      </c>
      <c r="R839">
        <v>3</v>
      </c>
      <c r="S839">
        <v>2</v>
      </c>
      <c r="T839">
        <v>1</v>
      </c>
      <c r="U839" t="s">
        <v>23</v>
      </c>
      <c r="V839">
        <v>3</v>
      </c>
      <c r="W839">
        <f>COUNTIF($A$2:A839,A839)</f>
        <v>1</v>
      </c>
    </row>
    <row r="840" spans="1:23" x14ac:dyDescent="0.35">
      <c r="A840" t="s">
        <v>1233</v>
      </c>
      <c r="B840" s="2">
        <v>45520</v>
      </c>
      <c r="C840" s="2">
        <v>45964</v>
      </c>
      <c r="D840" t="s">
        <v>30</v>
      </c>
      <c r="E840">
        <v>23</v>
      </c>
      <c r="F840" t="s">
        <v>36</v>
      </c>
      <c r="G840" t="s">
        <v>42</v>
      </c>
      <c r="H840" t="s">
        <v>32</v>
      </c>
      <c r="I840" t="s">
        <v>27</v>
      </c>
      <c r="J840" t="s">
        <v>95</v>
      </c>
      <c r="K840">
        <v>1</v>
      </c>
      <c r="L840" t="s">
        <v>34</v>
      </c>
      <c r="M840">
        <v>31000</v>
      </c>
      <c r="N840">
        <v>11</v>
      </c>
      <c r="O840">
        <v>8.5</v>
      </c>
      <c r="P840">
        <v>1.2</v>
      </c>
      <c r="Q840">
        <v>0.8</v>
      </c>
      <c r="R840">
        <v>2</v>
      </c>
      <c r="S840">
        <v>4</v>
      </c>
      <c r="T840">
        <v>2</v>
      </c>
      <c r="U840" t="s">
        <v>23</v>
      </c>
      <c r="V840">
        <v>3</v>
      </c>
      <c r="W840">
        <f>COUNTIF($A$2:A840,A840)</f>
        <v>1</v>
      </c>
    </row>
    <row r="841" spans="1:23" x14ac:dyDescent="0.35">
      <c r="A841" t="s">
        <v>103</v>
      </c>
      <c r="B841" s="2">
        <v>41765</v>
      </c>
      <c r="D841" t="s">
        <v>23</v>
      </c>
      <c r="E841">
        <v>38</v>
      </c>
      <c r="F841" t="s">
        <v>62</v>
      </c>
      <c r="G841" t="s">
        <v>37</v>
      </c>
      <c r="H841" t="s">
        <v>32</v>
      </c>
      <c r="I841" t="s">
        <v>38</v>
      </c>
      <c r="J841" t="s">
        <v>39</v>
      </c>
      <c r="K841">
        <v>3</v>
      </c>
      <c r="L841" t="s">
        <v>40</v>
      </c>
      <c r="M841">
        <v>84000</v>
      </c>
      <c r="N841">
        <v>4.9000000000000004</v>
      </c>
      <c r="O841">
        <v>13.6</v>
      </c>
      <c r="P841">
        <v>11.7</v>
      </c>
      <c r="Q841">
        <v>0.9</v>
      </c>
      <c r="R841">
        <v>2</v>
      </c>
      <c r="S841">
        <v>4</v>
      </c>
      <c r="T841">
        <v>1</v>
      </c>
      <c r="U841" t="s">
        <v>23</v>
      </c>
      <c r="V841">
        <v>3</v>
      </c>
      <c r="W841">
        <f>COUNTIF($A$2:A841,A841)</f>
        <v>1</v>
      </c>
    </row>
    <row r="842" spans="1:23" x14ac:dyDescent="0.35">
      <c r="A842" t="s">
        <v>481</v>
      </c>
      <c r="B842" s="2">
        <v>45610</v>
      </c>
      <c r="D842" t="s">
        <v>23</v>
      </c>
      <c r="E842">
        <v>26</v>
      </c>
      <c r="F842" t="s">
        <v>24</v>
      </c>
      <c r="G842" t="s">
        <v>25</v>
      </c>
      <c r="H842" t="s">
        <v>54</v>
      </c>
      <c r="I842" t="s">
        <v>48</v>
      </c>
      <c r="J842" t="s">
        <v>49</v>
      </c>
      <c r="K842">
        <v>1</v>
      </c>
      <c r="L842" t="s">
        <v>29</v>
      </c>
      <c r="M842">
        <v>50000</v>
      </c>
      <c r="N842">
        <v>7.9</v>
      </c>
      <c r="O842">
        <v>5</v>
      </c>
      <c r="P842">
        <v>1.1000000000000001</v>
      </c>
      <c r="Q842">
        <v>0.5</v>
      </c>
      <c r="R842">
        <v>4</v>
      </c>
      <c r="S842">
        <v>3</v>
      </c>
      <c r="T842">
        <v>4</v>
      </c>
      <c r="U842" t="s">
        <v>23</v>
      </c>
      <c r="V842">
        <v>3</v>
      </c>
      <c r="W842">
        <f>COUNTIF($A$2:A842,A842)</f>
        <v>1</v>
      </c>
    </row>
    <row r="843" spans="1:23" x14ac:dyDescent="0.35">
      <c r="A843" t="s">
        <v>863</v>
      </c>
      <c r="B843" s="2">
        <v>42893</v>
      </c>
      <c r="D843" t="s">
        <v>23</v>
      </c>
      <c r="E843">
        <v>38</v>
      </c>
      <c r="F843" t="s">
        <v>62</v>
      </c>
      <c r="G843" t="s">
        <v>37</v>
      </c>
      <c r="H843" t="s">
        <v>58</v>
      </c>
      <c r="I843" t="s">
        <v>27</v>
      </c>
      <c r="J843" t="s">
        <v>33</v>
      </c>
      <c r="K843">
        <v>3</v>
      </c>
      <c r="L843" t="s">
        <v>29</v>
      </c>
      <c r="M843">
        <v>72000</v>
      </c>
      <c r="N843">
        <v>6.9</v>
      </c>
      <c r="O843">
        <v>11.5</v>
      </c>
      <c r="P843">
        <v>8.6</v>
      </c>
      <c r="Q843">
        <v>5.4</v>
      </c>
      <c r="R843">
        <v>4</v>
      </c>
      <c r="S843">
        <v>4</v>
      </c>
      <c r="T843">
        <v>3</v>
      </c>
      <c r="U843" t="s">
        <v>23</v>
      </c>
      <c r="V843">
        <v>3</v>
      </c>
      <c r="W843">
        <f>COUNTIF($A$2:A843,A843)</f>
        <v>1</v>
      </c>
    </row>
    <row r="844" spans="1:23" x14ac:dyDescent="0.35">
      <c r="A844" t="s">
        <v>729</v>
      </c>
      <c r="B844" s="2">
        <v>41992</v>
      </c>
      <c r="D844" t="s">
        <v>23</v>
      </c>
      <c r="E844">
        <v>36</v>
      </c>
      <c r="F844" t="s">
        <v>62</v>
      </c>
      <c r="G844" t="s">
        <v>37</v>
      </c>
      <c r="H844" t="s">
        <v>54</v>
      </c>
      <c r="I844" t="s">
        <v>55</v>
      </c>
      <c r="J844" t="s">
        <v>179</v>
      </c>
      <c r="K844">
        <v>1</v>
      </c>
      <c r="L844" t="s">
        <v>84</v>
      </c>
      <c r="M844">
        <v>40000</v>
      </c>
      <c r="N844">
        <v>6.6</v>
      </c>
      <c r="O844">
        <v>11.9</v>
      </c>
      <c r="P844">
        <v>11</v>
      </c>
      <c r="Q844">
        <v>5</v>
      </c>
      <c r="R844">
        <v>3</v>
      </c>
      <c r="S844">
        <v>2</v>
      </c>
      <c r="T844">
        <v>3</v>
      </c>
      <c r="U844" t="s">
        <v>23</v>
      </c>
      <c r="V844">
        <v>4</v>
      </c>
      <c r="W844">
        <f>COUNTIF($A$2:A844,A844)</f>
        <v>1</v>
      </c>
    </row>
    <row r="845" spans="1:23" x14ac:dyDescent="0.35">
      <c r="A845" t="s">
        <v>1445</v>
      </c>
      <c r="B845" s="2">
        <v>44042</v>
      </c>
      <c r="D845" t="s">
        <v>23</v>
      </c>
      <c r="E845">
        <v>34</v>
      </c>
      <c r="F845" t="s">
        <v>62</v>
      </c>
      <c r="G845" t="s">
        <v>37</v>
      </c>
      <c r="H845" t="s">
        <v>26</v>
      </c>
      <c r="I845" t="s">
        <v>27</v>
      </c>
      <c r="J845" t="s">
        <v>43</v>
      </c>
      <c r="K845">
        <v>3</v>
      </c>
      <c r="L845" t="s">
        <v>29</v>
      </c>
      <c r="M845">
        <v>54000</v>
      </c>
      <c r="N845">
        <v>10.8</v>
      </c>
      <c r="O845">
        <v>5.6</v>
      </c>
      <c r="P845">
        <v>5.4</v>
      </c>
      <c r="Q845">
        <v>2.4</v>
      </c>
      <c r="R845">
        <v>1</v>
      </c>
      <c r="S845">
        <v>3</v>
      </c>
      <c r="T845">
        <v>4</v>
      </c>
      <c r="U845" t="s">
        <v>23</v>
      </c>
      <c r="V845">
        <v>3</v>
      </c>
      <c r="W845">
        <f>COUNTIF($A$2:A845,A845)</f>
        <v>1</v>
      </c>
    </row>
    <row r="846" spans="1:23" x14ac:dyDescent="0.35">
      <c r="A846" t="s">
        <v>834</v>
      </c>
      <c r="B846" s="2">
        <v>44274</v>
      </c>
      <c r="D846" t="s">
        <v>23</v>
      </c>
      <c r="E846">
        <v>25</v>
      </c>
      <c r="F846" t="s">
        <v>36</v>
      </c>
      <c r="G846" t="s">
        <v>37</v>
      </c>
      <c r="H846" t="s">
        <v>54</v>
      </c>
      <c r="I846" t="s">
        <v>68</v>
      </c>
      <c r="J846" t="s">
        <v>102</v>
      </c>
      <c r="K846">
        <v>1</v>
      </c>
      <c r="L846" t="s">
        <v>84</v>
      </c>
      <c r="M846">
        <v>22000</v>
      </c>
      <c r="N846">
        <v>1.8</v>
      </c>
      <c r="O846">
        <v>5</v>
      </c>
      <c r="P846">
        <v>4.8</v>
      </c>
      <c r="Q846">
        <v>2.9</v>
      </c>
      <c r="R846">
        <v>3</v>
      </c>
      <c r="S846">
        <v>3</v>
      </c>
      <c r="T846">
        <v>4</v>
      </c>
      <c r="U846" t="s">
        <v>30</v>
      </c>
      <c r="V846">
        <v>2</v>
      </c>
      <c r="W846">
        <f>COUNTIF($A$2:A846,A846)</f>
        <v>1</v>
      </c>
    </row>
    <row r="847" spans="1:23" x14ac:dyDescent="0.35">
      <c r="A847" t="s">
        <v>1098</v>
      </c>
      <c r="B847" s="2">
        <v>44310</v>
      </c>
      <c r="D847" t="s">
        <v>23</v>
      </c>
      <c r="E847">
        <v>28</v>
      </c>
      <c r="F847" t="s">
        <v>62</v>
      </c>
      <c r="G847" t="s">
        <v>42</v>
      </c>
      <c r="H847" t="s">
        <v>26</v>
      </c>
      <c r="I847" t="s">
        <v>27</v>
      </c>
      <c r="J847" t="s">
        <v>28</v>
      </c>
      <c r="K847">
        <v>2</v>
      </c>
      <c r="L847" t="s">
        <v>50</v>
      </c>
      <c r="M847">
        <v>68000</v>
      </c>
      <c r="N847">
        <v>6.9</v>
      </c>
      <c r="O847">
        <v>9</v>
      </c>
      <c r="P847">
        <v>4.7</v>
      </c>
      <c r="Q847">
        <v>3.2</v>
      </c>
      <c r="R847">
        <v>4</v>
      </c>
      <c r="S847">
        <v>3</v>
      </c>
      <c r="T847">
        <v>1</v>
      </c>
      <c r="U847" t="s">
        <v>23</v>
      </c>
      <c r="V847">
        <v>4</v>
      </c>
      <c r="W847">
        <f>COUNTIF($A$2:A847,A847)</f>
        <v>1</v>
      </c>
    </row>
    <row r="848" spans="1:23" x14ac:dyDescent="0.35">
      <c r="A848" t="s">
        <v>1411</v>
      </c>
      <c r="B848" s="2">
        <v>42792</v>
      </c>
      <c r="D848" t="s">
        <v>23</v>
      </c>
      <c r="E848">
        <v>36</v>
      </c>
      <c r="F848" t="s">
        <v>24</v>
      </c>
      <c r="G848" t="s">
        <v>42</v>
      </c>
      <c r="H848" t="s">
        <v>26</v>
      </c>
      <c r="I848" t="s">
        <v>27</v>
      </c>
      <c r="J848" t="s">
        <v>43</v>
      </c>
      <c r="K848">
        <v>3</v>
      </c>
      <c r="L848" t="s">
        <v>50</v>
      </c>
      <c r="M848">
        <v>75000</v>
      </c>
      <c r="N848">
        <v>8.6999999999999993</v>
      </c>
      <c r="O848">
        <v>14.9</v>
      </c>
      <c r="P848">
        <v>8.8000000000000007</v>
      </c>
      <c r="Q848">
        <v>1.1000000000000001</v>
      </c>
      <c r="R848">
        <v>2</v>
      </c>
      <c r="S848">
        <v>2</v>
      </c>
      <c r="T848">
        <v>3</v>
      </c>
      <c r="U848" t="s">
        <v>23</v>
      </c>
      <c r="V848">
        <v>3</v>
      </c>
      <c r="W848">
        <f>COUNTIF($A$2:A848,A848)</f>
        <v>1</v>
      </c>
    </row>
    <row r="849" spans="1:23" x14ac:dyDescent="0.35">
      <c r="A849" t="s">
        <v>1544</v>
      </c>
      <c r="B849" s="2">
        <v>44284</v>
      </c>
      <c r="D849" t="s">
        <v>23</v>
      </c>
      <c r="E849">
        <v>43</v>
      </c>
      <c r="F849" t="s">
        <v>36</v>
      </c>
      <c r="G849" t="s">
        <v>42</v>
      </c>
      <c r="H849" t="s">
        <v>32</v>
      </c>
      <c r="I849" t="s">
        <v>48</v>
      </c>
      <c r="J849" t="s">
        <v>201</v>
      </c>
      <c r="K849">
        <v>4</v>
      </c>
      <c r="L849" t="s">
        <v>40</v>
      </c>
      <c r="M849">
        <v>131000</v>
      </c>
      <c r="N849">
        <v>2.2999999999999998</v>
      </c>
      <c r="O849">
        <v>7.2</v>
      </c>
      <c r="P849">
        <v>4.8</v>
      </c>
      <c r="Q849">
        <v>0.9</v>
      </c>
      <c r="R849">
        <v>4</v>
      </c>
      <c r="S849">
        <v>3</v>
      </c>
      <c r="T849">
        <v>2</v>
      </c>
      <c r="U849" t="s">
        <v>23</v>
      </c>
      <c r="V849">
        <v>2</v>
      </c>
      <c r="W849">
        <f>COUNTIF($A$2:A849,A849)</f>
        <v>1</v>
      </c>
    </row>
    <row r="850" spans="1:23" x14ac:dyDescent="0.35">
      <c r="A850" t="s">
        <v>1380</v>
      </c>
      <c r="B850" s="2">
        <v>42975</v>
      </c>
      <c r="D850" t="s">
        <v>23</v>
      </c>
      <c r="E850">
        <v>31</v>
      </c>
      <c r="F850" t="s">
        <v>62</v>
      </c>
      <c r="G850" t="s">
        <v>37</v>
      </c>
      <c r="H850" t="s">
        <v>26</v>
      </c>
      <c r="I850" t="s">
        <v>68</v>
      </c>
      <c r="J850" t="s">
        <v>102</v>
      </c>
      <c r="K850">
        <v>2</v>
      </c>
      <c r="L850" t="s">
        <v>84</v>
      </c>
      <c r="M850">
        <v>44000</v>
      </c>
      <c r="N850">
        <v>11</v>
      </c>
      <c r="O850">
        <v>16.2</v>
      </c>
      <c r="P850">
        <v>8.3000000000000007</v>
      </c>
      <c r="Q850">
        <v>0.4</v>
      </c>
      <c r="R850">
        <v>1</v>
      </c>
      <c r="S850">
        <v>3</v>
      </c>
      <c r="T850">
        <v>2</v>
      </c>
      <c r="U850" t="s">
        <v>23</v>
      </c>
      <c r="V850">
        <v>5</v>
      </c>
      <c r="W850">
        <f>COUNTIF($A$2:A850,A850)</f>
        <v>1</v>
      </c>
    </row>
    <row r="851" spans="1:23" x14ac:dyDescent="0.35">
      <c r="A851" t="s">
        <v>1381</v>
      </c>
      <c r="B851" s="2">
        <v>42045</v>
      </c>
      <c r="D851" t="s">
        <v>23</v>
      </c>
      <c r="E851">
        <v>48</v>
      </c>
      <c r="F851" t="s">
        <v>62</v>
      </c>
      <c r="G851" t="s">
        <v>37</v>
      </c>
      <c r="H851" t="s">
        <v>58</v>
      </c>
      <c r="I851" t="s">
        <v>48</v>
      </c>
      <c r="J851" t="s">
        <v>129</v>
      </c>
      <c r="K851">
        <v>1</v>
      </c>
      <c r="L851" t="s">
        <v>66</v>
      </c>
      <c r="M851">
        <v>46000</v>
      </c>
      <c r="N851">
        <v>9.9</v>
      </c>
      <c r="O851">
        <v>12.4</v>
      </c>
      <c r="P851">
        <v>10.9</v>
      </c>
      <c r="Q851">
        <v>3.7</v>
      </c>
      <c r="R851">
        <v>4</v>
      </c>
      <c r="S851">
        <v>2</v>
      </c>
      <c r="T851">
        <v>2</v>
      </c>
      <c r="U851" t="s">
        <v>23</v>
      </c>
      <c r="V851">
        <v>3</v>
      </c>
      <c r="W851">
        <f>COUNTIF($A$2:A851,A851)</f>
        <v>1</v>
      </c>
    </row>
    <row r="852" spans="1:23" x14ac:dyDescent="0.35">
      <c r="A852" t="s">
        <v>100</v>
      </c>
      <c r="B852" s="2">
        <v>42154</v>
      </c>
      <c r="D852" t="s">
        <v>23</v>
      </c>
      <c r="E852">
        <v>41</v>
      </c>
      <c r="F852" t="s">
        <v>36</v>
      </c>
      <c r="G852" t="s">
        <v>42</v>
      </c>
      <c r="H852" t="s">
        <v>26</v>
      </c>
      <c r="I852" t="s">
        <v>55</v>
      </c>
      <c r="J852" t="s">
        <v>80</v>
      </c>
      <c r="K852">
        <v>3</v>
      </c>
      <c r="L852" t="s">
        <v>84</v>
      </c>
      <c r="M852">
        <v>85000</v>
      </c>
      <c r="N852">
        <v>5.7</v>
      </c>
      <c r="O852">
        <v>10.8</v>
      </c>
      <c r="P852">
        <v>10.6</v>
      </c>
      <c r="Q852">
        <v>0.2</v>
      </c>
      <c r="R852">
        <v>2</v>
      </c>
      <c r="S852">
        <v>3</v>
      </c>
      <c r="T852">
        <v>4</v>
      </c>
      <c r="U852" t="s">
        <v>30</v>
      </c>
      <c r="V852">
        <v>5</v>
      </c>
      <c r="W852">
        <f>COUNTIF($A$2:A852,A852)</f>
        <v>1</v>
      </c>
    </row>
    <row r="853" spans="1:23" x14ac:dyDescent="0.35">
      <c r="A853" t="s">
        <v>732</v>
      </c>
      <c r="B853" s="2">
        <v>45198</v>
      </c>
      <c r="C853" s="2">
        <v>45971</v>
      </c>
      <c r="D853" t="s">
        <v>30</v>
      </c>
      <c r="E853">
        <v>39</v>
      </c>
      <c r="F853" t="s">
        <v>36</v>
      </c>
      <c r="G853" t="s">
        <v>37</v>
      </c>
      <c r="H853" t="s">
        <v>26</v>
      </c>
      <c r="I853" t="s">
        <v>45</v>
      </c>
      <c r="J853" t="s">
        <v>97</v>
      </c>
      <c r="K853">
        <v>3</v>
      </c>
      <c r="L853" t="s">
        <v>84</v>
      </c>
      <c r="M853">
        <v>73000</v>
      </c>
      <c r="N853">
        <v>2.7</v>
      </c>
      <c r="O853">
        <v>9.5</v>
      </c>
      <c r="P853">
        <v>2.1</v>
      </c>
      <c r="Q853">
        <v>2</v>
      </c>
      <c r="R853">
        <v>2</v>
      </c>
      <c r="S853">
        <v>4</v>
      </c>
      <c r="T853">
        <v>3</v>
      </c>
      <c r="U853" t="s">
        <v>30</v>
      </c>
      <c r="V853">
        <v>3</v>
      </c>
      <c r="W853">
        <f>COUNTIF($A$2:A853,A853)</f>
        <v>1</v>
      </c>
    </row>
    <row r="854" spans="1:23" x14ac:dyDescent="0.35">
      <c r="A854" t="s">
        <v>1425</v>
      </c>
      <c r="B854" s="2">
        <v>41809</v>
      </c>
      <c r="C854" s="2">
        <v>45688</v>
      </c>
      <c r="D854" t="s">
        <v>30</v>
      </c>
      <c r="E854">
        <v>32</v>
      </c>
      <c r="F854" t="s">
        <v>62</v>
      </c>
      <c r="G854" t="s">
        <v>37</v>
      </c>
      <c r="H854" t="s">
        <v>26</v>
      </c>
      <c r="I854" t="s">
        <v>55</v>
      </c>
      <c r="J854" t="s">
        <v>88</v>
      </c>
      <c r="K854">
        <v>2</v>
      </c>
      <c r="L854" t="s">
        <v>29</v>
      </c>
      <c r="M854">
        <v>61000</v>
      </c>
      <c r="N854">
        <v>16.899999999999999</v>
      </c>
      <c r="O854">
        <v>18</v>
      </c>
      <c r="P854">
        <v>10.6</v>
      </c>
      <c r="Q854">
        <v>5.5</v>
      </c>
      <c r="R854">
        <v>4</v>
      </c>
      <c r="S854">
        <v>4</v>
      </c>
      <c r="T854">
        <v>4</v>
      </c>
      <c r="U854" t="s">
        <v>23</v>
      </c>
      <c r="V854">
        <v>4</v>
      </c>
      <c r="W854">
        <f>COUNTIF($A$2:A854,A854)</f>
        <v>1</v>
      </c>
    </row>
    <row r="855" spans="1:23" x14ac:dyDescent="0.35">
      <c r="A855" t="s">
        <v>887</v>
      </c>
      <c r="B855" s="2">
        <v>43507</v>
      </c>
      <c r="D855" t="s">
        <v>23</v>
      </c>
      <c r="E855">
        <v>37</v>
      </c>
      <c r="F855" t="s">
        <v>62</v>
      </c>
      <c r="G855" t="s">
        <v>42</v>
      </c>
      <c r="H855" t="s">
        <v>54</v>
      </c>
      <c r="I855" t="s">
        <v>45</v>
      </c>
      <c r="J855" t="s">
        <v>77</v>
      </c>
      <c r="K855">
        <v>4</v>
      </c>
      <c r="L855" t="s">
        <v>34</v>
      </c>
      <c r="M855">
        <v>117000</v>
      </c>
      <c r="N855">
        <v>18.100000000000001</v>
      </c>
      <c r="O855">
        <v>12</v>
      </c>
      <c r="P855">
        <v>6.9</v>
      </c>
      <c r="Q855">
        <v>1.7</v>
      </c>
      <c r="R855">
        <v>3</v>
      </c>
      <c r="S855">
        <v>2</v>
      </c>
      <c r="T855">
        <v>4</v>
      </c>
      <c r="U855" t="s">
        <v>23</v>
      </c>
      <c r="V855">
        <v>3</v>
      </c>
      <c r="W855">
        <f>COUNTIF($A$2:A855,A855)</f>
        <v>1</v>
      </c>
    </row>
    <row r="856" spans="1:23" x14ac:dyDescent="0.35">
      <c r="A856" t="s">
        <v>1006</v>
      </c>
      <c r="B856" s="2">
        <v>43814</v>
      </c>
      <c r="D856" t="s">
        <v>23</v>
      </c>
      <c r="E856">
        <v>36</v>
      </c>
      <c r="F856" t="s">
        <v>24</v>
      </c>
      <c r="G856" t="s">
        <v>37</v>
      </c>
      <c r="H856" t="s">
        <v>26</v>
      </c>
      <c r="I856" t="s">
        <v>48</v>
      </c>
      <c r="J856" t="s">
        <v>63</v>
      </c>
      <c r="K856">
        <v>3</v>
      </c>
      <c r="L856" t="s">
        <v>84</v>
      </c>
      <c r="M856">
        <v>85000</v>
      </c>
      <c r="N856">
        <v>9.8000000000000007</v>
      </c>
      <c r="O856">
        <v>10</v>
      </c>
      <c r="P856">
        <v>6</v>
      </c>
      <c r="Q856">
        <v>4.7</v>
      </c>
      <c r="R856">
        <v>3</v>
      </c>
      <c r="S856">
        <v>3</v>
      </c>
      <c r="T856">
        <v>3</v>
      </c>
      <c r="U856" t="s">
        <v>23</v>
      </c>
      <c r="V856">
        <v>2</v>
      </c>
      <c r="W856">
        <f>COUNTIF($A$2:A856,A856)</f>
        <v>1</v>
      </c>
    </row>
    <row r="857" spans="1:23" x14ac:dyDescent="0.35">
      <c r="A857" t="s">
        <v>260</v>
      </c>
      <c r="B857" s="2">
        <v>42754</v>
      </c>
      <c r="D857" t="s">
        <v>23</v>
      </c>
      <c r="E857">
        <v>36</v>
      </c>
      <c r="F857" t="s">
        <v>62</v>
      </c>
      <c r="G857" t="s">
        <v>25</v>
      </c>
      <c r="H857" t="s">
        <v>32</v>
      </c>
      <c r="I857" t="s">
        <v>27</v>
      </c>
      <c r="J857" t="s">
        <v>95</v>
      </c>
      <c r="K857">
        <v>3</v>
      </c>
      <c r="L857" t="s">
        <v>66</v>
      </c>
      <c r="M857">
        <v>51000</v>
      </c>
      <c r="N857">
        <v>11.7</v>
      </c>
      <c r="O857">
        <v>10.5</v>
      </c>
      <c r="P857">
        <v>8.9</v>
      </c>
      <c r="Q857">
        <v>5.8</v>
      </c>
      <c r="R857">
        <v>1</v>
      </c>
      <c r="S857">
        <v>1</v>
      </c>
      <c r="T857">
        <v>4</v>
      </c>
      <c r="U857" t="s">
        <v>23</v>
      </c>
      <c r="V857">
        <v>5</v>
      </c>
      <c r="W857">
        <f>COUNTIF($A$2:A857,A857)</f>
        <v>1</v>
      </c>
    </row>
    <row r="858" spans="1:23" x14ac:dyDescent="0.35">
      <c r="A858" t="s">
        <v>775</v>
      </c>
      <c r="B858" s="2">
        <v>45527</v>
      </c>
      <c r="D858" t="s">
        <v>23</v>
      </c>
      <c r="E858">
        <v>31</v>
      </c>
      <c r="F858" t="s">
        <v>36</v>
      </c>
      <c r="G858" t="s">
        <v>37</v>
      </c>
      <c r="H858" t="s">
        <v>26</v>
      </c>
      <c r="I858" t="s">
        <v>68</v>
      </c>
      <c r="J858" t="s">
        <v>102</v>
      </c>
      <c r="K858">
        <v>4</v>
      </c>
      <c r="L858" t="s">
        <v>84</v>
      </c>
      <c r="M858">
        <v>129000</v>
      </c>
      <c r="N858">
        <v>6.3</v>
      </c>
      <c r="O858">
        <v>1.9</v>
      </c>
      <c r="P858">
        <v>1.4</v>
      </c>
      <c r="Q858">
        <v>0.3</v>
      </c>
      <c r="R858">
        <v>4</v>
      </c>
      <c r="S858">
        <v>2</v>
      </c>
      <c r="T858">
        <v>3</v>
      </c>
      <c r="U858" t="s">
        <v>23</v>
      </c>
      <c r="V858">
        <v>1</v>
      </c>
      <c r="W858">
        <f>COUNTIF($A$2:A858,A858)</f>
        <v>1</v>
      </c>
    </row>
    <row r="859" spans="1:23" x14ac:dyDescent="0.35">
      <c r="A859" t="s">
        <v>814</v>
      </c>
      <c r="B859" s="2">
        <v>42002</v>
      </c>
      <c r="D859" t="s">
        <v>23</v>
      </c>
      <c r="E859">
        <v>47</v>
      </c>
      <c r="F859" t="s">
        <v>62</v>
      </c>
      <c r="G859" t="s">
        <v>25</v>
      </c>
      <c r="H859" t="s">
        <v>58</v>
      </c>
      <c r="I859" t="s">
        <v>38</v>
      </c>
      <c r="J859" t="s">
        <v>139</v>
      </c>
      <c r="K859">
        <v>3</v>
      </c>
      <c r="L859" t="s">
        <v>34</v>
      </c>
      <c r="M859">
        <v>79000</v>
      </c>
      <c r="N859">
        <v>6.8</v>
      </c>
      <c r="O859">
        <v>12.8</v>
      </c>
      <c r="P859">
        <v>11</v>
      </c>
      <c r="Q859">
        <v>5.5</v>
      </c>
      <c r="R859">
        <v>2</v>
      </c>
      <c r="S859">
        <v>3</v>
      </c>
      <c r="T859">
        <v>2</v>
      </c>
      <c r="U859" t="s">
        <v>23</v>
      </c>
      <c r="V859">
        <v>4</v>
      </c>
      <c r="W859">
        <f>COUNTIF($A$2:A859,A859)</f>
        <v>1</v>
      </c>
    </row>
    <row r="860" spans="1:23" x14ac:dyDescent="0.35">
      <c r="A860" t="s">
        <v>1031</v>
      </c>
      <c r="B860" s="2">
        <v>42158</v>
      </c>
      <c r="D860" t="s">
        <v>23</v>
      </c>
      <c r="E860">
        <v>39</v>
      </c>
      <c r="F860" t="s">
        <v>36</v>
      </c>
      <c r="G860" t="s">
        <v>42</v>
      </c>
      <c r="H860" t="s">
        <v>26</v>
      </c>
      <c r="I860" t="s">
        <v>45</v>
      </c>
      <c r="J860" t="s">
        <v>77</v>
      </c>
      <c r="K860">
        <v>2</v>
      </c>
      <c r="L860" t="s">
        <v>29</v>
      </c>
      <c r="M860">
        <v>51000</v>
      </c>
      <c r="N860">
        <v>3.8</v>
      </c>
      <c r="O860">
        <v>13.9</v>
      </c>
      <c r="P860">
        <v>10.6</v>
      </c>
      <c r="Q860">
        <v>2.5</v>
      </c>
      <c r="R860">
        <v>3</v>
      </c>
      <c r="S860">
        <v>3</v>
      </c>
      <c r="T860">
        <v>4</v>
      </c>
      <c r="U860" t="s">
        <v>23</v>
      </c>
      <c r="V860">
        <v>4</v>
      </c>
      <c r="W860">
        <f>COUNTIF($A$2:A860,A860)</f>
        <v>1</v>
      </c>
    </row>
    <row r="861" spans="1:23" x14ac:dyDescent="0.35">
      <c r="A861" t="s">
        <v>362</v>
      </c>
      <c r="B861" s="2">
        <v>43475</v>
      </c>
      <c r="C861" s="2">
        <v>45716</v>
      </c>
      <c r="D861" t="s">
        <v>30</v>
      </c>
      <c r="E861">
        <v>29</v>
      </c>
      <c r="F861" t="s">
        <v>62</v>
      </c>
      <c r="G861" t="s">
        <v>42</v>
      </c>
      <c r="H861" t="s">
        <v>54</v>
      </c>
      <c r="I861" t="s">
        <v>45</v>
      </c>
      <c r="J861" t="s">
        <v>46</v>
      </c>
      <c r="K861">
        <v>1</v>
      </c>
      <c r="L861" t="s">
        <v>84</v>
      </c>
      <c r="M861">
        <v>31000</v>
      </c>
      <c r="N861">
        <v>10.7</v>
      </c>
      <c r="O861">
        <v>7.1</v>
      </c>
      <c r="P861">
        <v>6.1</v>
      </c>
      <c r="Q861">
        <v>5.4</v>
      </c>
      <c r="R861">
        <v>3</v>
      </c>
      <c r="S861">
        <v>3</v>
      </c>
      <c r="T861">
        <v>2</v>
      </c>
      <c r="U861" t="s">
        <v>30</v>
      </c>
      <c r="V861">
        <v>3</v>
      </c>
      <c r="W861">
        <f>COUNTIF($A$2:A861,A861)</f>
        <v>1</v>
      </c>
    </row>
    <row r="862" spans="1:23" x14ac:dyDescent="0.35">
      <c r="A862" t="s">
        <v>958</v>
      </c>
      <c r="B862" s="2">
        <v>45840</v>
      </c>
      <c r="C862" s="2">
        <v>46005</v>
      </c>
      <c r="D862" t="s">
        <v>30</v>
      </c>
      <c r="E862">
        <v>21</v>
      </c>
      <c r="F862" t="s">
        <v>62</v>
      </c>
      <c r="G862" t="s">
        <v>37</v>
      </c>
      <c r="H862" t="s">
        <v>54</v>
      </c>
      <c r="I862" t="s">
        <v>27</v>
      </c>
      <c r="J862" t="s">
        <v>28</v>
      </c>
      <c r="K862">
        <v>1</v>
      </c>
      <c r="L862" t="s">
        <v>34</v>
      </c>
      <c r="M862">
        <v>42000</v>
      </c>
      <c r="N862">
        <v>10</v>
      </c>
      <c r="O862">
        <v>7.5</v>
      </c>
      <c r="P862">
        <v>0.5</v>
      </c>
      <c r="Q862">
        <v>0</v>
      </c>
      <c r="R862">
        <v>2</v>
      </c>
      <c r="S862">
        <v>2</v>
      </c>
      <c r="T862">
        <v>4</v>
      </c>
      <c r="U862" t="s">
        <v>23</v>
      </c>
      <c r="V862">
        <v>3</v>
      </c>
      <c r="W862">
        <f>COUNTIF($A$2:A862,A862)</f>
        <v>1</v>
      </c>
    </row>
    <row r="863" spans="1:23" x14ac:dyDescent="0.35">
      <c r="A863" t="s">
        <v>489</v>
      </c>
      <c r="B863" s="2">
        <v>42353</v>
      </c>
      <c r="D863" t="s">
        <v>23</v>
      </c>
      <c r="E863">
        <v>36</v>
      </c>
      <c r="F863" t="s">
        <v>24</v>
      </c>
      <c r="G863" t="s">
        <v>25</v>
      </c>
      <c r="H863" t="s">
        <v>32</v>
      </c>
      <c r="I863" t="s">
        <v>38</v>
      </c>
      <c r="J863" t="s">
        <v>118</v>
      </c>
      <c r="K863">
        <v>2</v>
      </c>
      <c r="L863" t="s">
        <v>40</v>
      </c>
      <c r="M863">
        <v>69000</v>
      </c>
      <c r="N863">
        <v>10.9</v>
      </c>
      <c r="O863">
        <v>12</v>
      </c>
      <c r="P863">
        <v>10</v>
      </c>
      <c r="Q863">
        <v>3.7</v>
      </c>
      <c r="R863">
        <v>4</v>
      </c>
      <c r="S863">
        <v>3</v>
      </c>
      <c r="T863">
        <v>2</v>
      </c>
      <c r="U863" t="s">
        <v>30</v>
      </c>
      <c r="V863">
        <v>4</v>
      </c>
      <c r="W863">
        <f>COUNTIF($A$2:A863,A863)</f>
        <v>1</v>
      </c>
    </row>
    <row r="864" spans="1:23" x14ac:dyDescent="0.35">
      <c r="A864" t="s">
        <v>373</v>
      </c>
      <c r="B864" s="2">
        <v>45852</v>
      </c>
      <c r="D864" t="s">
        <v>23</v>
      </c>
      <c r="E864">
        <v>37</v>
      </c>
      <c r="F864" t="s">
        <v>36</v>
      </c>
      <c r="G864" t="s">
        <v>25</v>
      </c>
      <c r="H864" t="s">
        <v>26</v>
      </c>
      <c r="I864" t="s">
        <v>45</v>
      </c>
      <c r="J864" t="s">
        <v>77</v>
      </c>
      <c r="K864">
        <v>1</v>
      </c>
      <c r="L864" t="s">
        <v>40</v>
      </c>
      <c r="M864">
        <v>31000</v>
      </c>
      <c r="N864">
        <v>18.100000000000001</v>
      </c>
      <c r="O864">
        <v>1.9</v>
      </c>
      <c r="P864">
        <v>0.5</v>
      </c>
      <c r="Q864">
        <v>0</v>
      </c>
      <c r="R864">
        <v>4</v>
      </c>
      <c r="S864">
        <v>4</v>
      </c>
      <c r="T864">
        <v>1</v>
      </c>
      <c r="U864" t="s">
        <v>30</v>
      </c>
      <c r="V864">
        <v>3</v>
      </c>
      <c r="W864">
        <f>COUNTIF($A$2:A864,A864)</f>
        <v>1</v>
      </c>
    </row>
    <row r="865" spans="1:23" x14ac:dyDescent="0.35">
      <c r="A865" t="s">
        <v>585</v>
      </c>
      <c r="B865" s="2">
        <v>42831</v>
      </c>
      <c r="D865" t="s">
        <v>23</v>
      </c>
      <c r="E865">
        <v>37</v>
      </c>
      <c r="F865" t="s">
        <v>24</v>
      </c>
      <c r="G865" t="s">
        <v>25</v>
      </c>
      <c r="H865" t="s">
        <v>26</v>
      </c>
      <c r="I865" t="s">
        <v>55</v>
      </c>
      <c r="J865" t="s">
        <v>179</v>
      </c>
      <c r="K865">
        <v>2</v>
      </c>
      <c r="L865" t="s">
        <v>34</v>
      </c>
      <c r="M865">
        <v>50000</v>
      </c>
      <c r="N865">
        <v>3.8</v>
      </c>
      <c r="O865">
        <v>13.5</v>
      </c>
      <c r="P865">
        <v>8.6999999999999993</v>
      </c>
      <c r="Q865">
        <v>1.7</v>
      </c>
      <c r="R865">
        <v>3</v>
      </c>
      <c r="S865">
        <v>2</v>
      </c>
      <c r="T865">
        <v>3</v>
      </c>
      <c r="U865" t="s">
        <v>30</v>
      </c>
      <c r="V865">
        <v>3</v>
      </c>
      <c r="W865">
        <f>COUNTIF($A$2:A865,A865)</f>
        <v>1</v>
      </c>
    </row>
    <row r="866" spans="1:23" x14ac:dyDescent="0.35">
      <c r="A866" t="s">
        <v>911</v>
      </c>
      <c r="B866" s="2">
        <v>45187</v>
      </c>
      <c r="D866" t="s">
        <v>23</v>
      </c>
      <c r="E866">
        <v>34</v>
      </c>
      <c r="F866" t="s">
        <v>62</v>
      </c>
      <c r="G866" t="s">
        <v>37</v>
      </c>
      <c r="H866" t="s">
        <v>32</v>
      </c>
      <c r="I866" t="s">
        <v>27</v>
      </c>
      <c r="J866" t="s">
        <v>43</v>
      </c>
      <c r="K866">
        <v>3</v>
      </c>
      <c r="L866" t="s">
        <v>29</v>
      </c>
      <c r="M866">
        <v>68000</v>
      </c>
      <c r="N866">
        <v>9.6</v>
      </c>
      <c r="O866">
        <v>3.1</v>
      </c>
      <c r="P866">
        <v>2.2999999999999998</v>
      </c>
      <c r="Q866">
        <v>0.5</v>
      </c>
      <c r="R866">
        <v>3</v>
      </c>
      <c r="S866">
        <v>3</v>
      </c>
      <c r="T866">
        <v>3</v>
      </c>
      <c r="U866" t="s">
        <v>23</v>
      </c>
      <c r="V866">
        <v>4</v>
      </c>
      <c r="W866">
        <f>COUNTIF($A$2:A866,A866)</f>
        <v>1</v>
      </c>
    </row>
    <row r="867" spans="1:23" x14ac:dyDescent="0.35">
      <c r="A867" t="s">
        <v>950</v>
      </c>
      <c r="B867" s="2">
        <v>42392</v>
      </c>
      <c r="D867" t="s">
        <v>23</v>
      </c>
      <c r="E867">
        <v>38</v>
      </c>
      <c r="F867" t="s">
        <v>36</v>
      </c>
      <c r="G867" t="s">
        <v>42</v>
      </c>
      <c r="H867" t="s">
        <v>54</v>
      </c>
      <c r="I867" t="s">
        <v>38</v>
      </c>
      <c r="J867" t="s">
        <v>118</v>
      </c>
      <c r="K867">
        <v>1</v>
      </c>
      <c r="L867" t="s">
        <v>34</v>
      </c>
      <c r="M867">
        <v>28000</v>
      </c>
      <c r="N867">
        <v>8.6</v>
      </c>
      <c r="O867">
        <v>15.4</v>
      </c>
      <c r="P867">
        <v>9.9</v>
      </c>
      <c r="Q867">
        <v>2.2999999999999998</v>
      </c>
      <c r="R867">
        <v>3</v>
      </c>
      <c r="S867">
        <v>4</v>
      </c>
      <c r="T867">
        <v>2</v>
      </c>
      <c r="U867" t="s">
        <v>23</v>
      </c>
      <c r="V867">
        <v>3</v>
      </c>
      <c r="W867">
        <f>COUNTIF($A$2:A867,A867)</f>
        <v>1</v>
      </c>
    </row>
    <row r="868" spans="1:23" x14ac:dyDescent="0.35">
      <c r="A868" t="s">
        <v>141</v>
      </c>
      <c r="B868" s="2">
        <v>44637</v>
      </c>
      <c r="D868" t="s">
        <v>23</v>
      </c>
      <c r="E868">
        <v>30</v>
      </c>
      <c r="F868" t="s">
        <v>36</v>
      </c>
      <c r="G868" t="s">
        <v>37</v>
      </c>
      <c r="H868" t="s">
        <v>26</v>
      </c>
      <c r="I868" t="s">
        <v>55</v>
      </c>
      <c r="J868" t="s">
        <v>80</v>
      </c>
      <c r="K868">
        <v>3</v>
      </c>
      <c r="L868" t="s">
        <v>34</v>
      </c>
      <c r="M868">
        <v>86000</v>
      </c>
      <c r="N868">
        <v>7.1</v>
      </c>
      <c r="O868">
        <v>11.5</v>
      </c>
      <c r="P868">
        <v>3.8</v>
      </c>
      <c r="Q868">
        <v>3.8</v>
      </c>
      <c r="R868">
        <v>3</v>
      </c>
      <c r="S868">
        <v>4</v>
      </c>
      <c r="T868">
        <v>3</v>
      </c>
      <c r="U868" t="s">
        <v>30</v>
      </c>
      <c r="V868">
        <v>1</v>
      </c>
      <c r="W868">
        <f>COUNTIF($A$2:A868,A868)</f>
        <v>1</v>
      </c>
    </row>
    <row r="869" spans="1:23" x14ac:dyDescent="0.35">
      <c r="A869" t="s">
        <v>1273</v>
      </c>
      <c r="B869" s="2">
        <v>45379</v>
      </c>
      <c r="D869" t="s">
        <v>23</v>
      </c>
      <c r="E869">
        <v>32</v>
      </c>
      <c r="F869" t="s">
        <v>36</v>
      </c>
      <c r="G869" t="s">
        <v>42</v>
      </c>
      <c r="H869" t="s">
        <v>54</v>
      </c>
      <c r="I869" t="s">
        <v>48</v>
      </c>
      <c r="J869" t="s">
        <v>49</v>
      </c>
      <c r="K869">
        <v>5</v>
      </c>
      <c r="L869" t="s">
        <v>40</v>
      </c>
      <c r="M869">
        <v>155000</v>
      </c>
      <c r="N869">
        <v>0</v>
      </c>
      <c r="O869">
        <v>8.8000000000000007</v>
      </c>
      <c r="P869">
        <v>1.8</v>
      </c>
      <c r="Q869">
        <v>0.8</v>
      </c>
      <c r="R869">
        <v>2</v>
      </c>
      <c r="S869">
        <v>3</v>
      </c>
      <c r="T869">
        <v>4</v>
      </c>
      <c r="U869" t="s">
        <v>23</v>
      </c>
      <c r="V869">
        <v>3</v>
      </c>
      <c r="W869">
        <f>COUNTIF($A$2:A869,A869)</f>
        <v>1</v>
      </c>
    </row>
    <row r="870" spans="1:23" x14ac:dyDescent="0.35">
      <c r="A870" t="s">
        <v>1134</v>
      </c>
      <c r="B870" s="2">
        <v>42868</v>
      </c>
      <c r="D870" t="s">
        <v>23</v>
      </c>
      <c r="E870">
        <v>41</v>
      </c>
      <c r="F870" t="s">
        <v>36</v>
      </c>
      <c r="G870" t="s">
        <v>25</v>
      </c>
      <c r="H870" t="s">
        <v>58</v>
      </c>
      <c r="I870" t="s">
        <v>45</v>
      </c>
      <c r="J870" t="s">
        <v>97</v>
      </c>
      <c r="K870">
        <v>2</v>
      </c>
      <c r="L870" t="s">
        <v>40</v>
      </c>
      <c r="M870">
        <v>46000</v>
      </c>
      <c r="N870">
        <v>9.1</v>
      </c>
      <c r="O870">
        <v>14.9</v>
      </c>
      <c r="P870">
        <v>8.6</v>
      </c>
      <c r="Q870">
        <v>2.2000000000000002</v>
      </c>
      <c r="R870">
        <v>4</v>
      </c>
      <c r="S870">
        <v>3</v>
      </c>
      <c r="T870">
        <v>4</v>
      </c>
      <c r="U870" t="s">
        <v>23</v>
      </c>
      <c r="V870">
        <v>4</v>
      </c>
      <c r="W870">
        <f>COUNTIF($A$2:A870,A870)</f>
        <v>1</v>
      </c>
    </row>
    <row r="871" spans="1:23" x14ac:dyDescent="0.35">
      <c r="A871" t="s">
        <v>708</v>
      </c>
      <c r="B871" s="2">
        <v>43593</v>
      </c>
      <c r="D871" t="s">
        <v>23</v>
      </c>
      <c r="E871">
        <v>45</v>
      </c>
      <c r="F871" t="s">
        <v>62</v>
      </c>
      <c r="G871" t="s">
        <v>42</v>
      </c>
      <c r="H871" t="s">
        <v>54</v>
      </c>
      <c r="I871" t="s">
        <v>48</v>
      </c>
      <c r="J871" t="s">
        <v>49</v>
      </c>
      <c r="K871">
        <v>3</v>
      </c>
      <c r="L871" t="s">
        <v>40</v>
      </c>
      <c r="M871">
        <v>97000</v>
      </c>
      <c r="N871">
        <v>9.6</v>
      </c>
      <c r="O871">
        <v>13.6</v>
      </c>
      <c r="P871">
        <v>6.7</v>
      </c>
      <c r="Q871">
        <v>2.5</v>
      </c>
      <c r="R871">
        <v>4</v>
      </c>
      <c r="S871">
        <v>2</v>
      </c>
      <c r="T871">
        <v>3</v>
      </c>
      <c r="U871" t="s">
        <v>23</v>
      </c>
      <c r="V871">
        <v>5</v>
      </c>
      <c r="W871">
        <f>COUNTIF($A$2:A871,A871)</f>
        <v>1</v>
      </c>
    </row>
    <row r="872" spans="1:23" x14ac:dyDescent="0.35">
      <c r="A872" t="s">
        <v>623</v>
      </c>
      <c r="B872" s="2">
        <v>44264</v>
      </c>
      <c r="D872" t="s">
        <v>23</v>
      </c>
      <c r="E872">
        <v>34</v>
      </c>
      <c r="F872" t="s">
        <v>36</v>
      </c>
      <c r="G872" t="s">
        <v>42</v>
      </c>
      <c r="H872" t="s">
        <v>54</v>
      </c>
      <c r="I872" t="s">
        <v>48</v>
      </c>
      <c r="J872" t="s">
        <v>63</v>
      </c>
      <c r="K872">
        <v>3</v>
      </c>
      <c r="L872" t="s">
        <v>40</v>
      </c>
      <c r="M872">
        <v>68000</v>
      </c>
      <c r="N872">
        <v>7.4</v>
      </c>
      <c r="O872">
        <v>9.3000000000000007</v>
      </c>
      <c r="P872">
        <v>4.8</v>
      </c>
      <c r="Q872">
        <v>0.7</v>
      </c>
      <c r="R872">
        <v>3</v>
      </c>
      <c r="S872">
        <v>3</v>
      </c>
      <c r="T872">
        <v>4</v>
      </c>
      <c r="U872" t="s">
        <v>23</v>
      </c>
      <c r="V872">
        <v>3</v>
      </c>
      <c r="W872">
        <f>COUNTIF($A$2:A872,A872)</f>
        <v>1</v>
      </c>
    </row>
    <row r="873" spans="1:23" x14ac:dyDescent="0.35">
      <c r="A873" t="s">
        <v>1553</v>
      </c>
      <c r="B873" s="2">
        <v>44189</v>
      </c>
      <c r="D873" t="s">
        <v>23</v>
      </c>
      <c r="E873">
        <v>30</v>
      </c>
      <c r="F873" t="s">
        <v>24</v>
      </c>
      <c r="G873" t="s">
        <v>42</v>
      </c>
      <c r="H873" t="s">
        <v>26</v>
      </c>
      <c r="I873" t="s">
        <v>59</v>
      </c>
      <c r="J873" t="s">
        <v>86</v>
      </c>
      <c r="K873">
        <v>3</v>
      </c>
      <c r="L873" t="s">
        <v>84</v>
      </c>
      <c r="M873">
        <v>73000</v>
      </c>
      <c r="N873">
        <v>8.6</v>
      </c>
      <c r="O873">
        <v>10</v>
      </c>
      <c r="P873">
        <v>5</v>
      </c>
      <c r="Q873">
        <v>0.2</v>
      </c>
      <c r="R873">
        <v>4</v>
      </c>
      <c r="S873">
        <v>2</v>
      </c>
      <c r="T873">
        <v>2</v>
      </c>
      <c r="U873" t="s">
        <v>23</v>
      </c>
      <c r="V873">
        <v>1</v>
      </c>
      <c r="W873">
        <f>COUNTIF($A$2:A873,A873)</f>
        <v>1</v>
      </c>
    </row>
    <row r="874" spans="1:23" x14ac:dyDescent="0.35">
      <c r="A874" t="s">
        <v>1508</v>
      </c>
      <c r="B874" s="2">
        <v>41819</v>
      </c>
      <c r="D874" t="s">
        <v>23</v>
      </c>
      <c r="E874">
        <v>33</v>
      </c>
      <c r="F874" t="s">
        <v>36</v>
      </c>
      <c r="G874" t="s">
        <v>37</v>
      </c>
      <c r="H874" t="s">
        <v>32</v>
      </c>
      <c r="I874" t="s">
        <v>68</v>
      </c>
      <c r="J874" t="s">
        <v>109</v>
      </c>
      <c r="K874">
        <v>3</v>
      </c>
      <c r="L874" t="s">
        <v>40</v>
      </c>
      <c r="M874">
        <v>67000</v>
      </c>
      <c r="N874">
        <v>6.1</v>
      </c>
      <c r="O874">
        <v>14</v>
      </c>
      <c r="P874">
        <v>11.5</v>
      </c>
      <c r="Q874">
        <v>5.4</v>
      </c>
      <c r="R874">
        <v>1</v>
      </c>
      <c r="S874">
        <v>3</v>
      </c>
      <c r="T874">
        <v>3</v>
      </c>
      <c r="U874" t="s">
        <v>23</v>
      </c>
      <c r="V874">
        <v>3</v>
      </c>
      <c r="W874">
        <f>COUNTIF($A$2:A874,A874)</f>
        <v>1</v>
      </c>
    </row>
    <row r="875" spans="1:23" x14ac:dyDescent="0.35">
      <c r="A875" t="s">
        <v>1322</v>
      </c>
      <c r="B875" s="2">
        <v>42023</v>
      </c>
      <c r="D875" t="s">
        <v>23</v>
      </c>
      <c r="E875">
        <v>40</v>
      </c>
      <c r="F875" t="s">
        <v>24</v>
      </c>
      <c r="G875" t="s">
        <v>42</v>
      </c>
      <c r="H875" t="s">
        <v>26</v>
      </c>
      <c r="I875" t="s">
        <v>55</v>
      </c>
      <c r="J875" t="s">
        <v>80</v>
      </c>
      <c r="K875">
        <v>2</v>
      </c>
      <c r="L875" t="s">
        <v>50</v>
      </c>
      <c r="M875">
        <v>43000</v>
      </c>
      <c r="N875">
        <v>13.6</v>
      </c>
      <c r="O875">
        <v>16.5</v>
      </c>
      <c r="P875">
        <v>10.9</v>
      </c>
      <c r="Q875">
        <v>1.7</v>
      </c>
      <c r="R875">
        <v>3</v>
      </c>
      <c r="S875">
        <v>4</v>
      </c>
      <c r="T875">
        <v>2</v>
      </c>
      <c r="U875" t="s">
        <v>23</v>
      </c>
      <c r="V875">
        <v>2</v>
      </c>
      <c r="W875">
        <f>COUNTIF($A$2:A875,A875)</f>
        <v>1</v>
      </c>
    </row>
    <row r="876" spans="1:23" x14ac:dyDescent="0.35">
      <c r="A876" t="s">
        <v>798</v>
      </c>
      <c r="B876" s="2">
        <v>44049</v>
      </c>
      <c r="D876" t="s">
        <v>23</v>
      </c>
      <c r="E876">
        <v>31</v>
      </c>
      <c r="F876" t="s">
        <v>36</v>
      </c>
      <c r="G876" t="s">
        <v>25</v>
      </c>
      <c r="H876" t="s">
        <v>58</v>
      </c>
      <c r="I876" t="s">
        <v>55</v>
      </c>
      <c r="J876" t="s">
        <v>80</v>
      </c>
      <c r="K876">
        <v>3</v>
      </c>
      <c r="L876" t="s">
        <v>84</v>
      </c>
      <c r="M876">
        <v>66000</v>
      </c>
      <c r="N876">
        <v>7.6</v>
      </c>
      <c r="O876">
        <v>8.3000000000000007</v>
      </c>
      <c r="P876">
        <v>5.4</v>
      </c>
      <c r="Q876">
        <v>2.4</v>
      </c>
      <c r="R876">
        <v>3</v>
      </c>
      <c r="S876">
        <v>3</v>
      </c>
      <c r="T876">
        <v>3</v>
      </c>
      <c r="U876" t="s">
        <v>23</v>
      </c>
      <c r="V876">
        <v>1</v>
      </c>
      <c r="W876">
        <f>COUNTIF($A$2:A876,A876)</f>
        <v>1</v>
      </c>
    </row>
    <row r="877" spans="1:23" x14ac:dyDescent="0.35">
      <c r="A877" t="s">
        <v>885</v>
      </c>
      <c r="B877" s="2">
        <v>45770</v>
      </c>
      <c r="D877" t="s">
        <v>23</v>
      </c>
      <c r="E877">
        <v>26</v>
      </c>
      <c r="F877" t="s">
        <v>36</v>
      </c>
      <c r="G877" t="s">
        <v>42</v>
      </c>
      <c r="H877" t="s">
        <v>26</v>
      </c>
      <c r="I877" t="s">
        <v>38</v>
      </c>
      <c r="J877" t="s">
        <v>39</v>
      </c>
      <c r="K877">
        <v>1</v>
      </c>
      <c r="L877" t="s">
        <v>84</v>
      </c>
      <c r="M877">
        <v>33000</v>
      </c>
      <c r="N877">
        <v>15.1</v>
      </c>
      <c r="O877">
        <v>1.9</v>
      </c>
      <c r="P877">
        <v>0.7</v>
      </c>
      <c r="Q877">
        <v>0</v>
      </c>
      <c r="R877">
        <v>3</v>
      </c>
      <c r="S877">
        <v>4</v>
      </c>
      <c r="T877">
        <v>3</v>
      </c>
      <c r="U877" t="s">
        <v>30</v>
      </c>
      <c r="V877">
        <v>5</v>
      </c>
      <c r="W877">
        <f>COUNTIF($A$2:A877,A877)</f>
        <v>1</v>
      </c>
    </row>
    <row r="878" spans="1:23" x14ac:dyDescent="0.35">
      <c r="A878" t="s">
        <v>999</v>
      </c>
      <c r="B878" s="2">
        <v>45874</v>
      </c>
      <c r="C878" s="2">
        <v>45966</v>
      </c>
      <c r="D878" t="s">
        <v>30</v>
      </c>
      <c r="E878">
        <v>27</v>
      </c>
      <c r="F878" t="s">
        <v>24</v>
      </c>
      <c r="G878" t="s">
        <v>37</v>
      </c>
      <c r="H878" t="s">
        <v>32</v>
      </c>
      <c r="I878" t="s">
        <v>27</v>
      </c>
      <c r="J878" t="s">
        <v>33</v>
      </c>
      <c r="K878">
        <v>1</v>
      </c>
      <c r="L878" t="s">
        <v>29</v>
      </c>
      <c r="M878">
        <v>22000</v>
      </c>
      <c r="N878">
        <v>7.7</v>
      </c>
      <c r="O878">
        <v>1.8</v>
      </c>
      <c r="P878">
        <v>0.3</v>
      </c>
      <c r="Q878">
        <v>0</v>
      </c>
      <c r="R878">
        <v>3</v>
      </c>
      <c r="S878">
        <v>3</v>
      </c>
      <c r="T878">
        <v>4</v>
      </c>
      <c r="U878" t="s">
        <v>23</v>
      </c>
      <c r="V878">
        <v>3</v>
      </c>
      <c r="W878">
        <f>COUNTIF($A$2:A878,A878)</f>
        <v>1</v>
      </c>
    </row>
    <row r="879" spans="1:23" x14ac:dyDescent="0.35">
      <c r="A879" t="s">
        <v>1325</v>
      </c>
      <c r="B879" s="2">
        <v>44063</v>
      </c>
      <c r="D879" t="s">
        <v>23</v>
      </c>
      <c r="E879">
        <v>36</v>
      </c>
      <c r="F879" t="s">
        <v>62</v>
      </c>
      <c r="G879" t="s">
        <v>37</v>
      </c>
      <c r="H879" t="s">
        <v>26</v>
      </c>
      <c r="I879" t="s">
        <v>68</v>
      </c>
      <c r="J879" t="s">
        <v>69</v>
      </c>
      <c r="K879">
        <v>2</v>
      </c>
      <c r="L879" t="s">
        <v>84</v>
      </c>
      <c r="M879">
        <v>48000</v>
      </c>
      <c r="N879">
        <v>11</v>
      </c>
      <c r="O879">
        <v>9</v>
      </c>
      <c r="P879">
        <v>5.4</v>
      </c>
      <c r="Q879">
        <v>0.4</v>
      </c>
      <c r="R879">
        <v>4</v>
      </c>
      <c r="S879">
        <v>3</v>
      </c>
      <c r="T879">
        <v>2</v>
      </c>
      <c r="U879" t="s">
        <v>30</v>
      </c>
      <c r="V879">
        <v>5</v>
      </c>
      <c r="W879">
        <f>COUNTIF($A$2:A879,A879)</f>
        <v>1</v>
      </c>
    </row>
    <row r="880" spans="1:23" x14ac:dyDescent="0.35">
      <c r="A880" t="s">
        <v>278</v>
      </c>
      <c r="B880" s="2">
        <v>44289</v>
      </c>
      <c r="D880" t="s">
        <v>23</v>
      </c>
      <c r="E880">
        <v>39</v>
      </c>
      <c r="F880" t="s">
        <v>36</v>
      </c>
      <c r="G880" t="s">
        <v>37</v>
      </c>
      <c r="H880" t="s">
        <v>58</v>
      </c>
      <c r="I880" t="s">
        <v>48</v>
      </c>
      <c r="J880" t="s">
        <v>49</v>
      </c>
      <c r="K880">
        <v>4</v>
      </c>
      <c r="L880" t="s">
        <v>29</v>
      </c>
      <c r="M880">
        <v>115000</v>
      </c>
      <c r="N880">
        <v>8.3000000000000007</v>
      </c>
      <c r="O880">
        <v>7.4</v>
      </c>
      <c r="P880">
        <v>4.7</v>
      </c>
      <c r="Q880">
        <v>3.8</v>
      </c>
      <c r="R880">
        <v>3</v>
      </c>
      <c r="S880">
        <v>4</v>
      </c>
      <c r="T880">
        <v>4</v>
      </c>
      <c r="U880" t="s">
        <v>30</v>
      </c>
      <c r="V880">
        <v>3</v>
      </c>
      <c r="W880">
        <f>COUNTIF($A$2:A880,A880)</f>
        <v>1</v>
      </c>
    </row>
    <row r="881" spans="1:23" x14ac:dyDescent="0.35">
      <c r="A881" t="s">
        <v>642</v>
      </c>
      <c r="B881" s="2">
        <v>44773</v>
      </c>
      <c r="C881" s="2">
        <v>45999</v>
      </c>
      <c r="D881" t="s">
        <v>30</v>
      </c>
      <c r="E881">
        <v>41</v>
      </c>
      <c r="F881" t="s">
        <v>24</v>
      </c>
      <c r="G881" t="s">
        <v>37</v>
      </c>
      <c r="H881" t="s">
        <v>26</v>
      </c>
      <c r="I881" t="s">
        <v>68</v>
      </c>
      <c r="J881" t="s">
        <v>109</v>
      </c>
      <c r="K881">
        <v>3</v>
      </c>
      <c r="L881" t="s">
        <v>40</v>
      </c>
      <c r="M881">
        <v>71000</v>
      </c>
      <c r="N881">
        <v>9.1999999999999993</v>
      </c>
      <c r="O881">
        <v>10.7</v>
      </c>
      <c r="P881">
        <v>3.4</v>
      </c>
      <c r="Q881">
        <v>2.9</v>
      </c>
      <c r="R881">
        <v>4</v>
      </c>
      <c r="S881">
        <v>4</v>
      </c>
      <c r="T881">
        <v>1</v>
      </c>
      <c r="U881" t="s">
        <v>23</v>
      </c>
      <c r="V881">
        <v>2</v>
      </c>
      <c r="W881">
        <f>COUNTIF($A$2:A881,A881)</f>
        <v>1</v>
      </c>
    </row>
    <row r="882" spans="1:23" x14ac:dyDescent="0.35">
      <c r="A882" t="s">
        <v>219</v>
      </c>
      <c r="B882" s="2">
        <v>43366</v>
      </c>
      <c r="C882" s="2">
        <v>45664</v>
      </c>
      <c r="D882" t="s">
        <v>30</v>
      </c>
      <c r="E882">
        <v>29</v>
      </c>
      <c r="F882" t="s">
        <v>36</v>
      </c>
      <c r="G882" t="s">
        <v>25</v>
      </c>
      <c r="H882" t="s">
        <v>58</v>
      </c>
      <c r="I882" t="s">
        <v>68</v>
      </c>
      <c r="J882" t="s">
        <v>102</v>
      </c>
      <c r="K882">
        <v>2</v>
      </c>
      <c r="L882" t="s">
        <v>29</v>
      </c>
      <c r="M882">
        <v>40000</v>
      </c>
      <c r="N882">
        <v>10.3</v>
      </c>
      <c r="O882">
        <v>12.2</v>
      </c>
      <c r="P882">
        <v>6.3</v>
      </c>
      <c r="Q882">
        <v>2</v>
      </c>
      <c r="R882">
        <v>4</v>
      </c>
      <c r="S882">
        <v>4</v>
      </c>
      <c r="T882">
        <v>2</v>
      </c>
      <c r="U882" t="s">
        <v>23</v>
      </c>
      <c r="V882">
        <v>4</v>
      </c>
      <c r="W882">
        <f>COUNTIF($A$2:A882,A882)</f>
        <v>1</v>
      </c>
    </row>
    <row r="883" spans="1:23" x14ac:dyDescent="0.35">
      <c r="A883" t="s">
        <v>1105</v>
      </c>
      <c r="B883" s="2">
        <v>45320</v>
      </c>
      <c r="C883" s="2">
        <v>45704</v>
      </c>
      <c r="D883" t="s">
        <v>30</v>
      </c>
      <c r="E883">
        <v>37</v>
      </c>
      <c r="F883" t="s">
        <v>36</v>
      </c>
      <c r="G883" t="s">
        <v>25</v>
      </c>
      <c r="H883" t="s">
        <v>32</v>
      </c>
      <c r="I883" t="s">
        <v>38</v>
      </c>
      <c r="J883" t="s">
        <v>118</v>
      </c>
      <c r="K883">
        <v>1</v>
      </c>
      <c r="L883" t="s">
        <v>34</v>
      </c>
      <c r="M883">
        <v>33000</v>
      </c>
      <c r="N883">
        <v>13.9</v>
      </c>
      <c r="O883">
        <v>1.1000000000000001</v>
      </c>
      <c r="P883">
        <v>1.1000000000000001</v>
      </c>
      <c r="Q883">
        <v>0.9</v>
      </c>
      <c r="R883">
        <v>4</v>
      </c>
      <c r="S883">
        <v>2</v>
      </c>
      <c r="T883">
        <v>1</v>
      </c>
      <c r="U883" t="s">
        <v>23</v>
      </c>
      <c r="V883">
        <v>2</v>
      </c>
      <c r="W883">
        <f>COUNTIF($A$2:A883,A883)</f>
        <v>1</v>
      </c>
    </row>
    <row r="884" spans="1:23" x14ac:dyDescent="0.35">
      <c r="A884" t="s">
        <v>641</v>
      </c>
      <c r="B884" s="2">
        <v>43796</v>
      </c>
      <c r="D884" t="s">
        <v>23</v>
      </c>
      <c r="E884">
        <v>45</v>
      </c>
      <c r="F884" t="s">
        <v>24</v>
      </c>
      <c r="G884" t="s">
        <v>42</v>
      </c>
      <c r="H884" t="s">
        <v>32</v>
      </c>
      <c r="I884" t="s">
        <v>59</v>
      </c>
      <c r="J884" t="s">
        <v>86</v>
      </c>
      <c r="K884">
        <v>3</v>
      </c>
      <c r="L884" t="s">
        <v>66</v>
      </c>
      <c r="M884">
        <v>59000</v>
      </c>
      <c r="N884">
        <v>10.7</v>
      </c>
      <c r="O884">
        <v>10.8</v>
      </c>
      <c r="P884">
        <v>6.1</v>
      </c>
      <c r="Q884">
        <v>5.2</v>
      </c>
      <c r="R884">
        <v>3</v>
      </c>
      <c r="S884">
        <v>3</v>
      </c>
      <c r="T884">
        <v>3</v>
      </c>
      <c r="U884" t="s">
        <v>23</v>
      </c>
      <c r="V884">
        <v>2</v>
      </c>
      <c r="W884">
        <f>COUNTIF($A$2:A884,A884)</f>
        <v>1</v>
      </c>
    </row>
    <row r="885" spans="1:23" x14ac:dyDescent="0.35">
      <c r="A885" t="s">
        <v>1028</v>
      </c>
      <c r="B885" s="2">
        <v>44200</v>
      </c>
      <c r="D885" t="s">
        <v>23</v>
      </c>
      <c r="E885">
        <v>27</v>
      </c>
      <c r="F885" t="s">
        <v>62</v>
      </c>
      <c r="G885" t="s">
        <v>42</v>
      </c>
      <c r="H885" t="s">
        <v>58</v>
      </c>
      <c r="I885" t="s">
        <v>27</v>
      </c>
      <c r="J885" t="s">
        <v>95</v>
      </c>
      <c r="K885">
        <v>1</v>
      </c>
      <c r="L885" t="s">
        <v>40</v>
      </c>
      <c r="M885">
        <v>36000</v>
      </c>
      <c r="N885">
        <v>14.1</v>
      </c>
      <c r="O885">
        <v>7.6</v>
      </c>
      <c r="P885">
        <v>5</v>
      </c>
      <c r="Q885">
        <v>5</v>
      </c>
      <c r="R885">
        <v>1</v>
      </c>
      <c r="S885">
        <v>2</v>
      </c>
      <c r="T885">
        <v>3</v>
      </c>
      <c r="U885" t="s">
        <v>23</v>
      </c>
      <c r="V885">
        <v>4</v>
      </c>
      <c r="W885">
        <f>COUNTIF($A$2:A885,A885)</f>
        <v>1</v>
      </c>
    </row>
    <row r="886" spans="1:23" x14ac:dyDescent="0.35">
      <c r="A886" t="s">
        <v>901</v>
      </c>
      <c r="B886" s="2">
        <v>42770</v>
      </c>
      <c r="D886" t="s">
        <v>23</v>
      </c>
      <c r="E886">
        <v>37</v>
      </c>
      <c r="F886" t="s">
        <v>62</v>
      </c>
      <c r="G886" t="s">
        <v>37</v>
      </c>
      <c r="H886" t="s">
        <v>54</v>
      </c>
      <c r="I886" t="s">
        <v>48</v>
      </c>
      <c r="J886" t="s">
        <v>129</v>
      </c>
      <c r="K886">
        <v>4</v>
      </c>
      <c r="L886" t="s">
        <v>50</v>
      </c>
      <c r="M886">
        <v>93000</v>
      </c>
      <c r="N886">
        <v>5.0999999999999996</v>
      </c>
      <c r="O886">
        <v>10.9</v>
      </c>
      <c r="P886">
        <v>8.9</v>
      </c>
      <c r="Q886">
        <v>4.5</v>
      </c>
      <c r="R886">
        <v>3</v>
      </c>
      <c r="S886">
        <v>1</v>
      </c>
      <c r="T886">
        <v>2</v>
      </c>
      <c r="U886" t="s">
        <v>23</v>
      </c>
      <c r="V886">
        <v>3</v>
      </c>
      <c r="W886">
        <f>COUNTIF($A$2:A886,A886)</f>
        <v>1</v>
      </c>
    </row>
    <row r="887" spans="1:23" x14ac:dyDescent="0.35">
      <c r="A887" t="s">
        <v>590</v>
      </c>
      <c r="B887" s="2">
        <v>43548</v>
      </c>
      <c r="D887" t="s">
        <v>23</v>
      </c>
      <c r="E887">
        <v>29</v>
      </c>
      <c r="F887" t="s">
        <v>36</v>
      </c>
      <c r="G887" t="s">
        <v>42</v>
      </c>
      <c r="H887" t="s">
        <v>58</v>
      </c>
      <c r="I887" t="s">
        <v>45</v>
      </c>
      <c r="J887" t="s">
        <v>46</v>
      </c>
      <c r="K887">
        <v>1</v>
      </c>
      <c r="L887" t="s">
        <v>29</v>
      </c>
      <c r="M887">
        <v>22000</v>
      </c>
      <c r="N887">
        <v>8.1999999999999993</v>
      </c>
      <c r="O887">
        <v>9.6999999999999993</v>
      </c>
      <c r="P887">
        <v>6.8</v>
      </c>
      <c r="Q887">
        <v>4.0999999999999996</v>
      </c>
      <c r="R887">
        <v>3</v>
      </c>
      <c r="S887">
        <v>3</v>
      </c>
      <c r="T887">
        <v>2</v>
      </c>
      <c r="U887" t="s">
        <v>30</v>
      </c>
      <c r="V887">
        <v>3</v>
      </c>
      <c r="W887">
        <f>COUNTIF($A$2:A887,A887)</f>
        <v>1</v>
      </c>
    </row>
    <row r="888" spans="1:23" x14ac:dyDescent="0.35">
      <c r="A888" t="s">
        <v>1475</v>
      </c>
      <c r="B888" s="2">
        <v>45818</v>
      </c>
      <c r="D888" t="s">
        <v>23</v>
      </c>
      <c r="E888">
        <v>21</v>
      </c>
      <c r="F888" t="s">
        <v>36</v>
      </c>
      <c r="G888" t="s">
        <v>42</v>
      </c>
      <c r="H888" t="s">
        <v>54</v>
      </c>
      <c r="I888" t="s">
        <v>59</v>
      </c>
      <c r="J888" t="s">
        <v>60</v>
      </c>
      <c r="K888">
        <v>1</v>
      </c>
      <c r="L888" t="s">
        <v>34</v>
      </c>
      <c r="M888">
        <v>23000</v>
      </c>
      <c r="N888">
        <v>15</v>
      </c>
      <c r="O888">
        <v>6.5</v>
      </c>
      <c r="P888">
        <v>0.6</v>
      </c>
      <c r="Q888">
        <v>0</v>
      </c>
      <c r="R888">
        <v>3</v>
      </c>
      <c r="S888">
        <v>2</v>
      </c>
      <c r="T888">
        <v>3</v>
      </c>
      <c r="U888" t="s">
        <v>23</v>
      </c>
      <c r="V888">
        <v>3</v>
      </c>
      <c r="W888">
        <f>COUNTIF($A$2:A888,A888)</f>
        <v>1</v>
      </c>
    </row>
    <row r="889" spans="1:23" x14ac:dyDescent="0.35">
      <c r="A889" t="s">
        <v>788</v>
      </c>
      <c r="B889" s="2">
        <v>45306</v>
      </c>
      <c r="C889" s="2">
        <v>45729</v>
      </c>
      <c r="D889" t="s">
        <v>30</v>
      </c>
      <c r="E889">
        <v>32</v>
      </c>
      <c r="F889" t="s">
        <v>36</v>
      </c>
      <c r="G889" t="s">
        <v>25</v>
      </c>
      <c r="H889" t="s">
        <v>32</v>
      </c>
      <c r="I889" t="s">
        <v>59</v>
      </c>
      <c r="J889" t="s">
        <v>60</v>
      </c>
      <c r="K889">
        <v>3</v>
      </c>
      <c r="L889" t="s">
        <v>40</v>
      </c>
      <c r="M889">
        <v>64000</v>
      </c>
      <c r="N889">
        <v>17.399999999999999</v>
      </c>
      <c r="O889">
        <v>7.5</v>
      </c>
      <c r="P889">
        <v>1.2</v>
      </c>
      <c r="Q889">
        <v>0.5</v>
      </c>
      <c r="R889">
        <v>3</v>
      </c>
      <c r="S889">
        <v>4</v>
      </c>
      <c r="T889">
        <v>2</v>
      </c>
      <c r="U889" t="s">
        <v>23</v>
      </c>
      <c r="V889">
        <v>3</v>
      </c>
      <c r="W889">
        <f>COUNTIF($A$2:A889,A889)</f>
        <v>1</v>
      </c>
    </row>
    <row r="890" spans="1:23" x14ac:dyDescent="0.35">
      <c r="A890" t="s">
        <v>1468</v>
      </c>
      <c r="B890" s="2">
        <v>45843</v>
      </c>
      <c r="D890" t="s">
        <v>23</v>
      </c>
      <c r="E890">
        <v>38</v>
      </c>
      <c r="F890" t="s">
        <v>24</v>
      </c>
      <c r="G890" t="s">
        <v>42</v>
      </c>
      <c r="H890" t="s">
        <v>54</v>
      </c>
      <c r="I890" t="s">
        <v>27</v>
      </c>
      <c r="J890" t="s">
        <v>95</v>
      </c>
      <c r="K890">
        <v>2</v>
      </c>
      <c r="L890" t="s">
        <v>34</v>
      </c>
      <c r="M890">
        <v>43000</v>
      </c>
      <c r="N890">
        <v>8.8000000000000007</v>
      </c>
      <c r="O890">
        <v>4.5</v>
      </c>
      <c r="P890">
        <v>0.5</v>
      </c>
      <c r="Q890">
        <v>0</v>
      </c>
      <c r="R890">
        <v>3</v>
      </c>
      <c r="S890">
        <v>4</v>
      </c>
      <c r="T890">
        <v>4</v>
      </c>
      <c r="U890" t="s">
        <v>23</v>
      </c>
      <c r="V890">
        <v>3</v>
      </c>
      <c r="W890">
        <f>COUNTIF($A$2:A890,A890)</f>
        <v>1</v>
      </c>
    </row>
    <row r="891" spans="1:23" x14ac:dyDescent="0.35">
      <c r="A891" t="s">
        <v>768</v>
      </c>
      <c r="B891" s="2">
        <v>43068</v>
      </c>
      <c r="D891" t="s">
        <v>23</v>
      </c>
      <c r="E891">
        <v>35</v>
      </c>
      <c r="F891" t="s">
        <v>24</v>
      </c>
      <c r="G891" t="s">
        <v>42</v>
      </c>
      <c r="H891" t="s">
        <v>54</v>
      </c>
      <c r="I891" t="s">
        <v>48</v>
      </c>
      <c r="J891" t="s">
        <v>49</v>
      </c>
      <c r="K891">
        <v>3</v>
      </c>
      <c r="L891" t="s">
        <v>50</v>
      </c>
      <c r="M891">
        <v>93000</v>
      </c>
      <c r="N891">
        <v>12.5</v>
      </c>
      <c r="O891">
        <v>13.7</v>
      </c>
      <c r="P891">
        <v>8.1</v>
      </c>
      <c r="Q891">
        <v>3.6</v>
      </c>
      <c r="R891">
        <v>2</v>
      </c>
      <c r="S891">
        <v>2</v>
      </c>
      <c r="T891">
        <v>3</v>
      </c>
      <c r="U891" t="s">
        <v>23</v>
      </c>
      <c r="V891">
        <v>3</v>
      </c>
      <c r="W891">
        <f>COUNTIF($A$2:A891,A891)</f>
        <v>1</v>
      </c>
    </row>
    <row r="892" spans="1:23" x14ac:dyDescent="0.35">
      <c r="A892" t="s">
        <v>296</v>
      </c>
      <c r="B892" s="2">
        <v>44586</v>
      </c>
      <c r="D892" t="s">
        <v>23</v>
      </c>
      <c r="E892">
        <v>43</v>
      </c>
      <c r="F892" t="s">
        <v>62</v>
      </c>
      <c r="H892" t="s">
        <v>26</v>
      </c>
      <c r="I892" t="s">
        <v>68</v>
      </c>
      <c r="J892" t="s">
        <v>109</v>
      </c>
      <c r="K892">
        <v>2</v>
      </c>
      <c r="L892" t="s">
        <v>50</v>
      </c>
      <c r="M892">
        <v>56000</v>
      </c>
      <c r="N892">
        <v>11.7</v>
      </c>
      <c r="O892">
        <v>8.1999999999999993</v>
      </c>
      <c r="P892">
        <v>3.9</v>
      </c>
      <c r="Q892">
        <v>1.3</v>
      </c>
      <c r="R892">
        <v>3</v>
      </c>
      <c r="S892">
        <v>3</v>
      </c>
      <c r="T892">
        <v>3</v>
      </c>
      <c r="U892" t="s">
        <v>23</v>
      </c>
      <c r="V892">
        <v>2</v>
      </c>
      <c r="W892">
        <f>COUNTIF($A$2:A892,A892)</f>
        <v>1</v>
      </c>
    </row>
    <row r="893" spans="1:23" x14ac:dyDescent="0.35">
      <c r="A893" t="s">
        <v>636</v>
      </c>
      <c r="B893" s="2">
        <v>45197</v>
      </c>
      <c r="D893" t="s">
        <v>23</v>
      </c>
      <c r="E893">
        <v>25</v>
      </c>
      <c r="F893" t="s">
        <v>62</v>
      </c>
      <c r="G893" t="s">
        <v>42</v>
      </c>
      <c r="H893" t="s">
        <v>58</v>
      </c>
      <c r="I893" t="s">
        <v>48</v>
      </c>
      <c r="J893" t="s">
        <v>129</v>
      </c>
      <c r="K893">
        <v>1</v>
      </c>
      <c r="L893" t="s">
        <v>29</v>
      </c>
      <c r="M893">
        <v>35000</v>
      </c>
      <c r="N893">
        <v>6.9</v>
      </c>
      <c r="O893">
        <v>9.1999999999999993</v>
      </c>
      <c r="P893">
        <v>2.2999999999999998</v>
      </c>
      <c r="Q893">
        <v>0.7</v>
      </c>
      <c r="R893">
        <v>3</v>
      </c>
      <c r="S893">
        <v>4</v>
      </c>
      <c r="T893">
        <v>4</v>
      </c>
      <c r="U893" t="s">
        <v>30</v>
      </c>
      <c r="V893">
        <v>4</v>
      </c>
      <c r="W893">
        <f>COUNTIF($A$2:A893,A893)</f>
        <v>1</v>
      </c>
    </row>
    <row r="894" spans="1:23" x14ac:dyDescent="0.35">
      <c r="A894" t="s">
        <v>1044</v>
      </c>
      <c r="B894" s="2">
        <v>42573</v>
      </c>
      <c r="D894" t="s">
        <v>23</v>
      </c>
      <c r="E894">
        <v>35</v>
      </c>
      <c r="F894" t="s">
        <v>36</v>
      </c>
      <c r="G894" t="s">
        <v>25</v>
      </c>
      <c r="H894" t="s">
        <v>26</v>
      </c>
      <c r="I894" t="s">
        <v>55</v>
      </c>
      <c r="J894" t="s">
        <v>179</v>
      </c>
      <c r="K894">
        <v>5</v>
      </c>
      <c r="L894" t="s">
        <v>34</v>
      </c>
      <c r="M894">
        <v>202000</v>
      </c>
      <c r="N894">
        <v>1.6</v>
      </c>
      <c r="O894">
        <v>14.3</v>
      </c>
      <c r="P894">
        <v>9.4</v>
      </c>
      <c r="Q894">
        <v>4.9000000000000004</v>
      </c>
      <c r="R894">
        <v>4</v>
      </c>
      <c r="S894">
        <v>2</v>
      </c>
      <c r="T894">
        <v>3</v>
      </c>
      <c r="U894" t="s">
        <v>23</v>
      </c>
      <c r="V894">
        <v>5</v>
      </c>
      <c r="W894">
        <f>COUNTIF($A$2:A894,A894)</f>
        <v>1</v>
      </c>
    </row>
    <row r="895" spans="1:23" x14ac:dyDescent="0.35">
      <c r="A895" t="s">
        <v>186</v>
      </c>
      <c r="B895" s="2">
        <v>45565</v>
      </c>
      <c r="D895" t="s">
        <v>23</v>
      </c>
      <c r="E895">
        <v>37</v>
      </c>
      <c r="F895" t="s">
        <v>36</v>
      </c>
      <c r="G895" t="s">
        <v>25</v>
      </c>
      <c r="H895" t="s">
        <v>32</v>
      </c>
      <c r="I895" t="s">
        <v>59</v>
      </c>
      <c r="J895" t="s">
        <v>86</v>
      </c>
      <c r="K895">
        <v>3</v>
      </c>
      <c r="L895" t="s">
        <v>84</v>
      </c>
      <c r="M895">
        <v>76000</v>
      </c>
      <c r="N895">
        <v>8.5</v>
      </c>
      <c r="O895">
        <v>8.9</v>
      </c>
      <c r="P895">
        <v>1.3</v>
      </c>
      <c r="Q895">
        <v>0.3</v>
      </c>
      <c r="R895">
        <v>3</v>
      </c>
      <c r="S895">
        <v>3</v>
      </c>
      <c r="T895">
        <v>4</v>
      </c>
      <c r="U895" t="s">
        <v>23</v>
      </c>
      <c r="V895">
        <v>4</v>
      </c>
      <c r="W895">
        <f>COUNTIF($A$2:A895,A895)</f>
        <v>1</v>
      </c>
    </row>
    <row r="896" spans="1:23" x14ac:dyDescent="0.35">
      <c r="A896" t="s">
        <v>1142</v>
      </c>
      <c r="B896" s="2">
        <v>44959</v>
      </c>
      <c r="D896" t="s">
        <v>23</v>
      </c>
      <c r="E896">
        <v>35</v>
      </c>
      <c r="F896" t="s">
        <v>62</v>
      </c>
      <c r="G896" t="s">
        <v>37</v>
      </c>
      <c r="H896" t="s">
        <v>32</v>
      </c>
      <c r="I896" t="s">
        <v>59</v>
      </c>
      <c r="J896" t="s">
        <v>75</v>
      </c>
      <c r="K896">
        <v>3</v>
      </c>
      <c r="M896">
        <v>68000</v>
      </c>
      <c r="N896">
        <v>0.2</v>
      </c>
      <c r="O896">
        <v>7.4</v>
      </c>
      <c r="P896">
        <v>2.9</v>
      </c>
      <c r="Q896">
        <v>2.2999999999999998</v>
      </c>
      <c r="R896">
        <v>3</v>
      </c>
      <c r="S896">
        <v>4</v>
      </c>
      <c r="T896">
        <v>3</v>
      </c>
      <c r="U896" t="s">
        <v>30</v>
      </c>
      <c r="V896">
        <v>3</v>
      </c>
      <c r="W896">
        <f>COUNTIF($A$2:A896,A896)</f>
        <v>1</v>
      </c>
    </row>
    <row r="897" spans="1:23" x14ac:dyDescent="0.35">
      <c r="A897" t="s">
        <v>1135</v>
      </c>
      <c r="B897" s="2">
        <v>45654</v>
      </c>
      <c r="D897" t="s">
        <v>23</v>
      </c>
      <c r="E897">
        <v>40</v>
      </c>
      <c r="F897" t="s">
        <v>24</v>
      </c>
      <c r="G897" t="s">
        <v>37</v>
      </c>
      <c r="H897" t="s">
        <v>58</v>
      </c>
      <c r="I897" t="s">
        <v>27</v>
      </c>
      <c r="J897" t="s">
        <v>43</v>
      </c>
      <c r="K897">
        <v>2</v>
      </c>
      <c r="L897" t="s">
        <v>50</v>
      </c>
      <c r="M897">
        <v>51000</v>
      </c>
      <c r="N897">
        <v>9.9</v>
      </c>
      <c r="O897">
        <v>3</v>
      </c>
      <c r="P897">
        <v>1</v>
      </c>
      <c r="Q897">
        <v>0.4</v>
      </c>
      <c r="R897">
        <v>3</v>
      </c>
      <c r="S897">
        <v>3</v>
      </c>
      <c r="T897">
        <v>4</v>
      </c>
      <c r="U897" t="s">
        <v>23</v>
      </c>
      <c r="V897">
        <v>3</v>
      </c>
      <c r="W897">
        <f>COUNTIF($A$2:A897,A897)</f>
        <v>1</v>
      </c>
    </row>
    <row r="898" spans="1:23" x14ac:dyDescent="0.35">
      <c r="A898" t="s">
        <v>1324</v>
      </c>
      <c r="B898" s="2">
        <v>43926</v>
      </c>
      <c r="D898" t="s">
        <v>23</v>
      </c>
      <c r="E898">
        <v>35</v>
      </c>
      <c r="F898" t="s">
        <v>36</v>
      </c>
      <c r="G898" t="s">
        <v>37</v>
      </c>
      <c r="H898" t="s">
        <v>54</v>
      </c>
      <c r="I898" t="s">
        <v>38</v>
      </c>
      <c r="J898" t="s">
        <v>52</v>
      </c>
      <c r="K898">
        <v>1</v>
      </c>
      <c r="L898" t="s">
        <v>84</v>
      </c>
      <c r="M898">
        <v>46000</v>
      </c>
      <c r="N898">
        <v>7.8</v>
      </c>
      <c r="O898">
        <v>10.199999999999999</v>
      </c>
      <c r="P898">
        <v>5.7</v>
      </c>
      <c r="Q898">
        <v>3.4</v>
      </c>
      <c r="R898">
        <v>2</v>
      </c>
      <c r="S898">
        <v>4</v>
      </c>
      <c r="T898">
        <v>2</v>
      </c>
      <c r="U898" t="s">
        <v>23</v>
      </c>
      <c r="V898">
        <v>3</v>
      </c>
      <c r="W898">
        <f>COUNTIF($A$2:A898,A898)</f>
        <v>1</v>
      </c>
    </row>
    <row r="899" spans="1:23" x14ac:dyDescent="0.35">
      <c r="A899" t="s">
        <v>1183</v>
      </c>
      <c r="B899" s="2">
        <v>45840</v>
      </c>
      <c r="D899" t="s">
        <v>23</v>
      </c>
      <c r="E899">
        <v>35</v>
      </c>
      <c r="F899" t="s">
        <v>36</v>
      </c>
      <c r="G899" t="s">
        <v>42</v>
      </c>
      <c r="H899" t="s">
        <v>32</v>
      </c>
      <c r="I899" t="s">
        <v>55</v>
      </c>
      <c r="J899" t="s">
        <v>179</v>
      </c>
      <c r="K899">
        <v>2</v>
      </c>
      <c r="L899" t="s">
        <v>84</v>
      </c>
      <c r="M899">
        <v>63000</v>
      </c>
      <c r="N899">
        <v>3.9</v>
      </c>
      <c r="O899">
        <v>1.6</v>
      </c>
      <c r="P899">
        <v>0.5</v>
      </c>
      <c r="Q899">
        <v>0</v>
      </c>
      <c r="R899">
        <v>3</v>
      </c>
      <c r="S899">
        <v>3</v>
      </c>
      <c r="T899">
        <v>1</v>
      </c>
      <c r="U899" t="s">
        <v>30</v>
      </c>
      <c r="V899">
        <v>3</v>
      </c>
      <c r="W899">
        <f>COUNTIF($A$2:A899,A899)</f>
        <v>1</v>
      </c>
    </row>
    <row r="900" spans="1:23" x14ac:dyDescent="0.35">
      <c r="A900" t="s">
        <v>681</v>
      </c>
      <c r="B900" s="2">
        <v>44338</v>
      </c>
      <c r="C900" s="2">
        <v>45919</v>
      </c>
      <c r="D900" t="s">
        <v>30</v>
      </c>
      <c r="E900">
        <v>27</v>
      </c>
      <c r="F900" t="s">
        <v>24</v>
      </c>
      <c r="G900" t="s">
        <v>37</v>
      </c>
      <c r="H900" t="s">
        <v>32</v>
      </c>
      <c r="I900" t="s">
        <v>27</v>
      </c>
      <c r="J900" t="s">
        <v>43</v>
      </c>
      <c r="K900">
        <v>1</v>
      </c>
      <c r="L900" t="s">
        <v>29</v>
      </c>
      <c r="M900">
        <v>26000</v>
      </c>
      <c r="N900">
        <v>5.7</v>
      </c>
      <c r="O900">
        <v>4.8</v>
      </c>
      <c r="P900">
        <v>4.3</v>
      </c>
      <c r="Q900">
        <v>3.1</v>
      </c>
      <c r="R900">
        <v>4</v>
      </c>
      <c r="S900">
        <v>2</v>
      </c>
      <c r="T900">
        <v>2</v>
      </c>
      <c r="U900" t="s">
        <v>23</v>
      </c>
      <c r="V900">
        <v>2</v>
      </c>
      <c r="W900">
        <f>COUNTIF($A$2:A900,A900)</f>
        <v>1</v>
      </c>
    </row>
    <row r="901" spans="1:23" x14ac:dyDescent="0.35">
      <c r="A901" t="s">
        <v>319</v>
      </c>
      <c r="B901" s="2">
        <v>41758</v>
      </c>
      <c r="D901" t="s">
        <v>23</v>
      </c>
      <c r="E901">
        <v>48</v>
      </c>
      <c r="F901" t="s">
        <v>24</v>
      </c>
      <c r="G901" t="s">
        <v>25</v>
      </c>
      <c r="H901" t="s">
        <v>26</v>
      </c>
      <c r="I901" t="s">
        <v>55</v>
      </c>
      <c r="J901" t="s">
        <v>56</v>
      </c>
      <c r="K901">
        <v>3</v>
      </c>
      <c r="L901" t="s">
        <v>40</v>
      </c>
      <c r="M901">
        <v>102000</v>
      </c>
      <c r="N901">
        <v>16.7</v>
      </c>
      <c r="O901">
        <v>15.6</v>
      </c>
      <c r="P901">
        <v>11.7</v>
      </c>
      <c r="Q901">
        <v>3.3</v>
      </c>
      <c r="R901">
        <v>3</v>
      </c>
      <c r="S901">
        <v>3</v>
      </c>
      <c r="T901">
        <v>3</v>
      </c>
      <c r="U901" t="s">
        <v>23</v>
      </c>
      <c r="V901">
        <v>3</v>
      </c>
      <c r="W901">
        <f>COUNTIF($A$2:A901,A901)</f>
        <v>1</v>
      </c>
    </row>
    <row r="902" spans="1:23" x14ac:dyDescent="0.35">
      <c r="A902" t="s">
        <v>449</v>
      </c>
      <c r="B902" s="2">
        <v>42018</v>
      </c>
      <c r="D902" t="s">
        <v>23</v>
      </c>
      <c r="E902">
        <v>33</v>
      </c>
      <c r="F902" t="s">
        <v>24</v>
      </c>
      <c r="G902" t="s">
        <v>37</v>
      </c>
      <c r="H902" t="s">
        <v>32</v>
      </c>
      <c r="I902" t="s">
        <v>48</v>
      </c>
      <c r="J902" t="s">
        <v>49</v>
      </c>
      <c r="K902">
        <v>2</v>
      </c>
      <c r="L902" t="s">
        <v>40</v>
      </c>
      <c r="M902">
        <v>43000</v>
      </c>
      <c r="N902">
        <v>6.2</v>
      </c>
      <c r="O902">
        <v>15.4</v>
      </c>
      <c r="P902">
        <v>11</v>
      </c>
      <c r="Q902">
        <v>0.3</v>
      </c>
      <c r="R902">
        <v>2</v>
      </c>
      <c r="S902">
        <v>4</v>
      </c>
      <c r="T902">
        <v>2</v>
      </c>
      <c r="U902" t="s">
        <v>30</v>
      </c>
      <c r="V902">
        <v>1</v>
      </c>
      <c r="W902">
        <f>COUNTIF($A$2:A902,A902)</f>
        <v>1</v>
      </c>
    </row>
    <row r="903" spans="1:23" x14ac:dyDescent="0.35">
      <c r="A903" t="s">
        <v>1389</v>
      </c>
      <c r="B903" s="2">
        <v>42682</v>
      </c>
      <c r="D903" t="s">
        <v>23</v>
      </c>
      <c r="E903">
        <v>42</v>
      </c>
      <c r="F903" t="s">
        <v>62</v>
      </c>
      <c r="G903" t="s">
        <v>37</v>
      </c>
      <c r="H903" t="s">
        <v>32</v>
      </c>
      <c r="I903" t="s">
        <v>27</v>
      </c>
      <c r="J903" t="s">
        <v>28</v>
      </c>
      <c r="K903">
        <v>2</v>
      </c>
      <c r="L903" t="s">
        <v>40</v>
      </c>
      <c r="M903">
        <v>47000</v>
      </c>
      <c r="N903">
        <v>13.3</v>
      </c>
      <c r="O903">
        <v>13.1</v>
      </c>
      <c r="P903">
        <v>9.1</v>
      </c>
      <c r="Q903">
        <v>4</v>
      </c>
      <c r="R903">
        <v>1</v>
      </c>
      <c r="S903">
        <v>3</v>
      </c>
      <c r="T903">
        <v>3</v>
      </c>
      <c r="U903" t="s">
        <v>23</v>
      </c>
      <c r="V903">
        <v>1</v>
      </c>
      <c r="W903">
        <f>COUNTIF($A$2:A903,A903)</f>
        <v>1</v>
      </c>
    </row>
    <row r="904" spans="1:23" x14ac:dyDescent="0.35">
      <c r="A904" t="s">
        <v>504</v>
      </c>
      <c r="B904" s="2">
        <v>42914</v>
      </c>
      <c r="D904" t="s">
        <v>23</v>
      </c>
      <c r="E904">
        <v>49</v>
      </c>
      <c r="F904" t="s">
        <v>36</v>
      </c>
      <c r="G904" t="s">
        <v>42</v>
      </c>
      <c r="H904" t="s">
        <v>58</v>
      </c>
      <c r="I904" t="s">
        <v>27</v>
      </c>
      <c r="J904" t="s">
        <v>33</v>
      </c>
      <c r="K904">
        <v>1</v>
      </c>
      <c r="L904" t="s">
        <v>66</v>
      </c>
      <c r="M904">
        <v>22000</v>
      </c>
      <c r="N904">
        <v>14</v>
      </c>
      <c r="O904">
        <v>9.8000000000000007</v>
      </c>
      <c r="P904">
        <v>8.5</v>
      </c>
      <c r="Q904">
        <v>1.3</v>
      </c>
      <c r="R904">
        <v>3</v>
      </c>
      <c r="S904">
        <v>3</v>
      </c>
      <c r="T904">
        <v>4</v>
      </c>
      <c r="U904" t="s">
        <v>23</v>
      </c>
      <c r="V904">
        <v>4</v>
      </c>
      <c r="W904">
        <f>COUNTIF($A$2:A904,A904)</f>
        <v>1</v>
      </c>
    </row>
    <row r="905" spans="1:23" x14ac:dyDescent="0.35">
      <c r="A905" t="s">
        <v>1500</v>
      </c>
      <c r="B905" s="2">
        <v>44175</v>
      </c>
      <c r="D905" t="s">
        <v>23</v>
      </c>
      <c r="E905">
        <v>26</v>
      </c>
      <c r="F905" t="s">
        <v>62</v>
      </c>
      <c r="G905" t="s">
        <v>25</v>
      </c>
      <c r="H905" t="s">
        <v>54</v>
      </c>
      <c r="I905" t="s">
        <v>48</v>
      </c>
      <c r="J905" t="s">
        <v>49</v>
      </c>
      <c r="K905">
        <v>1</v>
      </c>
      <c r="L905" t="s">
        <v>40</v>
      </c>
      <c r="M905">
        <v>44000</v>
      </c>
      <c r="N905">
        <v>10.3</v>
      </c>
      <c r="O905">
        <v>12.2</v>
      </c>
      <c r="P905">
        <v>5.0999999999999996</v>
      </c>
      <c r="Q905">
        <v>2</v>
      </c>
      <c r="R905">
        <v>3</v>
      </c>
      <c r="S905">
        <v>3</v>
      </c>
      <c r="T905">
        <v>3</v>
      </c>
      <c r="U905" t="s">
        <v>23</v>
      </c>
      <c r="V905">
        <v>3</v>
      </c>
      <c r="W905">
        <f>COUNTIF($A$2:A905,A905)</f>
        <v>1</v>
      </c>
    </row>
    <row r="906" spans="1:23" x14ac:dyDescent="0.35">
      <c r="A906" t="s">
        <v>1429</v>
      </c>
      <c r="B906" s="2">
        <v>45811</v>
      </c>
      <c r="D906" t="s">
        <v>23</v>
      </c>
      <c r="E906">
        <v>27</v>
      </c>
      <c r="F906" t="s">
        <v>62</v>
      </c>
      <c r="G906" t="s">
        <v>42</v>
      </c>
      <c r="H906" t="s">
        <v>58</v>
      </c>
      <c r="I906" t="s">
        <v>55</v>
      </c>
      <c r="J906" t="s">
        <v>56</v>
      </c>
      <c r="K906">
        <v>1</v>
      </c>
      <c r="L906" t="s">
        <v>34</v>
      </c>
      <c r="M906">
        <v>33000</v>
      </c>
      <c r="N906">
        <v>17.2</v>
      </c>
      <c r="O906">
        <v>2.2000000000000002</v>
      </c>
      <c r="P906">
        <v>0.6</v>
      </c>
      <c r="Q906">
        <v>0</v>
      </c>
      <c r="R906">
        <v>4</v>
      </c>
      <c r="S906">
        <v>4</v>
      </c>
      <c r="T906">
        <v>4</v>
      </c>
      <c r="U906" t="s">
        <v>23</v>
      </c>
      <c r="V906">
        <v>4</v>
      </c>
      <c r="W906">
        <f>COUNTIF($A$2:A906,A906)</f>
        <v>1</v>
      </c>
    </row>
    <row r="907" spans="1:23" x14ac:dyDescent="0.35">
      <c r="A907" t="s">
        <v>1291</v>
      </c>
      <c r="B907" s="2">
        <v>42134</v>
      </c>
      <c r="D907" t="s">
        <v>23</v>
      </c>
      <c r="E907">
        <v>38</v>
      </c>
      <c r="F907" t="s">
        <v>62</v>
      </c>
      <c r="G907" t="s">
        <v>42</v>
      </c>
      <c r="H907" t="s">
        <v>54</v>
      </c>
      <c r="I907" t="s">
        <v>38</v>
      </c>
      <c r="J907" t="s">
        <v>139</v>
      </c>
      <c r="K907">
        <v>3</v>
      </c>
      <c r="L907" t="s">
        <v>34</v>
      </c>
      <c r="M907">
        <v>79000</v>
      </c>
      <c r="N907">
        <v>5.9</v>
      </c>
      <c r="O907">
        <v>12.4</v>
      </c>
      <c r="P907">
        <v>10.6</v>
      </c>
      <c r="Q907">
        <v>1.1000000000000001</v>
      </c>
      <c r="R907">
        <v>3</v>
      </c>
      <c r="S907">
        <v>3</v>
      </c>
      <c r="T907">
        <v>3</v>
      </c>
      <c r="U907" t="s">
        <v>30</v>
      </c>
      <c r="V907">
        <v>4</v>
      </c>
      <c r="W907">
        <f>COUNTIF($A$2:A907,A907)</f>
        <v>1</v>
      </c>
    </row>
    <row r="908" spans="1:23" x14ac:dyDescent="0.35">
      <c r="A908" t="s">
        <v>1369</v>
      </c>
      <c r="B908" s="2">
        <v>44669</v>
      </c>
      <c r="D908" t="s">
        <v>23</v>
      </c>
      <c r="E908">
        <v>24</v>
      </c>
      <c r="F908" t="s">
        <v>24</v>
      </c>
      <c r="G908" t="s">
        <v>25</v>
      </c>
      <c r="H908" t="s">
        <v>26</v>
      </c>
      <c r="I908" t="s">
        <v>27</v>
      </c>
      <c r="J908" t="s">
        <v>95</v>
      </c>
      <c r="K908">
        <v>1</v>
      </c>
      <c r="L908" t="s">
        <v>50</v>
      </c>
      <c r="M908">
        <v>28000</v>
      </c>
      <c r="N908">
        <v>9.1</v>
      </c>
      <c r="O908">
        <v>9</v>
      </c>
      <c r="P908">
        <v>3.7</v>
      </c>
      <c r="Q908">
        <v>3.5</v>
      </c>
      <c r="R908">
        <v>3</v>
      </c>
      <c r="S908">
        <v>2</v>
      </c>
      <c r="T908">
        <v>2</v>
      </c>
      <c r="U908" t="s">
        <v>23</v>
      </c>
      <c r="V908">
        <v>1</v>
      </c>
      <c r="W908">
        <f>COUNTIF($A$2:A908,A908)</f>
        <v>1</v>
      </c>
    </row>
    <row r="909" spans="1:23" x14ac:dyDescent="0.35">
      <c r="A909" t="s">
        <v>634</v>
      </c>
      <c r="B909" s="2">
        <v>44283</v>
      </c>
      <c r="C909" s="2">
        <v>45768</v>
      </c>
      <c r="D909" t="s">
        <v>30</v>
      </c>
      <c r="E909">
        <v>32</v>
      </c>
      <c r="F909" t="s">
        <v>62</v>
      </c>
      <c r="G909" t="s">
        <v>37</v>
      </c>
      <c r="H909" t="s">
        <v>58</v>
      </c>
      <c r="I909" t="s">
        <v>68</v>
      </c>
      <c r="J909" t="s">
        <v>102</v>
      </c>
      <c r="K909">
        <v>2</v>
      </c>
      <c r="L909" t="s">
        <v>50</v>
      </c>
      <c r="M909">
        <v>56000</v>
      </c>
      <c r="N909">
        <v>11.8</v>
      </c>
      <c r="O909">
        <v>9.1999999999999993</v>
      </c>
      <c r="P909">
        <v>4.0999999999999996</v>
      </c>
      <c r="Q909">
        <v>4</v>
      </c>
      <c r="R909">
        <v>2</v>
      </c>
      <c r="S909">
        <v>4</v>
      </c>
      <c r="T909">
        <v>3</v>
      </c>
      <c r="U909" t="s">
        <v>23</v>
      </c>
      <c r="V909">
        <v>3</v>
      </c>
      <c r="W909">
        <f>COUNTIF($A$2:A909,A909)</f>
        <v>1</v>
      </c>
    </row>
    <row r="910" spans="1:23" x14ac:dyDescent="0.35">
      <c r="A910" t="s">
        <v>393</v>
      </c>
      <c r="B910" s="2">
        <v>45618</v>
      </c>
      <c r="D910" t="s">
        <v>23</v>
      </c>
      <c r="E910">
        <v>26</v>
      </c>
      <c r="F910" t="s">
        <v>36</v>
      </c>
      <c r="G910" t="s">
        <v>37</v>
      </c>
      <c r="H910" t="s">
        <v>26</v>
      </c>
      <c r="I910" t="s">
        <v>38</v>
      </c>
      <c r="J910" t="s">
        <v>39</v>
      </c>
      <c r="K910">
        <v>1</v>
      </c>
      <c r="L910" t="s">
        <v>50</v>
      </c>
      <c r="M910">
        <v>35000</v>
      </c>
      <c r="N910">
        <v>13.8</v>
      </c>
      <c r="O910">
        <v>8.4</v>
      </c>
      <c r="P910">
        <v>1.1000000000000001</v>
      </c>
      <c r="Q910">
        <v>0.1</v>
      </c>
      <c r="R910">
        <v>4</v>
      </c>
      <c r="S910">
        <v>3</v>
      </c>
      <c r="T910">
        <v>4</v>
      </c>
      <c r="U910" t="s">
        <v>23</v>
      </c>
      <c r="V910">
        <v>4</v>
      </c>
      <c r="W910">
        <f>COUNTIF($A$2:A910,A910)</f>
        <v>1</v>
      </c>
    </row>
    <row r="911" spans="1:23" x14ac:dyDescent="0.35">
      <c r="A911" t="s">
        <v>1266</v>
      </c>
      <c r="B911" s="2">
        <v>45464</v>
      </c>
      <c r="D911" t="s">
        <v>23</v>
      </c>
      <c r="E911">
        <v>23</v>
      </c>
      <c r="F911" t="s">
        <v>36</v>
      </c>
      <c r="G911" t="s">
        <v>25</v>
      </c>
      <c r="H911" t="s">
        <v>54</v>
      </c>
      <c r="I911" t="s">
        <v>38</v>
      </c>
      <c r="J911" t="s">
        <v>139</v>
      </c>
      <c r="K911">
        <v>1</v>
      </c>
      <c r="L911" t="s">
        <v>50</v>
      </c>
      <c r="M911">
        <v>41000</v>
      </c>
      <c r="N911">
        <v>1.1000000000000001</v>
      </c>
      <c r="O911">
        <v>1.7</v>
      </c>
      <c r="P911">
        <v>1.5</v>
      </c>
      <c r="Q911">
        <v>0.8</v>
      </c>
      <c r="R911">
        <v>3</v>
      </c>
      <c r="S911">
        <v>1</v>
      </c>
      <c r="T911">
        <v>3</v>
      </c>
      <c r="U911" t="s">
        <v>23</v>
      </c>
      <c r="V911">
        <v>3</v>
      </c>
      <c r="W911">
        <f>COUNTIF($A$2:A911,A911)</f>
        <v>1</v>
      </c>
    </row>
    <row r="912" spans="1:23" x14ac:dyDescent="0.35">
      <c r="A912" t="s">
        <v>410</v>
      </c>
      <c r="B912" s="2">
        <v>43923</v>
      </c>
      <c r="D912" t="s">
        <v>23</v>
      </c>
      <c r="E912">
        <v>46</v>
      </c>
      <c r="F912" t="s">
        <v>24</v>
      </c>
      <c r="G912" t="s">
        <v>42</v>
      </c>
      <c r="H912" t="s">
        <v>26</v>
      </c>
      <c r="I912" t="s">
        <v>38</v>
      </c>
      <c r="J912" t="s">
        <v>52</v>
      </c>
      <c r="K912">
        <v>2</v>
      </c>
      <c r="L912" t="s">
        <v>29</v>
      </c>
      <c r="M912">
        <v>51000</v>
      </c>
      <c r="N912">
        <v>5.7</v>
      </c>
      <c r="O912">
        <v>11</v>
      </c>
      <c r="P912">
        <v>5.7</v>
      </c>
      <c r="Q912">
        <v>5.5</v>
      </c>
      <c r="R912">
        <v>1</v>
      </c>
      <c r="S912">
        <v>4</v>
      </c>
      <c r="T912">
        <v>3</v>
      </c>
      <c r="U912" t="s">
        <v>30</v>
      </c>
      <c r="V912">
        <v>4</v>
      </c>
      <c r="W912">
        <f>COUNTIF($A$2:A912,A912)</f>
        <v>1</v>
      </c>
    </row>
    <row r="913" spans="1:23" x14ac:dyDescent="0.35">
      <c r="A913" t="s">
        <v>360</v>
      </c>
      <c r="B913" s="2">
        <v>45767</v>
      </c>
      <c r="D913" t="s">
        <v>23</v>
      </c>
      <c r="E913">
        <v>22</v>
      </c>
      <c r="F913" t="s">
        <v>24</v>
      </c>
      <c r="G913" t="s">
        <v>25</v>
      </c>
      <c r="H913" t="s">
        <v>26</v>
      </c>
      <c r="I913" t="s">
        <v>68</v>
      </c>
      <c r="J913" t="s">
        <v>109</v>
      </c>
      <c r="K913">
        <v>1</v>
      </c>
      <c r="L913" t="s">
        <v>84</v>
      </c>
      <c r="M913">
        <v>28000</v>
      </c>
      <c r="N913">
        <v>11.4</v>
      </c>
      <c r="O913">
        <v>7.7</v>
      </c>
      <c r="P913">
        <v>0.7</v>
      </c>
      <c r="Q913">
        <v>0</v>
      </c>
      <c r="R913">
        <v>1</v>
      </c>
      <c r="S913">
        <v>3</v>
      </c>
      <c r="T913">
        <v>4</v>
      </c>
      <c r="U913" t="s">
        <v>23</v>
      </c>
      <c r="V913">
        <v>3</v>
      </c>
      <c r="W913">
        <f>COUNTIF($A$2:A913,A913)</f>
        <v>1</v>
      </c>
    </row>
    <row r="914" spans="1:23" x14ac:dyDescent="0.35">
      <c r="A914" t="s">
        <v>364</v>
      </c>
      <c r="B914" s="2">
        <v>44130</v>
      </c>
      <c r="D914" t="s">
        <v>23</v>
      </c>
      <c r="E914">
        <v>31</v>
      </c>
      <c r="F914" t="s">
        <v>24</v>
      </c>
      <c r="G914" t="s">
        <v>25</v>
      </c>
      <c r="H914" t="s">
        <v>54</v>
      </c>
      <c r="I914" t="s">
        <v>68</v>
      </c>
      <c r="J914" t="s">
        <v>102</v>
      </c>
      <c r="K914">
        <v>3</v>
      </c>
      <c r="L914" t="s">
        <v>84</v>
      </c>
      <c r="M914">
        <v>83000</v>
      </c>
      <c r="N914">
        <v>10.7</v>
      </c>
      <c r="O914">
        <v>8.1999999999999993</v>
      </c>
      <c r="P914">
        <v>5.2</v>
      </c>
      <c r="Q914">
        <v>2.9</v>
      </c>
      <c r="R914">
        <v>2</v>
      </c>
      <c r="S914">
        <v>2</v>
      </c>
      <c r="T914">
        <v>3</v>
      </c>
      <c r="U914" t="s">
        <v>23</v>
      </c>
      <c r="V914">
        <v>3</v>
      </c>
      <c r="W914">
        <f>COUNTIF($A$2:A914,A914)</f>
        <v>1</v>
      </c>
    </row>
    <row r="915" spans="1:23" x14ac:dyDescent="0.35">
      <c r="A915" t="s">
        <v>1153</v>
      </c>
      <c r="B915" s="2">
        <v>45336</v>
      </c>
      <c r="D915" t="s">
        <v>23</v>
      </c>
      <c r="E915">
        <v>31</v>
      </c>
      <c r="F915" t="s">
        <v>36</v>
      </c>
      <c r="G915" t="s">
        <v>25</v>
      </c>
      <c r="H915" t="s">
        <v>54</v>
      </c>
      <c r="I915" t="s">
        <v>48</v>
      </c>
      <c r="J915" t="s">
        <v>129</v>
      </c>
      <c r="K915">
        <v>3</v>
      </c>
      <c r="L915" t="s">
        <v>34</v>
      </c>
      <c r="M915">
        <v>83000</v>
      </c>
      <c r="N915">
        <v>8.5</v>
      </c>
      <c r="O915">
        <v>5.0999999999999996</v>
      </c>
      <c r="P915">
        <v>1.9</v>
      </c>
      <c r="Q915">
        <v>1.8</v>
      </c>
      <c r="R915">
        <v>4</v>
      </c>
      <c r="S915">
        <v>2</v>
      </c>
      <c r="T915">
        <v>2</v>
      </c>
      <c r="U915" t="s">
        <v>23</v>
      </c>
      <c r="V915">
        <v>2</v>
      </c>
      <c r="W915">
        <f>COUNTIF($A$2:A915,A915)</f>
        <v>1</v>
      </c>
    </row>
    <row r="916" spans="1:23" x14ac:dyDescent="0.35">
      <c r="A916" t="s">
        <v>269</v>
      </c>
      <c r="B916" s="2">
        <v>44696</v>
      </c>
      <c r="D916" t="s">
        <v>23</v>
      </c>
      <c r="E916">
        <v>30</v>
      </c>
      <c r="F916" t="s">
        <v>24</v>
      </c>
      <c r="G916" t="s">
        <v>25</v>
      </c>
      <c r="H916" t="s">
        <v>54</v>
      </c>
      <c r="I916" t="s">
        <v>59</v>
      </c>
      <c r="J916" t="s">
        <v>86</v>
      </c>
      <c r="K916">
        <v>4</v>
      </c>
      <c r="L916" t="s">
        <v>50</v>
      </c>
      <c r="M916">
        <v>106000</v>
      </c>
      <c r="N916">
        <v>5</v>
      </c>
      <c r="O916">
        <v>6.4</v>
      </c>
      <c r="P916">
        <v>3.6</v>
      </c>
      <c r="Q916">
        <v>2.2999999999999998</v>
      </c>
      <c r="R916">
        <v>4</v>
      </c>
      <c r="S916">
        <v>4</v>
      </c>
      <c r="T916">
        <v>4</v>
      </c>
      <c r="U916" t="s">
        <v>23</v>
      </c>
      <c r="V916">
        <v>4</v>
      </c>
      <c r="W916">
        <f>COUNTIF($A$2:A916,A916)</f>
        <v>1</v>
      </c>
    </row>
    <row r="917" spans="1:23" x14ac:dyDescent="0.35">
      <c r="A917" t="s">
        <v>1202</v>
      </c>
      <c r="B917" s="2">
        <v>43758</v>
      </c>
      <c r="D917" t="s">
        <v>23</v>
      </c>
      <c r="E917">
        <v>27</v>
      </c>
      <c r="F917" t="s">
        <v>62</v>
      </c>
      <c r="G917" t="s">
        <v>25</v>
      </c>
      <c r="H917" t="s">
        <v>58</v>
      </c>
      <c r="I917" t="s">
        <v>59</v>
      </c>
      <c r="J917" t="s">
        <v>60</v>
      </c>
      <c r="K917">
        <v>1</v>
      </c>
      <c r="L917" t="s">
        <v>34</v>
      </c>
      <c r="M917">
        <v>23000</v>
      </c>
      <c r="N917">
        <v>10</v>
      </c>
      <c r="O917">
        <v>10.8</v>
      </c>
      <c r="P917">
        <v>6.2</v>
      </c>
      <c r="Q917">
        <v>1.5</v>
      </c>
      <c r="R917">
        <v>3</v>
      </c>
      <c r="S917">
        <v>3</v>
      </c>
      <c r="T917">
        <v>4</v>
      </c>
      <c r="U917" t="s">
        <v>23</v>
      </c>
      <c r="V917">
        <v>4</v>
      </c>
      <c r="W917">
        <f>COUNTIF($A$2:A917,A917)</f>
        <v>1</v>
      </c>
    </row>
    <row r="918" spans="1:23" x14ac:dyDescent="0.35">
      <c r="A918" t="s">
        <v>133</v>
      </c>
      <c r="B918" s="2">
        <v>42507</v>
      </c>
      <c r="D918" t="s">
        <v>23</v>
      </c>
      <c r="E918">
        <v>38</v>
      </c>
      <c r="F918" t="s">
        <v>24</v>
      </c>
      <c r="G918" t="s">
        <v>25</v>
      </c>
      <c r="H918" t="s">
        <v>54</v>
      </c>
      <c r="I918" t="s">
        <v>38</v>
      </c>
      <c r="J918" t="s">
        <v>39</v>
      </c>
      <c r="K918">
        <v>3</v>
      </c>
      <c r="L918" t="s">
        <v>40</v>
      </c>
      <c r="M918">
        <v>83000</v>
      </c>
      <c r="N918">
        <v>10.6</v>
      </c>
      <c r="O918">
        <v>12.8</v>
      </c>
      <c r="P918">
        <v>9.6</v>
      </c>
      <c r="Q918">
        <v>3.5</v>
      </c>
      <c r="R918">
        <v>3</v>
      </c>
      <c r="S918">
        <v>4</v>
      </c>
      <c r="T918">
        <v>3</v>
      </c>
      <c r="U918" t="s">
        <v>23</v>
      </c>
      <c r="V918">
        <v>5</v>
      </c>
      <c r="W918">
        <f>COUNTIF($A$2:A918,A918)</f>
        <v>1</v>
      </c>
    </row>
    <row r="919" spans="1:23" x14ac:dyDescent="0.35">
      <c r="A919" t="s">
        <v>1084</v>
      </c>
      <c r="B919" s="2">
        <v>42096</v>
      </c>
      <c r="D919" t="s">
        <v>23</v>
      </c>
      <c r="E919">
        <v>36</v>
      </c>
      <c r="F919" t="s">
        <v>24</v>
      </c>
      <c r="G919" t="s">
        <v>25</v>
      </c>
      <c r="H919" t="s">
        <v>26</v>
      </c>
      <c r="I919" t="s">
        <v>59</v>
      </c>
      <c r="J919" t="s">
        <v>86</v>
      </c>
      <c r="K919">
        <v>3</v>
      </c>
      <c r="L919" t="s">
        <v>40</v>
      </c>
      <c r="M919">
        <v>68000</v>
      </c>
      <c r="N919">
        <v>9.6</v>
      </c>
      <c r="O919">
        <v>18.100000000000001</v>
      </c>
      <c r="P919">
        <v>10.7</v>
      </c>
      <c r="Q919">
        <v>4.2</v>
      </c>
      <c r="R919">
        <v>4</v>
      </c>
      <c r="S919">
        <v>3</v>
      </c>
      <c r="T919">
        <v>3</v>
      </c>
      <c r="U919" t="s">
        <v>23</v>
      </c>
      <c r="V919">
        <v>3</v>
      </c>
      <c r="W919">
        <f>COUNTIF($A$2:A919,A919)</f>
        <v>1</v>
      </c>
    </row>
    <row r="920" spans="1:23" x14ac:dyDescent="0.35">
      <c r="A920" t="s">
        <v>1000</v>
      </c>
      <c r="B920" s="2">
        <v>45396</v>
      </c>
      <c r="C920" s="2">
        <v>45787</v>
      </c>
      <c r="D920" t="s">
        <v>30</v>
      </c>
      <c r="E920">
        <v>33</v>
      </c>
      <c r="F920" t="s">
        <v>62</v>
      </c>
      <c r="G920" t="s">
        <v>42</v>
      </c>
      <c r="H920" t="s">
        <v>58</v>
      </c>
      <c r="I920" t="s">
        <v>38</v>
      </c>
      <c r="J920" t="s">
        <v>118</v>
      </c>
      <c r="K920">
        <v>1</v>
      </c>
      <c r="L920" t="s">
        <v>34</v>
      </c>
      <c r="M920">
        <v>22000</v>
      </c>
      <c r="N920">
        <v>9.6</v>
      </c>
      <c r="O920">
        <v>4.7</v>
      </c>
      <c r="P920">
        <v>1.1000000000000001</v>
      </c>
      <c r="Q920">
        <v>0.1</v>
      </c>
      <c r="R920">
        <v>4</v>
      </c>
      <c r="S920">
        <v>4</v>
      </c>
      <c r="T920">
        <v>3</v>
      </c>
      <c r="U920" t="s">
        <v>30</v>
      </c>
      <c r="V920">
        <v>1</v>
      </c>
      <c r="W920">
        <f>COUNTIF($A$2:A920,A920)</f>
        <v>1</v>
      </c>
    </row>
    <row r="921" spans="1:23" x14ac:dyDescent="0.35">
      <c r="A921" t="s">
        <v>1046</v>
      </c>
      <c r="B921" s="2">
        <v>43719</v>
      </c>
      <c r="D921" t="s">
        <v>23</v>
      </c>
      <c r="E921">
        <v>30</v>
      </c>
      <c r="F921" t="s">
        <v>36</v>
      </c>
      <c r="G921" t="s">
        <v>42</v>
      </c>
      <c r="H921" t="s">
        <v>26</v>
      </c>
      <c r="I921" t="s">
        <v>68</v>
      </c>
      <c r="J921" t="s">
        <v>109</v>
      </c>
      <c r="K921">
        <v>2</v>
      </c>
      <c r="L921" t="s">
        <v>34</v>
      </c>
      <c r="M921">
        <v>46000</v>
      </c>
      <c r="N921">
        <v>10.5</v>
      </c>
      <c r="O921">
        <v>11.7</v>
      </c>
      <c r="P921">
        <v>6.3</v>
      </c>
      <c r="Q921">
        <v>5.9</v>
      </c>
      <c r="R921">
        <v>3</v>
      </c>
      <c r="S921">
        <v>3</v>
      </c>
      <c r="T921">
        <v>3</v>
      </c>
      <c r="U921" t="s">
        <v>23</v>
      </c>
      <c r="V921">
        <v>3</v>
      </c>
      <c r="W921">
        <f>COUNTIF($A$2:A921,A921)</f>
        <v>1</v>
      </c>
    </row>
    <row r="922" spans="1:23" x14ac:dyDescent="0.35">
      <c r="A922" t="s">
        <v>359</v>
      </c>
      <c r="B922" s="2">
        <v>42986</v>
      </c>
      <c r="D922" t="s">
        <v>23</v>
      </c>
      <c r="E922">
        <v>41</v>
      </c>
      <c r="F922" t="s">
        <v>62</v>
      </c>
      <c r="G922" t="s">
        <v>25</v>
      </c>
      <c r="H922" t="s">
        <v>26</v>
      </c>
      <c r="I922" t="s">
        <v>45</v>
      </c>
      <c r="J922" t="s">
        <v>77</v>
      </c>
      <c r="K922">
        <v>4</v>
      </c>
      <c r="L922" t="s">
        <v>34</v>
      </c>
      <c r="M922">
        <v>92000</v>
      </c>
      <c r="N922">
        <v>11.9</v>
      </c>
      <c r="O922">
        <v>14.4</v>
      </c>
      <c r="P922">
        <v>8.3000000000000007</v>
      </c>
      <c r="Q922">
        <v>0.5</v>
      </c>
      <c r="R922">
        <v>3</v>
      </c>
      <c r="S922">
        <v>3</v>
      </c>
      <c r="T922">
        <v>2</v>
      </c>
      <c r="U922" t="s">
        <v>23</v>
      </c>
      <c r="V922">
        <v>3</v>
      </c>
      <c r="W922">
        <f>COUNTIF($A$2:A922,A922)</f>
        <v>1</v>
      </c>
    </row>
    <row r="923" spans="1:23" x14ac:dyDescent="0.35">
      <c r="A923" t="s">
        <v>553</v>
      </c>
      <c r="B923" s="2">
        <v>41708</v>
      </c>
      <c r="D923" t="s">
        <v>23</v>
      </c>
      <c r="E923">
        <v>32</v>
      </c>
      <c r="F923" t="s">
        <v>62</v>
      </c>
      <c r="G923" t="s">
        <v>37</v>
      </c>
      <c r="H923" t="s">
        <v>54</v>
      </c>
      <c r="I923" t="s">
        <v>48</v>
      </c>
      <c r="J923" t="s">
        <v>129</v>
      </c>
      <c r="K923">
        <v>2</v>
      </c>
      <c r="L923" t="s">
        <v>50</v>
      </c>
      <c r="M923">
        <v>58000</v>
      </c>
      <c r="N923">
        <v>13.1</v>
      </c>
      <c r="O923">
        <v>18.600000000000001</v>
      </c>
      <c r="P923">
        <v>11.8</v>
      </c>
      <c r="Q923">
        <v>1.3</v>
      </c>
      <c r="R923">
        <v>3</v>
      </c>
      <c r="S923">
        <v>3</v>
      </c>
      <c r="T923">
        <v>1</v>
      </c>
      <c r="U923" t="s">
        <v>30</v>
      </c>
      <c r="V923">
        <v>2</v>
      </c>
      <c r="W923">
        <f>COUNTIF($A$2:A923,A923)</f>
        <v>1</v>
      </c>
    </row>
    <row r="924" spans="1:23" x14ac:dyDescent="0.35">
      <c r="A924" t="s">
        <v>1001</v>
      </c>
      <c r="B924" s="2">
        <v>45118</v>
      </c>
      <c r="D924" t="s">
        <v>23</v>
      </c>
      <c r="E924">
        <v>25</v>
      </c>
      <c r="F924" t="s">
        <v>36</v>
      </c>
      <c r="G924" t="s">
        <v>42</v>
      </c>
      <c r="H924" t="s">
        <v>32</v>
      </c>
      <c r="I924" t="s">
        <v>27</v>
      </c>
      <c r="J924" t="s">
        <v>95</v>
      </c>
      <c r="K924">
        <v>1</v>
      </c>
      <c r="L924" t="s">
        <v>50</v>
      </c>
      <c r="M924">
        <v>40000</v>
      </c>
      <c r="N924">
        <v>8.6999999999999993</v>
      </c>
      <c r="O924">
        <v>7.7</v>
      </c>
      <c r="P924">
        <v>2.5</v>
      </c>
      <c r="Q924">
        <v>0.1</v>
      </c>
      <c r="R924">
        <v>3</v>
      </c>
      <c r="S924">
        <v>3</v>
      </c>
      <c r="T924">
        <v>3</v>
      </c>
      <c r="U924" t="s">
        <v>23</v>
      </c>
      <c r="V924">
        <v>3</v>
      </c>
      <c r="W924">
        <f>COUNTIF($A$2:A924,A924)</f>
        <v>1</v>
      </c>
    </row>
    <row r="925" spans="1:23" x14ac:dyDescent="0.35">
      <c r="A925" t="s">
        <v>1584</v>
      </c>
      <c r="B925" s="2">
        <v>42978</v>
      </c>
      <c r="D925" t="s">
        <v>23</v>
      </c>
      <c r="E925">
        <v>34</v>
      </c>
      <c r="F925" t="s">
        <v>36</v>
      </c>
      <c r="G925" t="s">
        <v>37</v>
      </c>
      <c r="H925" t="s">
        <v>58</v>
      </c>
      <c r="I925" t="s">
        <v>68</v>
      </c>
      <c r="J925" t="s">
        <v>69</v>
      </c>
      <c r="K925">
        <v>2</v>
      </c>
      <c r="L925" t="s">
        <v>40</v>
      </c>
      <c r="M925">
        <v>51000</v>
      </c>
      <c r="N925">
        <v>13.8</v>
      </c>
      <c r="O925">
        <v>10.3</v>
      </c>
      <c r="P925">
        <v>8.3000000000000007</v>
      </c>
      <c r="Q925">
        <v>2.2999999999999998</v>
      </c>
      <c r="R925">
        <v>1</v>
      </c>
      <c r="S925">
        <v>4</v>
      </c>
      <c r="T925">
        <v>3</v>
      </c>
      <c r="U925" t="s">
        <v>23</v>
      </c>
      <c r="V925">
        <v>3</v>
      </c>
      <c r="W925">
        <f>COUNTIF($A$2:A925,A925)</f>
        <v>1</v>
      </c>
    </row>
    <row r="926" spans="1:23" x14ac:dyDescent="0.35">
      <c r="A926" t="s">
        <v>1106</v>
      </c>
      <c r="B926" s="2">
        <v>44427</v>
      </c>
      <c r="D926" t="s">
        <v>23</v>
      </c>
      <c r="E926">
        <v>25</v>
      </c>
      <c r="F926" t="s">
        <v>62</v>
      </c>
      <c r="G926" t="s">
        <v>25</v>
      </c>
      <c r="H926" t="s">
        <v>26</v>
      </c>
      <c r="I926" t="s">
        <v>55</v>
      </c>
      <c r="J926" t="s">
        <v>88</v>
      </c>
      <c r="K926">
        <v>1</v>
      </c>
      <c r="L926" t="s">
        <v>34</v>
      </c>
      <c r="M926">
        <v>36000</v>
      </c>
      <c r="N926">
        <v>9.6999999999999993</v>
      </c>
      <c r="O926">
        <v>10.8</v>
      </c>
      <c r="P926">
        <v>4.4000000000000004</v>
      </c>
      <c r="Q926">
        <v>4.2</v>
      </c>
      <c r="R926">
        <v>3</v>
      </c>
      <c r="S926">
        <v>2</v>
      </c>
      <c r="T926">
        <v>2</v>
      </c>
      <c r="U926" t="s">
        <v>23</v>
      </c>
      <c r="V926">
        <v>2</v>
      </c>
      <c r="W926">
        <f>COUNTIF($A$2:A926,A926)</f>
        <v>1</v>
      </c>
    </row>
    <row r="927" spans="1:23" x14ac:dyDescent="0.35">
      <c r="A927" t="s">
        <v>413</v>
      </c>
      <c r="B927" s="2">
        <v>44075</v>
      </c>
      <c r="D927" t="s">
        <v>23</v>
      </c>
      <c r="E927">
        <v>37</v>
      </c>
      <c r="F927" t="s">
        <v>24</v>
      </c>
      <c r="G927" t="s">
        <v>37</v>
      </c>
      <c r="H927" t="s">
        <v>26</v>
      </c>
      <c r="I927" t="s">
        <v>48</v>
      </c>
      <c r="J927" t="s">
        <v>129</v>
      </c>
      <c r="K927">
        <v>3</v>
      </c>
      <c r="L927" t="s">
        <v>84</v>
      </c>
      <c r="M927">
        <v>72000</v>
      </c>
      <c r="N927">
        <v>18.899999999999999</v>
      </c>
      <c r="O927">
        <v>9.6999999999999993</v>
      </c>
      <c r="P927">
        <v>5.3</v>
      </c>
      <c r="Q927">
        <v>2.2000000000000002</v>
      </c>
      <c r="R927">
        <v>4</v>
      </c>
      <c r="S927">
        <v>1</v>
      </c>
      <c r="T927">
        <v>3</v>
      </c>
      <c r="U927" t="s">
        <v>23</v>
      </c>
      <c r="V927">
        <v>4</v>
      </c>
      <c r="W927">
        <f>COUNTIF($A$2:A927,A927)</f>
        <v>1</v>
      </c>
    </row>
    <row r="928" spans="1:23" x14ac:dyDescent="0.35">
      <c r="A928" t="s">
        <v>1473</v>
      </c>
      <c r="B928" s="2">
        <v>43746</v>
      </c>
      <c r="C928" s="2">
        <v>45670</v>
      </c>
      <c r="D928" t="s">
        <v>30</v>
      </c>
      <c r="E928">
        <v>42</v>
      </c>
      <c r="F928" t="s">
        <v>36</v>
      </c>
      <c r="G928" t="s">
        <v>25</v>
      </c>
      <c r="H928" t="s">
        <v>58</v>
      </c>
      <c r="I928" t="s">
        <v>45</v>
      </c>
      <c r="J928" t="s">
        <v>77</v>
      </c>
      <c r="K928">
        <v>3</v>
      </c>
      <c r="L928" t="s">
        <v>34</v>
      </c>
      <c r="M928">
        <v>71000</v>
      </c>
      <c r="N928">
        <v>11.1</v>
      </c>
      <c r="O928">
        <v>6.6</v>
      </c>
      <c r="P928">
        <v>5.3</v>
      </c>
      <c r="Q928">
        <v>3</v>
      </c>
      <c r="R928">
        <v>4</v>
      </c>
      <c r="S928">
        <v>3</v>
      </c>
      <c r="T928">
        <v>3</v>
      </c>
      <c r="U928" t="s">
        <v>30</v>
      </c>
      <c r="V928">
        <v>5</v>
      </c>
      <c r="W928">
        <f>COUNTIF($A$2:A928,A928)</f>
        <v>1</v>
      </c>
    </row>
    <row r="929" spans="1:23" x14ac:dyDescent="0.35">
      <c r="A929" t="s">
        <v>816</v>
      </c>
      <c r="B929" s="2">
        <v>45418</v>
      </c>
      <c r="D929" t="s">
        <v>23</v>
      </c>
      <c r="E929">
        <v>42</v>
      </c>
      <c r="F929" t="s">
        <v>62</v>
      </c>
      <c r="G929" t="s">
        <v>25</v>
      </c>
      <c r="H929" t="s">
        <v>58</v>
      </c>
      <c r="I929" t="s">
        <v>38</v>
      </c>
      <c r="J929" t="s">
        <v>139</v>
      </c>
      <c r="K929">
        <v>3</v>
      </c>
      <c r="L929" t="s">
        <v>66</v>
      </c>
      <c r="M929">
        <v>96000</v>
      </c>
      <c r="N929">
        <v>12.5</v>
      </c>
      <c r="O929">
        <v>7.6</v>
      </c>
      <c r="P929">
        <v>1.7</v>
      </c>
      <c r="Q929">
        <v>0.7</v>
      </c>
      <c r="R929">
        <v>2</v>
      </c>
      <c r="S929">
        <v>3</v>
      </c>
      <c r="T929">
        <v>3</v>
      </c>
      <c r="U929" t="s">
        <v>30</v>
      </c>
      <c r="V929">
        <v>1</v>
      </c>
      <c r="W929">
        <f>COUNTIF($A$2:A929,A929)</f>
        <v>1</v>
      </c>
    </row>
    <row r="930" spans="1:23" x14ac:dyDescent="0.35">
      <c r="A930" t="s">
        <v>1447</v>
      </c>
      <c r="B930" s="2">
        <v>43334</v>
      </c>
      <c r="D930" t="s">
        <v>23</v>
      </c>
      <c r="E930">
        <v>29</v>
      </c>
      <c r="F930" t="s">
        <v>62</v>
      </c>
      <c r="G930" t="s">
        <v>25</v>
      </c>
      <c r="H930" t="s">
        <v>26</v>
      </c>
      <c r="I930" t="s">
        <v>27</v>
      </c>
      <c r="J930" t="s">
        <v>43</v>
      </c>
      <c r="K930">
        <v>2</v>
      </c>
      <c r="L930" t="s">
        <v>40</v>
      </c>
      <c r="M930">
        <v>54000</v>
      </c>
      <c r="N930">
        <v>12.7</v>
      </c>
      <c r="O930">
        <v>9.1</v>
      </c>
      <c r="P930">
        <v>7.4</v>
      </c>
      <c r="Q930">
        <v>4</v>
      </c>
      <c r="R930">
        <v>2</v>
      </c>
      <c r="S930">
        <v>3</v>
      </c>
      <c r="T930">
        <v>2</v>
      </c>
      <c r="U930" t="s">
        <v>23</v>
      </c>
      <c r="V930">
        <v>3</v>
      </c>
      <c r="W930">
        <f>COUNTIF($A$2:A930,A930)</f>
        <v>1</v>
      </c>
    </row>
    <row r="931" spans="1:23" x14ac:dyDescent="0.35">
      <c r="A931" t="s">
        <v>1182</v>
      </c>
      <c r="B931" s="2">
        <v>45292</v>
      </c>
      <c r="D931" t="s">
        <v>23</v>
      </c>
      <c r="E931">
        <v>40</v>
      </c>
      <c r="F931" t="s">
        <v>24</v>
      </c>
      <c r="G931" t="s">
        <v>42</v>
      </c>
      <c r="H931" t="s">
        <v>54</v>
      </c>
      <c r="I931" t="s">
        <v>45</v>
      </c>
      <c r="J931" t="s">
        <v>97</v>
      </c>
      <c r="K931">
        <v>4</v>
      </c>
      <c r="L931" t="s">
        <v>50</v>
      </c>
      <c r="M931">
        <v>117000</v>
      </c>
      <c r="N931">
        <v>5.3</v>
      </c>
      <c r="O931">
        <v>2.6</v>
      </c>
      <c r="P931">
        <v>2</v>
      </c>
      <c r="Q931">
        <v>0.3</v>
      </c>
      <c r="R931">
        <v>3</v>
      </c>
      <c r="S931">
        <v>3</v>
      </c>
      <c r="T931">
        <v>3</v>
      </c>
      <c r="U931" t="s">
        <v>23</v>
      </c>
      <c r="V931">
        <v>4</v>
      </c>
      <c r="W931">
        <f>COUNTIF($A$2:A931,A931)</f>
        <v>1</v>
      </c>
    </row>
    <row r="932" spans="1:23" x14ac:dyDescent="0.35">
      <c r="A932" t="s">
        <v>1048</v>
      </c>
      <c r="B932" s="2">
        <v>44543</v>
      </c>
      <c r="D932" t="s">
        <v>23</v>
      </c>
      <c r="E932">
        <v>32</v>
      </c>
      <c r="F932" t="s">
        <v>36</v>
      </c>
      <c r="G932" t="s">
        <v>25</v>
      </c>
      <c r="H932" t="s">
        <v>54</v>
      </c>
      <c r="I932" t="s">
        <v>59</v>
      </c>
      <c r="J932" t="s">
        <v>60</v>
      </c>
      <c r="K932">
        <v>1</v>
      </c>
      <c r="L932" t="s">
        <v>29</v>
      </c>
      <c r="M932">
        <v>36000</v>
      </c>
      <c r="N932">
        <v>6.9</v>
      </c>
      <c r="O932">
        <v>7</v>
      </c>
      <c r="P932">
        <v>4</v>
      </c>
      <c r="Q932">
        <v>1.8</v>
      </c>
      <c r="R932">
        <v>2</v>
      </c>
      <c r="S932">
        <v>4</v>
      </c>
      <c r="T932">
        <v>2</v>
      </c>
      <c r="U932" t="s">
        <v>23</v>
      </c>
      <c r="V932">
        <v>5</v>
      </c>
      <c r="W932">
        <f>COUNTIF($A$2:A932,A932)</f>
        <v>1</v>
      </c>
    </row>
    <row r="933" spans="1:23" x14ac:dyDescent="0.35">
      <c r="A933" t="s">
        <v>1062</v>
      </c>
      <c r="B933" s="2">
        <v>43685</v>
      </c>
      <c r="D933" t="s">
        <v>23</v>
      </c>
      <c r="E933">
        <v>36</v>
      </c>
      <c r="F933" t="s">
        <v>24</v>
      </c>
      <c r="G933" t="s">
        <v>42</v>
      </c>
      <c r="H933" t="s">
        <v>58</v>
      </c>
      <c r="I933" t="s">
        <v>59</v>
      </c>
      <c r="J933" t="s">
        <v>86</v>
      </c>
      <c r="K933">
        <v>2</v>
      </c>
      <c r="L933" t="s">
        <v>34</v>
      </c>
      <c r="M933">
        <v>52000</v>
      </c>
      <c r="N933">
        <v>3.3</v>
      </c>
      <c r="O933">
        <v>9.6999999999999993</v>
      </c>
      <c r="P933">
        <v>6.4</v>
      </c>
      <c r="Q933">
        <v>3.4</v>
      </c>
      <c r="R933">
        <v>1</v>
      </c>
      <c r="S933">
        <v>3</v>
      </c>
      <c r="T933">
        <v>4</v>
      </c>
      <c r="U933" t="s">
        <v>23</v>
      </c>
      <c r="V933">
        <v>4</v>
      </c>
      <c r="W933">
        <f>COUNTIF($A$2:A933,A933)</f>
        <v>1</v>
      </c>
    </row>
    <row r="934" spans="1:23" x14ac:dyDescent="0.35">
      <c r="A934" t="s">
        <v>1481</v>
      </c>
      <c r="B934" s="2">
        <v>41696</v>
      </c>
      <c r="D934" t="s">
        <v>23</v>
      </c>
      <c r="E934">
        <v>35</v>
      </c>
      <c r="F934" t="s">
        <v>62</v>
      </c>
      <c r="G934" t="s">
        <v>25</v>
      </c>
      <c r="H934" t="s">
        <v>32</v>
      </c>
      <c r="I934" t="s">
        <v>68</v>
      </c>
      <c r="J934" t="s">
        <v>121</v>
      </c>
      <c r="K934">
        <v>3</v>
      </c>
      <c r="L934" t="s">
        <v>34</v>
      </c>
      <c r="M934">
        <v>58000</v>
      </c>
      <c r="N934">
        <v>13.1</v>
      </c>
      <c r="O934">
        <v>19.2</v>
      </c>
      <c r="P934">
        <v>11.8</v>
      </c>
      <c r="Q934">
        <v>5.0999999999999996</v>
      </c>
      <c r="R934">
        <v>4</v>
      </c>
      <c r="S934">
        <v>3</v>
      </c>
      <c r="T934">
        <v>3</v>
      </c>
      <c r="U934" t="s">
        <v>23</v>
      </c>
      <c r="V934">
        <v>4</v>
      </c>
      <c r="W934">
        <f>COUNTIF($A$2:A934,A934)</f>
        <v>1</v>
      </c>
    </row>
    <row r="935" spans="1:23" x14ac:dyDescent="0.35">
      <c r="A935" t="s">
        <v>1538</v>
      </c>
      <c r="B935" s="2">
        <v>41745</v>
      </c>
      <c r="C935" s="2">
        <v>45980</v>
      </c>
      <c r="D935" t="s">
        <v>30</v>
      </c>
      <c r="E935">
        <v>56</v>
      </c>
      <c r="F935" t="s">
        <v>36</v>
      </c>
      <c r="G935" t="s">
        <v>37</v>
      </c>
      <c r="H935" t="s">
        <v>32</v>
      </c>
      <c r="I935" t="s">
        <v>68</v>
      </c>
      <c r="J935" t="s">
        <v>102</v>
      </c>
      <c r="K935">
        <v>3</v>
      </c>
      <c r="L935" t="s">
        <v>84</v>
      </c>
      <c r="M935">
        <v>98000</v>
      </c>
      <c r="N935">
        <v>8.3000000000000007</v>
      </c>
      <c r="O935">
        <v>13.7</v>
      </c>
      <c r="P935">
        <v>11.6</v>
      </c>
      <c r="Q935">
        <v>1.6</v>
      </c>
      <c r="R935">
        <v>3</v>
      </c>
      <c r="S935">
        <v>3</v>
      </c>
      <c r="T935">
        <v>3</v>
      </c>
      <c r="U935" t="s">
        <v>23</v>
      </c>
      <c r="V935">
        <v>3</v>
      </c>
      <c r="W935">
        <f>COUNTIF($A$2:A935,A935)</f>
        <v>1</v>
      </c>
    </row>
    <row r="936" spans="1:23" x14ac:dyDescent="0.35">
      <c r="A936" t="s">
        <v>306</v>
      </c>
      <c r="B936" s="2">
        <v>43701</v>
      </c>
      <c r="D936" t="s">
        <v>23</v>
      </c>
      <c r="E936">
        <v>40</v>
      </c>
      <c r="F936" t="s">
        <v>36</v>
      </c>
      <c r="G936" t="s">
        <v>37</v>
      </c>
      <c r="H936" t="s">
        <v>58</v>
      </c>
      <c r="I936" t="s">
        <v>68</v>
      </c>
      <c r="J936" t="s">
        <v>109</v>
      </c>
      <c r="K936">
        <v>4</v>
      </c>
      <c r="L936" t="s">
        <v>29</v>
      </c>
      <c r="M936">
        <v>126000</v>
      </c>
      <c r="N936">
        <v>2.4</v>
      </c>
      <c r="O936">
        <v>11.6</v>
      </c>
      <c r="P936">
        <v>6.4</v>
      </c>
      <c r="Q936">
        <v>4.5999999999999996</v>
      </c>
      <c r="R936">
        <v>3</v>
      </c>
      <c r="S936">
        <v>4</v>
      </c>
      <c r="T936">
        <v>2</v>
      </c>
      <c r="U936" t="s">
        <v>23</v>
      </c>
      <c r="V936">
        <v>4</v>
      </c>
      <c r="W936">
        <f>COUNTIF($A$2:A936,A936)</f>
        <v>1</v>
      </c>
    </row>
    <row r="937" spans="1:23" x14ac:dyDescent="0.35">
      <c r="A937" t="s">
        <v>1305</v>
      </c>
      <c r="B937" s="2">
        <v>44443</v>
      </c>
      <c r="D937" t="s">
        <v>23</v>
      </c>
      <c r="E937">
        <v>29</v>
      </c>
      <c r="F937" t="s">
        <v>62</v>
      </c>
      <c r="G937" t="s">
        <v>42</v>
      </c>
      <c r="H937" t="s">
        <v>58</v>
      </c>
      <c r="I937" t="s">
        <v>27</v>
      </c>
      <c r="J937" t="s">
        <v>28</v>
      </c>
      <c r="K937">
        <v>2</v>
      </c>
      <c r="L937" t="s">
        <v>40</v>
      </c>
      <c r="M937">
        <v>56000</v>
      </c>
      <c r="N937">
        <v>11</v>
      </c>
      <c r="O937">
        <v>6.7</v>
      </c>
      <c r="P937">
        <v>4.3</v>
      </c>
      <c r="Q937">
        <v>1.1000000000000001</v>
      </c>
      <c r="R937">
        <v>2</v>
      </c>
      <c r="S937">
        <v>3</v>
      </c>
      <c r="T937">
        <v>3</v>
      </c>
      <c r="U937" t="s">
        <v>23</v>
      </c>
      <c r="V937">
        <v>3</v>
      </c>
      <c r="W937">
        <f>COUNTIF($A$2:A937,A937)</f>
        <v>1</v>
      </c>
    </row>
    <row r="938" spans="1:23" x14ac:dyDescent="0.35">
      <c r="A938" t="s">
        <v>767</v>
      </c>
      <c r="B938" s="2">
        <v>44682</v>
      </c>
      <c r="D938" t="s">
        <v>23</v>
      </c>
      <c r="E938">
        <v>25</v>
      </c>
      <c r="F938" t="s">
        <v>36</v>
      </c>
      <c r="G938" t="s">
        <v>37</v>
      </c>
      <c r="H938" t="s">
        <v>26</v>
      </c>
      <c r="I938" t="s">
        <v>48</v>
      </c>
      <c r="J938" t="s">
        <v>201</v>
      </c>
      <c r="K938">
        <v>1</v>
      </c>
      <c r="L938" t="s">
        <v>40</v>
      </c>
      <c r="M938">
        <v>22000</v>
      </c>
      <c r="N938">
        <v>12.4</v>
      </c>
      <c r="O938">
        <v>5.7</v>
      </c>
      <c r="P938">
        <v>3.7</v>
      </c>
      <c r="Q938">
        <v>0.3</v>
      </c>
      <c r="R938">
        <v>3</v>
      </c>
      <c r="S938">
        <v>2</v>
      </c>
      <c r="T938">
        <v>3</v>
      </c>
      <c r="U938" t="s">
        <v>23</v>
      </c>
      <c r="V938">
        <v>4</v>
      </c>
      <c r="W938">
        <f>COUNTIF($A$2:A938,A938)</f>
        <v>1</v>
      </c>
    </row>
    <row r="939" spans="1:23" x14ac:dyDescent="0.35">
      <c r="A939" t="s">
        <v>1398</v>
      </c>
      <c r="B939" s="2">
        <v>45676</v>
      </c>
      <c r="D939" t="s">
        <v>23</v>
      </c>
      <c r="E939">
        <v>21</v>
      </c>
      <c r="F939" t="s">
        <v>36</v>
      </c>
      <c r="G939" t="s">
        <v>25</v>
      </c>
      <c r="H939" t="s">
        <v>26</v>
      </c>
      <c r="I939" t="s">
        <v>59</v>
      </c>
      <c r="J939" t="s">
        <v>150</v>
      </c>
      <c r="K939">
        <v>1</v>
      </c>
      <c r="L939" t="s">
        <v>34</v>
      </c>
      <c r="M939">
        <v>34000</v>
      </c>
      <c r="N939">
        <v>12.2</v>
      </c>
      <c r="O939">
        <v>3.2</v>
      </c>
      <c r="P939">
        <v>0.9</v>
      </c>
      <c r="Q939">
        <v>0</v>
      </c>
      <c r="R939">
        <v>4</v>
      </c>
      <c r="S939">
        <v>2</v>
      </c>
      <c r="T939">
        <v>1</v>
      </c>
      <c r="U939" t="s">
        <v>23</v>
      </c>
      <c r="V939">
        <v>3</v>
      </c>
      <c r="W939">
        <f>COUNTIF($A$2:A939,A939)</f>
        <v>1</v>
      </c>
    </row>
    <row r="940" spans="1:23" x14ac:dyDescent="0.35">
      <c r="A940" t="s">
        <v>1321</v>
      </c>
      <c r="B940" s="2">
        <v>45418</v>
      </c>
      <c r="D940" t="s">
        <v>23</v>
      </c>
      <c r="E940">
        <v>30</v>
      </c>
      <c r="F940" t="s">
        <v>24</v>
      </c>
      <c r="G940" t="s">
        <v>25</v>
      </c>
      <c r="H940" t="s">
        <v>54</v>
      </c>
      <c r="I940" t="s">
        <v>48</v>
      </c>
      <c r="J940" t="s">
        <v>201</v>
      </c>
      <c r="K940">
        <v>2</v>
      </c>
      <c r="L940" t="s">
        <v>40</v>
      </c>
      <c r="M940">
        <v>54000</v>
      </c>
      <c r="N940">
        <v>7.5</v>
      </c>
      <c r="O940">
        <v>2</v>
      </c>
      <c r="P940">
        <v>1.7</v>
      </c>
      <c r="Q940">
        <v>0.1</v>
      </c>
      <c r="R940">
        <v>4</v>
      </c>
      <c r="S940">
        <v>2</v>
      </c>
      <c r="T940">
        <v>3</v>
      </c>
      <c r="U940" t="s">
        <v>30</v>
      </c>
      <c r="V940">
        <v>2</v>
      </c>
      <c r="W940">
        <f>COUNTIF($A$2:A940,A940)</f>
        <v>1</v>
      </c>
    </row>
    <row r="941" spans="1:23" x14ac:dyDescent="0.35">
      <c r="A941" t="s">
        <v>264</v>
      </c>
      <c r="B941" s="2">
        <v>44963</v>
      </c>
      <c r="D941" t="s">
        <v>23</v>
      </c>
      <c r="E941">
        <v>28</v>
      </c>
      <c r="F941" t="s">
        <v>24</v>
      </c>
      <c r="G941" t="s">
        <v>37</v>
      </c>
      <c r="H941" t="s">
        <v>26</v>
      </c>
      <c r="I941" t="s">
        <v>38</v>
      </c>
      <c r="J941" t="s">
        <v>118</v>
      </c>
      <c r="K941">
        <v>1</v>
      </c>
      <c r="L941" t="s">
        <v>66</v>
      </c>
      <c r="M941">
        <v>42000</v>
      </c>
      <c r="N941">
        <v>10.3</v>
      </c>
      <c r="O941">
        <v>4.7</v>
      </c>
      <c r="P941">
        <v>2.9</v>
      </c>
      <c r="Q941">
        <v>1.8</v>
      </c>
      <c r="R941">
        <v>3</v>
      </c>
      <c r="S941">
        <v>3</v>
      </c>
      <c r="T941">
        <v>3</v>
      </c>
      <c r="U941" t="s">
        <v>23</v>
      </c>
      <c r="V941">
        <v>4</v>
      </c>
      <c r="W941">
        <f>COUNTIF($A$2:A941,A941)</f>
        <v>1</v>
      </c>
    </row>
    <row r="942" spans="1:23" x14ac:dyDescent="0.35">
      <c r="A942" t="s">
        <v>1329</v>
      </c>
      <c r="B942" s="2">
        <v>44326</v>
      </c>
      <c r="D942" t="s">
        <v>23</v>
      </c>
      <c r="E942">
        <v>26</v>
      </c>
      <c r="F942" t="s">
        <v>36</v>
      </c>
      <c r="G942" t="s">
        <v>42</v>
      </c>
      <c r="H942" t="s">
        <v>26</v>
      </c>
      <c r="I942" t="s">
        <v>27</v>
      </c>
      <c r="J942" t="s">
        <v>28</v>
      </c>
      <c r="K942">
        <v>1</v>
      </c>
      <c r="L942" t="s">
        <v>50</v>
      </c>
      <c r="M942">
        <v>31000</v>
      </c>
      <c r="N942">
        <v>0.3</v>
      </c>
      <c r="O942">
        <v>9</v>
      </c>
      <c r="P942">
        <v>4.5999999999999996</v>
      </c>
      <c r="Q942">
        <v>0.1</v>
      </c>
      <c r="R942">
        <v>4</v>
      </c>
      <c r="S942">
        <v>2</v>
      </c>
      <c r="T942">
        <v>3</v>
      </c>
      <c r="U942" t="s">
        <v>30</v>
      </c>
      <c r="V942">
        <v>4</v>
      </c>
      <c r="W942">
        <f>COUNTIF($A$2:A942,A942)</f>
        <v>1</v>
      </c>
    </row>
    <row r="943" spans="1:23" x14ac:dyDescent="0.35">
      <c r="A943" t="s">
        <v>462</v>
      </c>
      <c r="B943" s="2">
        <v>43949</v>
      </c>
      <c r="D943" t="s">
        <v>23</v>
      </c>
      <c r="E943">
        <v>43</v>
      </c>
      <c r="F943" t="s">
        <v>36</v>
      </c>
      <c r="G943" t="s">
        <v>42</v>
      </c>
      <c r="H943" t="s">
        <v>32</v>
      </c>
      <c r="I943" t="s">
        <v>55</v>
      </c>
      <c r="J943" t="s">
        <v>80</v>
      </c>
      <c r="K943">
        <v>2</v>
      </c>
      <c r="L943" t="s">
        <v>40</v>
      </c>
      <c r="M943">
        <v>48000</v>
      </c>
      <c r="N943">
        <v>6.7</v>
      </c>
      <c r="O943">
        <v>6.5</v>
      </c>
      <c r="P943">
        <v>5.7</v>
      </c>
      <c r="Q943">
        <v>1.4</v>
      </c>
      <c r="R943">
        <v>2</v>
      </c>
      <c r="S943">
        <v>3</v>
      </c>
      <c r="T943">
        <v>3</v>
      </c>
      <c r="U943" t="s">
        <v>30</v>
      </c>
      <c r="V943">
        <v>4</v>
      </c>
      <c r="W943">
        <f>COUNTIF($A$2:A943,A943)</f>
        <v>1</v>
      </c>
    </row>
    <row r="944" spans="1:23" x14ac:dyDescent="0.35">
      <c r="A944" t="s">
        <v>281</v>
      </c>
      <c r="B944" s="2">
        <v>44015</v>
      </c>
      <c r="D944" t="s">
        <v>23</v>
      </c>
      <c r="E944">
        <v>42</v>
      </c>
      <c r="F944" t="s">
        <v>36</v>
      </c>
      <c r="G944" t="s">
        <v>25</v>
      </c>
      <c r="H944" t="s">
        <v>58</v>
      </c>
      <c r="I944" t="s">
        <v>38</v>
      </c>
      <c r="J944" t="s">
        <v>118</v>
      </c>
      <c r="K944">
        <v>2</v>
      </c>
      <c r="L944" t="s">
        <v>84</v>
      </c>
      <c r="M944">
        <v>55000</v>
      </c>
      <c r="N944">
        <v>6.2</v>
      </c>
      <c r="O944">
        <v>11.5</v>
      </c>
      <c r="P944">
        <v>5.5</v>
      </c>
      <c r="Q944">
        <v>0.1</v>
      </c>
      <c r="R944">
        <v>4</v>
      </c>
      <c r="S944">
        <v>4</v>
      </c>
      <c r="T944">
        <v>2</v>
      </c>
      <c r="U944" t="s">
        <v>30</v>
      </c>
      <c r="V944">
        <v>4</v>
      </c>
      <c r="W944">
        <f>COUNTIF($A$2:A944,A944)</f>
        <v>1</v>
      </c>
    </row>
    <row r="945" spans="1:23" x14ac:dyDescent="0.35">
      <c r="A945" t="s">
        <v>222</v>
      </c>
      <c r="B945" s="2">
        <v>44255</v>
      </c>
      <c r="C945" s="2">
        <v>45697</v>
      </c>
      <c r="D945" t="s">
        <v>30</v>
      </c>
      <c r="E945">
        <v>34</v>
      </c>
      <c r="F945" t="s">
        <v>36</v>
      </c>
      <c r="G945" t="s">
        <v>42</v>
      </c>
      <c r="H945" t="s">
        <v>54</v>
      </c>
      <c r="I945" t="s">
        <v>38</v>
      </c>
      <c r="J945" t="s">
        <v>52</v>
      </c>
      <c r="K945">
        <v>3</v>
      </c>
      <c r="L945" t="s">
        <v>84</v>
      </c>
      <c r="M945">
        <v>105000</v>
      </c>
      <c r="N945">
        <v>10.1</v>
      </c>
      <c r="O945">
        <v>8.8000000000000007</v>
      </c>
      <c r="P945">
        <v>3.9</v>
      </c>
      <c r="Q945">
        <v>2.7</v>
      </c>
      <c r="R945">
        <v>2</v>
      </c>
      <c r="S945">
        <v>3</v>
      </c>
      <c r="T945">
        <v>4</v>
      </c>
      <c r="U945" t="s">
        <v>23</v>
      </c>
      <c r="V945">
        <v>3</v>
      </c>
      <c r="W945">
        <f>COUNTIF($A$2:A945,A945)</f>
        <v>1</v>
      </c>
    </row>
    <row r="946" spans="1:23" x14ac:dyDescent="0.35">
      <c r="A946" t="s">
        <v>1298</v>
      </c>
      <c r="B946" s="2">
        <v>44291</v>
      </c>
      <c r="D946" t="s">
        <v>23</v>
      </c>
      <c r="E946">
        <v>35</v>
      </c>
      <c r="F946" t="s">
        <v>62</v>
      </c>
      <c r="G946" t="s">
        <v>42</v>
      </c>
      <c r="H946" t="s">
        <v>58</v>
      </c>
      <c r="I946" t="s">
        <v>55</v>
      </c>
      <c r="J946" t="s">
        <v>88</v>
      </c>
      <c r="K946">
        <v>4</v>
      </c>
      <c r="L946" t="s">
        <v>34</v>
      </c>
      <c r="M946">
        <v>129000</v>
      </c>
      <c r="N946">
        <v>5.7</v>
      </c>
      <c r="O946">
        <v>9.1999999999999993</v>
      </c>
      <c r="P946">
        <v>4.7</v>
      </c>
      <c r="Q946">
        <v>3</v>
      </c>
      <c r="R946">
        <v>4</v>
      </c>
      <c r="S946">
        <v>1</v>
      </c>
      <c r="T946">
        <v>3</v>
      </c>
      <c r="U946" t="s">
        <v>23</v>
      </c>
      <c r="V946">
        <v>1</v>
      </c>
      <c r="W946">
        <f>COUNTIF($A$2:A946,A946)</f>
        <v>1</v>
      </c>
    </row>
    <row r="947" spans="1:23" x14ac:dyDescent="0.35">
      <c r="A947" t="s">
        <v>1497</v>
      </c>
      <c r="B947" s="2">
        <v>44010</v>
      </c>
      <c r="D947" t="s">
        <v>23</v>
      </c>
      <c r="E947">
        <v>35</v>
      </c>
      <c r="F947" t="s">
        <v>62</v>
      </c>
      <c r="G947" t="s">
        <v>25</v>
      </c>
      <c r="H947" t="s">
        <v>32</v>
      </c>
      <c r="I947" t="s">
        <v>38</v>
      </c>
      <c r="J947" t="s">
        <v>52</v>
      </c>
      <c r="K947">
        <v>2</v>
      </c>
      <c r="L947" t="s">
        <v>50</v>
      </c>
      <c r="M947">
        <v>60000</v>
      </c>
      <c r="N947">
        <v>5.0999999999999996</v>
      </c>
      <c r="O947">
        <v>7.7</v>
      </c>
      <c r="P947">
        <v>5.5</v>
      </c>
      <c r="Q947">
        <v>5</v>
      </c>
      <c r="R947">
        <v>3</v>
      </c>
      <c r="S947">
        <v>3</v>
      </c>
      <c r="T947">
        <v>2</v>
      </c>
      <c r="U947" t="s">
        <v>23</v>
      </c>
      <c r="V947">
        <v>3</v>
      </c>
      <c r="W947">
        <f>COUNTIF($A$2:A947,A947)</f>
        <v>1</v>
      </c>
    </row>
    <row r="948" spans="1:23" x14ac:dyDescent="0.35">
      <c r="A948" t="s">
        <v>290</v>
      </c>
      <c r="B948" s="2">
        <v>44936</v>
      </c>
      <c r="D948" t="s">
        <v>23</v>
      </c>
      <c r="E948">
        <v>38</v>
      </c>
      <c r="F948" t="s">
        <v>24</v>
      </c>
      <c r="G948" t="s">
        <v>42</v>
      </c>
      <c r="H948" t="s">
        <v>58</v>
      </c>
      <c r="I948" t="s">
        <v>48</v>
      </c>
      <c r="J948" t="s">
        <v>129</v>
      </c>
      <c r="K948">
        <v>1</v>
      </c>
      <c r="L948" t="s">
        <v>40</v>
      </c>
      <c r="M948">
        <v>30000</v>
      </c>
      <c r="N948">
        <v>13</v>
      </c>
      <c r="O948">
        <v>7.4</v>
      </c>
      <c r="P948">
        <v>3</v>
      </c>
      <c r="Q948">
        <v>0.8</v>
      </c>
      <c r="R948">
        <v>2</v>
      </c>
      <c r="S948">
        <v>3</v>
      </c>
      <c r="T948">
        <v>2</v>
      </c>
      <c r="U948" t="s">
        <v>23</v>
      </c>
      <c r="V948">
        <v>2</v>
      </c>
      <c r="W948">
        <f>COUNTIF($A$2:A948,A948)</f>
        <v>1</v>
      </c>
    </row>
    <row r="949" spans="1:23" x14ac:dyDescent="0.35">
      <c r="A949" t="s">
        <v>321</v>
      </c>
      <c r="B949" s="2">
        <v>44449</v>
      </c>
      <c r="C949" s="2">
        <v>45993</v>
      </c>
      <c r="D949" t="s">
        <v>30</v>
      </c>
      <c r="E949">
        <v>28</v>
      </c>
      <c r="F949" t="s">
        <v>36</v>
      </c>
      <c r="G949" t="s">
        <v>42</v>
      </c>
      <c r="H949" t="s">
        <v>32</v>
      </c>
      <c r="I949" t="s">
        <v>55</v>
      </c>
      <c r="J949" t="s">
        <v>80</v>
      </c>
      <c r="K949">
        <v>2</v>
      </c>
      <c r="L949" t="s">
        <v>40</v>
      </c>
      <c r="M949">
        <v>55000</v>
      </c>
      <c r="N949">
        <v>1.9</v>
      </c>
      <c r="O949">
        <v>10.5</v>
      </c>
      <c r="P949">
        <v>4.2</v>
      </c>
      <c r="Q949">
        <v>3.7</v>
      </c>
      <c r="R949">
        <v>2</v>
      </c>
      <c r="S949">
        <v>4</v>
      </c>
      <c r="T949">
        <v>3</v>
      </c>
      <c r="U949" t="s">
        <v>30</v>
      </c>
      <c r="V949">
        <v>3</v>
      </c>
      <c r="W949">
        <f>COUNTIF($A$2:A949,A949)</f>
        <v>1</v>
      </c>
    </row>
    <row r="950" spans="1:23" x14ac:dyDescent="0.35">
      <c r="A950" t="s">
        <v>851</v>
      </c>
      <c r="B950" s="2">
        <v>45759</v>
      </c>
      <c r="C950" s="2">
        <v>46019</v>
      </c>
      <c r="D950" t="s">
        <v>30</v>
      </c>
      <c r="E950">
        <v>21</v>
      </c>
      <c r="F950" t="s">
        <v>24</v>
      </c>
      <c r="G950" t="s">
        <v>25</v>
      </c>
      <c r="H950" t="s">
        <v>32</v>
      </c>
      <c r="I950" t="s">
        <v>38</v>
      </c>
      <c r="J950" t="s">
        <v>139</v>
      </c>
      <c r="K950">
        <v>1</v>
      </c>
      <c r="L950" t="s">
        <v>40</v>
      </c>
      <c r="M950">
        <v>27000</v>
      </c>
      <c r="N950">
        <v>0.7</v>
      </c>
      <c r="O950">
        <v>2.1</v>
      </c>
      <c r="P950">
        <v>0.7</v>
      </c>
      <c r="Q950">
        <v>0</v>
      </c>
      <c r="R950">
        <v>4</v>
      </c>
      <c r="S950">
        <v>3</v>
      </c>
      <c r="T950">
        <v>4</v>
      </c>
      <c r="U950" t="s">
        <v>30</v>
      </c>
      <c r="V950">
        <v>4</v>
      </c>
      <c r="W950">
        <f>COUNTIF($A$2:A950,A950)</f>
        <v>1</v>
      </c>
    </row>
    <row r="951" spans="1:23" x14ac:dyDescent="0.35">
      <c r="A951" t="s">
        <v>105</v>
      </c>
      <c r="B951" s="2">
        <v>45179</v>
      </c>
      <c r="D951" t="s">
        <v>23</v>
      </c>
      <c r="E951">
        <v>32</v>
      </c>
      <c r="F951" t="s">
        <v>24</v>
      </c>
      <c r="G951" t="s">
        <v>25</v>
      </c>
      <c r="H951" t="s">
        <v>58</v>
      </c>
      <c r="I951" t="s">
        <v>59</v>
      </c>
      <c r="J951" t="s">
        <v>75</v>
      </c>
      <c r="K951">
        <v>2</v>
      </c>
      <c r="L951" t="s">
        <v>66</v>
      </c>
      <c r="M951">
        <v>49000</v>
      </c>
      <c r="N951">
        <v>4.8</v>
      </c>
      <c r="O951">
        <v>9.5</v>
      </c>
      <c r="P951">
        <v>2.2999999999999998</v>
      </c>
      <c r="Q951">
        <v>0.9</v>
      </c>
      <c r="R951">
        <v>4</v>
      </c>
      <c r="S951">
        <v>2</v>
      </c>
      <c r="T951">
        <v>3</v>
      </c>
      <c r="U951" t="s">
        <v>30</v>
      </c>
      <c r="V951">
        <v>4</v>
      </c>
      <c r="W951">
        <f>COUNTIF($A$2:A951,A951)</f>
        <v>1</v>
      </c>
    </row>
    <row r="952" spans="1:23" x14ac:dyDescent="0.35">
      <c r="A952" t="s">
        <v>561</v>
      </c>
      <c r="B952" s="2">
        <v>43969</v>
      </c>
      <c r="D952" t="s">
        <v>23</v>
      </c>
      <c r="E952">
        <v>36</v>
      </c>
      <c r="F952" t="s">
        <v>62</v>
      </c>
      <c r="G952" t="s">
        <v>42</v>
      </c>
      <c r="H952" t="s">
        <v>54</v>
      </c>
      <c r="I952" t="s">
        <v>59</v>
      </c>
      <c r="J952" t="s">
        <v>150</v>
      </c>
      <c r="K952">
        <v>3</v>
      </c>
      <c r="L952" t="s">
        <v>66</v>
      </c>
      <c r="M952">
        <v>70000</v>
      </c>
      <c r="N952">
        <v>10.3</v>
      </c>
      <c r="O952">
        <v>10.5</v>
      </c>
      <c r="P952">
        <v>5.6</v>
      </c>
      <c r="Q952">
        <v>0.2</v>
      </c>
      <c r="R952">
        <v>3</v>
      </c>
      <c r="S952">
        <v>4</v>
      </c>
      <c r="T952">
        <v>2</v>
      </c>
      <c r="U952" t="s">
        <v>23</v>
      </c>
      <c r="V952">
        <v>3</v>
      </c>
      <c r="W952">
        <f>COUNTIF($A$2:A952,A952)</f>
        <v>1</v>
      </c>
    </row>
    <row r="953" spans="1:23" x14ac:dyDescent="0.35">
      <c r="A953" t="s">
        <v>617</v>
      </c>
      <c r="B953" s="2">
        <v>43919</v>
      </c>
      <c r="D953" t="s">
        <v>23</v>
      </c>
      <c r="E953">
        <v>34</v>
      </c>
      <c r="F953" t="s">
        <v>24</v>
      </c>
      <c r="G953" t="s">
        <v>25</v>
      </c>
      <c r="H953" t="s">
        <v>54</v>
      </c>
      <c r="I953" t="s">
        <v>27</v>
      </c>
      <c r="J953" t="s">
        <v>33</v>
      </c>
      <c r="K953">
        <v>4</v>
      </c>
      <c r="L953" t="s">
        <v>40</v>
      </c>
      <c r="M953">
        <v>118000</v>
      </c>
      <c r="N953">
        <v>11.3</v>
      </c>
      <c r="O953">
        <v>10.4</v>
      </c>
      <c r="P953">
        <v>5.8</v>
      </c>
      <c r="Q953">
        <v>4.9000000000000004</v>
      </c>
      <c r="R953">
        <v>3</v>
      </c>
      <c r="S953">
        <v>3</v>
      </c>
      <c r="T953">
        <v>2</v>
      </c>
      <c r="U953" t="s">
        <v>23</v>
      </c>
      <c r="V953">
        <v>5</v>
      </c>
      <c r="W953">
        <f>COUNTIF($A$2:A953,A953)</f>
        <v>1</v>
      </c>
    </row>
    <row r="954" spans="1:23" x14ac:dyDescent="0.35">
      <c r="A954" t="s">
        <v>710</v>
      </c>
      <c r="B954" s="2">
        <v>43350</v>
      </c>
      <c r="D954" t="s">
        <v>23</v>
      </c>
      <c r="E954">
        <v>35</v>
      </c>
      <c r="F954" t="s">
        <v>24</v>
      </c>
      <c r="G954" t="s">
        <v>37</v>
      </c>
      <c r="H954" t="s">
        <v>54</v>
      </c>
      <c r="I954" t="s">
        <v>59</v>
      </c>
      <c r="J954" t="s">
        <v>75</v>
      </c>
      <c r="K954">
        <v>2</v>
      </c>
      <c r="L954" t="s">
        <v>29</v>
      </c>
      <c r="M954">
        <v>50000</v>
      </c>
      <c r="N954">
        <v>9</v>
      </c>
      <c r="O954">
        <v>10.6</v>
      </c>
      <c r="P954">
        <v>7.3</v>
      </c>
      <c r="Q954">
        <v>2.2999999999999998</v>
      </c>
      <c r="R954">
        <v>3</v>
      </c>
      <c r="S954">
        <v>3</v>
      </c>
      <c r="T954">
        <v>3</v>
      </c>
      <c r="U954" t="s">
        <v>23</v>
      </c>
      <c r="V954">
        <v>3</v>
      </c>
      <c r="W954">
        <f>COUNTIF($A$2:A954,A954)</f>
        <v>1</v>
      </c>
    </row>
    <row r="955" spans="1:23" x14ac:dyDescent="0.35">
      <c r="A955" t="s">
        <v>1423</v>
      </c>
      <c r="B955" s="2">
        <v>43390</v>
      </c>
      <c r="D955" t="s">
        <v>23</v>
      </c>
      <c r="E955">
        <v>32</v>
      </c>
      <c r="F955" t="s">
        <v>36</v>
      </c>
      <c r="G955" t="s">
        <v>42</v>
      </c>
      <c r="H955" t="s">
        <v>54</v>
      </c>
      <c r="I955" t="s">
        <v>59</v>
      </c>
      <c r="J955" t="s">
        <v>86</v>
      </c>
      <c r="K955">
        <v>2</v>
      </c>
      <c r="L955" t="s">
        <v>84</v>
      </c>
      <c r="M955">
        <v>54000</v>
      </c>
      <c r="N955">
        <v>5</v>
      </c>
      <c r="O955">
        <v>10.4</v>
      </c>
      <c r="P955">
        <v>7.2</v>
      </c>
      <c r="Q955">
        <v>0.9</v>
      </c>
      <c r="R955">
        <v>2</v>
      </c>
      <c r="S955">
        <v>4</v>
      </c>
      <c r="T955">
        <v>4</v>
      </c>
      <c r="U955" t="s">
        <v>23</v>
      </c>
      <c r="V955">
        <v>3</v>
      </c>
      <c r="W955">
        <f>COUNTIF($A$2:A955,A955)</f>
        <v>1</v>
      </c>
    </row>
    <row r="956" spans="1:23" x14ac:dyDescent="0.35">
      <c r="A956" t="s">
        <v>949</v>
      </c>
      <c r="B956" s="2">
        <v>45784</v>
      </c>
      <c r="C956" s="2">
        <v>46007</v>
      </c>
      <c r="D956" t="s">
        <v>30</v>
      </c>
      <c r="E956">
        <v>23</v>
      </c>
      <c r="F956" t="s">
        <v>62</v>
      </c>
      <c r="G956" t="s">
        <v>42</v>
      </c>
      <c r="H956" t="s">
        <v>26</v>
      </c>
      <c r="I956" t="s">
        <v>55</v>
      </c>
      <c r="J956" t="s">
        <v>80</v>
      </c>
      <c r="K956">
        <v>1</v>
      </c>
      <c r="L956" t="s">
        <v>66</v>
      </c>
      <c r="M956">
        <v>25000</v>
      </c>
      <c r="N956">
        <v>4.0999999999999996</v>
      </c>
      <c r="O956">
        <v>8</v>
      </c>
      <c r="P956">
        <v>0.6</v>
      </c>
      <c r="Q956">
        <v>0</v>
      </c>
      <c r="R956">
        <v>2</v>
      </c>
      <c r="S956">
        <v>1</v>
      </c>
      <c r="T956">
        <v>3</v>
      </c>
      <c r="U956" t="s">
        <v>23</v>
      </c>
      <c r="V956">
        <v>3</v>
      </c>
      <c r="W956">
        <f>COUNTIF($A$2:A956,A956)</f>
        <v>1</v>
      </c>
    </row>
    <row r="957" spans="1:23" x14ac:dyDescent="0.35">
      <c r="A957" t="s">
        <v>702</v>
      </c>
      <c r="B957" s="2">
        <v>43904</v>
      </c>
      <c r="D957" t="s">
        <v>23</v>
      </c>
      <c r="E957">
        <v>27</v>
      </c>
      <c r="F957" t="s">
        <v>24</v>
      </c>
      <c r="G957" t="s">
        <v>37</v>
      </c>
      <c r="H957" t="s">
        <v>32</v>
      </c>
      <c r="I957" t="s">
        <v>68</v>
      </c>
      <c r="J957" t="s">
        <v>69</v>
      </c>
      <c r="K957">
        <v>1</v>
      </c>
      <c r="L957" t="s">
        <v>29</v>
      </c>
      <c r="M957">
        <v>38000</v>
      </c>
      <c r="N957">
        <v>9.1</v>
      </c>
      <c r="O957">
        <v>12.6</v>
      </c>
      <c r="P957">
        <v>5.8</v>
      </c>
      <c r="Q957">
        <v>0.4</v>
      </c>
      <c r="R957">
        <v>1</v>
      </c>
      <c r="S957">
        <v>3</v>
      </c>
      <c r="T957">
        <v>3</v>
      </c>
      <c r="U957" t="s">
        <v>23</v>
      </c>
      <c r="V957">
        <v>3</v>
      </c>
      <c r="W957">
        <f>COUNTIF($A$2:A957,A957)</f>
        <v>1</v>
      </c>
    </row>
    <row r="958" spans="1:23" x14ac:dyDescent="0.35">
      <c r="A958" t="s">
        <v>1115</v>
      </c>
      <c r="B958" s="2">
        <v>43736</v>
      </c>
      <c r="D958" t="s">
        <v>23</v>
      </c>
      <c r="E958">
        <v>38</v>
      </c>
      <c r="F958" t="s">
        <v>62</v>
      </c>
      <c r="G958" t="s">
        <v>25</v>
      </c>
      <c r="H958" t="s">
        <v>26</v>
      </c>
      <c r="I958" t="s">
        <v>45</v>
      </c>
      <c r="J958" t="s">
        <v>77</v>
      </c>
      <c r="K958">
        <v>1</v>
      </c>
      <c r="L958" t="s">
        <v>34</v>
      </c>
      <c r="M958">
        <v>39000</v>
      </c>
      <c r="N958">
        <v>5</v>
      </c>
      <c r="O958">
        <v>8.9</v>
      </c>
      <c r="P958">
        <v>6.3</v>
      </c>
      <c r="Q958">
        <v>3.7</v>
      </c>
      <c r="R958">
        <v>3</v>
      </c>
      <c r="S958">
        <v>3</v>
      </c>
      <c r="T958">
        <v>3</v>
      </c>
      <c r="U958" t="s">
        <v>23</v>
      </c>
      <c r="V958">
        <v>3</v>
      </c>
      <c r="W958">
        <f>COUNTIF($A$2:A958,A958)</f>
        <v>1</v>
      </c>
    </row>
    <row r="959" spans="1:23" x14ac:dyDescent="0.35">
      <c r="A959" t="s">
        <v>902</v>
      </c>
      <c r="B959" s="2">
        <v>44852</v>
      </c>
      <c r="D959" t="s">
        <v>23</v>
      </c>
      <c r="E959">
        <v>27</v>
      </c>
      <c r="F959" t="s">
        <v>36</v>
      </c>
      <c r="G959" t="s">
        <v>25</v>
      </c>
      <c r="H959" t="s">
        <v>54</v>
      </c>
      <c r="I959" t="s">
        <v>59</v>
      </c>
      <c r="J959" t="s">
        <v>60</v>
      </c>
      <c r="K959">
        <v>1</v>
      </c>
      <c r="L959" t="s">
        <v>29</v>
      </c>
      <c r="M959">
        <v>34000</v>
      </c>
      <c r="N959">
        <v>3.9</v>
      </c>
      <c r="O959">
        <v>9.1999999999999993</v>
      </c>
      <c r="P959">
        <v>3.2</v>
      </c>
      <c r="Q959">
        <v>1.6</v>
      </c>
      <c r="R959">
        <v>3</v>
      </c>
      <c r="S959">
        <v>4</v>
      </c>
      <c r="T959">
        <v>2</v>
      </c>
      <c r="U959" t="s">
        <v>23</v>
      </c>
      <c r="V959">
        <v>4</v>
      </c>
      <c r="W959">
        <f>COUNTIF($A$2:A959,A959)</f>
        <v>1</v>
      </c>
    </row>
    <row r="960" spans="1:23" x14ac:dyDescent="0.35">
      <c r="A960" t="s">
        <v>348</v>
      </c>
      <c r="B960" s="2">
        <v>43213</v>
      </c>
      <c r="D960" t="s">
        <v>23</v>
      </c>
      <c r="E960">
        <v>30</v>
      </c>
      <c r="F960" t="s">
        <v>24</v>
      </c>
      <c r="G960" t="s">
        <v>42</v>
      </c>
      <c r="H960" t="s">
        <v>32</v>
      </c>
      <c r="I960" t="s">
        <v>45</v>
      </c>
      <c r="J960" t="s">
        <v>77</v>
      </c>
      <c r="K960">
        <v>2</v>
      </c>
      <c r="L960" t="s">
        <v>34</v>
      </c>
      <c r="M960">
        <v>48000</v>
      </c>
      <c r="N960">
        <v>7.4</v>
      </c>
      <c r="O960">
        <v>9.5</v>
      </c>
      <c r="P960">
        <v>7.7</v>
      </c>
      <c r="Q960">
        <v>0.3</v>
      </c>
      <c r="R960">
        <v>3</v>
      </c>
      <c r="S960">
        <v>1</v>
      </c>
      <c r="T960">
        <v>2</v>
      </c>
      <c r="U960" t="s">
        <v>30</v>
      </c>
      <c r="V960">
        <v>3</v>
      </c>
      <c r="W960">
        <f>COUNTIF($A$2:A960,A960)</f>
        <v>1</v>
      </c>
    </row>
    <row r="961" spans="1:23" x14ac:dyDescent="0.35">
      <c r="A961" t="s">
        <v>1218</v>
      </c>
      <c r="B961" s="2">
        <v>45167</v>
      </c>
      <c r="C961" s="2">
        <v>45905</v>
      </c>
      <c r="D961" t="s">
        <v>30</v>
      </c>
      <c r="E961">
        <v>30</v>
      </c>
      <c r="F961" t="s">
        <v>24</v>
      </c>
      <c r="G961" t="s">
        <v>37</v>
      </c>
      <c r="H961" t="s">
        <v>54</v>
      </c>
      <c r="I961" t="s">
        <v>27</v>
      </c>
      <c r="J961" t="s">
        <v>28</v>
      </c>
      <c r="K961">
        <v>5</v>
      </c>
      <c r="L961" t="s">
        <v>84</v>
      </c>
      <c r="M961">
        <v>150000</v>
      </c>
      <c r="N961">
        <v>8.8000000000000007</v>
      </c>
      <c r="O961">
        <v>8.3000000000000007</v>
      </c>
      <c r="P961">
        <v>2</v>
      </c>
      <c r="Q961">
        <v>0.4</v>
      </c>
      <c r="R961">
        <v>2</v>
      </c>
      <c r="S961">
        <v>4</v>
      </c>
      <c r="T961">
        <v>2</v>
      </c>
      <c r="U961" t="s">
        <v>23</v>
      </c>
      <c r="V961">
        <v>4</v>
      </c>
      <c r="W961">
        <f>COUNTIF($A$2:A961,A961)</f>
        <v>1</v>
      </c>
    </row>
    <row r="962" spans="1:23" x14ac:dyDescent="0.35">
      <c r="A962" t="s">
        <v>474</v>
      </c>
      <c r="B962" s="2">
        <v>43225</v>
      </c>
      <c r="D962" t="s">
        <v>23</v>
      </c>
      <c r="E962">
        <v>28</v>
      </c>
      <c r="F962" t="s">
        <v>62</v>
      </c>
      <c r="G962" t="s">
        <v>25</v>
      </c>
      <c r="H962" t="s">
        <v>58</v>
      </c>
      <c r="I962" t="s">
        <v>27</v>
      </c>
      <c r="J962" t="s">
        <v>28</v>
      </c>
      <c r="K962">
        <v>4</v>
      </c>
      <c r="L962" t="s">
        <v>66</v>
      </c>
      <c r="M962">
        <v>116000</v>
      </c>
      <c r="N962">
        <v>4.3</v>
      </c>
      <c r="O962">
        <v>14.2</v>
      </c>
      <c r="P962">
        <v>7.7</v>
      </c>
      <c r="Q962">
        <v>2</v>
      </c>
      <c r="R962">
        <v>3</v>
      </c>
      <c r="S962">
        <v>3</v>
      </c>
      <c r="T962">
        <v>3</v>
      </c>
      <c r="U962" t="s">
        <v>30</v>
      </c>
      <c r="V962">
        <v>4</v>
      </c>
      <c r="W962">
        <f>COUNTIF($A$2:A962,A962)</f>
        <v>1</v>
      </c>
    </row>
    <row r="963" spans="1:23" x14ac:dyDescent="0.35">
      <c r="A963" t="s">
        <v>547</v>
      </c>
      <c r="B963" s="2">
        <v>45818</v>
      </c>
      <c r="D963" t="s">
        <v>23</v>
      </c>
      <c r="E963">
        <v>41</v>
      </c>
      <c r="F963" t="s">
        <v>36</v>
      </c>
      <c r="G963" t="s">
        <v>37</v>
      </c>
      <c r="H963" t="s">
        <v>32</v>
      </c>
      <c r="I963" t="s">
        <v>59</v>
      </c>
      <c r="J963" t="s">
        <v>86</v>
      </c>
      <c r="K963">
        <v>2</v>
      </c>
      <c r="L963" t="s">
        <v>66</v>
      </c>
      <c r="M963">
        <v>56000</v>
      </c>
      <c r="N963">
        <v>8.1999999999999993</v>
      </c>
      <c r="O963">
        <v>4.5</v>
      </c>
      <c r="P963">
        <v>0.6</v>
      </c>
      <c r="Q963">
        <v>0</v>
      </c>
      <c r="R963">
        <v>3</v>
      </c>
      <c r="S963">
        <v>3</v>
      </c>
      <c r="T963">
        <v>4</v>
      </c>
      <c r="U963" t="s">
        <v>23</v>
      </c>
      <c r="V963">
        <v>3</v>
      </c>
      <c r="W963">
        <f>COUNTIF($A$2:A963,A963)</f>
        <v>1</v>
      </c>
    </row>
    <row r="964" spans="1:23" x14ac:dyDescent="0.35">
      <c r="A964" t="s">
        <v>417</v>
      </c>
      <c r="B964" s="2">
        <v>44850</v>
      </c>
      <c r="D964" t="s">
        <v>23</v>
      </c>
      <c r="E964">
        <v>40</v>
      </c>
      <c r="F964" t="s">
        <v>24</v>
      </c>
      <c r="G964" t="s">
        <v>37</v>
      </c>
      <c r="H964" t="s">
        <v>54</v>
      </c>
      <c r="I964" t="s">
        <v>55</v>
      </c>
      <c r="J964" t="s">
        <v>179</v>
      </c>
      <c r="K964">
        <v>4</v>
      </c>
      <c r="L964" t="s">
        <v>29</v>
      </c>
      <c r="M964">
        <v>116000</v>
      </c>
      <c r="N964">
        <v>5.0999999999999996</v>
      </c>
      <c r="O964">
        <v>7.3</v>
      </c>
      <c r="P964">
        <v>3.2</v>
      </c>
      <c r="Q964">
        <v>1.3</v>
      </c>
      <c r="R964">
        <v>4</v>
      </c>
      <c r="S964">
        <v>3</v>
      </c>
      <c r="T964">
        <v>3</v>
      </c>
      <c r="U964" t="s">
        <v>23</v>
      </c>
      <c r="V964">
        <v>3</v>
      </c>
      <c r="W964">
        <f>COUNTIF($A$2:A964,A964)</f>
        <v>1</v>
      </c>
    </row>
    <row r="965" spans="1:23" x14ac:dyDescent="0.35">
      <c r="A965" t="s">
        <v>292</v>
      </c>
      <c r="B965" s="2">
        <v>45670</v>
      </c>
      <c r="D965" t="s">
        <v>23</v>
      </c>
      <c r="E965">
        <v>42</v>
      </c>
      <c r="F965" t="s">
        <v>36</v>
      </c>
      <c r="G965" t="s">
        <v>42</v>
      </c>
      <c r="H965" t="s">
        <v>32</v>
      </c>
      <c r="I965" t="s">
        <v>38</v>
      </c>
      <c r="J965" t="s">
        <v>39</v>
      </c>
      <c r="K965">
        <v>4</v>
      </c>
      <c r="L965" t="s">
        <v>34</v>
      </c>
      <c r="M965">
        <v>128000</v>
      </c>
      <c r="N965">
        <v>5.0999999999999996</v>
      </c>
      <c r="O965">
        <v>8.8000000000000007</v>
      </c>
      <c r="P965">
        <v>1</v>
      </c>
      <c r="Q965">
        <v>0.3</v>
      </c>
      <c r="R965">
        <v>3</v>
      </c>
      <c r="S965">
        <v>3</v>
      </c>
      <c r="T965">
        <v>3</v>
      </c>
      <c r="U965" t="s">
        <v>23</v>
      </c>
      <c r="V965">
        <v>3</v>
      </c>
      <c r="W965">
        <f>COUNTIF($A$2:A965,A965)</f>
        <v>1</v>
      </c>
    </row>
    <row r="966" spans="1:23" x14ac:dyDescent="0.35">
      <c r="A966" t="s">
        <v>672</v>
      </c>
      <c r="B966" s="2">
        <v>43973</v>
      </c>
      <c r="D966" t="s">
        <v>23</v>
      </c>
      <c r="E966">
        <v>29</v>
      </c>
      <c r="F966" t="s">
        <v>62</v>
      </c>
      <c r="G966" t="s">
        <v>42</v>
      </c>
      <c r="H966" t="s">
        <v>54</v>
      </c>
      <c r="I966" t="s">
        <v>48</v>
      </c>
      <c r="J966" t="s">
        <v>49</v>
      </c>
      <c r="K966">
        <v>2</v>
      </c>
      <c r="L966" t="s">
        <v>50</v>
      </c>
      <c r="M966">
        <v>49000</v>
      </c>
      <c r="N966">
        <v>12.9</v>
      </c>
      <c r="O966">
        <v>8.6</v>
      </c>
      <c r="P966">
        <v>5.6</v>
      </c>
      <c r="Q966">
        <v>0.5</v>
      </c>
      <c r="R966">
        <v>2</v>
      </c>
      <c r="S966">
        <v>2</v>
      </c>
      <c r="T966">
        <v>4</v>
      </c>
      <c r="U966" t="s">
        <v>30</v>
      </c>
      <c r="V966">
        <v>1</v>
      </c>
      <c r="W966">
        <f>COUNTIF($A$2:A966,A966)</f>
        <v>1</v>
      </c>
    </row>
    <row r="967" spans="1:23" x14ac:dyDescent="0.35">
      <c r="A967" t="s">
        <v>819</v>
      </c>
      <c r="B967" s="2">
        <v>45904</v>
      </c>
      <c r="D967" t="s">
        <v>23</v>
      </c>
      <c r="E967">
        <v>44</v>
      </c>
      <c r="F967" t="s">
        <v>24</v>
      </c>
      <c r="G967" t="s">
        <v>37</v>
      </c>
      <c r="H967" t="s">
        <v>58</v>
      </c>
      <c r="I967" t="s">
        <v>59</v>
      </c>
      <c r="J967" t="s">
        <v>86</v>
      </c>
      <c r="K967">
        <v>5</v>
      </c>
      <c r="L967" t="s">
        <v>84</v>
      </c>
      <c r="M967">
        <v>158000</v>
      </c>
      <c r="N967">
        <v>13.4</v>
      </c>
      <c r="O967">
        <v>3.3</v>
      </c>
      <c r="P967">
        <v>0.3</v>
      </c>
      <c r="Q967">
        <v>0</v>
      </c>
      <c r="R967">
        <v>2</v>
      </c>
      <c r="S967">
        <v>4</v>
      </c>
      <c r="T967">
        <v>3</v>
      </c>
      <c r="U967" t="s">
        <v>30</v>
      </c>
      <c r="V967">
        <v>4</v>
      </c>
      <c r="W967">
        <f>COUNTIF($A$2:A967,A967)</f>
        <v>1</v>
      </c>
    </row>
    <row r="968" spans="1:23" x14ac:dyDescent="0.35">
      <c r="A968" t="s">
        <v>944</v>
      </c>
      <c r="B968" s="2">
        <v>45561</v>
      </c>
      <c r="D968" t="s">
        <v>23</v>
      </c>
      <c r="E968">
        <v>32</v>
      </c>
      <c r="F968" t="s">
        <v>36</v>
      </c>
      <c r="G968" t="s">
        <v>25</v>
      </c>
      <c r="H968" t="s">
        <v>26</v>
      </c>
      <c r="I968" t="s">
        <v>38</v>
      </c>
      <c r="J968" t="s">
        <v>118</v>
      </c>
      <c r="K968">
        <v>5</v>
      </c>
      <c r="L968" t="s">
        <v>66</v>
      </c>
      <c r="M968">
        <v>160000</v>
      </c>
      <c r="N968">
        <v>6.9</v>
      </c>
      <c r="O968">
        <v>7.6</v>
      </c>
      <c r="P968">
        <v>1.3</v>
      </c>
      <c r="Q968">
        <v>1.2</v>
      </c>
      <c r="R968">
        <v>1</v>
      </c>
      <c r="S968">
        <v>4</v>
      </c>
      <c r="T968">
        <v>3</v>
      </c>
      <c r="U968" t="s">
        <v>30</v>
      </c>
      <c r="V968">
        <v>3</v>
      </c>
      <c r="W968">
        <f>COUNTIF($A$2:A968,A968)</f>
        <v>1</v>
      </c>
    </row>
    <row r="969" spans="1:23" x14ac:dyDescent="0.35">
      <c r="A969" t="s">
        <v>1304</v>
      </c>
      <c r="B969" s="2">
        <v>43323</v>
      </c>
      <c r="D969" t="s">
        <v>23</v>
      </c>
      <c r="E969">
        <v>42</v>
      </c>
      <c r="F969" t="s">
        <v>62</v>
      </c>
      <c r="G969" t="s">
        <v>37</v>
      </c>
      <c r="H969" t="s">
        <v>54</v>
      </c>
      <c r="I969" t="s">
        <v>68</v>
      </c>
      <c r="J969" t="s">
        <v>109</v>
      </c>
      <c r="K969">
        <v>1</v>
      </c>
      <c r="L969" t="s">
        <v>34</v>
      </c>
      <c r="M969">
        <v>24000</v>
      </c>
      <c r="N969">
        <v>7.5</v>
      </c>
      <c r="O969">
        <v>8.1999999999999993</v>
      </c>
      <c r="P969">
        <v>7.4</v>
      </c>
      <c r="Q969">
        <v>3.6</v>
      </c>
      <c r="R969">
        <v>3</v>
      </c>
      <c r="S969">
        <v>3</v>
      </c>
      <c r="T969">
        <v>1</v>
      </c>
      <c r="U969" t="s">
        <v>30</v>
      </c>
      <c r="V969">
        <v>4</v>
      </c>
      <c r="W969">
        <f>COUNTIF($A$2:A969,A969)</f>
        <v>1</v>
      </c>
    </row>
    <row r="970" spans="1:23" x14ac:dyDescent="0.35">
      <c r="A970" t="s">
        <v>1387</v>
      </c>
      <c r="B970" s="2">
        <v>45623</v>
      </c>
      <c r="D970" t="s">
        <v>23</v>
      </c>
      <c r="E970">
        <v>23</v>
      </c>
      <c r="F970" t="s">
        <v>24</v>
      </c>
      <c r="G970" t="s">
        <v>25</v>
      </c>
      <c r="H970" t="s">
        <v>32</v>
      </c>
      <c r="I970" t="s">
        <v>68</v>
      </c>
      <c r="J970" t="s">
        <v>69</v>
      </c>
      <c r="K970">
        <v>1</v>
      </c>
      <c r="L970" t="s">
        <v>50</v>
      </c>
      <c r="M970">
        <v>39000</v>
      </c>
      <c r="N970">
        <v>6.1</v>
      </c>
      <c r="O970">
        <v>3</v>
      </c>
      <c r="P970">
        <v>1.1000000000000001</v>
      </c>
      <c r="Q970">
        <v>1.1000000000000001</v>
      </c>
      <c r="R970">
        <v>3</v>
      </c>
      <c r="S970">
        <v>3</v>
      </c>
      <c r="T970">
        <v>3</v>
      </c>
      <c r="U970" t="s">
        <v>23</v>
      </c>
      <c r="V970">
        <v>3</v>
      </c>
      <c r="W970">
        <f>COUNTIF($A$2:A970,A970)</f>
        <v>1</v>
      </c>
    </row>
    <row r="971" spans="1:23" x14ac:dyDescent="0.35">
      <c r="A971" t="s">
        <v>440</v>
      </c>
      <c r="B971" s="2">
        <v>45496</v>
      </c>
      <c r="C971" s="2">
        <v>45695</v>
      </c>
      <c r="D971" t="s">
        <v>30</v>
      </c>
      <c r="E971">
        <v>30</v>
      </c>
      <c r="F971" t="s">
        <v>36</v>
      </c>
      <c r="G971" t="s">
        <v>37</v>
      </c>
      <c r="H971" t="s">
        <v>58</v>
      </c>
      <c r="I971" t="s">
        <v>38</v>
      </c>
      <c r="J971" t="s">
        <v>118</v>
      </c>
      <c r="K971">
        <v>3</v>
      </c>
      <c r="L971" t="s">
        <v>29</v>
      </c>
      <c r="M971">
        <v>79000</v>
      </c>
      <c r="N971">
        <v>9</v>
      </c>
      <c r="O971">
        <v>2.8</v>
      </c>
      <c r="P971">
        <v>0.5</v>
      </c>
      <c r="Q971">
        <v>0</v>
      </c>
      <c r="R971">
        <v>3</v>
      </c>
      <c r="S971">
        <v>3</v>
      </c>
      <c r="T971">
        <v>2</v>
      </c>
      <c r="U971" t="s">
        <v>30</v>
      </c>
      <c r="V971">
        <v>3</v>
      </c>
      <c r="W971">
        <f>COUNTIF($A$2:A971,A971)</f>
        <v>1</v>
      </c>
    </row>
    <row r="972" spans="1:23" x14ac:dyDescent="0.35">
      <c r="A972" t="s">
        <v>1455</v>
      </c>
      <c r="B972" s="2">
        <v>44623</v>
      </c>
      <c r="C972" s="2">
        <v>45787</v>
      </c>
      <c r="D972" t="s">
        <v>30</v>
      </c>
      <c r="E972">
        <v>30</v>
      </c>
      <c r="F972" t="s">
        <v>36</v>
      </c>
      <c r="G972" t="s">
        <v>42</v>
      </c>
      <c r="H972" t="s">
        <v>32</v>
      </c>
      <c r="I972" t="s">
        <v>55</v>
      </c>
      <c r="J972" t="s">
        <v>80</v>
      </c>
      <c r="K972">
        <v>3</v>
      </c>
      <c r="L972" t="s">
        <v>84</v>
      </c>
      <c r="M972">
        <v>83000</v>
      </c>
      <c r="N972">
        <v>10.3</v>
      </c>
      <c r="O972">
        <v>6.3</v>
      </c>
      <c r="P972">
        <v>3.2</v>
      </c>
      <c r="Q972">
        <v>2.6</v>
      </c>
      <c r="R972">
        <v>3</v>
      </c>
      <c r="S972">
        <v>3</v>
      </c>
      <c r="T972">
        <v>4</v>
      </c>
      <c r="U972" t="s">
        <v>23</v>
      </c>
      <c r="V972">
        <v>4</v>
      </c>
      <c r="W972">
        <f>COUNTIF($A$2:A972,A972)</f>
        <v>1</v>
      </c>
    </row>
    <row r="973" spans="1:23" x14ac:dyDescent="0.35">
      <c r="A973" t="s">
        <v>274</v>
      </c>
      <c r="B973" s="2">
        <v>41819</v>
      </c>
      <c r="D973" t="s">
        <v>23</v>
      </c>
      <c r="E973">
        <v>34</v>
      </c>
      <c r="F973" t="s">
        <v>36</v>
      </c>
      <c r="G973" t="s">
        <v>37</v>
      </c>
      <c r="H973" t="s">
        <v>26</v>
      </c>
      <c r="I973" t="s">
        <v>45</v>
      </c>
      <c r="J973" t="s">
        <v>46</v>
      </c>
      <c r="K973">
        <v>3</v>
      </c>
      <c r="L973" t="s">
        <v>40</v>
      </c>
      <c r="M973">
        <v>81000</v>
      </c>
      <c r="N973">
        <v>3.4</v>
      </c>
      <c r="O973">
        <v>18.5</v>
      </c>
      <c r="P973">
        <v>11.5</v>
      </c>
      <c r="Q973">
        <v>1</v>
      </c>
      <c r="R973">
        <v>4</v>
      </c>
      <c r="S973">
        <v>3</v>
      </c>
      <c r="T973">
        <v>2</v>
      </c>
      <c r="U973" t="s">
        <v>23</v>
      </c>
      <c r="V973">
        <v>5</v>
      </c>
      <c r="W973">
        <f>COUNTIF($A$2:A973,A973)</f>
        <v>1</v>
      </c>
    </row>
    <row r="974" spans="1:23" x14ac:dyDescent="0.35">
      <c r="A974" t="s">
        <v>246</v>
      </c>
      <c r="B974" s="2">
        <v>44270</v>
      </c>
      <c r="D974" t="s">
        <v>23</v>
      </c>
      <c r="E974">
        <v>25</v>
      </c>
      <c r="F974" t="s">
        <v>24</v>
      </c>
      <c r="G974" t="s">
        <v>37</v>
      </c>
      <c r="H974" t="s">
        <v>54</v>
      </c>
      <c r="I974" t="s">
        <v>55</v>
      </c>
      <c r="J974" t="s">
        <v>80</v>
      </c>
      <c r="K974">
        <v>1</v>
      </c>
      <c r="L974" t="s">
        <v>66</v>
      </c>
      <c r="M974">
        <v>26000</v>
      </c>
      <c r="N974">
        <v>6</v>
      </c>
      <c r="O974">
        <v>11</v>
      </c>
      <c r="P974">
        <v>4.8</v>
      </c>
      <c r="Q974">
        <v>3</v>
      </c>
      <c r="R974">
        <v>3</v>
      </c>
      <c r="S974">
        <v>3</v>
      </c>
      <c r="T974">
        <v>4</v>
      </c>
      <c r="U974" t="s">
        <v>23</v>
      </c>
      <c r="V974">
        <v>3</v>
      </c>
      <c r="W974">
        <f>COUNTIF($A$2:A974,A974)</f>
        <v>1</v>
      </c>
    </row>
    <row r="975" spans="1:23" x14ac:dyDescent="0.35">
      <c r="A975" t="s">
        <v>1005</v>
      </c>
      <c r="B975" s="2">
        <v>43005</v>
      </c>
      <c r="D975" t="s">
        <v>23</v>
      </c>
      <c r="E975">
        <v>40</v>
      </c>
      <c r="F975" t="s">
        <v>62</v>
      </c>
      <c r="G975" t="s">
        <v>37</v>
      </c>
      <c r="H975" t="s">
        <v>54</v>
      </c>
      <c r="I975" t="s">
        <v>55</v>
      </c>
      <c r="J975" t="s">
        <v>179</v>
      </c>
      <c r="K975">
        <v>2</v>
      </c>
      <c r="L975" t="s">
        <v>29</v>
      </c>
      <c r="M975">
        <v>64000</v>
      </c>
      <c r="N975">
        <v>2.9</v>
      </c>
      <c r="O975">
        <v>11.4</v>
      </c>
      <c r="P975">
        <v>8.3000000000000007</v>
      </c>
      <c r="Q975">
        <v>3.2</v>
      </c>
      <c r="R975">
        <v>4</v>
      </c>
      <c r="S975">
        <v>3</v>
      </c>
      <c r="T975">
        <v>4</v>
      </c>
      <c r="U975" t="s">
        <v>23</v>
      </c>
      <c r="V975">
        <v>3</v>
      </c>
      <c r="W975">
        <f>COUNTIF($A$2:A975,A975)</f>
        <v>1</v>
      </c>
    </row>
    <row r="976" spans="1:23" x14ac:dyDescent="0.35">
      <c r="A976" t="s">
        <v>836</v>
      </c>
      <c r="B976" s="2">
        <v>42683</v>
      </c>
      <c r="D976" t="s">
        <v>23</v>
      </c>
      <c r="E976">
        <v>35</v>
      </c>
      <c r="F976" t="s">
        <v>62</v>
      </c>
      <c r="G976" t="s">
        <v>25</v>
      </c>
      <c r="H976" t="s">
        <v>32</v>
      </c>
      <c r="I976" t="s">
        <v>27</v>
      </c>
      <c r="J976" t="s">
        <v>28</v>
      </c>
      <c r="K976">
        <v>3</v>
      </c>
      <c r="L976" t="s">
        <v>84</v>
      </c>
      <c r="M976">
        <v>75000</v>
      </c>
      <c r="N976">
        <v>1.6</v>
      </c>
      <c r="O976">
        <v>14.2</v>
      </c>
      <c r="P976">
        <v>9.1</v>
      </c>
      <c r="Q976">
        <v>4.8</v>
      </c>
      <c r="R976">
        <v>3</v>
      </c>
      <c r="S976">
        <v>3</v>
      </c>
      <c r="T976">
        <v>4</v>
      </c>
      <c r="U976" t="s">
        <v>30</v>
      </c>
      <c r="V976">
        <v>5</v>
      </c>
      <c r="W976">
        <f>COUNTIF($A$2:A976,A976)</f>
        <v>1</v>
      </c>
    </row>
    <row r="977" spans="1:23" x14ac:dyDescent="0.35">
      <c r="A977" t="s">
        <v>1015</v>
      </c>
      <c r="B977" s="2">
        <v>44630</v>
      </c>
      <c r="D977" t="s">
        <v>23</v>
      </c>
      <c r="E977">
        <v>33</v>
      </c>
      <c r="F977" t="s">
        <v>36</v>
      </c>
      <c r="G977" t="s">
        <v>37</v>
      </c>
      <c r="H977" t="s">
        <v>54</v>
      </c>
      <c r="I977" t="s">
        <v>59</v>
      </c>
      <c r="J977" t="s">
        <v>86</v>
      </c>
      <c r="K977">
        <v>2</v>
      </c>
      <c r="L977" t="s">
        <v>50</v>
      </c>
      <c r="M977">
        <v>57000</v>
      </c>
      <c r="N977">
        <v>0.2</v>
      </c>
      <c r="O977">
        <v>11</v>
      </c>
      <c r="P977">
        <v>3.8</v>
      </c>
      <c r="Q977">
        <v>1</v>
      </c>
      <c r="R977">
        <v>1</v>
      </c>
      <c r="S977">
        <v>3</v>
      </c>
      <c r="T977">
        <v>3</v>
      </c>
      <c r="U977" t="s">
        <v>23</v>
      </c>
      <c r="V977">
        <v>1</v>
      </c>
      <c r="W977">
        <f>COUNTIF($A$2:A977,A977)</f>
        <v>1</v>
      </c>
    </row>
    <row r="978" spans="1:23" x14ac:dyDescent="0.35">
      <c r="A978" t="s">
        <v>951</v>
      </c>
      <c r="B978" s="2">
        <v>42484</v>
      </c>
      <c r="D978" t="s">
        <v>23</v>
      </c>
      <c r="E978">
        <v>34</v>
      </c>
      <c r="F978" t="s">
        <v>36</v>
      </c>
      <c r="G978" t="s">
        <v>25</v>
      </c>
      <c r="H978" t="s">
        <v>26</v>
      </c>
      <c r="I978" t="s">
        <v>48</v>
      </c>
      <c r="J978" t="s">
        <v>63</v>
      </c>
      <c r="K978">
        <v>5</v>
      </c>
      <c r="L978" t="s">
        <v>34</v>
      </c>
      <c r="M978">
        <v>168000</v>
      </c>
      <c r="N978">
        <v>11.8</v>
      </c>
      <c r="O978">
        <v>13</v>
      </c>
      <c r="P978">
        <v>9.6999999999999993</v>
      </c>
      <c r="Q978">
        <v>3</v>
      </c>
      <c r="R978">
        <v>4</v>
      </c>
      <c r="S978">
        <v>4</v>
      </c>
      <c r="T978">
        <v>4</v>
      </c>
      <c r="U978" t="s">
        <v>30</v>
      </c>
      <c r="V978">
        <v>4</v>
      </c>
      <c r="W978">
        <f>COUNTIF($A$2:A978,A978)</f>
        <v>1</v>
      </c>
    </row>
    <row r="979" spans="1:23" x14ac:dyDescent="0.35">
      <c r="A979" t="s">
        <v>300</v>
      </c>
      <c r="B979" s="2">
        <v>44606</v>
      </c>
      <c r="D979" t="s">
        <v>23</v>
      </c>
      <c r="E979">
        <v>27</v>
      </c>
      <c r="F979" t="s">
        <v>24</v>
      </c>
      <c r="G979" t="s">
        <v>25</v>
      </c>
      <c r="H979" t="s">
        <v>54</v>
      </c>
      <c r="I979" t="s">
        <v>27</v>
      </c>
      <c r="J979" t="s">
        <v>95</v>
      </c>
      <c r="K979">
        <v>1</v>
      </c>
      <c r="L979" t="s">
        <v>50</v>
      </c>
      <c r="M979">
        <v>22000</v>
      </c>
      <c r="N979">
        <v>7.4</v>
      </c>
      <c r="O979">
        <v>11.3</v>
      </c>
      <c r="P979">
        <v>3.9</v>
      </c>
      <c r="Q979">
        <v>1.5</v>
      </c>
      <c r="R979">
        <v>4</v>
      </c>
      <c r="S979">
        <v>3</v>
      </c>
      <c r="T979">
        <v>2</v>
      </c>
      <c r="U979" t="s">
        <v>23</v>
      </c>
      <c r="V979">
        <v>4</v>
      </c>
      <c r="W979">
        <f>COUNTIF($A$2:A979,A979)</f>
        <v>1</v>
      </c>
    </row>
    <row r="980" spans="1:23" x14ac:dyDescent="0.35">
      <c r="A980" t="s">
        <v>1404</v>
      </c>
      <c r="B980" s="2">
        <v>45825</v>
      </c>
      <c r="D980" t="s">
        <v>23</v>
      </c>
      <c r="E980">
        <v>43</v>
      </c>
      <c r="F980" t="s">
        <v>24</v>
      </c>
      <c r="G980" t="s">
        <v>42</v>
      </c>
      <c r="H980" t="s">
        <v>26</v>
      </c>
      <c r="I980" t="s">
        <v>68</v>
      </c>
      <c r="J980" t="s">
        <v>109</v>
      </c>
      <c r="K980">
        <v>4</v>
      </c>
      <c r="L980" t="s">
        <v>84</v>
      </c>
      <c r="M980">
        <v>117000</v>
      </c>
      <c r="N980">
        <v>10.7</v>
      </c>
      <c r="O980">
        <v>5.8</v>
      </c>
      <c r="P980">
        <v>0.5</v>
      </c>
      <c r="Q980">
        <v>0</v>
      </c>
      <c r="R980">
        <v>4</v>
      </c>
      <c r="S980">
        <v>3</v>
      </c>
      <c r="T980">
        <v>4</v>
      </c>
      <c r="U980" t="s">
        <v>30</v>
      </c>
      <c r="V980">
        <v>3</v>
      </c>
      <c r="W980">
        <f>COUNTIF($A$2:A980,A980)</f>
        <v>1</v>
      </c>
    </row>
    <row r="981" spans="1:23" x14ac:dyDescent="0.35">
      <c r="A981" t="s">
        <v>1100</v>
      </c>
      <c r="B981" s="2">
        <v>45419</v>
      </c>
      <c r="D981" t="s">
        <v>23</v>
      </c>
      <c r="E981">
        <v>29</v>
      </c>
      <c r="F981" t="s">
        <v>36</v>
      </c>
      <c r="G981" t="s">
        <v>42</v>
      </c>
      <c r="H981" t="s">
        <v>26</v>
      </c>
      <c r="I981" t="s">
        <v>68</v>
      </c>
      <c r="J981" t="s">
        <v>102</v>
      </c>
      <c r="K981">
        <v>1</v>
      </c>
      <c r="L981" t="s">
        <v>66</v>
      </c>
      <c r="M981">
        <v>32000</v>
      </c>
      <c r="N981">
        <v>15.7</v>
      </c>
      <c r="O981">
        <v>2.2000000000000002</v>
      </c>
      <c r="P981">
        <v>1.7</v>
      </c>
      <c r="Q981">
        <v>1.3</v>
      </c>
      <c r="R981">
        <v>4</v>
      </c>
      <c r="S981">
        <v>4</v>
      </c>
      <c r="T981">
        <v>3</v>
      </c>
      <c r="U981" t="s">
        <v>30</v>
      </c>
      <c r="V981">
        <v>3</v>
      </c>
      <c r="W981">
        <f>COUNTIF($A$2:A981,A981)</f>
        <v>1</v>
      </c>
    </row>
    <row r="982" spans="1:23" x14ac:dyDescent="0.35">
      <c r="A982" t="s">
        <v>524</v>
      </c>
      <c r="B982" s="2">
        <v>43856</v>
      </c>
      <c r="D982" t="s">
        <v>23</v>
      </c>
      <c r="E982">
        <v>44</v>
      </c>
      <c r="F982" t="s">
        <v>24</v>
      </c>
      <c r="G982" t="s">
        <v>25</v>
      </c>
      <c r="H982" t="s">
        <v>26</v>
      </c>
      <c r="I982" t="s">
        <v>59</v>
      </c>
      <c r="J982" t="s">
        <v>60</v>
      </c>
      <c r="K982">
        <v>3</v>
      </c>
      <c r="L982" t="s">
        <v>50</v>
      </c>
      <c r="M982">
        <v>72000</v>
      </c>
      <c r="N982">
        <v>14.3</v>
      </c>
      <c r="O982">
        <v>6.7</v>
      </c>
      <c r="P982">
        <v>5.9</v>
      </c>
      <c r="Q982">
        <v>1</v>
      </c>
      <c r="R982">
        <v>4</v>
      </c>
      <c r="S982">
        <v>4</v>
      </c>
      <c r="T982">
        <v>3</v>
      </c>
      <c r="U982" t="s">
        <v>23</v>
      </c>
      <c r="V982">
        <v>3</v>
      </c>
      <c r="W982">
        <f>COUNTIF($A$2:A982,A982)</f>
        <v>1</v>
      </c>
    </row>
    <row r="983" spans="1:23" x14ac:dyDescent="0.35">
      <c r="A983" t="s">
        <v>205</v>
      </c>
      <c r="B983" s="2">
        <v>43682</v>
      </c>
      <c r="D983" t="s">
        <v>23</v>
      </c>
      <c r="E983">
        <v>37</v>
      </c>
      <c r="F983" t="s">
        <v>24</v>
      </c>
      <c r="G983" t="s">
        <v>25</v>
      </c>
      <c r="H983" t="s">
        <v>54</v>
      </c>
      <c r="I983" t="s">
        <v>55</v>
      </c>
      <c r="J983" t="s">
        <v>179</v>
      </c>
      <c r="K983">
        <v>2</v>
      </c>
      <c r="L983" t="s">
        <v>40</v>
      </c>
      <c r="M983">
        <v>55000</v>
      </c>
      <c r="N983">
        <v>3.3</v>
      </c>
      <c r="O983">
        <v>12.5</v>
      </c>
      <c r="P983">
        <v>6.4</v>
      </c>
      <c r="Q983">
        <v>2.1</v>
      </c>
      <c r="R983">
        <v>2</v>
      </c>
      <c r="S983">
        <v>3</v>
      </c>
      <c r="T983">
        <v>3</v>
      </c>
      <c r="U983" t="s">
        <v>23</v>
      </c>
      <c r="V983">
        <v>4</v>
      </c>
      <c r="W983">
        <f>COUNTIF($A$2:A983,A983)</f>
        <v>1</v>
      </c>
    </row>
    <row r="984" spans="1:23" x14ac:dyDescent="0.35">
      <c r="A984" t="s">
        <v>568</v>
      </c>
      <c r="B984" s="2">
        <v>43847</v>
      </c>
      <c r="D984" t="s">
        <v>23</v>
      </c>
      <c r="E984">
        <v>40</v>
      </c>
      <c r="F984" t="s">
        <v>36</v>
      </c>
      <c r="G984" t="s">
        <v>42</v>
      </c>
      <c r="H984" t="s">
        <v>58</v>
      </c>
      <c r="I984" t="s">
        <v>55</v>
      </c>
      <c r="J984" t="s">
        <v>179</v>
      </c>
      <c r="K984">
        <v>3</v>
      </c>
      <c r="L984" t="s">
        <v>29</v>
      </c>
      <c r="M984">
        <v>82000</v>
      </c>
      <c r="N984">
        <v>3</v>
      </c>
      <c r="O984">
        <v>11.9</v>
      </c>
      <c r="P984">
        <v>6</v>
      </c>
      <c r="Q984">
        <v>5</v>
      </c>
      <c r="R984">
        <v>3</v>
      </c>
      <c r="S984">
        <v>4</v>
      </c>
      <c r="T984">
        <v>4</v>
      </c>
      <c r="U984" t="s">
        <v>23</v>
      </c>
      <c r="V984">
        <v>4</v>
      </c>
      <c r="W984">
        <f>COUNTIF($A$2:A984,A984)</f>
        <v>1</v>
      </c>
    </row>
    <row r="985" spans="1:23" x14ac:dyDescent="0.35">
      <c r="A985" t="s">
        <v>1089</v>
      </c>
      <c r="B985" s="2">
        <v>45757</v>
      </c>
      <c r="C985" s="2">
        <v>45987</v>
      </c>
      <c r="D985" t="s">
        <v>30</v>
      </c>
      <c r="E985">
        <v>32</v>
      </c>
      <c r="F985" t="s">
        <v>36</v>
      </c>
      <c r="G985" t="s">
        <v>37</v>
      </c>
      <c r="H985" t="s">
        <v>32</v>
      </c>
      <c r="I985" t="s">
        <v>68</v>
      </c>
      <c r="J985" t="s">
        <v>109</v>
      </c>
      <c r="K985">
        <v>4</v>
      </c>
      <c r="L985" t="s">
        <v>50</v>
      </c>
      <c r="M985">
        <v>115000</v>
      </c>
      <c r="N985">
        <v>12.8</v>
      </c>
      <c r="O985">
        <v>8.1</v>
      </c>
      <c r="P985">
        <v>0.6</v>
      </c>
      <c r="Q985">
        <v>0</v>
      </c>
      <c r="R985">
        <v>3</v>
      </c>
      <c r="S985">
        <v>3</v>
      </c>
      <c r="T985">
        <v>4</v>
      </c>
      <c r="U985" t="s">
        <v>30</v>
      </c>
      <c r="V985">
        <v>5</v>
      </c>
      <c r="W985">
        <f>COUNTIF($A$2:A985,A985)</f>
        <v>1</v>
      </c>
    </row>
    <row r="986" spans="1:23" x14ac:dyDescent="0.35">
      <c r="A986" t="s">
        <v>700</v>
      </c>
      <c r="B986" s="2">
        <v>43890</v>
      </c>
      <c r="D986" t="s">
        <v>23</v>
      </c>
      <c r="E986">
        <v>46</v>
      </c>
      <c r="F986" t="s">
        <v>62</v>
      </c>
      <c r="G986" t="s">
        <v>42</v>
      </c>
      <c r="H986" t="s">
        <v>58</v>
      </c>
      <c r="I986" t="s">
        <v>27</v>
      </c>
      <c r="J986" t="s">
        <v>43</v>
      </c>
      <c r="K986">
        <v>3</v>
      </c>
      <c r="L986" t="s">
        <v>50</v>
      </c>
      <c r="M986">
        <v>76000</v>
      </c>
      <c r="N986">
        <v>7.6</v>
      </c>
      <c r="O986">
        <v>6.8</v>
      </c>
      <c r="P986">
        <v>5.8</v>
      </c>
      <c r="Q986">
        <v>4.7</v>
      </c>
      <c r="R986">
        <v>3</v>
      </c>
      <c r="S986">
        <v>4</v>
      </c>
      <c r="T986">
        <v>3</v>
      </c>
      <c r="U986" t="s">
        <v>23</v>
      </c>
      <c r="V986">
        <v>3</v>
      </c>
      <c r="W986">
        <f>COUNTIF($A$2:A986,A986)</f>
        <v>1</v>
      </c>
    </row>
    <row r="987" spans="1:23" x14ac:dyDescent="0.35">
      <c r="A987" t="s">
        <v>74</v>
      </c>
      <c r="B987" s="2">
        <v>44740</v>
      </c>
      <c r="D987" t="s">
        <v>23</v>
      </c>
      <c r="E987">
        <v>31</v>
      </c>
      <c r="F987" t="s">
        <v>62</v>
      </c>
      <c r="G987" t="s">
        <v>42</v>
      </c>
      <c r="H987" t="s">
        <v>26</v>
      </c>
      <c r="I987" t="s">
        <v>59</v>
      </c>
      <c r="J987" t="s">
        <v>75</v>
      </c>
      <c r="K987">
        <v>1</v>
      </c>
      <c r="L987" t="s">
        <v>34</v>
      </c>
      <c r="M987">
        <v>30000</v>
      </c>
      <c r="N987">
        <v>12.8</v>
      </c>
      <c r="O987">
        <v>6.5</v>
      </c>
      <c r="P987">
        <v>3.5</v>
      </c>
      <c r="Q987">
        <v>0.5</v>
      </c>
      <c r="R987">
        <v>2</v>
      </c>
      <c r="S987">
        <v>3</v>
      </c>
      <c r="T987">
        <v>3</v>
      </c>
      <c r="U987" t="s">
        <v>23</v>
      </c>
      <c r="V987">
        <v>2</v>
      </c>
      <c r="W987">
        <f>COUNTIF($A$2:A987,A987)</f>
        <v>1</v>
      </c>
    </row>
    <row r="988" spans="1:23" x14ac:dyDescent="0.35">
      <c r="A988" t="s">
        <v>83</v>
      </c>
      <c r="B988" s="2">
        <v>45214</v>
      </c>
      <c r="C988" s="2">
        <v>45705</v>
      </c>
      <c r="D988" t="s">
        <v>30</v>
      </c>
      <c r="E988">
        <v>25</v>
      </c>
      <c r="F988" t="s">
        <v>24</v>
      </c>
      <c r="G988" t="s">
        <v>42</v>
      </c>
      <c r="H988" t="s">
        <v>58</v>
      </c>
      <c r="I988" t="s">
        <v>68</v>
      </c>
      <c r="J988" t="s">
        <v>69</v>
      </c>
      <c r="K988">
        <v>1</v>
      </c>
      <c r="L988" t="s">
        <v>84</v>
      </c>
      <c r="M988">
        <v>35000</v>
      </c>
      <c r="N988">
        <v>11.7</v>
      </c>
      <c r="O988">
        <v>8.3000000000000007</v>
      </c>
      <c r="P988">
        <v>1.3</v>
      </c>
      <c r="Q988">
        <v>1.2</v>
      </c>
      <c r="R988">
        <v>3</v>
      </c>
      <c r="S988">
        <v>3</v>
      </c>
      <c r="T988">
        <v>4</v>
      </c>
      <c r="U988" t="s">
        <v>30</v>
      </c>
      <c r="V988">
        <v>3</v>
      </c>
      <c r="W988">
        <f>COUNTIF($A$2:A988,A988)</f>
        <v>1</v>
      </c>
    </row>
    <row r="989" spans="1:23" x14ac:dyDescent="0.35">
      <c r="A989" t="s">
        <v>1030</v>
      </c>
      <c r="B989" s="2">
        <v>43425</v>
      </c>
      <c r="D989" t="s">
        <v>23</v>
      </c>
      <c r="E989">
        <v>39</v>
      </c>
      <c r="F989" t="s">
        <v>62</v>
      </c>
      <c r="G989" t="s">
        <v>25</v>
      </c>
      <c r="H989" t="s">
        <v>58</v>
      </c>
      <c r="I989" t="s">
        <v>38</v>
      </c>
      <c r="J989" t="s">
        <v>139</v>
      </c>
      <c r="K989">
        <v>3</v>
      </c>
      <c r="L989" t="s">
        <v>66</v>
      </c>
      <c r="M989">
        <v>93000</v>
      </c>
      <c r="N989">
        <v>9.1999999999999993</v>
      </c>
      <c r="O989">
        <v>13.2</v>
      </c>
      <c r="P989">
        <v>7.1</v>
      </c>
      <c r="Q989">
        <v>4.5</v>
      </c>
      <c r="R989">
        <v>1</v>
      </c>
      <c r="S989">
        <v>4</v>
      </c>
      <c r="T989">
        <v>2</v>
      </c>
      <c r="U989" t="s">
        <v>30</v>
      </c>
      <c r="V989">
        <v>4</v>
      </c>
      <c r="W989">
        <f>COUNTIF($A$2:A989,A989)</f>
        <v>1</v>
      </c>
    </row>
    <row r="990" spans="1:23" x14ac:dyDescent="0.35">
      <c r="A990" t="s">
        <v>1108</v>
      </c>
      <c r="B990" s="2">
        <v>44188</v>
      </c>
      <c r="D990" t="s">
        <v>23</v>
      </c>
      <c r="E990">
        <v>42</v>
      </c>
      <c r="F990" t="s">
        <v>62</v>
      </c>
      <c r="G990" t="s">
        <v>37</v>
      </c>
      <c r="H990" t="s">
        <v>26</v>
      </c>
      <c r="I990" t="s">
        <v>45</v>
      </c>
      <c r="J990" t="s">
        <v>77</v>
      </c>
      <c r="K990">
        <v>2</v>
      </c>
      <c r="L990" t="s">
        <v>34</v>
      </c>
      <c r="M990">
        <v>38000</v>
      </c>
      <c r="N990">
        <v>7.6</v>
      </c>
      <c r="O990">
        <v>5.8</v>
      </c>
      <c r="P990">
        <v>5</v>
      </c>
      <c r="Q990">
        <v>1.7</v>
      </c>
      <c r="R990">
        <v>3</v>
      </c>
      <c r="S990">
        <v>4</v>
      </c>
      <c r="T990">
        <v>2</v>
      </c>
      <c r="U990" t="s">
        <v>23</v>
      </c>
      <c r="V990">
        <v>2</v>
      </c>
      <c r="W990">
        <f>COUNTIF($A$2:A990,A990)</f>
        <v>1</v>
      </c>
    </row>
    <row r="991" spans="1:23" x14ac:dyDescent="0.35">
      <c r="A991" t="s">
        <v>1108</v>
      </c>
      <c r="B991" s="2">
        <v>44188</v>
      </c>
      <c r="D991" t="s">
        <v>23</v>
      </c>
      <c r="E991">
        <v>42</v>
      </c>
      <c r="F991" t="s">
        <v>62</v>
      </c>
      <c r="G991" t="s">
        <v>37</v>
      </c>
      <c r="H991" t="s">
        <v>26</v>
      </c>
      <c r="I991" t="s">
        <v>45</v>
      </c>
      <c r="J991" t="s">
        <v>77</v>
      </c>
      <c r="K991">
        <v>2</v>
      </c>
      <c r="L991" t="s">
        <v>34</v>
      </c>
      <c r="M991">
        <v>38000</v>
      </c>
      <c r="N991">
        <v>7.6</v>
      </c>
      <c r="O991">
        <v>5.8</v>
      </c>
      <c r="P991">
        <v>5</v>
      </c>
      <c r="Q991">
        <v>1.7</v>
      </c>
      <c r="R991">
        <v>3</v>
      </c>
      <c r="S991">
        <v>4</v>
      </c>
      <c r="T991">
        <v>2</v>
      </c>
      <c r="U991" t="s">
        <v>23</v>
      </c>
      <c r="V991">
        <v>2</v>
      </c>
      <c r="W991">
        <f>COUNTIF($A$2:A991,A991)</f>
        <v>2</v>
      </c>
    </row>
    <row r="992" spans="1:23" x14ac:dyDescent="0.35">
      <c r="A992" t="s">
        <v>1016</v>
      </c>
      <c r="B992" s="2">
        <v>44178</v>
      </c>
      <c r="D992" t="s">
        <v>23</v>
      </c>
      <c r="E992">
        <v>36</v>
      </c>
      <c r="F992" t="s">
        <v>62</v>
      </c>
      <c r="G992" t="s">
        <v>37</v>
      </c>
      <c r="H992" t="s">
        <v>26</v>
      </c>
      <c r="I992" t="s">
        <v>38</v>
      </c>
      <c r="J992" t="s">
        <v>52</v>
      </c>
      <c r="K992">
        <v>4</v>
      </c>
      <c r="L992" t="s">
        <v>34</v>
      </c>
      <c r="M992">
        <v>135000</v>
      </c>
      <c r="N992">
        <v>6.6</v>
      </c>
      <c r="O992">
        <v>12.2</v>
      </c>
      <c r="P992">
        <v>5</v>
      </c>
      <c r="Q992">
        <v>1.2</v>
      </c>
      <c r="R992">
        <v>2</v>
      </c>
      <c r="S992">
        <v>3</v>
      </c>
      <c r="T992">
        <v>2</v>
      </c>
      <c r="U992" t="s">
        <v>30</v>
      </c>
      <c r="V992">
        <v>5</v>
      </c>
      <c r="W992">
        <f>COUNTIF($A$2:A992,A992)</f>
        <v>1</v>
      </c>
    </row>
    <row r="993" spans="1:23" x14ac:dyDescent="0.35">
      <c r="A993" t="s">
        <v>187</v>
      </c>
      <c r="B993" s="2">
        <v>42521</v>
      </c>
      <c r="D993" t="s">
        <v>23</v>
      </c>
      <c r="E993">
        <v>30</v>
      </c>
      <c r="F993" t="s">
        <v>24</v>
      </c>
      <c r="G993" t="s">
        <v>42</v>
      </c>
      <c r="H993" t="s">
        <v>32</v>
      </c>
      <c r="I993" t="s">
        <v>55</v>
      </c>
      <c r="J993" t="s">
        <v>179</v>
      </c>
      <c r="K993">
        <v>2</v>
      </c>
      <c r="L993" t="s">
        <v>50</v>
      </c>
      <c r="M993">
        <v>70000</v>
      </c>
      <c r="N993">
        <v>11.2</v>
      </c>
      <c r="O993">
        <v>9.6</v>
      </c>
      <c r="P993">
        <v>9.6</v>
      </c>
      <c r="Q993">
        <v>3.1</v>
      </c>
      <c r="R993">
        <v>3</v>
      </c>
      <c r="S993">
        <v>3</v>
      </c>
      <c r="T993">
        <v>4</v>
      </c>
      <c r="U993" t="s">
        <v>23</v>
      </c>
      <c r="V993">
        <v>4</v>
      </c>
      <c r="W993">
        <f>COUNTIF($A$2:A993,A993)</f>
        <v>1</v>
      </c>
    </row>
    <row r="994" spans="1:23" x14ac:dyDescent="0.35">
      <c r="A994" t="s">
        <v>1208</v>
      </c>
      <c r="B994" s="2">
        <v>44395</v>
      </c>
      <c r="D994" t="s">
        <v>23</v>
      </c>
      <c r="E994">
        <v>31</v>
      </c>
      <c r="F994" t="s">
        <v>24</v>
      </c>
      <c r="G994" t="s">
        <v>25</v>
      </c>
      <c r="H994" t="s">
        <v>54</v>
      </c>
      <c r="I994" t="s">
        <v>48</v>
      </c>
      <c r="J994" t="s">
        <v>49</v>
      </c>
      <c r="K994">
        <v>3</v>
      </c>
      <c r="L994" t="s">
        <v>84</v>
      </c>
      <c r="M994">
        <v>68000</v>
      </c>
      <c r="N994">
        <v>11.1</v>
      </c>
      <c r="O994">
        <v>12.2</v>
      </c>
      <c r="P994">
        <v>4.5</v>
      </c>
      <c r="Q994">
        <v>1.9</v>
      </c>
      <c r="R994">
        <v>3</v>
      </c>
      <c r="S994">
        <v>3</v>
      </c>
      <c r="T994">
        <v>3</v>
      </c>
      <c r="U994" t="s">
        <v>23</v>
      </c>
      <c r="V994">
        <v>4</v>
      </c>
      <c r="W994">
        <f>COUNTIF($A$2:A994,A994)</f>
        <v>1</v>
      </c>
    </row>
    <row r="995" spans="1:23" x14ac:dyDescent="0.35">
      <c r="A995" t="s">
        <v>986</v>
      </c>
      <c r="B995" s="2">
        <v>45423</v>
      </c>
      <c r="D995" t="s">
        <v>23</v>
      </c>
      <c r="E995">
        <v>48</v>
      </c>
      <c r="F995" t="s">
        <v>62</v>
      </c>
      <c r="G995" t="s">
        <v>37</v>
      </c>
      <c r="H995" t="s">
        <v>32</v>
      </c>
      <c r="I995" t="s">
        <v>45</v>
      </c>
      <c r="J995" t="s">
        <v>46</v>
      </c>
      <c r="K995">
        <v>1</v>
      </c>
      <c r="L995" t="s">
        <v>40</v>
      </c>
      <c r="M995">
        <v>37000</v>
      </c>
      <c r="N995">
        <v>6.7</v>
      </c>
      <c r="O995">
        <v>6.3</v>
      </c>
      <c r="P995">
        <v>1.6</v>
      </c>
      <c r="Q995">
        <v>1.3</v>
      </c>
      <c r="R995">
        <v>4</v>
      </c>
      <c r="S995">
        <v>3</v>
      </c>
      <c r="T995">
        <v>4</v>
      </c>
      <c r="U995" t="s">
        <v>23</v>
      </c>
      <c r="V995">
        <v>3</v>
      </c>
      <c r="W995">
        <f>COUNTIF($A$2:A995,A995)</f>
        <v>1</v>
      </c>
    </row>
    <row r="996" spans="1:23" x14ac:dyDescent="0.35">
      <c r="A996" t="s">
        <v>1392</v>
      </c>
      <c r="B996" s="2">
        <v>42990</v>
      </c>
      <c r="D996" t="s">
        <v>23</v>
      </c>
      <c r="E996">
        <v>32</v>
      </c>
      <c r="F996" t="s">
        <v>24</v>
      </c>
      <c r="G996" t="s">
        <v>42</v>
      </c>
      <c r="H996" t="s">
        <v>32</v>
      </c>
      <c r="I996" t="s">
        <v>45</v>
      </c>
      <c r="J996" t="s">
        <v>164</v>
      </c>
      <c r="K996">
        <v>3</v>
      </c>
      <c r="L996" t="s">
        <v>34</v>
      </c>
      <c r="M996">
        <v>70000</v>
      </c>
      <c r="N996">
        <v>13.5</v>
      </c>
      <c r="O996">
        <v>12.9</v>
      </c>
      <c r="P996">
        <v>8.3000000000000007</v>
      </c>
      <c r="Q996">
        <v>3.9</v>
      </c>
      <c r="R996">
        <v>2</v>
      </c>
      <c r="S996">
        <v>3</v>
      </c>
      <c r="T996">
        <v>4</v>
      </c>
      <c r="U996" t="s">
        <v>30</v>
      </c>
      <c r="V996">
        <v>1</v>
      </c>
      <c r="W996">
        <f>COUNTIF($A$2:A996,A996)</f>
        <v>1</v>
      </c>
    </row>
    <row r="997" spans="1:23" x14ac:dyDescent="0.35">
      <c r="A997" t="s">
        <v>428</v>
      </c>
      <c r="B997" s="2">
        <v>43703</v>
      </c>
      <c r="D997" t="s">
        <v>23</v>
      </c>
      <c r="E997">
        <v>28</v>
      </c>
      <c r="F997" t="s">
        <v>24</v>
      </c>
      <c r="G997" t="s">
        <v>42</v>
      </c>
      <c r="H997" t="s">
        <v>58</v>
      </c>
      <c r="I997" t="s">
        <v>55</v>
      </c>
      <c r="J997" t="s">
        <v>179</v>
      </c>
      <c r="K997">
        <v>3</v>
      </c>
      <c r="L997" t="s">
        <v>40</v>
      </c>
      <c r="M997">
        <v>107000</v>
      </c>
      <c r="N997">
        <v>9.1999999999999993</v>
      </c>
      <c r="O997">
        <v>11.6</v>
      </c>
      <c r="P997">
        <v>6.3</v>
      </c>
      <c r="Q997">
        <v>4.0999999999999996</v>
      </c>
      <c r="R997">
        <v>3</v>
      </c>
      <c r="S997">
        <v>3</v>
      </c>
      <c r="T997">
        <v>2</v>
      </c>
      <c r="U997" t="s">
        <v>23</v>
      </c>
      <c r="V997">
        <v>4</v>
      </c>
      <c r="W997">
        <f>COUNTIF($A$2:A997,A997)</f>
        <v>1</v>
      </c>
    </row>
    <row r="998" spans="1:23" x14ac:dyDescent="0.35">
      <c r="A998" t="s">
        <v>754</v>
      </c>
      <c r="B998" s="2">
        <v>42897</v>
      </c>
      <c r="D998" t="s">
        <v>23</v>
      </c>
      <c r="E998">
        <v>29</v>
      </c>
      <c r="F998" t="s">
        <v>24</v>
      </c>
      <c r="G998" t="s">
        <v>42</v>
      </c>
      <c r="H998" t="s">
        <v>26</v>
      </c>
      <c r="I998" t="s">
        <v>59</v>
      </c>
      <c r="J998" t="s">
        <v>86</v>
      </c>
      <c r="K998">
        <v>3</v>
      </c>
      <c r="L998" t="s">
        <v>84</v>
      </c>
      <c r="M998">
        <v>78000</v>
      </c>
      <c r="N998">
        <v>10.199999999999999</v>
      </c>
      <c r="O998">
        <v>9.8000000000000007</v>
      </c>
      <c r="P998">
        <v>8.6</v>
      </c>
      <c r="Q998">
        <v>4.7</v>
      </c>
      <c r="R998">
        <v>3</v>
      </c>
      <c r="S998">
        <v>4</v>
      </c>
      <c r="T998">
        <v>3</v>
      </c>
      <c r="U998" t="s">
        <v>23</v>
      </c>
      <c r="V998">
        <v>4</v>
      </c>
      <c r="W998">
        <f>COUNTIF($A$2:A998,A998)</f>
        <v>1</v>
      </c>
    </row>
    <row r="999" spans="1:23" x14ac:dyDescent="0.35">
      <c r="A999" t="s">
        <v>87</v>
      </c>
      <c r="B999" s="2">
        <v>44092</v>
      </c>
      <c r="D999" t="s">
        <v>23</v>
      </c>
      <c r="E999">
        <v>47</v>
      </c>
      <c r="F999" t="s">
        <v>36</v>
      </c>
      <c r="G999" t="s">
        <v>42</v>
      </c>
      <c r="H999" t="s">
        <v>54</v>
      </c>
      <c r="I999" t="s">
        <v>55</v>
      </c>
      <c r="J999" t="s">
        <v>88</v>
      </c>
      <c r="K999">
        <v>2</v>
      </c>
      <c r="L999" t="s">
        <v>84</v>
      </c>
      <c r="M999">
        <v>73000</v>
      </c>
      <c r="N999">
        <v>7.4</v>
      </c>
      <c r="O999">
        <v>10</v>
      </c>
      <c r="P999">
        <v>5.3</v>
      </c>
      <c r="Q999">
        <v>1.8</v>
      </c>
      <c r="R999">
        <v>4</v>
      </c>
      <c r="S999">
        <v>3</v>
      </c>
      <c r="T999">
        <v>3</v>
      </c>
      <c r="U999" t="s">
        <v>30</v>
      </c>
      <c r="V999">
        <v>4</v>
      </c>
      <c r="W999">
        <f>COUNTIF($A$2:A999,A999)</f>
        <v>1</v>
      </c>
    </row>
    <row r="1000" spans="1:23" x14ac:dyDescent="0.35">
      <c r="A1000" t="s">
        <v>494</v>
      </c>
      <c r="B1000" s="2">
        <v>42046</v>
      </c>
      <c r="D1000" t="s">
        <v>23</v>
      </c>
      <c r="E1000">
        <v>35</v>
      </c>
      <c r="F1000" t="s">
        <v>62</v>
      </c>
      <c r="G1000" t="s">
        <v>42</v>
      </c>
      <c r="H1000" t="s">
        <v>58</v>
      </c>
      <c r="I1000" t="s">
        <v>55</v>
      </c>
      <c r="J1000" t="s">
        <v>80</v>
      </c>
      <c r="K1000">
        <v>2</v>
      </c>
      <c r="L1000" t="s">
        <v>29</v>
      </c>
      <c r="M1000">
        <v>62000</v>
      </c>
      <c r="N1000">
        <v>10.4</v>
      </c>
      <c r="O1000">
        <v>12.6</v>
      </c>
      <c r="P1000">
        <v>10.9</v>
      </c>
      <c r="Q1000">
        <v>5.7</v>
      </c>
      <c r="R1000">
        <v>2</v>
      </c>
      <c r="S1000">
        <v>3</v>
      </c>
      <c r="T1000">
        <v>4</v>
      </c>
      <c r="U1000" t="s">
        <v>30</v>
      </c>
      <c r="V1000">
        <v>2</v>
      </c>
      <c r="W1000">
        <f>COUNTIF($A$2:A1000,A1000)</f>
        <v>1</v>
      </c>
    </row>
    <row r="1001" spans="1:23" x14ac:dyDescent="0.35">
      <c r="A1001" t="s">
        <v>640</v>
      </c>
      <c r="B1001" s="2">
        <v>43706</v>
      </c>
      <c r="C1001" s="2">
        <v>45712</v>
      </c>
      <c r="D1001" t="s">
        <v>30</v>
      </c>
      <c r="E1001">
        <v>37</v>
      </c>
      <c r="F1001" t="s">
        <v>62</v>
      </c>
      <c r="G1001" t="s">
        <v>25</v>
      </c>
      <c r="H1001" t="s">
        <v>32</v>
      </c>
      <c r="I1001" t="s">
        <v>38</v>
      </c>
      <c r="J1001" t="s">
        <v>39</v>
      </c>
      <c r="K1001">
        <v>4</v>
      </c>
      <c r="L1001" t="s">
        <v>29</v>
      </c>
      <c r="M1001">
        <v>137000</v>
      </c>
      <c r="N1001">
        <v>11.3</v>
      </c>
      <c r="O1001">
        <v>7.4</v>
      </c>
      <c r="P1001">
        <v>5.5</v>
      </c>
      <c r="Q1001">
        <v>1.6</v>
      </c>
      <c r="R1001">
        <v>3</v>
      </c>
      <c r="S1001">
        <v>4</v>
      </c>
      <c r="T1001">
        <v>3</v>
      </c>
      <c r="U1001" t="s">
        <v>23</v>
      </c>
      <c r="V1001">
        <v>4</v>
      </c>
      <c r="W1001">
        <f>COUNTIF($A$2:A1001,A1001)</f>
        <v>1</v>
      </c>
    </row>
    <row r="1002" spans="1:23" x14ac:dyDescent="0.35">
      <c r="A1002" t="s">
        <v>122</v>
      </c>
      <c r="B1002" s="2">
        <v>45829</v>
      </c>
      <c r="D1002" t="s">
        <v>23</v>
      </c>
      <c r="E1002">
        <v>43</v>
      </c>
      <c r="F1002" t="s">
        <v>36</v>
      </c>
      <c r="G1002" t="s">
        <v>42</v>
      </c>
      <c r="H1002" t="s">
        <v>58</v>
      </c>
      <c r="I1002" t="s">
        <v>48</v>
      </c>
      <c r="J1002" t="s">
        <v>63</v>
      </c>
      <c r="K1002">
        <v>2</v>
      </c>
      <c r="L1002" t="s">
        <v>66</v>
      </c>
      <c r="M1002">
        <v>70000</v>
      </c>
      <c r="N1002">
        <v>21.6</v>
      </c>
      <c r="O1002">
        <v>3.3</v>
      </c>
      <c r="P1002">
        <v>0.5</v>
      </c>
      <c r="Q1002">
        <v>0</v>
      </c>
      <c r="R1002">
        <v>4</v>
      </c>
      <c r="S1002">
        <v>2</v>
      </c>
      <c r="T1002">
        <v>3</v>
      </c>
      <c r="U1002" t="s">
        <v>23</v>
      </c>
      <c r="V1002">
        <v>4</v>
      </c>
      <c r="W1002">
        <f>COUNTIF($A$2:A1002,A1002)</f>
        <v>1</v>
      </c>
    </row>
    <row r="1003" spans="1:23" x14ac:dyDescent="0.35">
      <c r="A1003" t="s">
        <v>119</v>
      </c>
      <c r="B1003" s="2">
        <v>41808</v>
      </c>
      <c r="D1003" t="s">
        <v>23</v>
      </c>
      <c r="E1003">
        <v>35</v>
      </c>
      <c r="F1003" t="s">
        <v>24</v>
      </c>
      <c r="G1003" t="s">
        <v>25</v>
      </c>
      <c r="H1003" t="s">
        <v>58</v>
      </c>
      <c r="I1003" t="s">
        <v>55</v>
      </c>
      <c r="J1003" t="s">
        <v>80</v>
      </c>
      <c r="K1003">
        <v>3</v>
      </c>
      <c r="L1003" t="s">
        <v>34</v>
      </c>
      <c r="M1003">
        <v>71000</v>
      </c>
      <c r="N1003">
        <v>11.2</v>
      </c>
      <c r="O1003">
        <v>16.5</v>
      </c>
      <c r="P1003">
        <v>11.5</v>
      </c>
      <c r="Q1003">
        <v>5.3</v>
      </c>
      <c r="R1003">
        <v>3</v>
      </c>
      <c r="S1003">
        <v>3</v>
      </c>
      <c r="T1003">
        <v>4</v>
      </c>
      <c r="U1003" t="s">
        <v>23</v>
      </c>
      <c r="V1003">
        <v>3</v>
      </c>
      <c r="W1003">
        <f>COUNTIF($A$2:A1003,A1003)</f>
        <v>1</v>
      </c>
    </row>
    <row r="1004" spans="1:23" x14ac:dyDescent="0.35">
      <c r="A1004" t="s">
        <v>535</v>
      </c>
      <c r="B1004" s="2">
        <v>45843</v>
      </c>
      <c r="C1004" s="2">
        <v>45955</v>
      </c>
      <c r="D1004" t="s">
        <v>30</v>
      </c>
      <c r="E1004">
        <v>46</v>
      </c>
      <c r="F1004" t="s">
        <v>62</v>
      </c>
      <c r="G1004" t="s">
        <v>25</v>
      </c>
      <c r="H1004" t="s">
        <v>54</v>
      </c>
      <c r="I1004" t="s">
        <v>55</v>
      </c>
      <c r="J1004" t="s">
        <v>80</v>
      </c>
      <c r="K1004">
        <v>5</v>
      </c>
      <c r="L1004" t="s">
        <v>29</v>
      </c>
      <c r="M1004">
        <v>172000</v>
      </c>
      <c r="N1004">
        <v>2.2000000000000002</v>
      </c>
      <c r="O1004">
        <v>7.2</v>
      </c>
      <c r="P1004">
        <v>0.3</v>
      </c>
      <c r="Q1004">
        <v>0</v>
      </c>
      <c r="R1004">
        <v>3</v>
      </c>
      <c r="S1004">
        <v>3</v>
      </c>
      <c r="T1004">
        <v>4</v>
      </c>
      <c r="U1004" t="s">
        <v>30</v>
      </c>
      <c r="V1004">
        <v>2</v>
      </c>
      <c r="W1004">
        <f>COUNTIF($A$2:A1004,A1004)</f>
        <v>1</v>
      </c>
    </row>
    <row r="1005" spans="1:23" x14ac:dyDescent="0.35">
      <c r="A1005" t="s">
        <v>178</v>
      </c>
      <c r="B1005" s="2">
        <v>45724</v>
      </c>
      <c r="C1005" s="2">
        <v>46019</v>
      </c>
      <c r="D1005" t="s">
        <v>30</v>
      </c>
      <c r="E1005">
        <v>21</v>
      </c>
      <c r="F1005" t="s">
        <v>24</v>
      </c>
      <c r="G1005" t="s">
        <v>37</v>
      </c>
      <c r="H1005" t="s">
        <v>58</v>
      </c>
      <c r="I1005" t="s">
        <v>55</v>
      </c>
      <c r="J1005" t="s">
        <v>179</v>
      </c>
      <c r="K1005">
        <v>1</v>
      </c>
      <c r="L1005" t="s">
        <v>40</v>
      </c>
      <c r="M1005">
        <v>46000</v>
      </c>
      <c r="N1005">
        <v>0.7</v>
      </c>
      <c r="O1005">
        <v>5.5</v>
      </c>
      <c r="P1005">
        <v>0.8</v>
      </c>
      <c r="Q1005">
        <v>0</v>
      </c>
      <c r="R1005">
        <v>2</v>
      </c>
      <c r="S1005">
        <v>3</v>
      </c>
      <c r="T1005">
        <v>3</v>
      </c>
      <c r="U1005" t="s">
        <v>30</v>
      </c>
      <c r="V1005">
        <v>3</v>
      </c>
      <c r="W1005">
        <f>COUNTIF($A$2:A1005,A1005)</f>
        <v>1</v>
      </c>
    </row>
    <row r="1006" spans="1:23" x14ac:dyDescent="0.35">
      <c r="A1006" t="s">
        <v>1371</v>
      </c>
      <c r="B1006" s="2">
        <v>45889</v>
      </c>
      <c r="D1006" t="s">
        <v>23</v>
      </c>
      <c r="E1006">
        <v>21</v>
      </c>
      <c r="F1006" t="s">
        <v>62</v>
      </c>
      <c r="H1006" t="s">
        <v>26</v>
      </c>
      <c r="I1006" t="s">
        <v>27</v>
      </c>
      <c r="J1006" t="s">
        <v>43</v>
      </c>
      <c r="K1006">
        <v>1</v>
      </c>
      <c r="L1006" t="s">
        <v>34</v>
      </c>
      <c r="M1006">
        <v>29000</v>
      </c>
      <c r="N1006">
        <v>15.6</v>
      </c>
      <c r="O1006">
        <v>7.9</v>
      </c>
      <c r="P1006">
        <v>0.4</v>
      </c>
      <c r="Q1006">
        <v>0</v>
      </c>
      <c r="R1006">
        <v>3</v>
      </c>
      <c r="S1006">
        <v>3</v>
      </c>
      <c r="T1006">
        <v>3</v>
      </c>
      <c r="U1006" t="s">
        <v>30</v>
      </c>
      <c r="V1006">
        <v>2</v>
      </c>
      <c r="W1006">
        <f>COUNTIF($A$2:A1006,A1006)</f>
        <v>1</v>
      </c>
    </row>
    <row r="1007" spans="1:23" x14ac:dyDescent="0.35">
      <c r="A1007" t="s">
        <v>1149</v>
      </c>
      <c r="B1007" s="2">
        <v>43966</v>
      </c>
      <c r="D1007" t="s">
        <v>23</v>
      </c>
      <c r="E1007">
        <v>27</v>
      </c>
      <c r="F1007" t="s">
        <v>36</v>
      </c>
      <c r="G1007" t="s">
        <v>25</v>
      </c>
      <c r="H1007" t="s">
        <v>32</v>
      </c>
      <c r="I1007" t="s">
        <v>59</v>
      </c>
      <c r="J1007" t="s">
        <v>86</v>
      </c>
      <c r="K1007">
        <v>1</v>
      </c>
      <c r="L1007" t="s">
        <v>50</v>
      </c>
      <c r="M1007">
        <v>33000</v>
      </c>
      <c r="N1007">
        <v>9.1</v>
      </c>
      <c r="O1007">
        <v>7.5</v>
      </c>
      <c r="P1007">
        <v>5.6</v>
      </c>
      <c r="Q1007">
        <v>3.2</v>
      </c>
      <c r="R1007">
        <v>2</v>
      </c>
      <c r="S1007">
        <v>1</v>
      </c>
      <c r="T1007">
        <v>3</v>
      </c>
      <c r="U1007" t="s">
        <v>23</v>
      </c>
      <c r="V1007">
        <v>5</v>
      </c>
      <c r="W1007">
        <f>COUNTIF($A$2:A1007,A1007)</f>
        <v>1</v>
      </c>
    </row>
    <row r="1008" spans="1:23" x14ac:dyDescent="0.35">
      <c r="A1008" t="s">
        <v>1495</v>
      </c>
      <c r="B1008" s="2">
        <v>44946</v>
      </c>
      <c r="C1008" s="2">
        <v>45738</v>
      </c>
      <c r="D1008" t="s">
        <v>30</v>
      </c>
      <c r="E1008">
        <v>23</v>
      </c>
      <c r="F1008" t="s">
        <v>36</v>
      </c>
      <c r="G1008" t="s">
        <v>42</v>
      </c>
      <c r="H1008" t="s">
        <v>26</v>
      </c>
      <c r="I1008" t="s">
        <v>45</v>
      </c>
      <c r="J1008" t="s">
        <v>164</v>
      </c>
      <c r="K1008">
        <v>1</v>
      </c>
      <c r="L1008" t="s">
        <v>29</v>
      </c>
      <c r="M1008">
        <v>37000</v>
      </c>
      <c r="N1008">
        <v>0</v>
      </c>
      <c r="O1008">
        <v>4</v>
      </c>
      <c r="P1008">
        <v>2.2000000000000002</v>
      </c>
      <c r="Q1008">
        <v>0.1</v>
      </c>
      <c r="R1008">
        <v>3</v>
      </c>
      <c r="S1008">
        <v>2</v>
      </c>
      <c r="T1008">
        <v>4</v>
      </c>
      <c r="U1008" t="s">
        <v>23</v>
      </c>
      <c r="V1008">
        <v>3</v>
      </c>
      <c r="W1008">
        <f>COUNTIF($A$2:A1008,A1008)</f>
        <v>1</v>
      </c>
    </row>
    <row r="1009" spans="1:23" x14ac:dyDescent="0.35">
      <c r="A1009" t="s">
        <v>808</v>
      </c>
      <c r="B1009" s="2">
        <v>45801</v>
      </c>
      <c r="D1009" t="s">
        <v>23</v>
      </c>
      <c r="E1009">
        <v>30</v>
      </c>
      <c r="F1009" t="s">
        <v>24</v>
      </c>
      <c r="G1009" t="s">
        <v>42</v>
      </c>
      <c r="H1009" t="s">
        <v>54</v>
      </c>
      <c r="I1009" t="s">
        <v>48</v>
      </c>
      <c r="J1009" t="s">
        <v>49</v>
      </c>
      <c r="K1009">
        <v>3</v>
      </c>
      <c r="L1009" t="s">
        <v>50</v>
      </c>
      <c r="M1009">
        <v>86000</v>
      </c>
      <c r="N1009">
        <v>9.1</v>
      </c>
      <c r="O1009">
        <v>6.7</v>
      </c>
      <c r="P1009">
        <v>0.6</v>
      </c>
      <c r="Q1009">
        <v>0</v>
      </c>
      <c r="R1009">
        <v>3</v>
      </c>
      <c r="S1009">
        <v>4</v>
      </c>
      <c r="T1009">
        <v>3</v>
      </c>
      <c r="U1009" t="s">
        <v>23</v>
      </c>
      <c r="V1009">
        <v>4</v>
      </c>
      <c r="W1009">
        <f>COUNTIF($A$2:A1009,A1009)</f>
        <v>1</v>
      </c>
    </row>
    <row r="1010" spans="1:23" x14ac:dyDescent="0.35">
      <c r="A1010" t="s">
        <v>1175</v>
      </c>
      <c r="B1010" s="2">
        <v>45840</v>
      </c>
      <c r="D1010" t="s">
        <v>23</v>
      </c>
      <c r="E1010">
        <v>26</v>
      </c>
      <c r="F1010" t="s">
        <v>62</v>
      </c>
      <c r="G1010" t="s">
        <v>37</v>
      </c>
      <c r="H1010" t="s">
        <v>58</v>
      </c>
      <c r="I1010" t="s">
        <v>55</v>
      </c>
      <c r="J1010" t="s">
        <v>88</v>
      </c>
      <c r="K1010">
        <v>1</v>
      </c>
      <c r="L1010" t="s">
        <v>29</v>
      </c>
      <c r="M1010">
        <v>41000</v>
      </c>
      <c r="N1010">
        <v>8.6999999999999993</v>
      </c>
      <c r="O1010">
        <v>1.2</v>
      </c>
      <c r="P1010">
        <v>0.5</v>
      </c>
      <c r="Q1010">
        <v>0</v>
      </c>
      <c r="R1010">
        <v>4</v>
      </c>
      <c r="S1010">
        <v>2</v>
      </c>
      <c r="T1010">
        <v>3</v>
      </c>
      <c r="U1010" t="s">
        <v>30</v>
      </c>
      <c r="V1010">
        <v>3</v>
      </c>
      <c r="W1010">
        <f>COUNTIF($A$2:A1010,A1010)</f>
        <v>1</v>
      </c>
    </row>
    <row r="1011" spans="1:23" x14ac:dyDescent="0.35">
      <c r="A1011" t="s">
        <v>427</v>
      </c>
      <c r="B1011" s="2">
        <v>45355</v>
      </c>
      <c r="D1011" t="s">
        <v>23</v>
      </c>
      <c r="E1011">
        <v>30</v>
      </c>
      <c r="F1011" t="s">
        <v>36</v>
      </c>
      <c r="G1011" t="s">
        <v>25</v>
      </c>
      <c r="H1011" t="s">
        <v>32</v>
      </c>
      <c r="I1011" t="s">
        <v>27</v>
      </c>
      <c r="J1011" t="s">
        <v>28</v>
      </c>
      <c r="K1011">
        <v>4</v>
      </c>
      <c r="L1011" t="s">
        <v>29</v>
      </c>
      <c r="M1011">
        <v>112000</v>
      </c>
      <c r="N1011">
        <v>6.9</v>
      </c>
      <c r="O1011">
        <v>9.5</v>
      </c>
      <c r="P1011">
        <v>1.8</v>
      </c>
      <c r="Q1011">
        <v>0.8</v>
      </c>
      <c r="R1011">
        <v>3</v>
      </c>
      <c r="S1011">
        <v>3</v>
      </c>
      <c r="T1011">
        <v>4</v>
      </c>
      <c r="U1011" t="s">
        <v>23</v>
      </c>
      <c r="V1011">
        <v>3</v>
      </c>
      <c r="W1011">
        <f>COUNTIF($A$2:A1011,A1011)</f>
        <v>1</v>
      </c>
    </row>
    <row r="1012" spans="1:23" x14ac:dyDescent="0.35">
      <c r="A1012" t="s">
        <v>639</v>
      </c>
      <c r="B1012" s="2">
        <v>44650</v>
      </c>
      <c r="D1012" t="s">
        <v>23</v>
      </c>
      <c r="E1012">
        <v>48</v>
      </c>
      <c r="F1012" t="s">
        <v>62</v>
      </c>
      <c r="G1012" t="s">
        <v>37</v>
      </c>
      <c r="H1012" t="s">
        <v>54</v>
      </c>
      <c r="I1012" t="s">
        <v>59</v>
      </c>
      <c r="J1012" t="s">
        <v>75</v>
      </c>
      <c r="K1012">
        <v>2</v>
      </c>
      <c r="L1012" t="s">
        <v>34</v>
      </c>
      <c r="M1012">
        <v>39000</v>
      </c>
      <c r="N1012">
        <v>1.6</v>
      </c>
      <c r="O1012">
        <v>8.4</v>
      </c>
      <c r="P1012">
        <v>3.8</v>
      </c>
      <c r="Q1012">
        <v>3</v>
      </c>
      <c r="R1012">
        <v>3</v>
      </c>
      <c r="S1012">
        <v>2</v>
      </c>
      <c r="T1012">
        <v>1</v>
      </c>
      <c r="U1012" t="s">
        <v>23</v>
      </c>
      <c r="V1012">
        <v>4</v>
      </c>
      <c r="W1012">
        <f>COUNTIF($A$2:A1012,A1012)</f>
        <v>1</v>
      </c>
    </row>
    <row r="1013" spans="1:23" x14ac:dyDescent="0.35">
      <c r="A1013" t="s">
        <v>666</v>
      </c>
      <c r="B1013" s="2">
        <v>45407</v>
      </c>
      <c r="D1013" t="s">
        <v>23</v>
      </c>
      <c r="E1013">
        <v>28</v>
      </c>
      <c r="F1013" t="s">
        <v>24</v>
      </c>
      <c r="G1013" t="s">
        <v>42</v>
      </c>
      <c r="H1013" t="s">
        <v>26</v>
      </c>
      <c r="I1013" t="s">
        <v>45</v>
      </c>
      <c r="J1013" t="s">
        <v>97</v>
      </c>
      <c r="K1013">
        <v>1</v>
      </c>
      <c r="L1013" t="s">
        <v>84</v>
      </c>
      <c r="M1013">
        <v>29000</v>
      </c>
      <c r="N1013">
        <v>5.9</v>
      </c>
      <c r="O1013">
        <v>2.1</v>
      </c>
      <c r="P1013">
        <v>1.7</v>
      </c>
      <c r="Q1013">
        <v>1.5</v>
      </c>
      <c r="R1013">
        <v>4</v>
      </c>
      <c r="S1013">
        <v>3</v>
      </c>
      <c r="T1013">
        <v>2</v>
      </c>
      <c r="U1013" t="s">
        <v>23</v>
      </c>
      <c r="V1013">
        <v>4</v>
      </c>
      <c r="W1013">
        <f>COUNTIF($A$2:A1013,A1013)</f>
        <v>1</v>
      </c>
    </row>
    <row r="1014" spans="1:23" x14ac:dyDescent="0.35">
      <c r="A1014" t="s">
        <v>753</v>
      </c>
      <c r="B1014" s="2">
        <v>42374</v>
      </c>
      <c r="D1014" t="s">
        <v>23</v>
      </c>
      <c r="E1014">
        <v>44</v>
      </c>
      <c r="F1014" t="s">
        <v>36</v>
      </c>
      <c r="G1014" t="s">
        <v>37</v>
      </c>
      <c r="H1014" t="s">
        <v>54</v>
      </c>
      <c r="I1014" t="s">
        <v>68</v>
      </c>
      <c r="J1014" t="s">
        <v>69</v>
      </c>
      <c r="K1014">
        <v>3</v>
      </c>
      <c r="L1014" t="s">
        <v>29</v>
      </c>
      <c r="M1014">
        <v>84000</v>
      </c>
      <c r="N1014">
        <v>12.4</v>
      </c>
      <c r="O1014">
        <v>11.1</v>
      </c>
      <c r="P1014">
        <v>10</v>
      </c>
      <c r="Q1014">
        <v>4.7</v>
      </c>
      <c r="R1014">
        <v>3</v>
      </c>
      <c r="S1014">
        <v>3</v>
      </c>
      <c r="T1014">
        <v>2</v>
      </c>
      <c r="U1014" t="s">
        <v>30</v>
      </c>
      <c r="V1014">
        <v>2</v>
      </c>
      <c r="W1014">
        <f>COUNTIF($A$2:A1014,A1014)</f>
        <v>1</v>
      </c>
    </row>
    <row r="1015" spans="1:23" x14ac:dyDescent="0.35">
      <c r="A1015" t="s">
        <v>652</v>
      </c>
      <c r="B1015" s="2">
        <v>44646</v>
      </c>
      <c r="D1015" t="s">
        <v>23</v>
      </c>
      <c r="E1015">
        <v>25</v>
      </c>
      <c r="F1015" t="s">
        <v>62</v>
      </c>
      <c r="G1015" t="s">
        <v>37</v>
      </c>
      <c r="H1015" t="s">
        <v>26</v>
      </c>
      <c r="I1015" t="s">
        <v>45</v>
      </c>
      <c r="J1015" t="s">
        <v>164</v>
      </c>
      <c r="K1015">
        <v>1</v>
      </c>
      <c r="L1015" t="s">
        <v>50</v>
      </c>
      <c r="M1015">
        <v>22000</v>
      </c>
      <c r="N1015">
        <v>5.8</v>
      </c>
      <c r="O1015">
        <v>10.5</v>
      </c>
      <c r="P1015">
        <v>3.8</v>
      </c>
      <c r="Q1015">
        <v>0.1</v>
      </c>
      <c r="R1015">
        <v>2</v>
      </c>
      <c r="S1015">
        <v>4</v>
      </c>
      <c r="T1015">
        <v>4</v>
      </c>
      <c r="U1015" t="s">
        <v>23</v>
      </c>
      <c r="V1015">
        <v>4</v>
      </c>
      <c r="W1015">
        <f>COUNTIF($A$2:A1015,A1015)</f>
        <v>1</v>
      </c>
    </row>
    <row r="1016" spans="1:23" x14ac:dyDescent="0.35">
      <c r="A1016" t="s">
        <v>1021</v>
      </c>
      <c r="B1016" s="2">
        <v>42460</v>
      </c>
      <c r="D1016" t="s">
        <v>23</v>
      </c>
      <c r="E1016">
        <v>37</v>
      </c>
      <c r="F1016" t="s">
        <v>62</v>
      </c>
      <c r="G1016" t="s">
        <v>25</v>
      </c>
      <c r="H1016" t="s">
        <v>26</v>
      </c>
      <c r="I1016" t="s">
        <v>68</v>
      </c>
      <c r="J1016" t="s">
        <v>109</v>
      </c>
      <c r="K1016">
        <v>3</v>
      </c>
      <c r="L1016" t="s">
        <v>29</v>
      </c>
      <c r="M1016">
        <v>75000</v>
      </c>
      <c r="N1016">
        <v>8.9</v>
      </c>
      <c r="O1016">
        <v>17.399999999999999</v>
      </c>
      <c r="P1016">
        <v>9.8000000000000007</v>
      </c>
      <c r="Q1016">
        <v>0.6</v>
      </c>
      <c r="R1016">
        <v>2</v>
      </c>
      <c r="S1016">
        <v>4</v>
      </c>
      <c r="T1016">
        <v>3</v>
      </c>
      <c r="U1016" t="s">
        <v>23</v>
      </c>
      <c r="V1016">
        <v>3</v>
      </c>
      <c r="W1016">
        <f>COUNTIF($A$2:A1016,A1016)</f>
        <v>1</v>
      </c>
    </row>
    <row r="1017" spans="1:23" x14ac:dyDescent="0.35">
      <c r="A1017" t="s">
        <v>356</v>
      </c>
      <c r="B1017" s="2">
        <v>43040</v>
      </c>
      <c r="D1017" t="s">
        <v>23</v>
      </c>
      <c r="E1017">
        <v>34</v>
      </c>
      <c r="F1017" t="s">
        <v>62</v>
      </c>
      <c r="G1017" t="s">
        <v>42</v>
      </c>
      <c r="H1017" t="s">
        <v>58</v>
      </c>
      <c r="I1017" t="s">
        <v>55</v>
      </c>
      <c r="J1017" t="s">
        <v>88</v>
      </c>
      <c r="K1017">
        <v>2</v>
      </c>
      <c r="L1017" t="s">
        <v>34</v>
      </c>
      <c r="M1017">
        <v>68000</v>
      </c>
      <c r="N1017">
        <v>2.5</v>
      </c>
      <c r="O1017">
        <v>10.5</v>
      </c>
      <c r="P1017">
        <v>8.1999999999999993</v>
      </c>
      <c r="Q1017">
        <v>1</v>
      </c>
      <c r="R1017">
        <v>3</v>
      </c>
      <c r="S1017">
        <v>3</v>
      </c>
      <c r="T1017">
        <v>2</v>
      </c>
      <c r="U1017" t="s">
        <v>23</v>
      </c>
      <c r="V1017">
        <v>4</v>
      </c>
      <c r="W1017">
        <f>COUNTIF($A$2:A1017,A1017)</f>
        <v>1</v>
      </c>
    </row>
    <row r="1018" spans="1:23" x14ac:dyDescent="0.35">
      <c r="A1018" t="s">
        <v>1141</v>
      </c>
      <c r="B1018" s="2">
        <v>42390</v>
      </c>
      <c r="C1018" s="2">
        <v>45852</v>
      </c>
      <c r="D1018" t="s">
        <v>30</v>
      </c>
      <c r="E1018">
        <v>40</v>
      </c>
      <c r="F1018" t="s">
        <v>62</v>
      </c>
      <c r="G1018" t="s">
        <v>42</v>
      </c>
      <c r="H1018" t="s">
        <v>32</v>
      </c>
      <c r="I1018" t="s">
        <v>27</v>
      </c>
      <c r="J1018" t="s">
        <v>43</v>
      </c>
      <c r="K1018">
        <v>2</v>
      </c>
      <c r="L1018" t="s">
        <v>34</v>
      </c>
      <c r="M1018">
        <v>47000</v>
      </c>
      <c r="N1018">
        <v>11.8</v>
      </c>
      <c r="O1018">
        <v>13.2</v>
      </c>
      <c r="P1018">
        <v>9.5</v>
      </c>
      <c r="Q1018">
        <v>3</v>
      </c>
      <c r="R1018">
        <v>3</v>
      </c>
      <c r="S1018">
        <v>3</v>
      </c>
      <c r="T1018">
        <v>1</v>
      </c>
      <c r="U1018" t="s">
        <v>23</v>
      </c>
      <c r="V1018">
        <v>1</v>
      </c>
      <c r="W1018">
        <f>COUNTIF($A$2:A1018,A1018)</f>
        <v>1</v>
      </c>
    </row>
    <row r="1019" spans="1:23" x14ac:dyDescent="0.35">
      <c r="A1019" t="s">
        <v>616</v>
      </c>
      <c r="B1019" s="2">
        <v>42819</v>
      </c>
      <c r="D1019" t="s">
        <v>23</v>
      </c>
      <c r="E1019">
        <v>32</v>
      </c>
      <c r="F1019" t="s">
        <v>36</v>
      </c>
      <c r="G1019" t="s">
        <v>25</v>
      </c>
      <c r="H1019" t="s">
        <v>26</v>
      </c>
      <c r="I1019" t="s">
        <v>68</v>
      </c>
      <c r="J1019" t="s">
        <v>69</v>
      </c>
      <c r="K1019">
        <v>1</v>
      </c>
      <c r="L1019" t="s">
        <v>84</v>
      </c>
      <c r="M1019">
        <v>37000</v>
      </c>
      <c r="N1019">
        <v>6</v>
      </c>
      <c r="O1019">
        <v>9.8000000000000007</v>
      </c>
      <c r="P1019">
        <v>8.8000000000000007</v>
      </c>
      <c r="Q1019">
        <v>2.5</v>
      </c>
      <c r="R1019">
        <v>2</v>
      </c>
      <c r="S1019">
        <v>4</v>
      </c>
      <c r="T1019">
        <v>3</v>
      </c>
      <c r="U1019" t="s">
        <v>30</v>
      </c>
      <c r="V1019">
        <v>5</v>
      </c>
      <c r="W1019">
        <f>COUNTIF($A$2:A1019,A1019)</f>
        <v>1</v>
      </c>
    </row>
    <row r="1020" spans="1:23" x14ac:dyDescent="0.35">
      <c r="A1020" t="s">
        <v>931</v>
      </c>
      <c r="B1020" s="2">
        <v>44309</v>
      </c>
      <c r="D1020" t="s">
        <v>23</v>
      </c>
      <c r="E1020">
        <v>36</v>
      </c>
      <c r="F1020" t="s">
        <v>62</v>
      </c>
      <c r="G1020" t="s">
        <v>42</v>
      </c>
      <c r="H1020" t="s">
        <v>26</v>
      </c>
      <c r="I1020" t="s">
        <v>68</v>
      </c>
      <c r="J1020" t="s">
        <v>109</v>
      </c>
      <c r="K1020">
        <v>3</v>
      </c>
      <c r="L1020" t="s">
        <v>66</v>
      </c>
      <c r="M1020">
        <v>79000</v>
      </c>
      <c r="N1020">
        <v>4.9000000000000004</v>
      </c>
      <c r="O1020">
        <v>5.0999999999999996</v>
      </c>
      <c r="P1020">
        <v>4.7</v>
      </c>
      <c r="Q1020">
        <v>1</v>
      </c>
      <c r="R1020">
        <v>3</v>
      </c>
      <c r="S1020">
        <v>3</v>
      </c>
      <c r="T1020">
        <v>4</v>
      </c>
      <c r="U1020" t="s">
        <v>30</v>
      </c>
      <c r="V1020">
        <v>4</v>
      </c>
      <c r="W1020">
        <f>COUNTIF($A$2:A1020,A1020)</f>
        <v>1</v>
      </c>
    </row>
    <row r="1021" spans="1:23" x14ac:dyDescent="0.35">
      <c r="A1021" t="s">
        <v>830</v>
      </c>
      <c r="B1021" s="2">
        <v>45653</v>
      </c>
      <c r="D1021" t="s">
        <v>23</v>
      </c>
      <c r="E1021">
        <v>43</v>
      </c>
      <c r="F1021" t="s">
        <v>36</v>
      </c>
      <c r="G1021" t="s">
        <v>25</v>
      </c>
      <c r="H1021" t="s">
        <v>58</v>
      </c>
      <c r="I1021" t="s">
        <v>59</v>
      </c>
      <c r="J1021" t="s">
        <v>86</v>
      </c>
      <c r="K1021">
        <v>2</v>
      </c>
      <c r="L1021" t="s">
        <v>29</v>
      </c>
      <c r="M1021">
        <v>56000</v>
      </c>
      <c r="N1021">
        <v>12.8</v>
      </c>
      <c r="O1021">
        <v>3</v>
      </c>
      <c r="P1021">
        <v>1</v>
      </c>
      <c r="Q1021">
        <v>0.5</v>
      </c>
      <c r="R1021">
        <v>4</v>
      </c>
      <c r="S1021">
        <v>4</v>
      </c>
      <c r="T1021">
        <v>4</v>
      </c>
      <c r="U1021" t="s">
        <v>23</v>
      </c>
      <c r="V1021">
        <v>4</v>
      </c>
      <c r="W1021">
        <f>COUNTIF($A$2:A1021,A1021)</f>
        <v>1</v>
      </c>
    </row>
    <row r="1022" spans="1:23" x14ac:dyDescent="0.35">
      <c r="A1022" t="s">
        <v>1355</v>
      </c>
      <c r="B1022" s="2">
        <v>41935</v>
      </c>
      <c r="D1022" t="s">
        <v>23</v>
      </c>
      <c r="E1022">
        <v>38</v>
      </c>
      <c r="F1022" t="s">
        <v>62</v>
      </c>
      <c r="G1022" t="s">
        <v>42</v>
      </c>
      <c r="H1022" t="s">
        <v>58</v>
      </c>
      <c r="I1022" t="s">
        <v>55</v>
      </c>
      <c r="J1022" t="s">
        <v>80</v>
      </c>
      <c r="K1022">
        <v>3</v>
      </c>
      <c r="L1022" t="s">
        <v>29</v>
      </c>
      <c r="M1022">
        <v>92000</v>
      </c>
      <c r="N1022">
        <v>5.2</v>
      </c>
      <c r="O1022">
        <v>15.4</v>
      </c>
      <c r="P1022">
        <v>11.2</v>
      </c>
      <c r="Q1022">
        <v>0.4</v>
      </c>
      <c r="R1022">
        <v>3</v>
      </c>
      <c r="S1022">
        <v>3</v>
      </c>
      <c r="T1022">
        <v>2</v>
      </c>
      <c r="U1022" t="s">
        <v>23</v>
      </c>
      <c r="V1022">
        <v>2</v>
      </c>
      <c r="W1022">
        <f>COUNTIF($A$2:A1022,A1022)</f>
        <v>1</v>
      </c>
    </row>
    <row r="1023" spans="1:23" x14ac:dyDescent="0.35">
      <c r="A1023" t="s">
        <v>169</v>
      </c>
      <c r="B1023" s="2">
        <v>45064</v>
      </c>
      <c r="D1023" t="s">
        <v>23</v>
      </c>
      <c r="E1023">
        <v>26</v>
      </c>
      <c r="F1023" t="s">
        <v>36</v>
      </c>
      <c r="G1023" t="s">
        <v>42</v>
      </c>
      <c r="H1023" t="s">
        <v>26</v>
      </c>
      <c r="I1023" t="s">
        <v>55</v>
      </c>
      <c r="J1023" t="s">
        <v>88</v>
      </c>
      <c r="K1023">
        <v>1</v>
      </c>
      <c r="L1023" t="s">
        <v>34</v>
      </c>
      <c r="M1023">
        <v>34000</v>
      </c>
      <c r="N1023">
        <v>9.8000000000000007</v>
      </c>
      <c r="O1023">
        <v>8.4</v>
      </c>
      <c r="P1023">
        <v>2.6</v>
      </c>
      <c r="Q1023">
        <v>1</v>
      </c>
      <c r="R1023">
        <v>2</v>
      </c>
      <c r="S1023">
        <v>3</v>
      </c>
      <c r="T1023">
        <v>3</v>
      </c>
      <c r="U1023" t="s">
        <v>30</v>
      </c>
      <c r="V1023">
        <v>3</v>
      </c>
      <c r="W1023">
        <f>COUNTIF($A$2:A1023,A1023)</f>
        <v>1</v>
      </c>
    </row>
    <row r="1024" spans="1:23" x14ac:dyDescent="0.35">
      <c r="A1024" t="s">
        <v>811</v>
      </c>
      <c r="B1024" s="2">
        <v>44502</v>
      </c>
      <c r="D1024" t="s">
        <v>23</v>
      </c>
      <c r="E1024">
        <v>25</v>
      </c>
      <c r="F1024" t="s">
        <v>36</v>
      </c>
      <c r="G1024" t="s">
        <v>37</v>
      </c>
      <c r="H1024" t="s">
        <v>58</v>
      </c>
      <c r="I1024" t="s">
        <v>59</v>
      </c>
      <c r="J1024" t="s">
        <v>75</v>
      </c>
      <c r="K1024">
        <v>1</v>
      </c>
      <c r="L1024" t="s">
        <v>84</v>
      </c>
      <c r="M1024">
        <v>42000</v>
      </c>
      <c r="N1024">
        <v>11.3</v>
      </c>
      <c r="O1024">
        <v>7</v>
      </c>
      <c r="P1024">
        <v>4.2</v>
      </c>
      <c r="Q1024">
        <v>3.2</v>
      </c>
      <c r="R1024">
        <v>4</v>
      </c>
      <c r="S1024">
        <v>4</v>
      </c>
      <c r="T1024">
        <v>4</v>
      </c>
      <c r="U1024" t="s">
        <v>23</v>
      </c>
      <c r="V1024">
        <v>1</v>
      </c>
      <c r="W1024">
        <f>COUNTIF($A$2:A1024,A1024)</f>
        <v>1</v>
      </c>
    </row>
    <row r="1025" spans="1:23" x14ac:dyDescent="0.35">
      <c r="A1025" t="s">
        <v>694</v>
      </c>
      <c r="B1025" s="2">
        <v>45730</v>
      </c>
      <c r="C1025" s="2">
        <v>45811</v>
      </c>
      <c r="D1025" t="s">
        <v>30</v>
      </c>
      <c r="E1025">
        <v>22</v>
      </c>
      <c r="F1025" t="s">
        <v>62</v>
      </c>
      <c r="G1025" t="s">
        <v>25</v>
      </c>
      <c r="H1025" t="s">
        <v>26</v>
      </c>
      <c r="I1025" t="s">
        <v>27</v>
      </c>
      <c r="J1025" t="s">
        <v>95</v>
      </c>
      <c r="K1025">
        <v>1</v>
      </c>
      <c r="L1025" t="s">
        <v>40</v>
      </c>
      <c r="M1025">
        <v>31000</v>
      </c>
      <c r="N1025">
        <v>7.2</v>
      </c>
      <c r="O1025">
        <v>4</v>
      </c>
      <c r="P1025">
        <v>0.2</v>
      </c>
      <c r="Q1025">
        <v>0</v>
      </c>
      <c r="R1025">
        <v>4</v>
      </c>
      <c r="S1025">
        <v>4</v>
      </c>
      <c r="T1025">
        <v>4</v>
      </c>
      <c r="U1025" t="s">
        <v>23</v>
      </c>
      <c r="V1025">
        <v>3</v>
      </c>
      <c r="W1025">
        <f>COUNTIF($A$2:A1025,A1025)</f>
        <v>1</v>
      </c>
    </row>
    <row r="1026" spans="1:23" x14ac:dyDescent="0.35">
      <c r="A1026" t="s">
        <v>1184</v>
      </c>
      <c r="B1026" s="2">
        <v>43943</v>
      </c>
      <c r="D1026" t="s">
        <v>23</v>
      </c>
      <c r="E1026">
        <v>30</v>
      </c>
      <c r="F1026" t="s">
        <v>62</v>
      </c>
      <c r="G1026" t="s">
        <v>42</v>
      </c>
      <c r="H1026" t="s">
        <v>26</v>
      </c>
      <c r="I1026" t="s">
        <v>45</v>
      </c>
      <c r="J1026" t="s">
        <v>164</v>
      </c>
      <c r="K1026">
        <v>2</v>
      </c>
      <c r="L1026" t="s">
        <v>84</v>
      </c>
      <c r="M1026" t="s">
        <v>1185</v>
      </c>
      <c r="N1026">
        <v>7.4</v>
      </c>
      <c r="O1026">
        <v>8.3000000000000007</v>
      </c>
      <c r="P1026">
        <v>5.7</v>
      </c>
      <c r="Q1026">
        <v>5.5</v>
      </c>
      <c r="R1026">
        <v>2</v>
      </c>
      <c r="S1026">
        <v>3</v>
      </c>
      <c r="T1026">
        <v>4</v>
      </c>
      <c r="U1026" t="s">
        <v>23</v>
      </c>
      <c r="V1026">
        <v>2</v>
      </c>
      <c r="W1026">
        <f>COUNTIF($A$2:A1026,A1026)</f>
        <v>1</v>
      </c>
    </row>
    <row r="1027" spans="1:23" x14ac:dyDescent="0.35">
      <c r="A1027" t="s">
        <v>372</v>
      </c>
      <c r="B1027" s="2">
        <v>44668</v>
      </c>
      <c r="D1027" t="s">
        <v>23</v>
      </c>
      <c r="E1027">
        <v>37</v>
      </c>
      <c r="F1027" t="s">
        <v>24</v>
      </c>
      <c r="G1027" t="s">
        <v>42</v>
      </c>
      <c r="H1027" t="s">
        <v>32</v>
      </c>
      <c r="I1027" t="s">
        <v>45</v>
      </c>
      <c r="J1027" t="s">
        <v>164</v>
      </c>
      <c r="K1027">
        <v>5</v>
      </c>
      <c r="L1027" t="s">
        <v>40</v>
      </c>
      <c r="M1027">
        <v>138000</v>
      </c>
      <c r="N1027">
        <v>15.7</v>
      </c>
      <c r="O1027">
        <v>10.3</v>
      </c>
      <c r="P1027">
        <v>3.7</v>
      </c>
      <c r="Q1027">
        <v>0.7</v>
      </c>
      <c r="R1027">
        <v>2</v>
      </c>
      <c r="S1027">
        <v>3</v>
      </c>
      <c r="T1027">
        <v>3</v>
      </c>
      <c r="U1027" t="s">
        <v>30</v>
      </c>
      <c r="V1027">
        <v>5</v>
      </c>
      <c r="W1027">
        <f>COUNTIF($A$2:A1027,A1027)</f>
        <v>1</v>
      </c>
    </row>
    <row r="1028" spans="1:23" x14ac:dyDescent="0.35">
      <c r="A1028" t="s">
        <v>379</v>
      </c>
      <c r="B1028" s="2">
        <v>42873</v>
      </c>
      <c r="D1028" t="s">
        <v>23</v>
      </c>
      <c r="E1028">
        <v>42</v>
      </c>
      <c r="F1028" t="s">
        <v>62</v>
      </c>
      <c r="G1028" t="s">
        <v>37</v>
      </c>
      <c r="H1028" t="s">
        <v>54</v>
      </c>
      <c r="I1028" t="s">
        <v>59</v>
      </c>
      <c r="J1028" t="s">
        <v>75</v>
      </c>
      <c r="K1028">
        <v>1</v>
      </c>
      <c r="L1028" t="s">
        <v>40</v>
      </c>
      <c r="M1028">
        <v>31000</v>
      </c>
      <c r="N1028">
        <v>12.4</v>
      </c>
      <c r="O1028">
        <v>9.6</v>
      </c>
      <c r="P1028">
        <v>8.6</v>
      </c>
      <c r="Q1028">
        <v>0.3</v>
      </c>
      <c r="R1028">
        <v>3</v>
      </c>
      <c r="S1028">
        <v>4</v>
      </c>
      <c r="T1028">
        <v>2</v>
      </c>
      <c r="U1028" t="s">
        <v>23</v>
      </c>
      <c r="V1028">
        <v>2</v>
      </c>
      <c r="W1028">
        <f>COUNTIF($A$2:A1028,A1028)</f>
        <v>1</v>
      </c>
    </row>
    <row r="1029" spans="1:23" x14ac:dyDescent="0.35">
      <c r="A1029" t="s">
        <v>1264</v>
      </c>
      <c r="B1029" s="2">
        <v>41642</v>
      </c>
      <c r="C1029" s="2">
        <v>45697</v>
      </c>
      <c r="D1029" t="s">
        <v>30</v>
      </c>
      <c r="E1029">
        <v>41</v>
      </c>
      <c r="F1029" t="s">
        <v>36</v>
      </c>
      <c r="G1029" t="s">
        <v>42</v>
      </c>
      <c r="H1029" t="s">
        <v>26</v>
      </c>
      <c r="I1029" t="s">
        <v>55</v>
      </c>
      <c r="J1029" t="s">
        <v>80</v>
      </c>
      <c r="K1029">
        <v>3</v>
      </c>
      <c r="L1029" t="s">
        <v>34</v>
      </c>
      <c r="M1029">
        <v>86000</v>
      </c>
      <c r="N1029">
        <v>4.5999999999999996</v>
      </c>
      <c r="O1029">
        <v>18.8</v>
      </c>
      <c r="P1029">
        <v>11.1</v>
      </c>
      <c r="Q1029">
        <v>5.5</v>
      </c>
      <c r="R1029">
        <v>3</v>
      </c>
      <c r="S1029">
        <v>3</v>
      </c>
      <c r="T1029">
        <v>3</v>
      </c>
      <c r="U1029" t="s">
        <v>30</v>
      </c>
      <c r="V1029">
        <v>4</v>
      </c>
      <c r="W1029">
        <f>COUNTIF($A$2:A1029,A1029)</f>
        <v>1</v>
      </c>
    </row>
    <row r="1030" spans="1:23" x14ac:dyDescent="0.35">
      <c r="A1030" t="s">
        <v>1334</v>
      </c>
      <c r="B1030" s="2">
        <v>42835</v>
      </c>
      <c r="D1030" t="s">
        <v>23</v>
      </c>
      <c r="E1030">
        <v>32</v>
      </c>
      <c r="F1030" t="s">
        <v>36</v>
      </c>
      <c r="G1030" t="s">
        <v>37</v>
      </c>
      <c r="H1030" t="s">
        <v>32</v>
      </c>
      <c r="I1030" t="s">
        <v>27</v>
      </c>
      <c r="J1030" t="s">
        <v>33</v>
      </c>
      <c r="K1030">
        <v>3</v>
      </c>
      <c r="L1030" t="s">
        <v>66</v>
      </c>
      <c r="M1030">
        <v>76000</v>
      </c>
      <c r="N1030">
        <v>13.9</v>
      </c>
      <c r="O1030">
        <v>10.4</v>
      </c>
      <c r="P1030">
        <v>8.6999999999999993</v>
      </c>
      <c r="Q1030">
        <v>0.2</v>
      </c>
      <c r="R1030">
        <v>1</v>
      </c>
      <c r="S1030">
        <v>4</v>
      </c>
      <c r="T1030">
        <v>3</v>
      </c>
      <c r="U1030" t="s">
        <v>23</v>
      </c>
      <c r="V1030">
        <v>3</v>
      </c>
      <c r="W1030">
        <f>COUNTIF($A$2:A1030,A1030)</f>
        <v>1</v>
      </c>
    </row>
    <row r="1031" spans="1:23" x14ac:dyDescent="0.35">
      <c r="A1031" t="s">
        <v>1532</v>
      </c>
      <c r="B1031" s="2">
        <v>44301</v>
      </c>
      <c r="D1031" t="s">
        <v>23</v>
      </c>
      <c r="E1031">
        <v>37</v>
      </c>
      <c r="F1031" t="s">
        <v>24</v>
      </c>
      <c r="G1031" t="s">
        <v>25</v>
      </c>
      <c r="H1031" t="s">
        <v>32</v>
      </c>
      <c r="I1031" t="s">
        <v>27</v>
      </c>
      <c r="J1031" t="s">
        <v>43</v>
      </c>
      <c r="K1031">
        <v>2</v>
      </c>
      <c r="L1031" t="s">
        <v>34</v>
      </c>
      <c r="M1031">
        <v>45000</v>
      </c>
      <c r="N1031">
        <v>8.5</v>
      </c>
      <c r="O1031">
        <v>7</v>
      </c>
      <c r="P1031">
        <v>4.7</v>
      </c>
      <c r="Q1031">
        <v>4.5999999999999996</v>
      </c>
      <c r="R1031">
        <v>3</v>
      </c>
      <c r="S1031">
        <v>2</v>
      </c>
      <c r="T1031">
        <v>3</v>
      </c>
      <c r="U1031" t="s">
        <v>23</v>
      </c>
      <c r="V1031">
        <v>3</v>
      </c>
      <c r="W1031">
        <f>COUNTIF($A$2:A1031,A1031)</f>
        <v>1</v>
      </c>
    </row>
    <row r="1032" spans="1:23" x14ac:dyDescent="0.35">
      <c r="A1032" t="s">
        <v>1426</v>
      </c>
      <c r="B1032" s="2">
        <v>45830</v>
      </c>
      <c r="C1032" s="2">
        <v>45921</v>
      </c>
      <c r="D1032" t="s">
        <v>30</v>
      </c>
      <c r="E1032">
        <v>22</v>
      </c>
      <c r="F1032" t="s">
        <v>24</v>
      </c>
      <c r="G1032" t="s">
        <v>42</v>
      </c>
      <c r="H1032" t="s">
        <v>54</v>
      </c>
      <c r="I1032" t="s">
        <v>68</v>
      </c>
      <c r="J1032" t="s">
        <v>69</v>
      </c>
      <c r="K1032">
        <v>1</v>
      </c>
      <c r="L1032" t="s">
        <v>84</v>
      </c>
      <c r="M1032">
        <v>27000</v>
      </c>
      <c r="N1032">
        <v>14.4</v>
      </c>
      <c r="O1032">
        <v>7.2</v>
      </c>
      <c r="P1032">
        <v>0.2</v>
      </c>
      <c r="Q1032">
        <v>0</v>
      </c>
      <c r="R1032">
        <v>3</v>
      </c>
      <c r="S1032">
        <v>3</v>
      </c>
      <c r="T1032">
        <v>2</v>
      </c>
      <c r="U1032" t="s">
        <v>30</v>
      </c>
      <c r="V1032">
        <v>3</v>
      </c>
      <c r="W1032">
        <f>COUNTIF($A$2:A1032,A1032)</f>
        <v>1</v>
      </c>
    </row>
    <row r="1033" spans="1:23" x14ac:dyDescent="0.35">
      <c r="A1033" t="s">
        <v>815</v>
      </c>
      <c r="B1033" s="2">
        <v>42680</v>
      </c>
      <c r="D1033" t="s">
        <v>23</v>
      </c>
      <c r="E1033">
        <v>33</v>
      </c>
      <c r="F1033" t="s">
        <v>36</v>
      </c>
      <c r="G1033" t="s">
        <v>42</v>
      </c>
      <c r="H1033" t="s">
        <v>54</v>
      </c>
      <c r="I1033" t="s">
        <v>59</v>
      </c>
      <c r="J1033" t="s">
        <v>75</v>
      </c>
      <c r="K1033">
        <v>3</v>
      </c>
      <c r="L1033" t="s">
        <v>50</v>
      </c>
      <c r="M1033">
        <v>77000</v>
      </c>
      <c r="N1033">
        <v>7.8</v>
      </c>
      <c r="O1033">
        <v>16.7</v>
      </c>
      <c r="P1033">
        <v>9.1</v>
      </c>
      <c r="Q1033">
        <v>3.6</v>
      </c>
      <c r="R1033">
        <v>2</v>
      </c>
      <c r="S1033">
        <v>3</v>
      </c>
      <c r="T1033">
        <v>2</v>
      </c>
      <c r="U1033" t="s">
        <v>23</v>
      </c>
      <c r="V1033">
        <v>3</v>
      </c>
      <c r="W1033">
        <f>COUNTIF($A$2:A1033,A1033)</f>
        <v>1</v>
      </c>
    </row>
    <row r="1034" spans="1:23" x14ac:dyDescent="0.35">
      <c r="A1034" t="s">
        <v>671</v>
      </c>
      <c r="B1034" s="2">
        <v>42941</v>
      </c>
      <c r="D1034" t="s">
        <v>23</v>
      </c>
      <c r="E1034">
        <v>32</v>
      </c>
      <c r="F1034" t="s">
        <v>36</v>
      </c>
      <c r="G1034" t="s">
        <v>37</v>
      </c>
      <c r="H1034" t="s">
        <v>54</v>
      </c>
      <c r="I1034" t="s">
        <v>38</v>
      </c>
      <c r="J1034" t="s">
        <v>39</v>
      </c>
      <c r="K1034">
        <v>4</v>
      </c>
      <c r="L1034" t="s">
        <v>34</v>
      </c>
      <c r="M1034">
        <v>126000</v>
      </c>
      <c r="N1034">
        <v>13.6</v>
      </c>
      <c r="O1034">
        <v>11.7</v>
      </c>
      <c r="P1034">
        <v>8.4</v>
      </c>
      <c r="Q1034">
        <v>4.5</v>
      </c>
      <c r="R1034">
        <v>3</v>
      </c>
      <c r="S1034">
        <v>4</v>
      </c>
      <c r="T1034">
        <v>3</v>
      </c>
      <c r="U1034" t="s">
        <v>23</v>
      </c>
      <c r="V1034">
        <v>4</v>
      </c>
      <c r="W1034">
        <f>COUNTIF($A$2:A1034,A1034)</f>
        <v>1</v>
      </c>
    </row>
    <row r="1035" spans="1:23" x14ac:dyDescent="0.35">
      <c r="A1035" t="s">
        <v>1133</v>
      </c>
      <c r="B1035" s="2">
        <v>42735</v>
      </c>
      <c r="D1035" t="s">
        <v>23</v>
      </c>
      <c r="E1035">
        <v>44</v>
      </c>
      <c r="F1035" t="s">
        <v>24</v>
      </c>
      <c r="G1035" t="s">
        <v>25</v>
      </c>
      <c r="H1035" t="s">
        <v>32</v>
      </c>
      <c r="I1035" t="s">
        <v>48</v>
      </c>
      <c r="J1035" t="s">
        <v>201</v>
      </c>
      <c r="K1035">
        <v>5</v>
      </c>
      <c r="L1035" t="s">
        <v>84</v>
      </c>
      <c r="M1035">
        <v>146000</v>
      </c>
      <c r="N1035">
        <v>15.5</v>
      </c>
      <c r="O1035">
        <v>12.4</v>
      </c>
      <c r="P1035">
        <v>9</v>
      </c>
      <c r="Q1035">
        <v>5.0999999999999996</v>
      </c>
      <c r="R1035">
        <v>2</v>
      </c>
      <c r="S1035">
        <v>4</v>
      </c>
      <c r="T1035">
        <v>4</v>
      </c>
      <c r="U1035" t="s">
        <v>23</v>
      </c>
      <c r="V1035">
        <v>5</v>
      </c>
      <c r="W1035">
        <f>COUNTIF($A$2:A1035,A1035)</f>
        <v>1</v>
      </c>
    </row>
    <row r="1036" spans="1:23" x14ac:dyDescent="0.35">
      <c r="A1036" t="s">
        <v>1176</v>
      </c>
      <c r="B1036" s="2">
        <v>45568</v>
      </c>
      <c r="C1036" s="2">
        <v>45891</v>
      </c>
      <c r="D1036" t="s">
        <v>30</v>
      </c>
      <c r="E1036">
        <v>31</v>
      </c>
      <c r="F1036" t="s">
        <v>36</v>
      </c>
      <c r="G1036" t="s">
        <v>42</v>
      </c>
      <c r="H1036" t="s">
        <v>58</v>
      </c>
      <c r="I1036" t="s">
        <v>48</v>
      </c>
      <c r="J1036" t="s">
        <v>201</v>
      </c>
      <c r="K1036">
        <v>4</v>
      </c>
      <c r="L1036" t="s">
        <v>50</v>
      </c>
      <c r="M1036">
        <v>98000</v>
      </c>
      <c r="N1036">
        <v>7.2</v>
      </c>
      <c r="O1036">
        <v>1.5</v>
      </c>
      <c r="P1036">
        <v>0.9</v>
      </c>
      <c r="Q1036">
        <v>0</v>
      </c>
      <c r="R1036">
        <v>1</v>
      </c>
      <c r="S1036">
        <v>2</v>
      </c>
      <c r="T1036">
        <v>4</v>
      </c>
      <c r="U1036" t="s">
        <v>23</v>
      </c>
      <c r="V1036">
        <v>4</v>
      </c>
      <c r="W1036">
        <f>COUNTIF($A$2:A1036,A1036)</f>
        <v>1</v>
      </c>
    </row>
    <row r="1037" spans="1:23" x14ac:dyDescent="0.35">
      <c r="A1037" t="s">
        <v>90</v>
      </c>
      <c r="B1037" s="2">
        <v>45330</v>
      </c>
      <c r="D1037" t="s">
        <v>23</v>
      </c>
      <c r="E1037">
        <v>29</v>
      </c>
      <c r="F1037" t="s">
        <v>36</v>
      </c>
      <c r="G1037" t="s">
        <v>42</v>
      </c>
      <c r="H1037" t="s">
        <v>26</v>
      </c>
      <c r="I1037" t="s">
        <v>59</v>
      </c>
      <c r="J1037" t="s">
        <v>60</v>
      </c>
      <c r="K1037">
        <v>3</v>
      </c>
      <c r="L1037" t="s">
        <v>50</v>
      </c>
      <c r="M1037">
        <v>74000</v>
      </c>
      <c r="N1037">
        <v>12.8</v>
      </c>
      <c r="O1037">
        <v>5.3</v>
      </c>
      <c r="P1037">
        <v>1.9</v>
      </c>
      <c r="Q1037">
        <v>1.1000000000000001</v>
      </c>
      <c r="R1037">
        <v>3</v>
      </c>
      <c r="S1037">
        <v>4</v>
      </c>
      <c r="T1037">
        <v>3</v>
      </c>
      <c r="U1037" t="s">
        <v>23</v>
      </c>
      <c r="V1037">
        <v>5</v>
      </c>
      <c r="W1037">
        <f>COUNTIF($A$2:A1037,A1037)</f>
        <v>1</v>
      </c>
    </row>
    <row r="1038" spans="1:23" x14ac:dyDescent="0.35">
      <c r="A1038" t="s">
        <v>469</v>
      </c>
      <c r="B1038" s="2">
        <v>45892</v>
      </c>
      <c r="D1038" t="s">
        <v>23</v>
      </c>
      <c r="E1038">
        <v>35</v>
      </c>
      <c r="F1038" t="s">
        <v>24</v>
      </c>
      <c r="G1038" t="s">
        <v>42</v>
      </c>
      <c r="H1038" t="s">
        <v>26</v>
      </c>
      <c r="I1038" t="s">
        <v>55</v>
      </c>
      <c r="J1038" t="s">
        <v>88</v>
      </c>
      <c r="K1038">
        <v>4</v>
      </c>
      <c r="L1038" t="s">
        <v>40</v>
      </c>
      <c r="M1038">
        <v>119000</v>
      </c>
      <c r="N1038">
        <v>5.5</v>
      </c>
      <c r="O1038">
        <v>2.7</v>
      </c>
      <c r="P1038">
        <v>0.4</v>
      </c>
      <c r="Q1038">
        <v>0</v>
      </c>
      <c r="R1038">
        <v>3</v>
      </c>
      <c r="S1038">
        <v>3</v>
      </c>
      <c r="T1038">
        <v>3</v>
      </c>
      <c r="U1038" t="s">
        <v>23</v>
      </c>
      <c r="V1038">
        <v>5</v>
      </c>
      <c r="W1038">
        <f>COUNTIF($A$2:A1038,A1038)</f>
        <v>1</v>
      </c>
    </row>
    <row r="1039" spans="1:23" x14ac:dyDescent="0.35">
      <c r="A1039" t="s">
        <v>817</v>
      </c>
      <c r="B1039" s="2">
        <v>45564</v>
      </c>
      <c r="D1039" t="s">
        <v>23</v>
      </c>
      <c r="E1039">
        <v>28</v>
      </c>
      <c r="F1039" t="s">
        <v>24</v>
      </c>
      <c r="G1039" t="s">
        <v>42</v>
      </c>
      <c r="H1039" t="s">
        <v>58</v>
      </c>
      <c r="I1039" t="s">
        <v>55</v>
      </c>
      <c r="J1039" t="s">
        <v>88</v>
      </c>
      <c r="K1039">
        <v>3</v>
      </c>
      <c r="L1039" t="s">
        <v>66</v>
      </c>
      <c r="M1039">
        <v>105000</v>
      </c>
      <c r="N1039">
        <v>8</v>
      </c>
      <c r="O1039">
        <v>1.4</v>
      </c>
      <c r="P1039">
        <v>1.3</v>
      </c>
      <c r="Q1039">
        <v>1.1000000000000001</v>
      </c>
      <c r="R1039">
        <v>3</v>
      </c>
      <c r="S1039">
        <v>3</v>
      </c>
      <c r="T1039">
        <v>4</v>
      </c>
      <c r="U1039" t="s">
        <v>30</v>
      </c>
      <c r="V1039">
        <v>4</v>
      </c>
      <c r="W1039">
        <f>COUNTIF($A$2:A1039,A1039)</f>
        <v>1</v>
      </c>
    </row>
    <row r="1040" spans="1:23" x14ac:dyDescent="0.35">
      <c r="A1040" t="s">
        <v>454</v>
      </c>
      <c r="B1040" s="2">
        <v>43977</v>
      </c>
      <c r="D1040" t="s">
        <v>23</v>
      </c>
      <c r="E1040">
        <v>40</v>
      </c>
      <c r="F1040" t="s">
        <v>36</v>
      </c>
      <c r="G1040" t="s">
        <v>25</v>
      </c>
      <c r="H1040" t="s">
        <v>58</v>
      </c>
      <c r="I1040" t="s">
        <v>55</v>
      </c>
      <c r="J1040" t="s">
        <v>56</v>
      </c>
      <c r="K1040">
        <v>3</v>
      </c>
      <c r="L1040" t="s">
        <v>66</v>
      </c>
      <c r="M1040">
        <v>101000</v>
      </c>
      <c r="N1040">
        <v>8.6</v>
      </c>
      <c r="O1040">
        <v>10.4</v>
      </c>
      <c r="P1040">
        <v>5.6</v>
      </c>
      <c r="Q1040">
        <v>3.2</v>
      </c>
      <c r="R1040">
        <v>4</v>
      </c>
      <c r="S1040">
        <v>4</v>
      </c>
      <c r="T1040">
        <v>3</v>
      </c>
      <c r="U1040" t="s">
        <v>30</v>
      </c>
      <c r="V1040">
        <v>4</v>
      </c>
      <c r="W1040">
        <f>COUNTIF($A$2:A1040,A1040)</f>
        <v>1</v>
      </c>
    </row>
    <row r="1041" spans="1:23" x14ac:dyDescent="0.35">
      <c r="A1041" t="s">
        <v>1014</v>
      </c>
      <c r="B1041" s="2">
        <v>43681</v>
      </c>
      <c r="D1041" t="s">
        <v>23</v>
      </c>
      <c r="E1041">
        <v>33</v>
      </c>
      <c r="F1041" t="s">
        <v>62</v>
      </c>
      <c r="G1041" t="s">
        <v>42</v>
      </c>
      <c r="H1041" t="s">
        <v>32</v>
      </c>
      <c r="I1041" t="s">
        <v>45</v>
      </c>
      <c r="J1041" t="s">
        <v>46</v>
      </c>
      <c r="K1041">
        <v>1</v>
      </c>
      <c r="L1041" t="s">
        <v>40</v>
      </c>
      <c r="M1041">
        <v>35000</v>
      </c>
      <c r="N1041">
        <v>12.6</v>
      </c>
      <c r="O1041">
        <v>11.5</v>
      </c>
      <c r="P1041">
        <v>6.4</v>
      </c>
      <c r="Q1041">
        <v>3.4</v>
      </c>
      <c r="R1041">
        <v>4</v>
      </c>
      <c r="S1041">
        <v>2</v>
      </c>
      <c r="T1041">
        <v>3</v>
      </c>
      <c r="U1041" t="s">
        <v>30</v>
      </c>
      <c r="V1041">
        <v>3</v>
      </c>
      <c r="W1041">
        <f>COUNTIF($A$2:A1041,A1041)</f>
        <v>1</v>
      </c>
    </row>
    <row r="1042" spans="1:23" x14ac:dyDescent="0.35">
      <c r="A1042" t="s">
        <v>677</v>
      </c>
      <c r="B1042" s="2">
        <v>42578</v>
      </c>
      <c r="D1042" t="s">
        <v>23</v>
      </c>
      <c r="E1042">
        <v>37</v>
      </c>
      <c r="F1042" t="s">
        <v>62</v>
      </c>
      <c r="G1042" t="s">
        <v>37</v>
      </c>
      <c r="H1042" t="s">
        <v>54</v>
      </c>
      <c r="I1042" t="s">
        <v>55</v>
      </c>
      <c r="J1042" t="s">
        <v>56</v>
      </c>
      <c r="K1042">
        <v>2</v>
      </c>
      <c r="L1042" t="s">
        <v>40</v>
      </c>
      <c r="M1042">
        <v>76000</v>
      </c>
      <c r="N1042">
        <v>10.5</v>
      </c>
      <c r="O1042">
        <v>17.2</v>
      </c>
      <c r="P1042">
        <v>9.4</v>
      </c>
      <c r="Q1042">
        <v>2.4</v>
      </c>
      <c r="R1042">
        <v>3</v>
      </c>
      <c r="S1042">
        <v>3</v>
      </c>
      <c r="T1042">
        <v>4</v>
      </c>
      <c r="U1042" t="s">
        <v>23</v>
      </c>
      <c r="V1042">
        <v>3</v>
      </c>
      <c r="W1042">
        <f>COUNTIF($A$2:A1042,A1042)</f>
        <v>1</v>
      </c>
    </row>
    <row r="1043" spans="1:23" x14ac:dyDescent="0.35">
      <c r="A1043" t="s">
        <v>866</v>
      </c>
      <c r="B1043" s="2">
        <v>45629</v>
      </c>
      <c r="D1043" t="s">
        <v>23</v>
      </c>
      <c r="E1043">
        <v>22</v>
      </c>
      <c r="F1043" t="s">
        <v>62</v>
      </c>
      <c r="G1043" t="s">
        <v>37</v>
      </c>
      <c r="H1043" t="s">
        <v>58</v>
      </c>
      <c r="I1043" t="s">
        <v>48</v>
      </c>
      <c r="J1043" t="s">
        <v>63</v>
      </c>
      <c r="K1043">
        <v>1</v>
      </c>
      <c r="L1043" t="s">
        <v>29</v>
      </c>
      <c r="M1043">
        <v>22000</v>
      </c>
      <c r="N1043">
        <v>10.6</v>
      </c>
      <c r="O1043">
        <v>2.5</v>
      </c>
      <c r="P1043">
        <v>1.1000000000000001</v>
      </c>
      <c r="Q1043">
        <v>0.2</v>
      </c>
      <c r="R1043">
        <v>4</v>
      </c>
      <c r="S1043">
        <v>3</v>
      </c>
      <c r="T1043">
        <v>4</v>
      </c>
      <c r="U1043" t="s">
        <v>23</v>
      </c>
      <c r="V1043">
        <v>3</v>
      </c>
      <c r="W1043">
        <f>COUNTIF($A$2:A1043,A1043)</f>
        <v>1</v>
      </c>
    </row>
    <row r="1044" spans="1:23" x14ac:dyDescent="0.35">
      <c r="A1044" t="s">
        <v>230</v>
      </c>
      <c r="B1044" s="2">
        <v>43058</v>
      </c>
      <c r="D1044" t="s">
        <v>23</v>
      </c>
      <c r="E1044">
        <v>29</v>
      </c>
      <c r="F1044" t="s">
        <v>36</v>
      </c>
      <c r="G1044" t="s">
        <v>25</v>
      </c>
      <c r="H1044" t="s">
        <v>26</v>
      </c>
      <c r="I1044" t="s">
        <v>45</v>
      </c>
      <c r="J1044" t="s">
        <v>77</v>
      </c>
      <c r="K1044">
        <v>3</v>
      </c>
      <c r="L1044" t="s">
        <v>40</v>
      </c>
      <c r="M1044">
        <v>74000</v>
      </c>
      <c r="N1044">
        <v>8.8000000000000007</v>
      </c>
      <c r="O1044">
        <v>8.3000000000000007</v>
      </c>
      <c r="P1044">
        <v>8.1</v>
      </c>
      <c r="Q1044">
        <v>4.9000000000000004</v>
      </c>
      <c r="R1044">
        <v>3</v>
      </c>
      <c r="S1044">
        <v>3</v>
      </c>
      <c r="T1044">
        <v>1</v>
      </c>
      <c r="U1044" t="s">
        <v>23</v>
      </c>
      <c r="V1044">
        <v>3</v>
      </c>
      <c r="W1044">
        <f>COUNTIF($A$2:A1044,A1044)</f>
        <v>1</v>
      </c>
    </row>
    <row r="1045" spans="1:23" x14ac:dyDescent="0.35">
      <c r="A1045" t="s">
        <v>1376</v>
      </c>
      <c r="B1045" s="2">
        <v>43566</v>
      </c>
      <c r="D1045" t="s">
        <v>23</v>
      </c>
      <c r="E1045">
        <v>34</v>
      </c>
      <c r="F1045" t="s">
        <v>36</v>
      </c>
      <c r="G1045" t="s">
        <v>25</v>
      </c>
      <c r="H1045" t="s">
        <v>54</v>
      </c>
      <c r="I1045" t="s">
        <v>45</v>
      </c>
      <c r="J1045" t="s">
        <v>46</v>
      </c>
      <c r="K1045">
        <v>2</v>
      </c>
      <c r="L1045" t="s">
        <v>84</v>
      </c>
      <c r="M1045">
        <v>43000</v>
      </c>
      <c r="N1045">
        <v>13</v>
      </c>
      <c r="O1045">
        <v>9.6</v>
      </c>
      <c r="P1045">
        <v>6.7</v>
      </c>
      <c r="Q1045">
        <v>4.0999999999999996</v>
      </c>
      <c r="R1045">
        <v>2</v>
      </c>
      <c r="S1045">
        <v>3</v>
      </c>
      <c r="T1045">
        <v>3</v>
      </c>
      <c r="U1045" t="s">
        <v>23</v>
      </c>
      <c r="V1045">
        <v>4</v>
      </c>
      <c r="W1045">
        <f>COUNTIF($A$2:A1045,A1045)</f>
        <v>1</v>
      </c>
    </row>
    <row r="1046" spans="1:23" x14ac:dyDescent="0.35">
      <c r="A1046" t="s">
        <v>442</v>
      </c>
      <c r="B1046" s="2">
        <v>44987</v>
      </c>
      <c r="C1046" s="2">
        <v>44957</v>
      </c>
      <c r="D1046" t="s">
        <v>30</v>
      </c>
      <c r="E1046">
        <v>37</v>
      </c>
      <c r="F1046" t="s">
        <v>24</v>
      </c>
      <c r="G1046" t="s">
        <v>42</v>
      </c>
      <c r="H1046" t="s">
        <v>32</v>
      </c>
      <c r="I1046" t="s">
        <v>48</v>
      </c>
      <c r="J1046" t="s">
        <v>63</v>
      </c>
      <c r="K1046">
        <v>4</v>
      </c>
      <c r="L1046" t="s">
        <v>84</v>
      </c>
      <c r="M1046">
        <v>111000</v>
      </c>
      <c r="N1046">
        <v>6.4</v>
      </c>
      <c r="O1046">
        <v>9.9</v>
      </c>
      <c r="P1046">
        <v>2.8</v>
      </c>
      <c r="Q1046">
        <v>2.1</v>
      </c>
      <c r="R1046">
        <v>4</v>
      </c>
      <c r="S1046">
        <v>4</v>
      </c>
      <c r="T1046">
        <v>3</v>
      </c>
      <c r="U1046" t="s">
        <v>23</v>
      </c>
      <c r="V1046">
        <v>3</v>
      </c>
      <c r="W1046">
        <f>COUNTIF($A$2:A1046,A1046)</f>
        <v>1</v>
      </c>
    </row>
    <row r="1047" spans="1:23" x14ac:dyDescent="0.35">
      <c r="A1047" t="s">
        <v>1393</v>
      </c>
      <c r="B1047" s="2">
        <v>42510</v>
      </c>
      <c r="D1047" t="s">
        <v>23</v>
      </c>
      <c r="E1047">
        <v>33</v>
      </c>
      <c r="F1047" t="s">
        <v>24</v>
      </c>
      <c r="G1047" t="s">
        <v>25</v>
      </c>
      <c r="H1047" t="s">
        <v>54</v>
      </c>
      <c r="I1047" t="s">
        <v>48</v>
      </c>
      <c r="J1047" t="s">
        <v>49</v>
      </c>
      <c r="K1047">
        <v>2</v>
      </c>
      <c r="L1047" t="s">
        <v>66</v>
      </c>
      <c r="M1047">
        <v>59000</v>
      </c>
      <c r="N1047">
        <v>7.9</v>
      </c>
      <c r="O1047">
        <v>9.9</v>
      </c>
      <c r="P1047">
        <v>9.6</v>
      </c>
      <c r="Q1047">
        <v>0.2</v>
      </c>
      <c r="R1047">
        <v>3</v>
      </c>
      <c r="S1047">
        <v>4</v>
      </c>
      <c r="T1047">
        <v>3</v>
      </c>
      <c r="U1047" t="s">
        <v>23</v>
      </c>
      <c r="V1047">
        <v>3</v>
      </c>
      <c r="W1047">
        <f>COUNTIF($A$2:A1047,A1047)</f>
        <v>1</v>
      </c>
    </row>
    <row r="1048" spans="1:23" x14ac:dyDescent="0.35">
      <c r="A1048" t="s">
        <v>214</v>
      </c>
      <c r="B1048" s="2">
        <v>45718</v>
      </c>
      <c r="D1048" t="s">
        <v>23</v>
      </c>
      <c r="E1048">
        <v>30</v>
      </c>
      <c r="F1048" t="s">
        <v>24</v>
      </c>
      <c r="G1048" t="s">
        <v>37</v>
      </c>
      <c r="H1048" t="s">
        <v>26</v>
      </c>
      <c r="I1048" t="s">
        <v>48</v>
      </c>
      <c r="J1048" t="s">
        <v>201</v>
      </c>
      <c r="K1048">
        <v>1</v>
      </c>
      <c r="L1048" t="s">
        <v>34</v>
      </c>
      <c r="M1048">
        <v>42000</v>
      </c>
      <c r="N1048">
        <v>7.8</v>
      </c>
      <c r="O1048">
        <v>1.4</v>
      </c>
      <c r="P1048">
        <v>0.8</v>
      </c>
      <c r="Q1048">
        <v>0</v>
      </c>
      <c r="R1048">
        <v>4</v>
      </c>
      <c r="S1048">
        <v>4</v>
      </c>
      <c r="T1048">
        <v>3</v>
      </c>
      <c r="U1048" t="s">
        <v>23</v>
      </c>
      <c r="V1048">
        <v>5</v>
      </c>
      <c r="W1048">
        <f>COUNTIF($A$2:A1048,A1048)</f>
        <v>1</v>
      </c>
    </row>
    <row r="1049" spans="1:23" x14ac:dyDescent="0.35">
      <c r="A1049" t="s">
        <v>285</v>
      </c>
      <c r="B1049" s="2">
        <v>44720</v>
      </c>
      <c r="D1049" t="s">
        <v>23</v>
      </c>
      <c r="E1049">
        <v>40</v>
      </c>
      <c r="F1049" t="s">
        <v>62</v>
      </c>
      <c r="G1049" t="s">
        <v>42</v>
      </c>
      <c r="H1049" t="s">
        <v>54</v>
      </c>
      <c r="I1049" t="s">
        <v>27</v>
      </c>
      <c r="J1049" t="s">
        <v>43</v>
      </c>
      <c r="K1049">
        <v>3</v>
      </c>
      <c r="L1049" t="s">
        <v>29</v>
      </c>
      <c r="M1049">
        <v>67000</v>
      </c>
      <c r="N1049">
        <v>2.8</v>
      </c>
      <c r="O1049">
        <v>6.1</v>
      </c>
      <c r="P1049">
        <v>3.6</v>
      </c>
      <c r="Q1049">
        <v>1.6</v>
      </c>
      <c r="R1049">
        <v>3</v>
      </c>
      <c r="S1049">
        <v>4</v>
      </c>
      <c r="T1049">
        <v>4</v>
      </c>
      <c r="U1049" t="s">
        <v>23</v>
      </c>
      <c r="V1049">
        <v>4</v>
      </c>
      <c r="W1049">
        <f>COUNTIF($A$2:A1049,A1049)</f>
        <v>1</v>
      </c>
    </row>
    <row r="1050" spans="1:23" x14ac:dyDescent="0.35">
      <c r="A1050" t="s">
        <v>185</v>
      </c>
      <c r="B1050" s="2">
        <v>45132</v>
      </c>
      <c r="D1050" t="s">
        <v>23</v>
      </c>
      <c r="E1050">
        <v>30</v>
      </c>
      <c r="F1050" t="s">
        <v>24</v>
      </c>
      <c r="G1050" t="s">
        <v>25</v>
      </c>
      <c r="H1050" t="s">
        <v>54</v>
      </c>
      <c r="I1050" t="s">
        <v>55</v>
      </c>
      <c r="J1050" t="s">
        <v>56</v>
      </c>
      <c r="K1050">
        <v>3</v>
      </c>
      <c r="L1050" t="s">
        <v>34</v>
      </c>
      <c r="M1050">
        <v>81000</v>
      </c>
      <c r="N1050">
        <v>8.3000000000000007</v>
      </c>
      <c r="O1050">
        <v>6</v>
      </c>
      <c r="P1050">
        <v>2.4</v>
      </c>
      <c r="Q1050">
        <v>0.7</v>
      </c>
      <c r="R1050">
        <v>1</v>
      </c>
      <c r="S1050">
        <v>2</v>
      </c>
      <c r="T1050">
        <v>3</v>
      </c>
      <c r="U1050" t="s">
        <v>30</v>
      </c>
      <c r="V1050">
        <v>3</v>
      </c>
      <c r="W1050">
        <f>COUNTIF($A$2:A1050,A1050)</f>
        <v>1</v>
      </c>
    </row>
    <row r="1051" spans="1:23" x14ac:dyDescent="0.35">
      <c r="A1051" t="s">
        <v>1571</v>
      </c>
      <c r="B1051" s="2">
        <v>44441</v>
      </c>
      <c r="D1051" t="s">
        <v>23</v>
      </c>
      <c r="E1051">
        <v>33</v>
      </c>
      <c r="F1051" t="s">
        <v>62</v>
      </c>
      <c r="G1051" t="s">
        <v>25</v>
      </c>
      <c r="H1051" t="s">
        <v>26</v>
      </c>
      <c r="I1051" t="s">
        <v>45</v>
      </c>
      <c r="J1051" t="s">
        <v>97</v>
      </c>
      <c r="K1051">
        <v>3</v>
      </c>
      <c r="L1051" t="s">
        <v>84</v>
      </c>
      <c r="M1051">
        <v>75000</v>
      </c>
      <c r="N1051">
        <v>16.3</v>
      </c>
      <c r="O1051">
        <v>10.1</v>
      </c>
      <c r="P1051">
        <v>4.3</v>
      </c>
      <c r="Q1051">
        <v>3.6</v>
      </c>
      <c r="R1051">
        <v>2</v>
      </c>
      <c r="S1051">
        <v>4</v>
      </c>
      <c r="T1051">
        <v>4</v>
      </c>
      <c r="U1051" t="s">
        <v>23</v>
      </c>
      <c r="V1051">
        <v>5</v>
      </c>
      <c r="W1051">
        <f>COUNTIF($A$2:A1051,A1051)</f>
        <v>1</v>
      </c>
    </row>
    <row r="1052" spans="1:23" x14ac:dyDescent="0.35">
      <c r="A1052" t="s">
        <v>176</v>
      </c>
      <c r="B1052" s="2">
        <v>43030</v>
      </c>
      <c r="D1052" t="s">
        <v>23</v>
      </c>
      <c r="E1052">
        <v>35</v>
      </c>
      <c r="F1052" t="s">
        <v>24</v>
      </c>
      <c r="G1052" t="s">
        <v>37</v>
      </c>
      <c r="H1052" t="s">
        <v>58</v>
      </c>
      <c r="I1052" t="s">
        <v>38</v>
      </c>
      <c r="J1052" t="s">
        <v>52</v>
      </c>
      <c r="K1052">
        <v>4</v>
      </c>
      <c r="L1052" t="s">
        <v>34</v>
      </c>
      <c r="M1052">
        <v>120000</v>
      </c>
      <c r="N1052">
        <v>5.6</v>
      </c>
      <c r="O1052">
        <v>11.8</v>
      </c>
      <c r="P1052">
        <v>8.1999999999999993</v>
      </c>
      <c r="Q1052">
        <v>0.5</v>
      </c>
      <c r="R1052">
        <v>4</v>
      </c>
      <c r="S1052">
        <v>2</v>
      </c>
      <c r="T1052">
        <v>4</v>
      </c>
      <c r="U1052" t="s">
        <v>30</v>
      </c>
      <c r="V1052">
        <v>3</v>
      </c>
      <c r="W1052">
        <f>COUNTIF($A$2:A1052,A1052)</f>
        <v>1</v>
      </c>
    </row>
    <row r="1053" spans="1:23" x14ac:dyDescent="0.35">
      <c r="A1053" t="s">
        <v>695</v>
      </c>
      <c r="B1053" s="2">
        <v>45632</v>
      </c>
      <c r="D1053" t="s">
        <v>23</v>
      </c>
      <c r="E1053">
        <v>30</v>
      </c>
      <c r="F1053" t="s">
        <v>36</v>
      </c>
      <c r="G1053" t="s">
        <v>37</v>
      </c>
      <c r="H1053" t="s">
        <v>58</v>
      </c>
      <c r="I1053" t="s">
        <v>38</v>
      </c>
      <c r="J1053" t="s">
        <v>52</v>
      </c>
      <c r="K1053">
        <v>3</v>
      </c>
      <c r="L1053" t="s">
        <v>40</v>
      </c>
      <c r="M1053">
        <v>90000</v>
      </c>
      <c r="N1053">
        <v>18.399999999999999</v>
      </c>
      <c r="O1053">
        <v>2.4</v>
      </c>
      <c r="P1053">
        <v>1.1000000000000001</v>
      </c>
      <c r="Q1053">
        <v>0.1</v>
      </c>
      <c r="R1053">
        <v>4</v>
      </c>
      <c r="S1053">
        <v>3</v>
      </c>
      <c r="T1053">
        <v>1</v>
      </c>
      <c r="U1053" t="s">
        <v>30</v>
      </c>
      <c r="V1053">
        <v>2</v>
      </c>
      <c r="W1053">
        <f>COUNTIF($A$2:A1053,A1053)</f>
        <v>1</v>
      </c>
    </row>
    <row r="1054" spans="1:23" x14ac:dyDescent="0.35">
      <c r="A1054" t="s">
        <v>831</v>
      </c>
      <c r="B1054" s="2">
        <v>42453</v>
      </c>
      <c r="D1054" t="s">
        <v>23</v>
      </c>
      <c r="E1054">
        <v>30</v>
      </c>
      <c r="F1054" t="s">
        <v>24</v>
      </c>
      <c r="G1054" t="s">
        <v>25</v>
      </c>
      <c r="H1054" t="s">
        <v>58</v>
      </c>
      <c r="I1054" t="s">
        <v>48</v>
      </c>
      <c r="J1054" t="s">
        <v>201</v>
      </c>
      <c r="K1054">
        <v>3</v>
      </c>
      <c r="L1054" t="s">
        <v>50</v>
      </c>
      <c r="M1054">
        <v>79000</v>
      </c>
      <c r="N1054">
        <v>10.6</v>
      </c>
      <c r="O1054">
        <v>16.899999999999999</v>
      </c>
      <c r="P1054">
        <v>9.8000000000000007</v>
      </c>
      <c r="Q1054">
        <v>3.3</v>
      </c>
      <c r="R1054">
        <v>2</v>
      </c>
      <c r="S1054">
        <v>3</v>
      </c>
      <c r="T1054">
        <v>3</v>
      </c>
      <c r="U1054" t="s">
        <v>23</v>
      </c>
      <c r="V1054">
        <v>4</v>
      </c>
      <c r="W1054">
        <f>COUNTIF($A$2:A1054,A1054)</f>
        <v>1</v>
      </c>
    </row>
    <row r="1055" spans="1:23" x14ac:dyDescent="0.35">
      <c r="A1055" t="s">
        <v>1315</v>
      </c>
      <c r="B1055" s="2">
        <v>45729</v>
      </c>
      <c r="D1055" t="s">
        <v>23</v>
      </c>
      <c r="E1055">
        <v>42</v>
      </c>
      <c r="F1055" t="s">
        <v>62</v>
      </c>
      <c r="G1055" t="s">
        <v>37</v>
      </c>
      <c r="H1055" t="s">
        <v>32</v>
      </c>
      <c r="I1055" t="s">
        <v>55</v>
      </c>
      <c r="J1055" t="s">
        <v>80</v>
      </c>
      <c r="K1055">
        <v>2</v>
      </c>
      <c r="L1055" t="s">
        <v>34</v>
      </c>
      <c r="M1055">
        <v>40000</v>
      </c>
      <c r="N1055">
        <v>0</v>
      </c>
      <c r="O1055">
        <v>1.2</v>
      </c>
      <c r="P1055">
        <v>0.8</v>
      </c>
      <c r="Q1055">
        <v>0</v>
      </c>
      <c r="R1055">
        <v>3</v>
      </c>
      <c r="S1055">
        <v>3</v>
      </c>
      <c r="T1055">
        <v>4</v>
      </c>
      <c r="U1055" t="s">
        <v>23</v>
      </c>
      <c r="V1055">
        <v>3</v>
      </c>
      <c r="W1055">
        <f>COUNTIF($A$2:A1055,A1055)</f>
        <v>1</v>
      </c>
    </row>
    <row r="1056" spans="1:23" x14ac:dyDescent="0.35">
      <c r="A1056" t="s">
        <v>323</v>
      </c>
      <c r="B1056" s="2">
        <v>45185</v>
      </c>
      <c r="C1056" s="2">
        <v>45705</v>
      </c>
      <c r="D1056" t="s">
        <v>30</v>
      </c>
      <c r="E1056">
        <v>41</v>
      </c>
      <c r="F1056" t="s">
        <v>24</v>
      </c>
      <c r="G1056" t="s">
        <v>42</v>
      </c>
      <c r="H1056" t="s">
        <v>54</v>
      </c>
      <c r="I1056" t="s">
        <v>45</v>
      </c>
      <c r="J1056" t="s">
        <v>46</v>
      </c>
      <c r="K1056">
        <v>3</v>
      </c>
      <c r="L1056" t="s">
        <v>40</v>
      </c>
      <c r="M1056">
        <v>58000</v>
      </c>
      <c r="N1056">
        <v>0</v>
      </c>
      <c r="O1056">
        <v>8.4</v>
      </c>
      <c r="P1056">
        <v>1.4</v>
      </c>
      <c r="Q1056">
        <v>1.3</v>
      </c>
      <c r="R1056">
        <v>1</v>
      </c>
      <c r="S1056">
        <v>3</v>
      </c>
      <c r="T1056">
        <v>4</v>
      </c>
      <c r="U1056" t="s">
        <v>30</v>
      </c>
      <c r="V1056">
        <v>2</v>
      </c>
      <c r="W1056">
        <f>COUNTIF($A$2:A1056,A1056)</f>
        <v>1</v>
      </c>
    </row>
    <row r="1057" spans="1:23" x14ac:dyDescent="0.35">
      <c r="A1057" t="s">
        <v>316</v>
      </c>
      <c r="B1057" s="2">
        <v>43813</v>
      </c>
      <c r="D1057" t="s">
        <v>23</v>
      </c>
      <c r="E1057">
        <v>35</v>
      </c>
      <c r="F1057" t="s">
        <v>62</v>
      </c>
      <c r="G1057" t="s">
        <v>37</v>
      </c>
      <c r="H1057" t="s">
        <v>58</v>
      </c>
      <c r="I1057" t="s">
        <v>27</v>
      </c>
      <c r="J1057" t="s">
        <v>28</v>
      </c>
      <c r="K1057">
        <v>3</v>
      </c>
      <c r="L1057" t="s">
        <v>34</v>
      </c>
      <c r="M1057">
        <v>64000</v>
      </c>
      <c r="N1057">
        <v>5.0999999999999996</v>
      </c>
      <c r="O1057">
        <v>9.5</v>
      </c>
      <c r="P1057">
        <v>6</v>
      </c>
      <c r="Q1057">
        <v>5</v>
      </c>
      <c r="R1057">
        <v>3</v>
      </c>
      <c r="S1057">
        <v>4</v>
      </c>
      <c r="T1057">
        <v>3</v>
      </c>
      <c r="U1057" t="s">
        <v>23</v>
      </c>
      <c r="V1057">
        <v>5</v>
      </c>
      <c r="W1057">
        <f>COUNTIF($A$2:A1057,A1057)</f>
        <v>1</v>
      </c>
    </row>
    <row r="1058" spans="1:23" x14ac:dyDescent="0.35">
      <c r="A1058" t="s">
        <v>879</v>
      </c>
      <c r="B1058" s="2">
        <v>42707</v>
      </c>
      <c r="D1058" t="s">
        <v>23</v>
      </c>
      <c r="E1058">
        <v>34</v>
      </c>
      <c r="F1058" t="s">
        <v>36</v>
      </c>
      <c r="G1058" t="s">
        <v>42</v>
      </c>
      <c r="H1058" t="s">
        <v>26</v>
      </c>
      <c r="I1058" t="s">
        <v>38</v>
      </c>
      <c r="J1058" t="s">
        <v>39</v>
      </c>
      <c r="K1058">
        <v>2</v>
      </c>
      <c r="L1058" t="s">
        <v>34</v>
      </c>
      <c r="M1058">
        <v>54000</v>
      </c>
      <c r="N1058">
        <v>11</v>
      </c>
      <c r="O1058">
        <v>13.8</v>
      </c>
      <c r="P1058">
        <v>9.1</v>
      </c>
      <c r="Q1058">
        <v>4.3</v>
      </c>
      <c r="R1058">
        <v>1</v>
      </c>
      <c r="S1058">
        <v>3</v>
      </c>
      <c r="T1058">
        <v>3</v>
      </c>
      <c r="U1058" t="s">
        <v>23</v>
      </c>
      <c r="V1058">
        <v>5</v>
      </c>
      <c r="W1058">
        <f>COUNTIF($A$2:A1058,A1058)</f>
        <v>1</v>
      </c>
    </row>
    <row r="1059" spans="1:23" x14ac:dyDescent="0.35">
      <c r="A1059" t="s">
        <v>135</v>
      </c>
      <c r="B1059" s="2">
        <v>45336</v>
      </c>
      <c r="C1059" s="2">
        <v>45665</v>
      </c>
      <c r="D1059" t="s">
        <v>30</v>
      </c>
      <c r="E1059">
        <v>27</v>
      </c>
      <c r="F1059" t="s">
        <v>24</v>
      </c>
      <c r="G1059" t="s">
        <v>37</v>
      </c>
      <c r="H1059" t="s">
        <v>58</v>
      </c>
      <c r="I1059" t="s">
        <v>59</v>
      </c>
      <c r="J1059" t="s">
        <v>60</v>
      </c>
      <c r="K1059">
        <v>1</v>
      </c>
      <c r="L1059" t="s">
        <v>84</v>
      </c>
      <c r="M1059">
        <v>23000</v>
      </c>
      <c r="N1059">
        <v>8</v>
      </c>
      <c r="O1059">
        <v>3.8</v>
      </c>
      <c r="P1059">
        <v>0.9</v>
      </c>
      <c r="Q1059">
        <v>0</v>
      </c>
      <c r="R1059">
        <v>4</v>
      </c>
      <c r="S1059">
        <v>3</v>
      </c>
      <c r="T1059">
        <v>2</v>
      </c>
      <c r="U1059" t="s">
        <v>23</v>
      </c>
      <c r="V1059">
        <v>4</v>
      </c>
      <c r="W1059">
        <f>COUNTIF($A$2:A1059,A1059)</f>
        <v>1</v>
      </c>
    </row>
    <row r="1060" spans="1:23" x14ac:dyDescent="0.35">
      <c r="A1060" t="s">
        <v>722</v>
      </c>
      <c r="B1060" s="2">
        <v>44232</v>
      </c>
      <c r="D1060" t="s">
        <v>23</v>
      </c>
      <c r="E1060">
        <v>39</v>
      </c>
      <c r="F1060" t="s">
        <v>62</v>
      </c>
      <c r="G1060" t="s">
        <v>37</v>
      </c>
      <c r="H1060" t="s">
        <v>32</v>
      </c>
      <c r="I1060" t="s">
        <v>45</v>
      </c>
      <c r="J1060" t="s">
        <v>97</v>
      </c>
      <c r="K1060">
        <v>1</v>
      </c>
      <c r="L1060" t="s">
        <v>50</v>
      </c>
      <c r="M1060">
        <v>22000</v>
      </c>
      <c r="N1060">
        <v>9.1999999999999993</v>
      </c>
      <c r="O1060">
        <v>9.1999999999999993</v>
      </c>
      <c r="P1060">
        <v>4.9000000000000004</v>
      </c>
      <c r="Q1060">
        <v>2.2000000000000002</v>
      </c>
      <c r="R1060">
        <v>3</v>
      </c>
      <c r="S1060">
        <v>2</v>
      </c>
      <c r="T1060">
        <v>3</v>
      </c>
      <c r="U1060" t="s">
        <v>23</v>
      </c>
      <c r="V1060">
        <v>4</v>
      </c>
      <c r="W1060">
        <f>COUNTIF($A$2:A1060,A1060)</f>
        <v>1</v>
      </c>
    </row>
    <row r="1061" spans="1:23" x14ac:dyDescent="0.35">
      <c r="A1061" t="s">
        <v>1067</v>
      </c>
      <c r="B1061" s="2">
        <v>44212</v>
      </c>
      <c r="C1061" s="2">
        <v>45960</v>
      </c>
      <c r="D1061" t="s">
        <v>30</v>
      </c>
      <c r="E1061">
        <v>46</v>
      </c>
      <c r="F1061" t="s">
        <v>62</v>
      </c>
      <c r="G1061" t="s">
        <v>37</v>
      </c>
      <c r="H1061" t="s">
        <v>32</v>
      </c>
      <c r="I1061" t="s">
        <v>27</v>
      </c>
      <c r="J1061" t="s">
        <v>95</v>
      </c>
      <c r="K1061">
        <v>2</v>
      </c>
      <c r="L1061" t="s">
        <v>40</v>
      </c>
      <c r="M1061">
        <v>46000</v>
      </c>
      <c r="N1061">
        <v>10.3</v>
      </c>
      <c r="O1061">
        <v>9.1</v>
      </c>
      <c r="P1061">
        <v>4.8</v>
      </c>
      <c r="Q1061">
        <v>3.3</v>
      </c>
      <c r="R1061">
        <v>3</v>
      </c>
      <c r="S1061">
        <v>2</v>
      </c>
      <c r="T1061">
        <v>3</v>
      </c>
      <c r="U1061" t="s">
        <v>23</v>
      </c>
      <c r="V1061">
        <v>4</v>
      </c>
      <c r="W1061">
        <f>COUNTIF($A$2:A1061,A1061)</f>
        <v>1</v>
      </c>
    </row>
    <row r="1062" spans="1:23" x14ac:dyDescent="0.35">
      <c r="A1062" t="s">
        <v>1335</v>
      </c>
      <c r="B1062" s="2">
        <v>45709</v>
      </c>
      <c r="C1062" s="2">
        <v>45984</v>
      </c>
      <c r="D1062" t="s">
        <v>30</v>
      </c>
      <c r="E1062">
        <v>21</v>
      </c>
      <c r="F1062" t="s">
        <v>36</v>
      </c>
      <c r="G1062" t="s">
        <v>25</v>
      </c>
      <c r="H1062" t="s">
        <v>32</v>
      </c>
      <c r="I1062" t="s">
        <v>38</v>
      </c>
      <c r="J1062" t="s">
        <v>39</v>
      </c>
      <c r="K1062">
        <v>1</v>
      </c>
      <c r="L1062" t="s">
        <v>84</v>
      </c>
      <c r="M1062">
        <v>45000</v>
      </c>
      <c r="N1062">
        <v>9</v>
      </c>
      <c r="O1062">
        <v>5.0999999999999996</v>
      </c>
      <c r="P1062">
        <v>0.8</v>
      </c>
      <c r="Q1062">
        <v>0</v>
      </c>
      <c r="R1062">
        <v>3</v>
      </c>
      <c r="S1062">
        <v>3</v>
      </c>
      <c r="T1062">
        <v>3</v>
      </c>
      <c r="U1062" t="s">
        <v>23</v>
      </c>
      <c r="V1062">
        <v>3</v>
      </c>
      <c r="W1062">
        <f>COUNTIF($A$2:A1062,A1062)</f>
        <v>1</v>
      </c>
    </row>
    <row r="1063" spans="1:23" x14ac:dyDescent="0.35">
      <c r="A1063" t="s">
        <v>742</v>
      </c>
      <c r="B1063" s="2">
        <v>45078</v>
      </c>
      <c r="C1063" s="2">
        <v>45701</v>
      </c>
      <c r="D1063" t="s">
        <v>30</v>
      </c>
      <c r="E1063">
        <v>23</v>
      </c>
      <c r="F1063" t="s">
        <v>24</v>
      </c>
      <c r="G1063" t="s">
        <v>25</v>
      </c>
      <c r="H1063" t="s">
        <v>54</v>
      </c>
      <c r="I1063" t="s">
        <v>27</v>
      </c>
      <c r="J1063" t="s">
        <v>28</v>
      </c>
      <c r="K1063">
        <v>1</v>
      </c>
      <c r="L1063" t="s">
        <v>50</v>
      </c>
      <c r="M1063">
        <v>37000</v>
      </c>
      <c r="N1063">
        <v>16.5</v>
      </c>
      <c r="O1063">
        <v>4</v>
      </c>
      <c r="P1063">
        <v>1.7</v>
      </c>
      <c r="Q1063">
        <v>0.8</v>
      </c>
      <c r="R1063">
        <v>3</v>
      </c>
      <c r="S1063">
        <v>3</v>
      </c>
      <c r="T1063">
        <v>3</v>
      </c>
      <c r="U1063" t="s">
        <v>23</v>
      </c>
      <c r="V1063">
        <v>4</v>
      </c>
      <c r="W1063">
        <f>COUNTIF($A$2:A1063,A1063)</f>
        <v>1</v>
      </c>
    </row>
    <row r="1064" spans="1:23" x14ac:dyDescent="0.35">
      <c r="A1064" t="s">
        <v>395</v>
      </c>
      <c r="B1064" s="2">
        <v>43588</v>
      </c>
      <c r="D1064" t="s">
        <v>23</v>
      </c>
      <c r="E1064">
        <v>35</v>
      </c>
      <c r="F1064" t="s">
        <v>24</v>
      </c>
      <c r="G1064" t="s">
        <v>25</v>
      </c>
      <c r="H1064" t="s">
        <v>26</v>
      </c>
      <c r="I1064" t="s">
        <v>68</v>
      </c>
      <c r="J1064" t="s">
        <v>109</v>
      </c>
      <c r="K1064">
        <v>2</v>
      </c>
      <c r="L1064" t="s">
        <v>29</v>
      </c>
      <c r="M1064">
        <v>53000</v>
      </c>
      <c r="N1064">
        <v>2.7</v>
      </c>
      <c r="O1064">
        <v>14.4</v>
      </c>
      <c r="P1064">
        <v>6.7</v>
      </c>
      <c r="Q1064">
        <v>1.1000000000000001</v>
      </c>
      <c r="R1064">
        <v>3</v>
      </c>
      <c r="S1064">
        <v>4</v>
      </c>
      <c r="T1064">
        <v>3</v>
      </c>
      <c r="U1064" t="s">
        <v>23</v>
      </c>
      <c r="V1064">
        <v>3</v>
      </c>
      <c r="W1064">
        <f>COUNTIF($A$2:A1064,A1064)</f>
        <v>1</v>
      </c>
    </row>
    <row r="1065" spans="1:23" x14ac:dyDescent="0.35">
      <c r="A1065" t="s">
        <v>1487</v>
      </c>
      <c r="B1065" s="2">
        <v>44222</v>
      </c>
      <c r="D1065" t="s">
        <v>23</v>
      </c>
      <c r="E1065">
        <v>29</v>
      </c>
      <c r="F1065" t="s">
        <v>36</v>
      </c>
      <c r="G1065" t="s">
        <v>25</v>
      </c>
      <c r="H1065" t="s">
        <v>32</v>
      </c>
      <c r="I1065" t="s">
        <v>45</v>
      </c>
      <c r="J1065" t="s">
        <v>46</v>
      </c>
      <c r="K1065">
        <v>3</v>
      </c>
      <c r="L1065" t="s">
        <v>34</v>
      </c>
      <c r="M1065">
        <v>77000</v>
      </c>
      <c r="N1065">
        <v>2.7</v>
      </c>
      <c r="O1065">
        <v>12.3</v>
      </c>
      <c r="P1065">
        <v>4.9000000000000004</v>
      </c>
      <c r="Q1065">
        <v>2.5</v>
      </c>
      <c r="R1065">
        <v>2</v>
      </c>
      <c r="S1065">
        <v>3</v>
      </c>
      <c r="T1065">
        <v>2</v>
      </c>
      <c r="U1065" t="s">
        <v>23</v>
      </c>
      <c r="V1065">
        <v>4</v>
      </c>
      <c r="W1065">
        <f>COUNTIF($A$2:A1065,A1065)</f>
        <v>1</v>
      </c>
    </row>
    <row r="1066" spans="1:23" x14ac:dyDescent="0.35">
      <c r="A1066" t="s">
        <v>1590</v>
      </c>
      <c r="B1066" s="2">
        <v>43639</v>
      </c>
      <c r="D1066" t="s">
        <v>23</v>
      </c>
      <c r="E1066">
        <v>43</v>
      </c>
      <c r="F1066" t="s">
        <v>62</v>
      </c>
      <c r="G1066" t="s">
        <v>42</v>
      </c>
      <c r="H1066" t="s">
        <v>54</v>
      </c>
      <c r="I1066" t="s">
        <v>45</v>
      </c>
      <c r="J1066" t="s">
        <v>164</v>
      </c>
      <c r="K1066">
        <v>3</v>
      </c>
      <c r="L1066" t="s">
        <v>34</v>
      </c>
      <c r="M1066">
        <v>69000</v>
      </c>
      <c r="N1066">
        <v>14.8</v>
      </c>
      <c r="O1066">
        <v>12</v>
      </c>
      <c r="P1066">
        <v>6.5</v>
      </c>
      <c r="Q1066">
        <v>4.8</v>
      </c>
      <c r="R1066">
        <v>1</v>
      </c>
      <c r="S1066">
        <v>3</v>
      </c>
      <c r="T1066">
        <v>3</v>
      </c>
      <c r="U1066" t="s">
        <v>23</v>
      </c>
      <c r="V1066">
        <v>5</v>
      </c>
      <c r="W1066">
        <f>COUNTIF($A$2:A1066,A1066)</f>
        <v>1</v>
      </c>
    </row>
    <row r="1067" spans="1:23" x14ac:dyDescent="0.35">
      <c r="A1067" t="s">
        <v>183</v>
      </c>
      <c r="B1067" s="2">
        <v>45738</v>
      </c>
      <c r="C1067" s="2">
        <v>45869</v>
      </c>
      <c r="D1067" t="s">
        <v>30</v>
      </c>
      <c r="E1067">
        <v>21</v>
      </c>
      <c r="F1067" t="s">
        <v>24</v>
      </c>
      <c r="G1067" t="s">
        <v>25</v>
      </c>
      <c r="H1067" t="s">
        <v>54</v>
      </c>
      <c r="I1067" t="s">
        <v>45</v>
      </c>
      <c r="J1067" t="s">
        <v>77</v>
      </c>
      <c r="K1067">
        <v>1</v>
      </c>
      <c r="L1067" t="s">
        <v>34</v>
      </c>
      <c r="M1067">
        <v>40000</v>
      </c>
      <c r="N1067">
        <v>6.6</v>
      </c>
      <c r="O1067">
        <v>7.6</v>
      </c>
      <c r="P1067">
        <v>0.4</v>
      </c>
      <c r="Q1067">
        <v>0</v>
      </c>
      <c r="R1067">
        <v>1</v>
      </c>
      <c r="S1067">
        <v>4</v>
      </c>
      <c r="T1067">
        <v>4</v>
      </c>
      <c r="U1067" t="s">
        <v>23</v>
      </c>
      <c r="V1067">
        <v>3</v>
      </c>
      <c r="W1067">
        <f>COUNTIF($A$2:A1067,A1067)</f>
        <v>1</v>
      </c>
    </row>
    <row r="1068" spans="1:23" x14ac:dyDescent="0.35">
      <c r="A1068" t="s">
        <v>383</v>
      </c>
      <c r="B1068" s="2">
        <v>44404</v>
      </c>
      <c r="D1068" t="s">
        <v>23</v>
      </c>
      <c r="E1068">
        <v>33</v>
      </c>
      <c r="F1068" t="s">
        <v>36</v>
      </c>
      <c r="G1068" t="s">
        <v>37</v>
      </c>
      <c r="H1068" t="s">
        <v>32</v>
      </c>
      <c r="I1068" t="s">
        <v>27</v>
      </c>
      <c r="J1068" t="s">
        <v>33</v>
      </c>
      <c r="K1068">
        <v>2</v>
      </c>
      <c r="L1068" t="s">
        <v>66</v>
      </c>
      <c r="M1068">
        <v>37000</v>
      </c>
      <c r="N1068">
        <v>9.6999999999999993</v>
      </c>
      <c r="O1068">
        <v>9.5</v>
      </c>
      <c r="P1068">
        <v>4.4000000000000004</v>
      </c>
      <c r="Q1068">
        <v>0.6</v>
      </c>
      <c r="R1068">
        <v>3</v>
      </c>
      <c r="S1068">
        <v>3</v>
      </c>
      <c r="T1068">
        <v>3</v>
      </c>
      <c r="U1068" t="s">
        <v>23</v>
      </c>
      <c r="V1068">
        <v>3</v>
      </c>
      <c r="W1068">
        <f>COUNTIF($A$2:A1068,A1068)</f>
        <v>1</v>
      </c>
    </row>
    <row r="1069" spans="1:23" x14ac:dyDescent="0.35">
      <c r="A1069" t="s">
        <v>1466</v>
      </c>
      <c r="B1069" s="2">
        <v>45210</v>
      </c>
      <c r="D1069" t="s">
        <v>23</v>
      </c>
      <c r="E1069">
        <v>36</v>
      </c>
      <c r="F1069" t="s">
        <v>36</v>
      </c>
      <c r="G1069" t="s">
        <v>42</v>
      </c>
      <c r="H1069" t="s">
        <v>32</v>
      </c>
      <c r="I1069" t="s">
        <v>27</v>
      </c>
      <c r="J1069" t="s">
        <v>43</v>
      </c>
      <c r="K1069">
        <v>2</v>
      </c>
      <c r="L1069" t="s">
        <v>66</v>
      </c>
      <c r="M1069">
        <v>50000</v>
      </c>
      <c r="N1069">
        <v>13.3</v>
      </c>
      <c r="O1069">
        <v>6.5</v>
      </c>
      <c r="P1069">
        <v>2.2000000000000002</v>
      </c>
      <c r="Q1069">
        <v>0.7</v>
      </c>
      <c r="R1069">
        <v>3</v>
      </c>
      <c r="S1069">
        <v>4</v>
      </c>
      <c r="T1069">
        <v>3</v>
      </c>
      <c r="U1069" t="s">
        <v>30</v>
      </c>
      <c r="V1069">
        <v>5</v>
      </c>
      <c r="W1069">
        <f>COUNTIF($A$2:A1069,A1069)</f>
        <v>1</v>
      </c>
    </row>
    <row r="1070" spans="1:23" x14ac:dyDescent="0.35">
      <c r="A1070" t="s">
        <v>1460</v>
      </c>
      <c r="B1070" s="2">
        <v>44966</v>
      </c>
      <c r="D1070" t="s">
        <v>23</v>
      </c>
      <c r="E1070">
        <v>34</v>
      </c>
      <c r="F1070" t="s">
        <v>62</v>
      </c>
      <c r="G1070" t="s">
        <v>42</v>
      </c>
      <c r="H1070" t="s">
        <v>58</v>
      </c>
      <c r="I1070" t="s">
        <v>55</v>
      </c>
      <c r="J1070" t="s">
        <v>80</v>
      </c>
      <c r="K1070">
        <v>4</v>
      </c>
      <c r="L1070" t="s">
        <v>84</v>
      </c>
      <c r="M1070">
        <v>119000</v>
      </c>
      <c r="N1070">
        <v>9.9</v>
      </c>
      <c r="O1070">
        <v>8.4</v>
      </c>
      <c r="P1070">
        <v>2.9</v>
      </c>
      <c r="Q1070">
        <v>0.3</v>
      </c>
      <c r="R1070">
        <v>3</v>
      </c>
      <c r="S1070">
        <v>4</v>
      </c>
      <c r="T1070">
        <v>4</v>
      </c>
      <c r="U1070" t="s">
        <v>23</v>
      </c>
      <c r="V1070">
        <v>2</v>
      </c>
      <c r="W1070">
        <f>COUNTIF($A$2:A1070,A1070)</f>
        <v>1</v>
      </c>
    </row>
    <row r="1071" spans="1:23" x14ac:dyDescent="0.35">
      <c r="A1071" t="s">
        <v>991</v>
      </c>
      <c r="B1071" s="2">
        <v>44643</v>
      </c>
      <c r="D1071" t="s">
        <v>23</v>
      </c>
      <c r="E1071">
        <v>27</v>
      </c>
      <c r="F1071" t="s">
        <v>24</v>
      </c>
      <c r="G1071" t="s">
        <v>37</v>
      </c>
      <c r="H1071" t="s">
        <v>32</v>
      </c>
      <c r="I1071" t="s">
        <v>38</v>
      </c>
      <c r="J1071" t="s">
        <v>52</v>
      </c>
      <c r="K1071">
        <v>1</v>
      </c>
      <c r="L1071" t="s">
        <v>84</v>
      </c>
      <c r="M1071">
        <v>51000</v>
      </c>
      <c r="N1071">
        <v>8.6</v>
      </c>
      <c r="O1071">
        <v>3.9</v>
      </c>
      <c r="P1071">
        <v>3.8</v>
      </c>
      <c r="Q1071">
        <v>1.2</v>
      </c>
      <c r="R1071">
        <v>4</v>
      </c>
      <c r="S1071">
        <v>3</v>
      </c>
      <c r="T1071">
        <v>3</v>
      </c>
      <c r="U1071" t="s">
        <v>23</v>
      </c>
      <c r="V1071">
        <v>4</v>
      </c>
      <c r="W1071">
        <f>COUNTIF($A$2:A1071,A1071)</f>
        <v>1</v>
      </c>
    </row>
    <row r="1072" spans="1:23" x14ac:dyDescent="0.35">
      <c r="A1072" t="s">
        <v>577</v>
      </c>
      <c r="B1072" s="2">
        <v>42093</v>
      </c>
      <c r="D1072" t="s">
        <v>23</v>
      </c>
      <c r="E1072">
        <v>40</v>
      </c>
      <c r="F1072" t="s">
        <v>36</v>
      </c>
      <c r="G1072" t="s">
        <v>25</v>
      </c>
      <c r="H1072" t="s">
        <v>32</v>
      </c>
      <c r="I1072" t="s">
        <v>45</v>
      </c>
      <c r="J1072" t="s">
        <v>164</v>
      </c>
      <c r="K1072">
        <v>4</v>
      </c>
      <c r="L1072" t="s">
        <v>84</v>
      </c>
      <c r="M1072">
        <v>101000</v>
      </c>
      <c r="N1072">
        <v>12</v>
      </c>
      <c r="O1072">
        <v>18.100000000000001</v>
      </c>
      <c r="P1072">
        <v>10.8</v>
      </c>
      <c r="Q1072">
        <v>3.6</v>
      </c>
      <c r="R1072">
        <v>1</v>
      </c>
      <c r="S1072">
        <v>2</v>
      </c>
      <c r="T1072">
        <v>2</v>
      </c>
      <c r="U1072" t="s">
        <v>23</v>
      </c>
      <c r="V1072">
        <v>4</v>
      </c>
      <c r="W1072">
        <f>COUNTIF($A$2:A1072,A1072)</f>
        <v>1</v>
      </c>
    </row>
    <row r="1073" spans="1:23" x14ac:dyDescent="0.35">
      <c r="A1073" t="s">
        <v>979</v>
      </c>
      <c r="B1073" s="2">
        <v>44356</v>
      </c>
      <c r="D1073" t="s">
        <v>23</v>
      </c>
      <c r="E1073">
        <v>33</v>
      </c>
      <c r="F1073" t="s">
        <v>62</v>
      </c>
      <c r="G1073" t="s">
        <v>37</v>
      </c>
      <c r="H1073" t="s">
        <v>54</v>
      </c>
      <c r="I1073" t="s">
        <v>59</v>
      </c>
      <c r="J1073" t="s">
        <v>75</v>
      </c>
      <c r="K1073">
        <v>1</v>
      </c>
      <c r="L1073" t="s">
        <v>34</v>
      </c>
      <c r="M1073">
        <v>37000</v>
      </c>
      <c r="N1073">
        <v>10.199999999999999</v>
      </c>
      <c r="O1073">
        <v>5.4</v>
      </c>
      <c r="P1073">
        <v>4.5999999999999996</v>
      </c>
      <c r="Q1073">
        <v>3.8</v>
      </c>
      <c r="R1073">
        <v>2</v>
      </c>
      <c r="S1073">
        <v>2</v>
      </c>
      <c r="T1073">
        <v>2</v>
      </c>
      <c r="U1073" t="s">
        <v>23</v>
      </c>
      <c r="V1073">
        <v>3</v>
      </c>
      <c r="W1073">
        <f>COUNTIF($A$2:A1073,A1073)</f>
        <v>1</v>
      </c>
    </row>
    <row r="1074" spans="1:23" x14ac:dyDescent="0.35">
      <c r="A1074" t="s">
        <v>1171</v>
      </c>
      <c r="B1074" s="2">
        <v>45504</v>
      </c>
      <c r="C1074" s="2">
        <v>45975</v>
      </c>
      <c r="D1074" t="s">
        <v>30</v>
      </c>
      <c r="E1074">
        <v>25</v>
      </c>
      <c r="F1074" t="s">
        <v>24</v>
      </c>
      <c r="G1074" t="s">
        <v>37</v>
      </c>
      <c r="H1074" t="s">
        <v>58</v>
      </c>
      <c r="I1074" t="s">
        <v>45</v>
      </c>
      <c r="J1074" t="s">
        <v>164</v>
      </c>
      <c r="K1074">
        <v>1</v>
      </c>
      <c r="L1074" t="s">
        <v>40</v>
      </c>
      <c r="M1074">
        <v>40000</v>
      </c>
      <c r="N1074">
        <v>8.5</v>
      </c>
      <c r="O1074">
        <v>3.4</v>
      </c>
      <c r="P1074">
        <v>1.3</v>
      </c>
      <c r="Q1074">
        <v>1.1000000000000001</v>
      </c>
      <c r="R1074">
        <v>4</v>
      </c>
      <c r="S1074">
        <v>3</v>
      </c>
      <c r="T1074">
        <v>3</v>
      </c>
      <c r="U1074" t="s">
        <v>23</v>
      </c>
      <c r="V1074">
        <v>2</v>
      </c>
      <c r="W1074">
        <f>COUNTIF($A$2:A1074,A1074)</f>
        <v>1</v>
      </c>
    </row>
    <row r="1075" spans="1:23" x14ac:dyDescent="0.35">
      <c r="A1075" t="s">
        <v>324</v>
      </c>
      <c r="B1075" s="2">
        <v>45306</v>
      </c>
      <c r="D1075" t="s">
        <v>23</v>
      </c>
      <c r="E1075">
        <v>23</v>
      </c>
      <c r="F1075" t="s">
        <v>36</v>
      </c>
      <c r="G1075" t="s">
        <v>42</v>
      </c>
      <c r="H1075" t="s">
        <v>32</v>
      </c>
      <c r="I1075" t="s">
        <v>48</v>
      </c>
      <c r="J1075" t="s">
        <v>201</v>
      </c>
      <c r="K1075">
        <v>1</v>
      </c>
      <c r="L1075" t="s">
        <v>40</v>
      </c>
      <c r="M1075">
        <v>25000</v>
      </c>
      <c r="N1075">
        <v>0.9</v>
      </c>
      <c r="O1075">
        <v>5.7</v>
      </c>
      <c r="P1075">
        <v>2</v>
      </c>
      <c r="Q1075">
        <v>0.1</v>
      </c>
      <c r="R1075">
        <v>2</v>
      </c>
      <c r="S1075">
        <v>3</v>
      </c>
      <c r="T1075">
        <v>2</v>
      </c>
      <c r="U1075" t="s">
        <v>23</v>
      </c>
      <c r="V1075">
        <v>3</v>
      </c>
      <c r="W1075">
        <f>COUNTIF($A$2:A1075,A1075)</f>
        <v>1</v>
      </c>
    </row>
    <row r="1076" spans="1:23" x14ac:dyDescent="0.35">
      <c r="A1076" t="s">
        <v>1238</v>
      </c>
      <c r="B1076" s="2">
        <v>43084</v>
      </c>
      <c r="D1076" t="s">
        <v>23</v>
      </c>
      <c r="E1076">
        <v>29</v>
      </c>
      <c r="F1076" t="s">
        <v>36</v>
      </c>
      <c r="G1076" t="s">
        <v>42</v>
      </c>
      <c r="H1076" t="s">
        <v>54</v>
      </c>
      <c r="I1076" t="s">
        <v>59</v>
      </c>
      <c r="J1076" t="s">
        <v>150</v>
      </c>
      <c r="K1076">
        <v>2</v>
      </c>
      <c r="L1076" t="s">
        <v>84</v>
      </c>
      <c r="M1076">
        <v>43000</v>
      </c>
      <c r="N1076">
        <v>8.6999999999999993</v>
      </c>
      <c r="O1076">
        <v>14.3</v>
      </c>
      <c r="P1076">
        <v>8</v>
      </c>
      <c r="Q1076">
        <v>2.5</v>
      </c>
      <c r="R1076">
        <v>3</v>
      </c>
      <c r="S1076">
        <v>4</v>
      </c>
      <c r="T1076">
        <v>4</v>
      </c>
      <c r="U1076" t="s">
        <v>23</v>
      </c>
      <c r="V1076">
        <v>4</v>
      </c>
      <c r="W1076">
        <f>COUNTIF($A$2:A1076,A1076)</f>
        <v>1</v>
      </c>
    </row>
    <row r="1077" spans="1:23" x14ac:dyDescent="0.35">
      <c r="A1077" t="s">
        <v>783</v>
      </c>
      <c r="B1077" s="2">
        <v>42895</v>
      </c>
      <c r="D1077" t="s">
        <v>23</v>
      </c>
      <c r="E1077">
        <v>48</v>
      </c>
      <c r="F1077" t="s">
        <v>36</v>
      </c>
      <c r="G1077" t="s">
        <v>25</v>
      </c>
      <c r="H1077" t="s">
        <v>58</v>
      </c>
      <c r="I1077" t="s">
        <v>68</v>
      </c>
      <c r="J1077" t="s">
        <v>109</v>
      </c>
      <c r="K1077">
        <v>2</v>
      </c>
      <c r="L1077" t="s">
        <v>40</v>
      </c>
      <c r="M1077">
        <v>39000</v>
      </c>
      <c r="N1077">
        <v>13.6</v>
      </c>
      <c r="O1077">
        <v>10.8</v>
      </c>
      <c r="P1077">
        <v>8.6</v>
      </c>
      <c r="Q1077">
        <v>3.8</v>
      </c>
      <c r="R1077">
        <v>4</v>
      </c>
      <c r="S1077">
        <v>3</v>
      </c>
      <c r="T1077">
        <v>3</v>
      </c>
      <c r="U1077" t="s">
        <v>23</v>
      </c>
      <c r="V1077">
        <v>3</v>
      </c>
      <c r="W1077">
        <f>COUNTIF($A$2:A1077,A1077)</f>
        <v>1</v>
      </c>
    </row>
    <row r="1078" spans="1:23" x14ac:dyDescent="0.35">
      <c r="A1078" t="s">
        <v>895</v>
      </c>
      <c r="B1078" s="2">
        <v>44185</v>
      </c>
      <c r="D1078" t="s">
        <v>23</v>
      </c>
      <c r="E1078">
        <v>28</v>
      </c>
      <c r="F1078" t="s">
        <v>24</v>
      </c>
      <c r="G1078" t="s">
        <v>42</v>
      </c>
      <c r="H1078" t="s">
        <v>58</v>
      </c>
      <c r="I1078" t="s">
        <v>27</v>
      </c>
      <c r="J1078" t="s">
        <v>95</v>
      </c>
      <c r="K1078">
        <v>2</v>
      </c>
      <c r="L1078" t="s">
        <v>29</v>
      </c>
      <c r="M1078">
        <v>52000</v>
      </c>
      <c r="N1078">
        <v>7.2</v>
      </c>
      <c r="O1078">
        <v>12.9</v>
      </c>
      <c r="P1078">
        <v>5</v>
      </c>
      <c r="Q1078">
        <v>0.1</v>
      </c>
      <c r="R1078">
        <v>2</v>
      </c>
      <c r="S1078">
        <v>4</v>
      </c>
      <c r="T1078">
        <v>1</v>
      </c>
      <c r="U1078" t="s">
        <v>30</v>
      </c>
      <c r="V1078">
        <v>1</v>
      </c>
      <c r="W1078">
        <f>COUNTIF($A$2:A1078,A1078)</f>
        <v>1</v>
      </c>
    </row>
    <row r="1079" spans="1:23" x14ac:dyDescent="0.35">
      <c r="A1079" t="s">
        <v>1139</v>
      </c>
      <c r="B1079" s="2">
        <v>44903</v>
      </c>
      <c r="D1079" t="s">
        <v>23</v>
      </c>
      <c r="E1079">
        <v>44</v>
      </c>
      <c r="F1079" t="s">
        <v>36</v>
      </c>
      <c r="G1079" t="s">
        <v>37</v>
      </c>
      <c r="H1079" t="s">
        <v>32</v>
      </c>
      <c r="I1079" t="s">
        <v>55</v>
      </c>
      <c r="J1079" t="s">
        <v>179</v>
      </c>
      <c r="K1079">
        <v>1</v>
      </c>
      <c r="L1079" t="s">
        <v>29</v>
      </c>
      <c r="M1079">
        <v>45000</v>
      </c>
      <c r="N1079">
        <v>11</v>
      </c>
      <c r="O1079">
        <v>4</v>
      </c>
      <c r="P1079">
        <v>3.1</v>
      </c>
      <c r="Q1079">
        <v>1</v>
      </c>
      <c r="R1079">
        <v>4</v>
      </c>
      <c r="S1079">
        <v>3</v>
      </c>
      <c r="T1079">
        <v>2</v>
      </c>
      <c r="U1079" t="s">
        <v>23</v>
      </c>
      <c r="V1079">
        <v>3</v>
      </c>
      <c r="W1079">
        <f>COUNTIF($A$2:A1079,A1079)</f>
        <v>1</v>
      </c>
    </row>
    <row r="1080" spans="1:23" x14ac:dyDescent="0.35">
      <c r="A1080" t="s">
        <v>898</v>
      </c>
      <c r="B1080" s="2">
        <v>45365</v>
      </c>
      <c r="D1080" t="s">
        <v>23</v>
      </c>
      <c r="E1080">
        <v>23</v>
      </c>
      <c r="F1080" t="s">
        <v>36</v>
      </c>
      <c r="G1080" t="s">
        <v>37</v>
      </c>
      <c r="H1080" t="s">
        <v>54</v>
      </c>
      <c r="I1080" t="s">
        <v>45</v>
      </c>
      <c r="J1080" t="s">
        <v>46</v>
      </c>
      <c r="K1080">
        <v>1</v>
      </c>
      <c r="L1080" t="s">
        <v>29</v>
      </c>
      <c r="M1080">
        <v>30000</v>
      </c>
      <c r="N1080">
        <v>13.8</v>
      </c>
      <c r="O1080">
        <v>8.6</v>
      </c>
      <c r="P1080">
        <v>1.8</v>
      </c>
      <c r="Q1080">
        <v>0.9</v>
      </c>
      <c r="R1080">
        <v>2</v>
      </c>
      <c r="S1080">
        <v>3</v>
      </c>
      <c r="T1080">
        <v>3</v>
      </c>
      <c r="U1080" t="s">
        <v>30</v>
      </c>
      <c r="V1080">
        <v>5</v>
      </c>
      <c r="W1080">
        <f>COUNTIF($A$2:A1080,A1080)</f>
        <v>1</v>
      </c>
    </row>
    <row r="1081" spans="1:23" x14ac:dyDescent="0.35">
      <c r="A1081" t="s">
        <v>704</v>
      </c>
      <c r="B1081" s="2">
        <v>44978</v>
      </c>
      <c r="D1081" t="s">
        <v>23</v>
      </c>
      <c r="E1081">
        <v>26</v>
      </c>
      <c r="F1081" t="s">
        <v>62</v>
      </c>
      <c r="G1081" t="s">
        <v>25</v>
      </c>
      <c r="H1081" t="s">
        <v>32</v>
      </c>
      <c r="I1081" t="s">
        <v>55</v>
      </c>
      <c r="J1081" t="s">
        <v>80</v>
      </c>
      <c r="K1081">
        <v>1</v>
      </c>
      <c r="L1081" t="s">
        <v>84</v>
      </c>
      <c r="M1081">
        <v>40000</v>
      </c>
      <c r="N1081">
        <v>5.0999999999999996</v>
      </c>
      <c r="O1081">
        <v>8</v>
      </c>
      <c r="P1081">
        <v>2.9</v>
      </c>
      <c r="Q1081">
        <v>0.4</v>
      </c>
      <c r="R1081">
        <v>3</v>
      </c>
      <c r="S1081">
        <v>1</v>
      </c>
      <c r="T1081">
        <v>3</v>
      </c>
      <c r="U1081" t="s">
        <v>23</v>
      </c>
      <c r="V1081">
        <v>3</v>
      </c>
      <c r="W1081">
        <f>COUNTIF($A$2:A1081,A1081)</f>
        <v>1</v>
      </c>
    </row>
    <row r="1082" spans="1:23" x14ac:dyDescent="0.35">
      <c r="A1082" t="s">
        <v>1190</v>
      </c>
      <c r="B1082" s="2">
        <v>45666</v>
      </c>
      <c r="D1082" t="s">
        <v>23</v>
      </c>
      <c r="E1082">
        <v>30</v>
      </c>
      <c r="F1082" t="s">
        <v>62</v>
      </c>
      <c r="G1082" t="s">
        <v>37</v>
      </c>
      <c r="H1082" t="s">
        <v>26</v>
      </c>
      <c r="I1082" t="s">
        <v>68</v>
      </c>
      <c r="J1082" t="s">
        <v>109</v>
      </c>
      <c r="K1082">
        <v>4</v>
      </c>
      <c r="L1082" t="s">
        <v>29</v>
      </c>
      <c r="M1082">
        <v>98000</v>
      </c>
      <c r="N1082">
        <v>5.0999999999999996</v>
      </c>
      <c r="O1082">
        <v>7.4</v>
      </c>
      <c r="P1082">
        <v>1</v>
      </c>
      <c r="Q1082">
        <v>0.1</v>
      </c>
      <c r="R1082">
        <v>4</v>
      </c>
      <c r="S1082">
        <v>2</v>
      </c>
      <c r="T1082">
        <v>4</v>
      </c>
      <c r="U1082" t="s">
        <v>30</v>
      </c>
      <c r="V1082">
        <v>2</v>
      </c>
      <c r="W1082">
        <f>COUNTIF($A$2:A1082,A1082)</f>
        <v>1</v>
      </c>
    </row>
    <row r="1083" spans="1:23" x14ac:dyDescent="0.35">
      <c r="A1083" t="s">
        <v>1444</v>
      </c>
      <c r="B1083" s="2">
        <v>45833</v>
      </c>
      <c r="D1083" t="s">
        <v>23</v>
      </c>
      <c r="E1083">
        <v>24</v>
      </c>
      <c r="F1083" t="s">
        <v>62</v>
      </c>
      <c r="G1083" t="s">
        <v>37</v>
      </c>
      <c r="H1083" t="s">
        <v>54</v>
      </c>
      <c r="I1083" t="s">
        <v>68</v>
      </c>
      <c r="J1083" t="s">
        <v>102</v>
      </c>
      <c r="K1083">
        <v>1</v>
      </c>
      <c r="L1083" t="s">
        <v>34</v>
      </c>
      <c r="M1083">
        <v>22000</v>
      </c>
      <c r="N1083">
        <v>6.5</v>
      </c>
      <c r="O1083">
        <v>3.8</v>
      </c>
      <c r="P1083">
        <v>0.5</v>
      </c>
      <c r="Q1083">
        <v>0</v>
      </c>
      <c r="R1083">
        <v>4</v>
      </c>
      <c r="S1083">
        <v>2</v>
      </c>
      <c r="T1083">
        <v>3</v>
      </c>
      <c r="U1083" t="s">
        <v>23</v>
      </c>
      <c r="V1083">
        <v>3</v>
      </c>
      <c r="W1083">
        <f>COUNTIF($A$2:A1083,A1083)</f>
        <v>1</v>
      </c>
    </row>
    <row r="1084" spans="1:23" x14ac:dyDescent="0.35">
      <c r="A1084" t="s">
        <v>1061</v>
      </c>
      <c r="B1084" s="2">
        <v>45157</v>
      </c>
      <c r="D1084" t="s">
        <v>23</v>
      </c>
      <c r="E1084">
        <v>32</v>
      </c>
      <c r="F1084" t="s">
        <v>24</v>
      </c>
      <c r="G1084" t="s">
        <v>25</v>
      </c>
      <c r="H1084" t="s">
        <v>26</v>
      </c>
      <c r="I1084" t="s">
        <v>27</v>
      </c>
      <c r="J1084" t="s">
        <v>43</v>
      </c>
      <c r="K1084">
        <v>3</v>
      </c>
      <c r="L1084" t="s">
        <v>84</v>
      </c>
      <c r="M1084">
        <v>69000</v>
      </c>
      <c r="N1084">
        <v>9.1999999999999993</v>
      </c>
      <c r="O1084">
        <v>4.5</v>
      </c>
      <c r="P1084">
        <v>2.4</v>
      </c>
      <c r="Q1084">
        <v>2.2999999999999998</v>
      </c>
      <c r="R1084">
        <v>3</v>
      </c>
      <c r="S1084">
        <v>3</v>
      </c>
      <c r="T1084">
        <v>3</v>
      </c>
      <c r="U1084" t="s">
        <v>30</v>
      </c>
      <c r="V1084">
        <v>2</v>
      </c>
      <c r="W1084">
        <f>COUNTIF($A$2:A1084,A1084)</f>
        <v>1</v>
      </c>
    </row>
    <row r="1085" spans="1:23" x14ac:dyDescent="0.35">
      <c r="A1085" t="s">
        <v>1085</v>
      </c>
      <c r="B1085" s="2">
        <v>42599</v>
      </c>
      <c r="D1085" t="s">
        <v>23</v>
      </c>
      <c r="E1085">
        <v>36</v>
      </c>
      <c r="F1085" t="s">
        <v>36</v>
      </c>
      <c r="G1085" t="s">
        <v>37</v>
      </c>
      <c r="H1085" t="s">
        <v>54</v>
      </c>
      <c r="I1085" t="s">
        <v>55</v>
      </c>
      <c r="J1085" t="s">
        <v>56</v>
      </c>
      <c r="K1085">
        <v>3</v>
      </c>
      <c r="L1085" t="s">
        <v>40</v>
      </c>
      <c r="M1085">
        <v>93000</v>
      </c>
      <c r="N1085">
        <v>7.4</v>
      </c>
      <c r="O1085">
        <v>13.8</v>
      </c>
      <c r="P1085">
        <v>9.4</v>
      </c>
      <c r="Q1085">
        <v>4.4000000000000004</v>
      </c>
      <c r="R1085">
        <v>3</v>
      </c>
      <c r="S1085">
        <v>3</v>
      </c>
      <c r="T1085">
        <v>3</v>
      </c>
      <c r="U1085" t="s">
        <v>23</v>
      </c>
      <c r="V1085">
        <v>3</v>
      </c>
      <c r="W1085">
        <f>COUNTIF($A$2:A1085,A1085)</f>
        <v>1</v>
      </c>
    </row>
    <row r="1086" spans="1:23" x14ac:dyDescent="0.35">
      <c r="A1086" t="s">
        <v>111</v>
      </c>
      <c r="B1086" s="2">
        <v>44733</v>
      </c>
      <c r="D1086" t="s">
        <v>23</v>
      </c>
      <c r="E1086">
        <v>25</v>
      </c>
      <c r="F1086" t="s">
        <v>36</v>
      </c>
      <c r="G1086" t="s">
        <v>37</v>
      </c>
      <c r="H1086" t="s">
        <v>32</v>
      </c>
      <c r="I1086" t="s">
        <v>38</v>
      </c>
      <c r="J1086" t="s">
        <v>52</v>
      </c>
      <c r="K1086">
        <v>1</v>
      </c>
      <c r="L1086" t="s">
        <v>40</v>
      </c>
      <c r="M1086">
        <v>48000</v>
      </c>
      <c r="N1086">
        <v>9.6</v>
      </c>
      <c r="O1086">
        <v>10.9</v>
      </c>
      <c r="P1086">
        <v>3.5</v>
      </c>
      <c r="Q1086">
        <v>2.2999999999999998</v>
      </c>
      <c r="R1086">
        <v>4</v>
      </c>
      <c r="S1086">
        <v>4</v>
      </c>
      <c r="T1086">
        <v>4</v>
      </c>
      <c r="U1086" t="s">
        <v>30</v>
      </c>
      <c r="V1086">
        <v>5</v>
      </c>
      <c r="W1086">
        <f>COUNTIF($A$2:A1086,A1086)</f>
        <v>1</v>
      </c>
    </row>
    <row r="1087" spans="1:23" x14ac:dyDescent="0.35">
      <c r="A1087" t="s">
        <v>305</v>
      </c>
      <c r="B1087" s="2">
        <v>42146</v>
      </c>
      <c r="D1087" t="s">
        <v>23</v>
      </c>
      <c r="E1087">
        <v>33</v>
      </c>
      <c r="F1087" t="s">
        <v>24</v>
      </c>
      <c r="G1087" t="s">
        <v>37</v>
      </c>
      <c r="H1087" t="s">
        <v>58</v>
      </c>
      <c r="I1087" t="s">
        <v>27</v>
      </c>
      <c r="J1087" t="s">
        <v>95</v>
      </c>
      <c r="K1087">
        <v>3</v>
      </c>
      <c r="L1087" t="s">
        <v>29</v>
      </c>
      <c r="M1087">
        <v>73000</v>
      </c>
      <c r="N1087">
        <v>13.9</v>
      </c>
      <c r="O1087">
        <v>15.9</v>
      </c>
      <c r="P1087">
        <v>10.6</v>
      </c>
      <c r="Q1087">
        <v>3.5</v>
      </c>
      <c r="R1087">
        <v>4</v>
      </c>
      <c r="S1087">
        <v>3</v>
      </c>
      <c r="T1087">
        <v>2</v>
      </c>
      <c r="U1087" t="s">
        <v>23</v>
      </c>
      <c r="V1087">
        <v>4</v>
      </c>
      <c r="W1087">
        <f>COUNTIF($A$2:A1087,A1087)</f>
        <v>1</v>
      </c>
    </row>
    <row r="1088" spans="1:23" x14ac:dyDescent="0.35">
      <c r="A1088" t="s">
        <v>812</v>
      </c>
      <c r="B1088" s="2">
        <v>43506</v>
      </c>
      <c r="D1088" t="s">
        <v>23</v>
      </c>
      <c r="E1088">
        <v>28</v>
      </c>
      <c r="F1088" t="s">
        <v>36</v>
      </c>
      <c r="G1088" t="s">
        <v>37</v>
      </c>
      <c r="H1088" t="s">
        <v>32</v>
      </c>
      <c r="I1088" t="s">
        <v>68</v>
      </c>
      <c r="J1088" t="s">
        <v>109</v>
      </c>
      <c r="K1088">
        <v>3</v>
      </c>
      <c r="L1088" t="s">
        <v>34</v>
      </c>
      <c r="M1088">
        <v>86000</v>
      </c>
      <c r="N1088">
        <v>6.6</v>
      </c>
      <c r="O1088">
        <v>9</v>
      </c>
      <c r="P1088">
        <v>6.9</v>
      </c>
      <c r="Q1088">
        <v>0.7</v>
      </c>
      <c r="R1088">
        <v>3</v>
      </c>
      <c r="S1088">
        <v>3</v>
      </c>
      <c r="T1088">
        <v>3</v>
      </c>
      <c r="U1088" t="s">
        <v>23</v>
      </c>
      <c r="V1088">
        <v>4</v>
      </c>
      <c r="W1088">
        <f>COUNTIF($A$2:A1088,A1088)</f>
        <v>1</v>
      </c>
    </row>
    <row r="1089" spans="1:23" x14ac:dyDescent="0.35">
      <c r="A1089" t="s">
        <v>1274</v>
      </c>
      <c r="B1089" s="2">
        <v>43473</v>
      </c>
      <c r="D1089" t="s">
        <v>23</v>
      </c>
      <c r="E1089">
        <v>45</v>
      </c>
      <c r="F1089" t="s">
        <v>62</v>
      </c>
      <c r="G1089" t="s">
        <v>42</v>
      </c>
      <c r="H1089" t="s">
        <v>26</v>
      </c>
      <c r="I1089" t="s">
        <v>68</v>
      </c>
      <c r="J1089" t="s">
        <v>109</v>
      </c>
      <c r="K1089">
        <v>4</v>
      </c>
      <c r="L1089" t="s">
        <v>40</v>
      </c>
      <c r="M1089">
        <v>107000</v>
      </c>
      <c r="N1089">
        <v>11.7</v>
      </c>
      <c r="O1089">
        <v>13.2</v>
      </c>
      <c r="P1089">
        <v>7</v>
      </c>
      <c r="Q1089">
        <v>3.7</v>
      </c>
      <c r="R1089">
        <v>3</v>
      </c>
      <c r="S1089">
        <v>3</v>
      </c>
      <c r="T1089">
        <v>2</v>
      </c>
      <c r="U1089" t="s">
        <v>30</v>
      </c>
      <c r="V1089">
        <v>3</v>
      </c>
      <c r="W1089">
        <f>COUNTIF($A$2:A1089,A1089)</f>
        <v>1</v>
      </c>
    </row>
    <row r="1090" spans="1:23" x14ac:dyDescent="0.35">
      <c r="A1090" t="s">
        <v>1569</v>
      </c>
      <c r="B1090" s="2">
        <v>45220</v>
      </c>
      <c r="D1090" t="s">
        <v>23</v>
      </c>
      <c r="E1090">
        <v>38</v>
      </c>
      <c r="F1090" t="s">
        <v>36</v>
      </c>
      <c r="G1090" t="s">
        <v>37</v>
      </c>
      <c r="H1090" t="s">
        <v>32</v>
      </c>
      <c r="I1090" t="s">
        <v>27</v>
      </c>
      <c r="J1090" t="s">
        <v>95</v>
      </c>
      <c r="K1090">
        <v>2</v>
      </c>
      <c r="L1090" t="s">
        <v>40</v>
      </c>
      <c r="M1090">
        <v>52000</v>
      </c>
      <c r="N1090">
        <v>10.9</v>
      </c>
      <c r="O1090">
        <v>8.3000000000000007</v>
      </c>
      <c r="P1090">
        <v>2.2000000000000002</v>
      </c>
      <c r="Q1090">
        <v>2</v>
      </c>
      <c r="R1090">
        <v>3</v>
      </c>
      <c r="S1090">
        <v>3</v>
      </c>
      <c r="T1090">
        <v>2</v>
      </c>
      <c r="U1090" t="s">
        <v>23</v>
      </c>
      <c r="V1090">
        <v>4</v>
      </c>
      <c r="W1090">
        <f>COUNTIF($A$2:A1090,A1090)</f>
        <v>1</v>
      </c>
    </row>
    <row r="1091" spans="1:23" x14ac:dyDescent="0.35">
      <c r="A1091" t="s">
        <v>796</v>
      </c>
      <c r="B1091" s="2">
        <v>45705</v>
      </c>
      <c r="D1091" t="s">
        <v>23</v>
      </c>
      <c r="E1091">
        <v>21</v>
      </c>
      <c r="F1091" t="s">
        <v>24</v>
      </c>
      <c r="G1091" t="s">
        <v>42</v>
      </c>
      <c r="H1091" t="s">
        <v>54</v>
      </c>
      <c r="I1091" t="s">
        <v>55</v>
      </c>
      <c r="J1091" t="s">
        <v>56</v>
      </c>
      <c r="K1091">
        <v>1</v>
      </c>
      <c r="L1091" t="s">
        <v>66</v>
      </c>
      <c r="M1091">
        <v>44000</v>
      </c>
      <c r="N1091">
        <v>0.7</v>
      </c>
      <c r="O1091">
        <v>4</v>
      </c>
      <c r="P1091">
        <v>0.9</v>
      </c>
      <c r="Q1091">
        <v>0</v>
      </c>
      <c r="R1091">
        <v>2</v>
      </c>
      <c r="S1091">
        <v>4</v>
      </c>
      <c r="T1091">
        <v>3</v>
      </c>
      <c r="U1091" t="s">
        <v>334</v>
      </c>
      <c r="V1091">
        <v>3</v>
      </c>
      <c r="W1091">
        <f>COUNTIF($A$2:A1091,A1091)</f>
        <v>1</v>
      </c>
    </row>
    <row r="1092" spans="1:23" x14ac:dyDescent="0.35">
      <c r="A1092" t="s">
        <v>850</v>
      </c>
      <c r="B1092" s="2">
        <v>43751</v>
      </c>
      <c r="D1092" t="s">
        <v>23</v>
      </c>
      <c r="E1092">
        <v>40</v>
      </c>
      <c r="F1092" t="s">
        <v>62</v>
      </c>
      <c r="G1092" t="s">
        <v>25</v>
      </c>
      <c r="H1092" t="s">
        <v>54</v>
      </c>
      <c r="I1092" t="s">
        <v>59</v>
      </c>
      <c r="J1092" t="s">
        <v>60</v>
      </c>
      <c r="K1092">
        <v>3</v>
      </c>
      <c r="L1092" t="s">
        <v>50</v>
      </c>
      <c r="M1092">
        <v>77000</v>
      </c>
      <c r="N1092">
        <v>16.8</v>
      </c>
      <c r="O1092">
        <v>12.1</v>
      </c>
      <c r="P1092">
        <v>6.2</v>
      </c>
      <c r="Q1092">
        <v>4.2</v>
      </c>
      <c r="R1092">
        <v>3</v>
      </c>
      <c r="S1092">
        <v>3</v>
      </c>
      <c r="T1092">
        <v>3</v>
      </c>
      <c r="U1092" t="s">
        <v>23</v>
      </c>
      <c r="V1092">
        <v>3</v>
      </c>
      <c r="W1092">
        <f>COUNTIF($A$2:A1092,A1092)</f>
        <v>1</v>
      </c>
    </row>
    <row r="1093" spans="1:23" x14ac:dyDescent="0.35">
      <c r="A1093" t="s">
        <v>1559</v>
      </c>
      <c r="B1093" s="2">
        <v>45131</v>
      </c>
      <c r="D1093" t="s">
        <v>23</v>
      </c>
      <c r="E1093">
        <v>28</v>
      </c>
      <c r="F1093" t="s">
        <v>24</v>
      </c>
      <c r="G1093" t="s">
        <v>37</v>
      </c>
      <c r="H1093" t="s">
        <v>26</v>
      </c>
      <c r="I1093" t="s">
        <v>59</v>
      </c>
      <c r="J1093" t="s">
        <v>75</v>
      </c>
      <c r="K1093">
        <v>2</v>
      </c>
      <c r="L1093" t="s">
        <v>50</v>
      </c>
      <c r="M1093">
        <v>52000</v>
      </c>
      <c r="N1093">
        <v>8.8000000000000007</v>
      </c>
      <c r="O1093">
        <v>9</v>
      </c>
      <c r="P1093">
        <v>2.4</v>
      </c>
      <c r="Q1093">
        <v>2.1</v>
      </c>
      <c r="R1093">
        <v>4</v>
      </c>
      <c r="S1093">
        <v>3</v>
      </c>
      <c r="T1093">
        <v>2</v>
      </c>
      <c r="U1093" t="s">
        <v>23</v>
      </c>
      <c r="V1093">
        <v>2</v>
      </c>
      <c r="W1093">
        <f>COUNTIF($A$2:A1093,A1093)</f>
        <v>1</v>
      </c>
    </row>
    <row r="1094" spans="1:23" x14ac:dyDescent="0.35">
      <c r="A1094" t="s">
        <v>918</v>
      </c>
      <c r="B1094" s="2">
        <v>44574</v>
      </c>
      <c r="D1094" t="s">
        <v>23</v>
      </c>
      <c r="E1094">
        <v>26</v>
      </c>
      <c r="F1094" t="s">
        <v>62</v>
      </c>
      <c r="G1094" t="s">
        <v>25</v>
      </c>
      <c r="H1094" t="s">
        <v>32</v>
      </c>
      <c r="I1094" t="s">
        <v>59</v>
      </c>
      <c r="J1094" t="s">
        <v>86</v>
      </c>
      <c r="K1094">
        <v>1</v>
      </c>
      <c r="L1094" t="s">
        <v>50</v>
      </c>
      <c r="M1094">
        <v>28000</v>
      </c>
      <c r="N1094">
        <v>0.9</v>
      </c>
      <c r="O1094">
        <v>10</v>
      </c>
      <c r="P1094">
        <v>4</v>
      </c>
      <c r="Q1094">
        <v>2.7</v>
      </c>
      <c r="R1094">
        <v>4</v>
      </c>
      <c r="S1094">
        <v>2</v>
      </c>
      <c r="T1094">
        <v>2</v>
      </c>
      <c r="U1094" t="s">
        <v>30</v>
      </c>
      <c r="V1094">
        <v>3</v>
      </c>
      <c r="W1094">
        <f>COUNTIF($A$2:A1094,A1094)</f>
        <v>1</v>
      </c>
    </row>
    <row r="1095" spans="1:23" x14ac:dyDescent="0.35">
      <c r="A1095" t="s">
        <v>906</v>
      </c>
      <c r="B1095" s="2">
        <v>43660</v>
      </c>
      <c r="D1095" t="s">
        <v>23</v>
      </c>
      <c r="E1095">
        <v>31</v>
      </c>
      <c r="F1095" t="s">
        <v>62</v>
      </c>
      <c r="G1095" t="s">
        <v>37</v>
      </c>
      <c r="H1095" t="s">
        <v>26</v>
      </c>
      <c r="I1095" t="s">
        <v>27</v>
      </c>
      <c r="J1095" t="s">
        <v>95</v>
      </c>
      <c r="K1095">
        <v>4</v>
      </c>
      <c r="L1095" t="s">
        <v>40</v>
      </c>
      <c r="M1095">
        <v>91000</v>
      </c>
      <c r="N1095">
        <v>10.6</v>
      </c>
      <c r="O1095">
        <v>10.5</v>
      </c>
      <c r="P1095">
        <v>6.5</v>
      </c>
      <c r="Q1095">
        <v>3.7</v>
      </c>
      <c r="R1095">
        <v>2</v>
      </c>
      <c r="S1095">
        <v>2</v>
      </c>
      <c r="T1095">
        <v>3</v>
      </c>
      <c r="U1095" t="s">
        <v>23</v>
      </c>
      <c r="V1095">
        <v>4</v>
      </c>
      <c r="W1095">
        <f>COUNTIF($A$2:A1095,A1095)</f>
        <v>1</v>
      </c>
    </row>
    <row r="1096" spans="1:23" x14ac:dyDescent="0.35">
      <c r="A1096" t="s">
        <v>248</v>
      </c>
      <c r="B1096" s="2">
        <v>41964</v>
      </c>
      <c r="D1096" t="s">
        <v>23</v>
      </c>
      <c r="E1096">
        <v>35</v>
      </c>
      <c r="F1096" t="s">
        <v>36</v>
      </c>
      <c r="G1096" t="s">
        <v>42</v>
      </c>
      <c r="H1096" t="s">
        <v>26</v>
      </c>
      <c r="I1096" t="s">
        <v>55</v>
      </c>
      <c r="J1096" t="s">
        <v>56</v>
      </c>
      <c r="K1096">
        <v>4</v>
      </c>
      <c r="L1096" t="s">
        <v>40</v>
      </c>
      <c r="M1096">
        <v>126000</v>
      </c>
      <c r="N1096">
        <v>11.4</v>
      </c>
      <c r="O1096">
        <v>12.2</v>
      </c>
      <c r="P1096">
        <v>11.1</v>
      </c>
      <c r="Q1096">
        <v>0.7</v>
      </c>
      <c r="R1096">
        <v>3</v>
      </c>
      <c r="S1096">
        <v>4</v>
      </c>
      <c r="T1096">
        <v>3</v>
      </c>
      <c r="U1096" t="s">
        <v>23</v>
      </c>
      <c r="V1096">
        <v>2</v>
      </c>
      <c r="W1096">
        <f>COUNTIF($A$2:A1096,A1096)</f>
        <v>1</v>
      </c>
    </row>
    <row r="1097" spans="1:23" x14ac:dyDescent="0.35">
      <c r="A1097" t="s">
        <v>821</v>
      </c>
      <c r="B1097" s="2">
        <v>42829</v>
      </c>
      <c r="D1097" t="s">
        <v>23</v>
      </c>
      <c r="E1097">
        <v>35</v>
      </c>
      <c r="F1097" t="s">
        <v>62</v>
      </c>
      <c r="G1097" t="s">
        <v>37</v>
      </c>
      <c r="H1097" t="s">
        <v>26</v>
      </c>
      <c r="I1097" t="s">
        <v>55</v>
      </c>
      <c r="J1097" t="s">
        <v>56</v>
      </c>
      <c r="K1097">
        <v>2</v>
      </c>
      <c r="L1097" t="s">
        <v>84</v>
      </c>
      <c r="M1097">
        <v>54000</v>
      </c>
      <c r="N1097">
        <v>10.1</v>
      </c>
      <c r="O1097">
        <v>16.100000000000001</v>
      </c>
      <c r="P1097">
        <v>8.6999999999999993</v>
      </c>
      <c r="Q1097">
        <v>4.5999999999999996</v>
      </c>
      <c r="R1097">
        <v>3</v>
      </c>
      <c r="S1097">
        <v>4</v>
      </c>
      <c r="T1097">
        <v>2</v>
      </c>
      <c r="U1097" t="s">
        <v>23</v>
      </c>
      <c r="V1097">
        <v>4</v>
      </c>
      <c r="W1097">
        <f>COUNTIF($A$2:A1097,A1097)</f>
        <v>1</v>
      </c>
    </row>
    <row r="1098" spans="1:23" x14ac:dyDescent="0.35">
      <c r="A1098" t="s">
        <v>1450</v>
      </c>
      <c r="B1098" s="2">
        <v>44841</v>
      </c>
      <c r="D1098" t="s">
        <v>23</v>
      </c>
      <c r="E1098">
        <v>29</v>
      </c>
      <c r="F1098" t="s">
        <v>36</v>
      </c>
      <c r="G1098" t="s">
        <v>37</v>
      </c>
      <c r="H1098" t="s">
        <v>26</v>
      </c>
      <c r="I1098" t="s">
        <v>27</v>
      </c>
      <c r="J1098" t="s">
        <v>95</v>
      </c>
      <c r="K1098">
        <v>2</v>
      </c>
      <c r="L1098" t="s">
        <v>50</v>
      </c>
      <c r="M1098">
        <v>69000</v>
      </c>
      <c r="N1098">
        <v>6.9</v>
      </c>
      <c r="O1098">
        <v>10.199999999999999</v>
      </c>
      <c r="P1098">
        <v>3.2</v>
      </c>
      <c r="Q1098">
        <v>2.6</v>
      </c>
      <c r="R1098">
        <v>3</v>
      </c>
      <c r="S1098">
        <v>4</v>
      </c>
      <c r="T1098">
        <v>2</v>
      </c>
      <c r="U1098" t="s">
        <v>23</v>
      </c>
      <c r="V1098">
        <v>4</v>
      </c>
      <c r="W1098">
        <f>COUNTIF($A$2:A1098,A1098)</f>
        <v>1</v>
      </c>
    </row>
    <row r="1099" spans="1:23" x14ac:dyDescent="0.35">
      <c r="A1099" t="s">
        <v>1587</v>
      </c>
      <c r="B1099" s="2">
        <v>43992</v>
      </c>
      <c r="D1099" t="s">
        <v>23</v>
      </c>
      <c r="E1099">
        <v>28</v>
      </c>
      <c r="F1099" t="s">
        <v>24</v>
      </c>
      <c r="G1099" t="s">
        <v>37</v>
      </c>
      <c r="H1099" t="s">
        <v>32</v>
      </c>
      <c r="I1099" t="s">
        <v>68</v>
      </c>
      <c r="J1099" t="s">
        <v>102</v>
      </c>
      <c r="K1099">
        <v>3</v>
      </c>
      <c r="L1099" t="s">
        <v>29</v>
      </c>
      <c r="M1099">
        <v>79000</v>
      </c>
      <c r="N1099">
        <v>2</v>
      </c>
      <c r="O1099">
        <v>5.6</v>
      </c>
      <c r="P1099">
        <v>5.6</v>
      </c>
      <c r="Q1099">
        <v>3.7</v>
      </c>
      <c r="R1099">
        <v>2</v>
      </c>
      <c r="S1099">
        <v>4</v>
      </c>
      <c r="T1099">
        <v>2</v>
      </c>
      <c r="U1099" t="s">
        <v>23</v>
      </c>
      <c r="V1099">
        <v>3</v>
      </c>
      <c r="W1099">
        <f>COUNTIF($A$2:A1099,A1099)</f>
        <v>1</v>
      </c>
    </row>
    <row r="1100" spans="1:23" x14ac:dyDescent="0.35">
      <c r="A1100" t="s">
        <v>1269</v>
      </c>
      <c r="B1100" s="2">
        <v>44206</v>
      </c>
      <c r="D1100" t="s">
        <v>23</v>
      </c>
      <c r="E1100">
        <v>25</v>
      </c>
      <c r="F1100" t="s">
        <v>62</v>
      </c>
      <c r="G1100" t="s">
        <v>25</v>
      </c>
      <c r="H1100" t="s">
        <v>58</v>
      </c>
      <c r="I1100" t="s">
        <v>59</v>
      </c>
      <c r="J1100" t="s">
        <v>150</v>
      </c>
      <c r="K1100">
        <v>1</v>
      </c>
      <c r="L1100" t="s">
        <v>40</v>
      </c>
      <c r="M1100">
        <v>34000</v>
      </c>
      <c r="N1100">
        <v>13</v>
      </c>
      <c r="O1100">
        <v>11.5</v>
      </c>
      <c r="P1100">
        <v>5</v>
      </c>
      <c r="Q1100">
        <v>3.7</v>
      </c>
      <c r="R1100">
        <v>3</v>
      </c>
      <c r="S1100">
        <v>1</v>
      </c>
      <c r="T1100">
        <v>4</v>
      </c>
      <c r="U1100" t="s">
        <v>23</v>
      </c>
      <c r="V1100">
        <v>4</v>
      </c>
      <c r="W1100">
        <f>COUNTIF($A$2:A1100,A1100)</f>
        <v>1</v>
      </c>
    </row>
    <row r="1101" spans="1:23" x14ac:dyDescent="0.35">
      <c r="A1101" t="s">
        <v>1433</v>
      </c>
      <c r="B1101" s="2">
        <v>45702</v>
      </c>
      <c r="D1101" t="s">
        <v>23</v>
      </c>
      <c r="E1101">
        <v>21</v>
      </c>
      <c r="F1101" t="s">
        <v>36</v>
      </c>
      <c r="G1101" t="s">
        <v>42</v>
      </c>
      <c r="H1101" t="s">
        <v>32</v>
      </c>
      <c r="I1101" t="s">
        <v>59</v>
      </c>
      <c r="J1101" t="s">
        <v>60</v>
      </c>
      <c r="K1101">
        <v>1</v>
      </c>
      <c r="L1101" t="s">
        <v>40</v>
      </c>
      <c r="M1101">
        <v>51000</v>
      </c>
      <c r="N1101">
        <v>10.199999999999999</v>
      </c>
      <c r="O1101">
        <v>2</v>
      </c>
      <c r="P1101">
        <v>0.9</v>
      </c>
      <c r="Q1101">
        <v>0</v>
      </c>
      <c r="R1101">
        <v>2</v>
      </c>
      <c r="S1101">
        <v>4</v>
      </c>
      <c r="T1101">
        <v>3</v>
      </c>
      <c r="U1101" t="s">
        <v>23</v>
      </c>
      <c r="V1101">
        <v>4</v>
      </c>
      <c r="W1101">
        <f>COUNTIF($A$2:A1101,A1101)</f>
        <v>1</v>
      </c>
    </row>
    <row r="1102" spans="1:23" x14ac:dyDescent="0.35">
      <c r="A1102" t="s">
        <v>854</v>
      </c>
      <c r="B1102" s="2">
        <v>45593</v>
      </c>
      <c r="C1102" s="2">
        <v>45904</v>
      </c>
      <c r="D1102" t="s">
        <v>30</v>
      </c>
      <c r="E1102">
        <v>34</v>
      </c>
      <c r="F1102" t="s">
        <v>36</v>
      </c>
      <c r="G1102" t="s">
        <v>42</v>
      </c>
      <c r="H1102" t="s">
        <v>26</v>
      </c>
      <c r="I1102" t="s">
        <v>59</v>
      </c>
      <c r="J1102" t="s">
        <v>75</v>
      </c>
      <c r="K1102">
        <v>2</v>
      </c>
      <c r="L1102" t="s">
        <v>40</v>
      </c>
      <c r="M1102">
        <v>53000</v>
      </c>
      <c r="N1102">
        <v>6.3</v>
      </c>
      <c r="O1102">
        <v>8.3000000000000007</v>
      </c>
      <c r="P1102">
        <v>0.9</v>
      </c>
      <c r="Q1102">
        <v>0</v>
      </c>
      <c r="R1102">
        <v>2</v>
      </c>
      <c r="S1102">
        <v>3</v>
      </c>
      <c r="T1102">
        <v>2</v>
      </c>
      <c r="U1102" t="s">
        <v>23</v>
      </c>
      <c r="V1102">
        <v>3</v>
      </c>
      <c r="W1102">
        <f>COUNTIF($A$2:A1102,A1102)</f>
        <v>1</v>
      </c>
    </row>
    <row r="1103" spans="1:23" x14ac:dyDescent="0.35">
      <c r="A1103" t="s">
        <v>997</v>
      </c>
      <c r="B1103" s="2">
        <v>43620</v>
      </c>
      <c r="D1103" t="s">
        <v>23</v>
      </c>
      <c r="E1103">
        <v>29</v>
      </c>
      <c r="F1103" t="s">
        <v>24</v>
      </c>
      <c r="G1103" t="s">
        <v>42</v>
      </c>
      <c r="H1103" t="s">
        <v>58</v>
      </c>
      <c r="I1103" t="s">
        <v>27</v>
      </c>
      <c r="J1103" t="s">
        <v>43</v>
      </c>
      <c r="K1103">
        <v>2</v>
      </c>
      <c r="L1103" t="s">
        <v>84</v>
      </c>
      <c r="M1103">
        <v>47000</v>
      </c>
      <c r="N1103">
        <v>6.3</v>
      </c>
      <c r="O1103">
        <v>9.9</v>
      </c>
      <c r="P1103">
        <v>6.6</v>
      </c>
      <c r="Q1103">
        <v>0.8</v>
      </c>
      <c r="R1103">
        <v>3</v>
      </c>
      <c r="S1103">
        <v>4</v>
      </c>
      <c r="T1103">
        <v>3</v>
      </c>
      <c r="U1103" t="s">
        <v>30</v>
      </c>
      <c r="V1103">
        <v>5</v>
      </c>
      <c r="W1103">
        <f>COUNTIF($A$2:A1103,A1103)</f>
        <v>1</v>
      </c>
    </row>
    <row r="1104" spans="1:23" x14ac:dyDescent="0.35">
      <c r="A1104" t="s">
        <v>470</v>
      </c>
      <c r="B1104" s="2">
        <v>42988</v>
      </c>
      <c r="D1104" t="s">
        <v>23</v>
      </c>
      <c r="E1104">
        <v>34</v>
      </c>
      <c r="F1104" t="s">
        <v>36</v>
      </c>
      <c r="G1104" t="s">
        <v>42</v>
      </c>
      <c r="H1104" t="s">
        <v>54</v>
      </c>
      <c r="I1104" t="s">
        <v>59</v>
      </c>
      <c r="J1104" t="s">
        <v>86</v>
      </c>
      <c r="K1104">
        <v>4</v>
      </c>
      <c r="L1104" t="s">
        <v>84</v>
      </c>
      <c r="M1104">
        <v>113000</v>
      </c>
      <c r="N1104">
        <v>11.1</v>
      </c>
      <c r="O1104">
        <v>10.6</v>
      </c>
      <c r="P1104">
        <v>8.3000000000000007</v>
      </c>
      <c r="Q1104">
        <v>1.5</v>
      </c>
      <c r="R1104">
        <v>2</v>
      </c>
      <c r="S1104">
        <v>2</v>
      </c>
      <c r="T1104">
        <v>3</v>
      </c>
      <c r="U1104" t="s">
        <v>23</v>
      </c>
      <c r="V1104">
        <v>5</v>
      </c>
      <c r="W1104">
        <f>COUNTIF($A$2:A1104,A1104)</f>
        <v>1</v>
      </c>
    </row>
    <row r="1105" spans="1:23" x14ac:dyDescent="0.35">
      <c r="A1105" t="s">
        <v>889</v>
      </c>
      <c r="B1105" s="2">
        <v>44328</v>
      </c>
      <c r="D1105" t="s">
        <v>23</v>
      </c>
      <c r="E1105">
        <v>35</v>
      </c>
      <c r="F1105" t="s">
        <v>24</v>
      </c>
      <c r="G1105" t="s">
        <v>42</v>
      </c>
      <c r="H1105" t="s">
        <v>54</v>
      </c>
      <c r="I1105" t="s">
        <v>48</v>
      </c>
      <c r="J1105" t="s">
        <v>129</v>
      </c>
      <c r="K1105">
        <v>3</v>
      </c>
      <c r="L1105" t="s">
        <v>34</v>
      </c>
      <c r="M1105">
        <v>75000</v>
      </c>
      <c r="N1105">
        <v>12.4</v>
      </c>
      <c r="O1105">
        <v>6.9</v>
      </c>
      <c r="P1105">
        <v>4.5999999999999996</v>
      </c>
      <c r="Q1105">
        <v>3.9</v>
      </c>
      <c r="R1105">
        <v>4</v>
      </c>
      <c r="S1105">
        <v>4</v>
      </c>
      <c r="T1105">
        <v>2</v>
      </c>
      <c r="U1105" t="s">
        <v>23</v>
      </c>
      <c r="V1105">
        <v>4</v>
      </c>
      <c r="W1105">
        <f>COUNTIF($A$2:A1105,A1105)</f>
        <v>1</v>
      </c>
    </row>
    <row r="1106" spans="1:23" x14ac:dyDescent="0.35">
      <c r="A1106" t="s">
        <v>790</v>
      </c>
      <c r="B1106" s="2">
        <v>45805</v>
      </c>
      <c r="D1106" t="s">
        <v>23</v>
      </c>
      <c r="E1106">
        <v>27</v>
      </c>
      <c r="F1106" t="s">
        <v>24</v>
      </c>
      <c r="G1106" t="s">
        <v>37</v>
      </c>
      <c r="H1106" t="s">
        <v>54</v>
      </c>
      <c r="I1106" t="s">
        <v>38</v>
      </c>
      <c r="J1106" t="s">
        <v>118</v>
      </c>
      <c r="K1106">
        <v>1</v>
      </c>
      <c r="L1106" t="s">
        <v>34</v>
      </c>
      <c r="M1106">
        <v>29000</v>
      </c>
      <c r="N1106">
        <v>13.3</v>
      </c>
      <c r="O1106">
        <v>1.6</v>
      </c>
      <c r="P1106">
        <v>0.6</v>
      </c>
      <c r="Q1106">
        <v>0</v>
      </c>
      <c r="R1106">
        <v>2</v>
      </c>
      <c r="S1106">
        <v>4</v>
      </c>
      <c r="T1106">
        <v>3</v>
      </c>
      <c r="U1106" t="s">
        <v>30</v>
      </c>
      <c r="V1106">
        <v>3</v>
      </c>
      <c r="W1106">
        <f>COUNTIF($A$2:A1106,A1106)</f>
        <v>1</v>
      </c>
    </row>
    <row r="1107" spans="1:23" x14ac:dyDescent="0.35">
      <c r="A1107" t="s">
        <v>1327</v>
      </c>
      <c r="B1107" s="2">
        <v>44102</v>
      </c>
      <c r="C1107" s="2">
        <v>46001</v>
      </c>
      <c r="D1107" t="s">
        <v>30</v>
      </c>
      <c r="E1107">
        <v>36</v>
      </c>
      <c r="F1107" t="s">
        <v>36</v>
      </c>
      <c r="G1107" t="s">
        <v>25</v>
      </c>
      <c r="H1107" t="s">
        <v>26</v>
      </c>
      <c r="I1107" t="s">
        <v>68</v>
      </c>
      <c r="J1107" t="s">
        <v>102</v>
      </c>
      <c r="K1107">
        <v>3</v>
      </c>
      <c r="L1107" t="s">
        <v>34</v>
      </c>
      <c r="M1107">
        <v>86000</v>
      </c>
      <c r="N1107">
        <v>5.5</v>
      </c>
      <c r="O1107">
        <v>8.1</v>
      </c>
      <c r="P1107">
        <v>5.2</v>
      </c>
      <c r="Q1107">
        <v>0.6</v>
      </c>
      <c r="R1107">
        <v>1</v>
      </c>
      <c r="S1107">
        <v>3</v>
      </c>
      <c r="T1107">
        <v>4</v>
      </c>
      <c r="U1107" t="s">
        <v>30</v>
      </c>
      <c r="V1107">
        <v>2</v>
      </c>
      <c r="W1107">
        <f>COUNTIF($A$2:A1107,A1107)</f>
        <v>1</v>
      </c>
    </row>
    <row r="1108" spans="1:23" x14ac:dyDescent="0.35">
      <c r="A1108" t="s">
        <v>1536</v>
      </c>
      <c r="B1108" s="2">
        <v>44167</v>
      </c>
      <c r="D1108" t="s">
        <v>23</v>
      </c>
      <c r="E1108">
        <v>32</v>
      </c>
      <c r="F1108" t="s">
        <v>36</v>
      </c>
      <c r="G1108" t="s">
        <v>42</v>
      </c>
      <c r="H1108" t="s">
        <v>58</v>
      </c>
      <c r="I1108" t="s">
        <v>38</v>
      </c>
      <c r="J1108" t="s">
        <v>139</v>
      </c>
      <c r="K1108">
        <v>3</v>
      </c>
      <c r="L1108" t="s">
        <v>40</v>
      </c>
      <c r="M1108">
        <v>94000</v>
      </c>
      <c r="N1108">
        <v>8.5</v>
      </c>
      <c r="O1108">
        <v>7.7</v>
      </c>
      <c r="P1108">
        <v>5.0999999999999996</v>
      </c>
      <c r="Q1108">
        <v>4.9000000000000004</v>
      </c>
      <c r="R1108">
        <v>1</v>
      </c>
      <c r="S1108">
        <v>4</v>
      </c>
      <c r="T1108">
        <v>3</v>
      </c>
      <c r="U1108" t="s">
        <v>30</v>
      </c>
      <c r="V1108">
        <v>5</v>
      </c>
      <c r="W1108">
        <f>COUNTIF($A$2:A1108,A1108)</f>
        <v>1</v>
      </c>
    </row>
    <row r="1109" spans="1:23" x14ac:dyDescent="0.35">
      <c r="A1109" t="s">
        <v>1162</v>
      </c>
      <c r="B1109" s="2">
        <v>42904</v>
      </c>
      <c r="D1109" t="s">
        <v>23</v>
      </c>
      <c r="E1109">
        <v>37</v>
      </c>
      <c r="F1109" t="s">
        <v>36</v>
      </c>
      <c r="G1109" t="s">
        <v>42</v>
      </c>
      <c r="H1109" t="s">
        <v>26</v>
      </c>
      <c r="I1109" t="s">
        <v>59</v>
      </c>
      <c r="J1109" t="s">
        <v>60</v>
      </c>
      <c r="K1109">
        <v>2</v>
      </c>
      <c r="L1109" t="s">
        <v>40</v>
      </c>
      <c r="M1109">
        <v>60000</v>
      </c>
      <c r="N1109">
        <v>6.3</v>
      </c>
      <c r="O1109">
        <v>12.8</v>
      </c>
      <c r="P1109">
        <v>8.5</v>
      </c>
      <c r="Q1109">
        <v>3.2</v>
      </c>
      <c r="R1109">
        <v>3</v>
      </c>
      <c r="S1109">
        <v>3</v>
      </c>
      <c r="T1109">
        <v>3</v>
      </c>
      <c r="U1109" t="s">
        <v>30</v>
      </c>
      <c r="V1109">
        <v>3</v>
      </c>
      <c r="W1109">
        <f>COUNTIF($A$2:A1109,A1109)</f>
        <v>1</v>
      </c>
    </row>
    <row r="1110" spans="1:23" x14ac:dyDescent="0.35">
      <c r="A1110" t="s">
        <v>361</v>
      </c>
      <c r="B1110" s="2">
        <v>45218</v>
      </c>
      <c r="D1110" t="s">
        <v>23</v>
      </c>
      <c r="E1110">
        <v>26</v>
      </c>
      <c r="F1110" t="s">
        <v>36</v>
      </c>
      <c r="G1110" t="s">
        <v>42</v>
      </c>
      <c r="H1110" t="s">
        <v>54</v>
      </c>
      <c r="I1110" t="s">
        <v>38</v>
      </c>
      <c r="J1110" t="s">
        <v>118</v>
      </c>
      <c r="K1110">
        <v>1</v>
      </c>
      <c r="L1110" t="s">
        <v>40</v>
      </c>
      <c r="M1110">
        <v>22000</v>
      </c>
      <c r="N1110">
        <v>9.8000000000000007</v>
      </c>
      <c r="O1110">
        <v>7.1</v>
      </c>
      <c r="P1110">
        <v>2.2000000000000002</v>
      </c>
      <c r="Q1110">
        <v>0.3</v>
      </c>
      <c r="R1110">
        <v>4</v>
      </c>
      <c r="S1110">
        <v>4</v>
      </c>
      <c r="T1110">
        <v>4</v>
      </c>
      <c r="U1110" t="s">
        <v>23</v>
      </c>
      <c r="V1110">
        <v>5</v>
      </c>
      <c r="W1110">
        <f>COUNTIF($A$2:A1110,A1110)</f>
        <v>1</v>
      </c>
    </row>
    <row r="1111" spans="1:23" x14ac:dyDescent="0.35">
      <c r="A1111" t="s">
        <v>937</v>
      </c>
      <c r="B1111" s="2">
        <v>43671</v>
      </c>
      <c r="D1111" t="s">
        <v>23</v>
      </c>
      <c r="E1111">
        <v>35</v>
      </c>
      <c r="F1111" t="s">
        <v>36</v>
      </c>
      <c r="G1111" t="s">
        <v>25</v>
      </c>
      <c r="H1111" t="s">
        <v>26</v>
      </c>
      <c r="I1111" t="s">
        <v>38</v>
      </c>
      <c r="J1111" t="s">
        <v>39</v>
      </c>
      <c r="K1111">
        <v>3</v>
      </c>
      <c r="L1111" t="s">
        <v>50</v>
      </c>
      <c r="M1111">
        <v>69000</v>
      </c>
      <c r="N1111">
        <v>7.6</v>
      </c>
      <c r="O1111">
        <v>6.7</v>
      </c>
      <c r="P1111">
        <v>6.4</v>
      </c>
      <c r="Q1111">
        <v>5.9</v>
      </c>
      <c r="R1111">
        <v>3</v>
      </c>
      <c r="S1111">
        <v>3</v>
      </c>
      <c r="T1111">
        <v>3</v>
      </c>
      <c r="U1111" t="s">
        <v>23</v>
      </c>
      <c r="V1111">
        <v>3</v>
      </c>
      <c r="W1111">
        <f>COUNTIF($A$2:A1111,A1111)</f>
        <v>1</v>
      </c>
    </row>
    <row r="1112" spans="1:23" x14ac:dyDescent="0.35">
      <c r="A1112" t="s">
        <v>626</v>
      </c>
      <c r="B1112" s="2">
        <v>43398</v>
      </c>
      <c r="D1112" t="s">
        <v>23</v>
      </c>
      <c r="E1112">
        <v>43</v>
      </c>
      <c r="F1112" t="s">
        <v>24</v>
      </c>
      <c r="G1112" t="s">
        <v>25</v>
      </c>
      <c r="H1112" t="s">
        <v>58</v>
      </c>
      <c r="I1112" t="s">
        <v>59</v>
      </c>
      <c r="J1112" t="s">
        <v>75</v>
      </c>
      <c r="K1112">
        <v>1</v>
      </c>
      <c r="L1112" t="s">
        <v>66</v>
      </c>
      <c r="M1112">
        <v>23000</v>
      </c>
      <c r="N1112">
        <v>14</v>
      </c>
      <c r="O1112">
        <v>7.3</v>
      </c>
      <c r="P1112">
        <v>7.2</v>
      </c>
      <c r="Q1112">
        <v>3.9</v>
      </c>
      <c r="R1112">
        <v>2</v>
      </c>
      <c r="S1112">
        <v>3</v>
      </c>
      <c r="T1112">
        <v>3</v>
      </c>
      <c r="U1112" t="s">
        <v>23</v>
      </c>
      <c r="V1112">
        <v>5</v>
      </c>
      <c r="W1112">
        <f>COUNTIF($A$2:A1112,A1112)</f>
        <v>1</v>
      </c>
    </row>
    <row r="1113" spans="1:23" x14ac:dyDescent="0.35">
      <c r="A1113" t="s">
        <v>1319</v>
      </c>
      <c r="B1113" s="2">
        <v>45303</v>
      </c>
      <c r="D1113" t="s">
        <v>23</v>
      </c>
      <c r="E1113">
        <v>27</v>
      </c>
      <c r="F1113" t="s">
        <v>62</v>
      </c>
      <c r="G1113" t="s">
        <v>42</v>
      </c>
      <c r="H1113" t="s">
        <v>54</v>
      </c>
      <c r="I1113" t="s">
        <v>38</v>
      </c>
      <c r="J1113" t="s">
        <v>39</v>
      </c>
      <c r="K1113">
        <v>1</v>
      </c>
      <c r="L1113" t="s">
        <v>66</v>
      </c>
      <c r="M1113">
        <v>28000</v>
      </c>
      <c r="N1113">
        <v>10.4</v>
      </c>
      <c r="O1113">
        <v>2.2999999999999998</v>
      </c>
      <c r="P1113">
        <v>2</v>
      </c>
      <c r="Q1113">
        <v>1.2</v>
      </c>
      <c r="R1113">
        <v>1</v>
      </c>
      <c r="S1113">
        <v>3</v>
      </c>
      <c r="T1113">
        <v>4</v>
      </c>
      <c r="U1113" t="s">
        <v>23</v>
      </c>
      <c r="V1113">
        <v>3</v>
      </c>
      <c r="W1113">
        <f>COUNTIF($A$2:A1113,A1113)</f>
        <v>1</v>
      </c>
    </row>
    <row r="1114" spans="1:23" x14ac:dyDescent="0.35">
      <c r="A1114" t="s">
        <v>1524</v>
      </c>
      <c r="B1114" s="2">
        <v>43144</v>
      </c>
      <c r="D1114" t="s">
        <v>23</v>
      </c>
      <c r="E1114">
        <v>34</v>
      </c>
      <c r="F1114" t="s">
        <v>36</v>
      </c>
      <c r="G1114" t="s">
        <v>37</v>
      </c>
      <c r="H1114" t="s">
        <v>32</v>
      </c>
      <c r="I1114" t="s">
        <v>27</v>
      </c>
      <c r="J1114" t="s">
        <v>33</v>
      </c>
      <c r="K1114">
        <v>3</v>
      </c>
      <c r="L1114" t="s">
        <v>40</v>
      </c>
      <c r="M1114">
        <v>69000</v>
      </c>
      <c r="N1114">
        <v>1.9</v>
      </c>
      <c r="O1114">
        <v>14.4</v>
      </c>
      <c r="P1114">
        <v>7.9</v>
      </c>
      <c r="Q1114">
        <v>2.2999999999999998</v>
      </c>
      <c r="R1114">
        <v>3</v>
      </c>
      <c r="S1114">
        <v>3</v>
      </c>
      <c r="T1114">
        <v>3</v>
      </c>
      <c r="U1114" t="s">
        <v>30</v>
      </c>
      <c r="V1114">
        <v>3</v>
      </c>
      <c r="W1114">
        <f>COUNTIF($A$2:A1114,A1114)</f>
        <v>1</v>
      </c>
    </row>
    <row r="1115" spans="1:23" x14ac:dyDescent="0.35">
      <c r="A1115" t="s">
        <v>609</v>
      </c>
      <c r="B1115" s="2">
        <v>43840</v>
      </c>
      <c r="D1115" t="s">
        <v>23</v>
      </c>
      <c r="E1115">
        <v>35</v>
      </c>
      <c r="F1115" t="s">
        <v>62</v>
      </c>
      <c r="G1115" t="s">
        <v>25</v>
      </c>
      <c r="H1115" t="s">
        <v>58</v>
      </c>
      <c r="I1115" t="s">
        <v>48</v>
      </c>
      <c r="J1115" t="s">
        <v>129</v>
      </c>
      <c r="K1115">
        <v>5</v>
      </c>
      <c r="L1115" t="s">
        <v>66</v>
      </c>
      <c r="M1115">
        <v>155000</v>
      </c>
      <c r="N1115">
        <v>6.8</v>
      </c>
      <c r="O1115">
        <v>12.1</v>
      </c>
      <c r="P1115">
        <v>6</v>
      </c>
      <c r="Q1115">
        <v>2.6</v>
      </c>
      <c r="R1115">
        <v>2</v>
      </c>
      <c r="S1115">
        <v>2</v>
      </c>
      <c r="T1115">
        <v>3</v>
      </c>
      <c r="U1115" t="s">
        <v>23</v>
      </c>
      <c r="V1115">
        <v>3</v>
      </c>
      <c r="W1115">
        <f>COUNTIF($A$2:A1115,A1115)</f>
        <v>1</v>
      </c>
    </row>
    <row r="1116" spans="1:23" x14ac:dyDescent="0.35">
      <c r="A1116" t="s">
        <v>1248</v>
      </c>
      <c r="B1116" s="2">
        <v>44007</v>
      </c>
      <c r="D1116" t="s">
        <v>23</v>
      </c>
      <c r="E1116">
        <v>41</v>
      </c>
      <c r="F1116" t="s">
        <v>36</v>
      </c>
      <c r="G1116" t="s">
        <v>37</v>
      </c>
      <c r="H1116" t="s">
        <v>54</v>
      </c>
      <c r="I1116" t="s">
        <v>27</v>
      </c>
      <c r="J1116" t="s">
        <v>43</v>
      </c>
      <c r="K1116">
        <v>5</v>
      </c>
      <c r="L1116" t="s">
        <v>66</v>
      </c>
      <c r="M1116">
        <v>145000</v>
      </c>
      <c r="N1116">
        <v>7.6</v>
      </c>
      <c r="O1116">
        <v>6.8</v>
      </c>
      <c r="P1116">
        <v>5.5</v>
      </c>
      <c r="Q1116">
        <v>2.4</v>
      </c>
      <c r="R1116">
        <v>3</v>
      </c>
      <c r="S1116">
        <v>4</v>
      </c>
      <c r="T1116">
        <v>3</v>
      </c>
      <c r="U1116" t="s">
        <v>30</v>
      </c>
      <c r="V1116">
        <v>1</v>
      </c>
      <c r="W1116">
        <f>COUNTIF($A$2:A1116,A1116)</f>
        <v>1</v>
      </c>
    </row>
    <row r="1117" spans="1:23" x14ac:dyDescent="0.35">
      <c r="A1117" t="s">
        <v>1027</v>
      </c>
      <c r="B1117" s="2">
        <v>45770</v>
      </c>
      <c r="D1117" t="s">
        <v>23</v>
      </c>
      <c r="E1117">
        <v>24</v>
      </c>
      <c r="F1117" t="s">
        <v>62</v>
      </c>
      <c r="G1117" t="s">
        <v>37</v>
      </c>
      <c r="H1117" t="s">
        <v>32</v>
      </c>
      <c r="I1117" t="s">
        <v>59</v>
      </c>
      <c r="J1117" t="s">
        <v>86</v>
      </c>
      <c r="K1117">
        <v>1</v>
      </c>
      <c r="L1117" t="s">
        <v>84</v>
      </c>
      <c r="M1117">
        <v>35000</v>
      </c>
      <c r="N1117">
        <v>11.2</v>
      </c>
      <c r="O1117">
        <v>6</v>
      </c>
      <c r="P1117">
        <v>0.7</v>
      </c>
      <c r="Q1117">
        <v>0</v>
      </c>
      <c r="R1117">
        <v>4</v>
      </c>
      <c r="S1117">
        <v>3</v>
      </c>
      <c r="T1117">
        <v>2</v>
      </c>
      <c r="U1117" t="s">
        <v>23</v>
      </c>
      <c r="V1117">
        <v>4</v>
      </c>
      <c r="W1117">
        <f>COUNTIF($A$2:A1117,A1117)</f>
        <v>1</v>
      </c>
    </row>
    <row r="1118" spans="1:23" x14ac:dyDescent="0.35">
      <c r="A1118" t="s">
        <v>1159</v>
      </c>
      <c r="B1118" s="2">
        <v>45683</v>
      </c>
      <c r="D1118" t="s">
        <v>23</v>
      </c>
      <c r="E1118">
        <v>21</v>
      </c>
      <c r="F1118" t="s">
        <v>62</v>
      </c>
      <c r="G1118" t="s">
        <v>25</v>
      </c>
      <c r="H1118" t="s">
        <v>26</v>
      </c>
      <c r="I1118" t="s">
        <v>45</v>
      </c>
      <c r="J1118" t="s">
        <v>46</v>
      </c>
      <c r="K1118">
        <v>1</v>
      </c>
      <c r="L1118" t="s">
        <v>50</v>
      </c>
      <c r="M1118">
        <v>25000</v>
      </c>
      <c r="N1118">
        <v>5.5</v>
      </c>
      <c r="O1118">
        <v>1.1000000000000001</v>
      </c>
      <c r="P1118">
        <v>0.9</v>
      </c>
      <c r="Q1118">
        <v>0</v>
      </c>
      <c r="R1118">
        <v>2</v>
      </c>
      <c r="S1118">
        <v>3</v>
      </c>
      <c r="T1118">
        <v>3</v>
      </c>
      <c r="U1118" t="s">
        <v>23</v>
      </c>
      <c r="V1118">
        <v>3</v>
      </c>
      <c r="W1118">
        <f>COUNTIF($A$2:A1118,A1118)</f>
        <v>1</v>
      </c>
    </row>
    <row r="1119" spans="1:23" x14ac:dyDescent="0.35">
      <c r="A1119" t="s">
        <v>1535</v>
      </c>
      <c r="B1119" s="2">
        <v>44613</v>
      </c>
      <c r="D1119" t="s">
        <v>23</v>
      </c>
      <c r="E1119">
        <v>36</v>
      </c>
      <c r="F1119" t="s">
        <v>36</v>
      </c>
      <c r="G1119" t="s">
        <v>25</v>
      </c>
      <c r="H1119" t="s">
        <v>58</v>
      </c>
      <c r="I1119" t="s">
        <v>27</v>
      </c>
      <c r="J1119" t="s">
        <v>33</v>
      </c>
      <c r="K1119">
        <v>4</v>
      </c>
      <c r="L1119" t="s">
        <v>34</v>
      </c>
      <c r="M1119">
        <v>119000</v>
      </c>
      <c r="N1119">
        <v>7</v>
      </c>
      <c r="O1119">
        <v>10.9</v>
      </c>
      <c r="P1119">
        <v>3.9</v>
      </c>
      <c r="Q1119">
        <v>1.4</v>
      </c>
      <c r="R1119">
        <v>4</v>
      </c>
      <c r="S1119">
        <v>3</v>
      </c>
      <c r="T1119">
        <v>4</v>
      </c>
      <c r="U1119" t="s">
        <v>30</v>
      </c>
      <c r="V1119">
        <v>4</v>
      </c>
      <c r="W1119">
        <f>COUNTIF($A$2:A1119,A1119)</f>
        <v>1</v>
      </c>
    </row>
    <row r="1120" spans="1:23" x14ac:dyDescent="0.35">
      <c r="A1120" t="s">
        <v>397</v>
      </c>
      <c r="B1120" s="2">
        <v>45803</v>
      </c>
      <c r="D1120" t="s">
        <v>23</v>
      </c>
      <c r="E1120">
        <v>41</v>
      </c>
      <c r="F1120" t="s">
        <v>36</v>
      </c>
      <c r="G1120" t="s">
        <v>25</v>
      </c>
      <c r="H1120" t="s">
        <v>54</v>
      </c>
      <c r="I1120" t="s">
        <v>38</v>
      </c>
      <c r="J1120" t="s">
        <v>139</v>
      </c>
      <c r="K1120">
        <v>1</v>
      </c>
      <c r="L1120" t="s">
        <v>50</v>
      </c>
      <c r="M1120">
        <v>40000</v>
      </c>
      <c r="N1120">
        <v>14.1</v>
      </c>
      <c r="O1120">
        <v>5.9</v>
      </c>
      <c r="P1120">
        <v>0.6</v>
      </c>
      <c r="Q1120">
        <v>0</v>
      </c>
      <c r="R1120">
        <v>3</v>
      </c>
      <c r="S1120">
        <v>2</v>
      </c>
      <c r="T1120">
        <v>2</v>
      </c>
      <c r="U1120" t="s">
        <v>23</v>
      </c>
      <c r="V1120">
        <v>4</v>
      </c>
      <c r="W1120">
        <f>COUNTIF($A$2:A1120,A1120)</f>
        <v>1</v>
      </c>
    </row>
    <row r="1121" spans="1:23" x14ac:dyDescent="0.35">
      <c r="A1121" t="s">
        <v>920</v>
      </c>
      <c r="B1121" s="2">
        <v>44309</v>
      </c>
      <c r="D1121" t="s">
        <v>23</v>
      </c>
      <c r="E1121">
        <v>25</v>
      </c>
      <c r="F1121" t="s">
        <v>36</v>
      </c>
      <c r="G1121" t="s">
        <v>25</v>
      </c>
      <c r="H1121" t="s">
        <v>54</v>
      </c>
      <c r="I1121" t="s">
        <v>59</v>
      </c>
      <c r="J1121" t="s">
        <v>75</v>
      </c>
      <c r="K1121">
        <v>1</v>
      </c>
      <c r="L1121" t="s">
        <v>66</v>
      </c>
      <c r="M1121">
        <v>22000</v>
      </c>
      <c r="N1121">
        <v>2.8</v>
      </c>
      <c r="O1121">
        <v>6.9</v>
      </c>
      <c r="P1121">
        <v>4.7</v>
      </c>
      <c r="Q1121">
        <v>0.8</v>
      </c>
      <c r="S1121">
        <v>3</v>
      </c>
      <c r="T1121">
        <v>3</v>
      </c>
      <c r="U1121" t="s">
        <v>23</v>
      </c>
      <c r="V1121">
        <v>3</v>
      </c>
      <c r="W1121">
        <f>COUNTIF($A$2:A1121,A1121)</f>
        <v>1</v>
      </c>
    </row>
    <row r="1122" spans="1:23" x14ac:dyDescent="0.35">
      <c r="A1122" t="s">
        <v>1210</v>
      </c>
      <c r="B1122" s="2">
        <v>45699</v>
      </c>
      <c r="D1122" t="s">
        <v>23</v>
      </c>
      <c r="E1122">
        <v>41</v>
      </c>
      <c r="F1122" t="s">
        <v>24</v>
      </c>
      <c r="G1122" t="s">
        <v>42</v>
      </c>
      <c r="H1122" t="s">
        <v>32</v>
      </c>
      <c r="I1122" t="s">
        <v>45</v>
      </c>
      <c r="J1122" t="s">
        <v>46</v>
      </c>
      <c r="K1122">
        <v>3</v>
      </c>
      <c r="L1122" t="s">
        <v>40</v>
      </c>
      <c r="M1122" t="s">
        <v>1211</v>
      </c>
      <c r="N1122">
        <v>12.4</v>
      </c>
      <c r="O1122">
        <v>3</v>
      </c>
      <c r="P1122">
        <v>0.9</v>
      </c>
      <c r="Q1122">
        <v>0</v>
      </c>
      <c r="R1122">
        <v>3</v>
      </c>
      <c r="S1122">
        <v>4</v>
      </c>
      <c r="T1122">
        <v>3</v>
      </c>
      <c r="U1122" t="s">
        <v>30</v>
      </c>
      <c r="V1122">
        <v>3</v>
      </c>
      <c r="W1122">
        <f>COUNTIF($A$2:A1122,A1122)</f>
        <v>1</v>
      </c>
    </row>
    <row r="1123" spans="1:23" x14ac:dyDescent="0.35">
      <c r="A1123" t="s">
        <v>370</v>
      </c>
      <c r="B1123" s="2">
        <v>43344</v>
      </c>
      <c r="D1123" t="s">
        <v>23</v>
      </c>
      <c r="E1123">
        <v>29</v>
      </c>
      <c r="F1123" t="s">
        <v>62</v>
      </c>
      <c r="G1123" t="s">
        <v>25</v>
      </c>
      <c r="H1123" t="s">
        <v>54</v>
      </c>
      <c r="I1123" t="s">
        <v>48</v>
      </c>
      <c r="J1123" t="s">
        <v>129</v>
      </c>
      <c r="K1123">
        <v>3</v>
      </c>
      <c r="L1123" t="s">
        <v>40</v>
      </c>
      <c r="M1123">
        <v>70000</v>
      </c>
      <c r="N1123">
        <v>12.4</v>
      </c>
      <c r="O1123">
        <v>10.199999999999999</v>
      </c>
      <c r="P1123">
        <v>7.3</v>
      </c>
      <c r="Q1123">
        <v>4.7</v>
      </c>
      <c r="R1123">
        <v>2</v>
      </c>
      <c r="S1123">
        <v>3</v>
      </c>
      <c r="T1123">
        <v>4</v>
      </c>
      <c r="U1123" t="s">
        <v>23</v>
      </c>
      <c r="V1123">
        <v>4</v>
      </c>
      <c r="W1123">
        <f>COUNTIF($A$2:A1123,A1123)</f>
        <v>1</v>
      </c>
    </row>
    <row r="1124" spans="1:23" x14ac:dyDescent="0.35">
      <c r="A1124" t="s">
        <v>101</v>
      </c>
      <c r="B1124" s="2">
        <v>41955</v>
      </c>
      <c r="D1124" t="s">
        <v>23</v>
      </c>
      <c r="E1124">
        <v>34</v>
      </c>
      <c r="F1124" t="s">
        <v>36</v>
      </c>
      <c r="G1124" t="s">
        <v>25</v>
      </c>
      <c r="H1124" t="s">
        <v>58</v>
      </c>
      <c r="I1124" t="s">
        <v>68</v>
      </c>
      <c r="J1124" t="s">
        <v>102</v>
      </c>
      <c r="K1124">
        <v>4</v>
      </c>
      <c r="L1124" t="s">
        <v>40</v>
      </c>
      <c r="M1124">
        <v>114000</v>
      </c>
      <c r="N1124">
        <v>10.3</v>
      </c>
      <c r="O1124">
        <v>14.2</v>
      </c>
      <c r="P1124">
        <v>11.1</v>
      </c>
      <c r="Q1124">
        <v>1.5</v>
      </c>
      <c r="R1124">
        <v>3</v>
      </c>
      <c r="S1124">
        <v>3</v>
      </c>
      <c r="T1124">
        <v>3</v>
      </c>
      <c r="U1124" t="s">
        <v>23</v>
      </c>
      <c r="V1124">
        <v>1</v>
      </c>
      <c r="W1124">
        <f>COUNTIF($A$2:A1124,A1124)</f>
        <v>1</v>
      </c>
    </row>
    <row r="1125" spans="1:23" x14ac:dyDescent="0.35">
      <c r="A1125" t="s">
        <v>1458</v>
      </c>
      <c r="B1125" s="2">
        <v>43516</v>
      </c>
      <c r="D1125" t="s">
        <v>23</v>
      </c>
      <c r="E1125">
        <v>42</v>
      </c>
      <c r="F1125" t="s">
        <v>24</v>
      </c>
      <c r="G1125" t="s">
        <v>37</v>
      </c>
      <c r="H1125" t="s">
        <v>32</v>
      </c>
      <c r="I1125" t="s">
        <v>38</v>
      </c>
      <c r="J1125" t="s">
        <v>52</v>
      </c>
      <c r="K1125">
        <v>1</v>
      </c>
      <c r="L1125" t="s">
        <v>84</v>
      </c>
      <c r="M1125">
        <v>43000</v>
      </c>
      <c r="N1125">
        <v>12.4</v>
      </c>
      <c r="O1125">
        <v>9.6999999999999993</v>
      </c>
      <c r="P1125">
        <v>6.9</v>
      </c>
      <c r="Q1125">
        <v>4.5999999999999996</v>
      </c>
      <c r="R1125">
        <v>2</v>
      </c>
      <c r="S1125">
        <v>4</v>
      </c>
      <c r="T1125">
        <v>3</v>
      </c>
      <c r="U1125" t="s">
        <v>30</v>
      </c>
      <c r="V1125">
        <v>4</v>
      </c>
      <c r="W1125">
        <f>COUNTIF($A$2:A1125,A1125)</f>
        <v>1</v>
      </c>
    </row>
    <row r="1126" spans="1:23" x14ac:dyDescent="0.35">
      <c r="A1126" t="s">
        <v>1541</v>
      </c>
      <c r="B1126" s="2">
        <v>44135</v>
      </c>
      <c r="D1126" t="s">
        <v>23</v>
      </c>
      <c r="E1126">
        <v>30</v>
      </c>
      <c r="F1126" t="s">
        <v>62</v>
      </c>
      <c r="G1126" t="s">
        <v>37</v>
      </c>
      <c r="H1126" t="s">
        <v>54</v>
      </c>
      <c r="I1126" t="s">
        <v>27</v>
      </c>
      <c r="J1126" t="s">
        <v>33</v>
      </c>
      <c r="K1126">
        <v>3</v>
      </c>
      <c r="L1126" t="s">
        <v>50</v>
      </c>
      <c r="M1126">
        <v>80000</v>
      </c>
      <c r="N1126">
        <v>3.4</v>
      </c>
      <c r="O1126">
        <v>7.2</v>
      </c>
      <c r="P1126">
        <v>5.2</v>
      </c>
      <c r="Q1126">
        <v>2.5</v>
      </c>
      <c r="R1126">
        <v>4</v>
      </c>
      <c r="S1126">
        <v>4</v>
      </c>
      <c r="T1126">
        <v>3</v>
      </c>
      <c r="U1126" t="s">
        <v>23</v>
      </c>
      <c r="V1126">
        <v>3</v>
      </c>
      <c r="W1126">
        <f>COUNTIF($A$2:A1126,A1126)</f>
        <v>1</v>
      </c>
    </row>
    <row r="1127" spans="1:23" x14ac:dyDescent="0.35">
      <c r="A1127" t="s">
        <v>1253</v>
      </c>
      <c r="B1127" s="2">
        <v>45760</v>
      </c>
      <c r="C1127" s="2">
        <v>46013</v>
      </c>
      <c r="D1127" t="s">
        <v>30</v>
      </c>
      <c r="E1127">
        <v>25</v>
      </c>
      <c r="F1127" t="s">
        <v>24</v>
      </c>
      <c r="G1127" t="s">
        <v>37</v>
      </c>
      <c r="H1127" t="s">
        <v>54</v>
      </c>
      <c r="I1127" t="s">
        <v>27</v>
      </c>
      <c r="J1127" t="s">
        <v>43</v>
      </c>
      <c r="K1127">
        <v>1</v>
      </c>
      <c r="L1127" t="s">
        <v>50</v>
      </c>
      <c r="M1127">
        <v>35000</v>
      </c>
      <c r="N1127">
        <v>5.6</v>
      </c>
      <c r="O1127">
        <v>8.6</v>
      </c>
      <c r="P1127">
        <v>0.7</v>
      </c>
      <c r="Q1127">
        <v>0</v>
      </c>
      <c r="R1127">
        <v>4</v>
      </c>
      <c r="S1127">
        <v>3</v>
      </c>
      <c r="T1127">
        <v>4</v>
      </c>
      <c r="U1127" t="s">
        <v>30</v>
      </c>
      <c r="V1127">
        <v>4</v>
      </c>
      <c r="W1127">
        <f>COUNTIF($A$2:A1127,A1127)</f>
        <v>1</v>
      </c>
    </row>
    <row r="1128" spans="1:23" x14ac:dyDescent="0.35">
      <c r="A1128" t="s">
        <v>1309</v>
      </c>
      <c r="B1128" s="2">
        <v>44171</v>
      </c>
      <c r="D1128" t="s">
        <v>23</v>
      </c>
      <c r="E1128">
        <v>33</v>
      </c>
      <c r="F1128" t="s">
        <v>62</v>
      </c>
      <c r="G1128" t="s">
        <v>37</v>
      </c>
      <c r="H1128" t="s">
        <v>32</v>
      </c>
      <c r="I1128" t="s">
        <v>55</v>
      </c>
      <c r="J1128" t="s">
        <v>179</v>
      </c>
      <c r="K1128">
        <v>3</v>
      </c>
      <c r="L1128" t="s">
        <v>84</v>
      </c>
      <c r="M1128">
        <v>75000</v>
      </c>
      <c r="N1128">
        <v>10.7</v>
      </c>
      <c r="O1128">
        <v>12.4</v>
      </c>
      <c r="P1128">
        <v>5.0999999999999996</v>
      </c>
      <c r="Q1128">
        <v>1.6</v>
      </c>
      <c r="R1128">
        <v>2</v>
      </c>
      <c r="S1128">
        <v>3</v>
      </c>
      <c r="T1128">
        <v>3</v>
      </c>
      <c r="U1128" t="s">
        <v>30</v>
      </c>
      <c r="V1128">
        <v>4</v>
      </c>
      <c r="W1128">
        <f>COUNTIF($A$2:A1128,A1128)</f>
        <v>1</v>
      </c>
    </row>
    <row r="1129" spans="1:23" x14ac:dyDescent="0.35">
      <c r="A1129" t="s">
        <v>1436</v>
      </c>
      <c r="B1129" s="2">
        <v>44793</v>
      </c>
      <c r="D1129" t="s">
        <v>23</v>
      </c>
      <c r="E1129">
        <v>39</v>
      </c>
      <c r="F1129" t="s">
        <v>24</v>
      </c>
      <c r="G1129" t="s">
        <v>42</v>
      </c>
      <c r="H1129" t="s">
        <v>54</v>
      </c>
      <c r="I1129" t="s">
        <v>68</v>
      </c>
      <c r="J1129" t="s">
        <v>69</v>
      </c>
      <c r="K1129">
        <v>3</v>
      </c>
      <c r="L1129" t="s">
        <v>29</v>
      </c>
      <c r="M1129">
        <v>77000</v>
      </c>
      <c r="N1129">
        <v>10.6</v>
      </c>
      <c r="O1129">
        <v>10.3</v>
      </c>
      <c r="P1129">
        <v>3.4</v>
      </c>
      <c r="Q1129">
        <v>2.4</v>
      </c>
      <c r="R1129">
        <v>3</v>
      </c>
      <c r="S1129">
        <v>3</v>
      </c>
      <c r="T1129">
        <v>4</v>
      </c>
      <c r="U1129" t="s">
        <v>23</v>
      </c>
      <c r="V1129">
        <v>3</v>
      </c>
      <c r="W1129">
        <f>COUNTIF($A$2:A1129,A1129)</f>
        <v>1</v>
      </c>
    </row>
    <row r="1130" spans="1:23" x14ac:dyDescent="0.35">
      <c r="A1130" t="s">
        <v>480</v>
      </c>
      <c r="B1130" s="2">
        <v>44024</v>
      </c>
      <c r="C1130" s="2">
        <v>45935</v>
      </c>
      <c r="D1130" t="s">
        <v>30</v>
      </c>
      <c r="E1130">
        <v>29</v>
      </c>
      <c r="F1130" t="s">
        <v>24</v>
      </c>
      <c r="G1130" t="s">
        <v>42</v>
      </c>
      <c r="H1130" t="s">
        <v>26</v>
      </c>
      <c r="I1130" t="s">
        <v>38</v>
      </c>
      <c r="J1130" t="s">
        <v>139</v>
      </c>
      <c r="K1130">
        <v>3</v>
      </c>
      <c r="L1130" t="s">
        <v>34</v>
      </c>
      <c r="M1130">
        <v>82000</v>
      </c>
      <c r="N1130">
        <v>12.4</v>
      </c>
      <c r="O1130">
        <v>12.9</v>
      </c>
      <c r="P1130">
        <v>5.2</v>
      </c>
      <c r="Q1130">
        <v>3.8</v>
      </c>
      <c r="R1130">
        <v>3</v>
      </c>
      <c r="S1130">
        <v>4</v>
      </c>
      <c r="T1130">
        <v>3</v>
      </c>
      <c r="U1130" t="s">
        <v>23</v>
      </c>
      <c r="V1130">
        <v>4</v>
      </c>
      <c r="W1130">
        <f>COUNTIF($A$2:A1130,A1130)</f>
        <v>1</v>
      </c>
    </row>
    <row r="1131" spans="1:23" x14ac:dyDescent="0.35">
      <c r="A1131" t="s">
        <v>1137</v>
      </c>
      <c r="B1131" s="2">
        <v>44648</v>
      </c>
      <c r="D1131" t="s">
        <v>23</v>
      </c>
      <c r="E1131">
        <v>27</v>
      </c>
      <c r="F1131" t="s">
        <v>62</v>
      </c>
      <c r="G1131" t="s">
        <v>25</v>
      </c>
      <c r="H1131" t="s">
        <v>32</v>
      </c>
      <c r="I1131" t="s">
        <v>68</v>
      </c>
      <c r="J1131" t="s">
        <v>121</v>
      </c>
      <c r="K1131">
        <v>1</v>
      </c>
      <c r="L1131" t="s">
        <v>29</v>
      </c>
      <c r="M1131">
        <v>43000</v>
      </c>
      <c r="N1131">
        <v>0.3</v>
      </c>
      <c r="O1131">
        <v>8.6999999999999993</v>
      </c>
      <c r="P1131">
        <v>3.8</v>
      </c>
      <c r="Q1131">
        <v>3.5</v>
      </c>
      <c r="R1131">
        <v>4</v>
      </c>
      <c r="S1131">
        <v>3</v>
      </c>
      <c r="T1131">
        <v>4</v>
      </c>
      <c r="U1131" t="s">
        <v>23</v>
      </c>
      <c r="V1131">
        <v>4</v>
      </c>
      <c r="W1131">
        <f>COUNTIF($A$2:A1131,A1131)</f>
        <v>1</v>
      </c>
    </row>
    <row r="1132" spans="1:23" x14ac:dyDescent="0.35">
      <c r="A1132" t="s">
        <v>805</v>
      </c>
      <c r="B1132" s="2">
        <v>44463</v>
      </c>
      <c r="D1132" t="s">
        <v>23</v>
      </c>
      <c r="E1132">
        <v>26</v>
      </c>
      <c r="F1132" t="s">
        <v>36</v>
      </c>
      <c r="G1132" t="s">
        <v>25</v>
      </c>
      <c r="H1132" t="s">
        <v>26</v>
      </c>
      <c r="I1132" t="s">
        <v>27</v>
      </c>
      <c r="J1132" t="s">
        <v>33</v>
      </c>
      <c r="K1132">
        <v>1</v>
      </c>
      <c r="L1132" t="s">
        <v>50</v>
      </c>
      <c r="M1132">
        <v>22000</v>
      </c>
      <c r="N1132">
        <v>2.7</v>
      </c>
      <c r="O1132">
        <v>8.8000000000000007</v>
      </c>
      <c r="P1132">
        <v>4.3</v>
      </c>
      <c r="Q1132">
        <v>3</v>
      </c>
      <c r="R1132">
        <v>3</v>
      </c>
      <c r="S1132">
        <v>4</v>
      </c>
      <c r="T1132">
        <v>3</v>
      </c>
      <c r="U1132" t="s">
        <v>23</v>
      </c>
      <c r="V1132">
        <v>4</v>
      </c>
      <c r="W1132">
        <f>COUNTIF($A$2:A1132,A1132)</f>
        <v>1</v>
      </c>
    </row>
    <row r="1133" spans="1:23" x14ac:dyDescent="0.35">
      <c r="A1133" t="s">
        <v>160</v>
      </c>
      <c r="B1133" s="2">
        <v>43009</v>
      </c>
      <c r="D1133" t="s">
        <v>23</v>
      </c>
      <c r="E1133">
        <v>32</v>
      </c>
      <c r="F1133" t="s">
        <v>24</v>
      </c>
      <c r="G1133" t="s">
        <v>42</v>
      </c>
      <c r="H1133" t="s">
        <v>26</v>
      </c>
      <c r="I1133" t="s">
        <v>38</v>
      </c>
      <c r="J1133" t="s">
        <v>139</v>
      </c>
      <c r="K1133">
        <v>3</v>
      </c>
      <c r="L1133" t="s">
        <v>34</v>
      </c>
      <c r="M1133">
        <v>90000</v>
      </c>
      <c r="N1133">
        <v>11.8</v>
      </c>
      <c r="O1133">
        <v>11.1</v>
      </c>
      <c r="P1133">
        <v>8.1999999999999993</v>
      </c>
      <c r="Q1133">
        <v>4.2</v>
      </c>
      <c r="R1133">
        <v>3</v>
      </c>
      <c r="S1133">
        <v>3</v>
      </c>
      <c r="T1133">
        <v>3</v>
      </c>
      <c r="U1133" t="s">
        <v>30</v>
      </c>
      <c r="V1133">
        <v>3</v>
      </c>
      <c r="W1133">
        <f>COUNTIF($A$2:A1133,A1133)</f>
        <v>1</v>
      </c>
    </row>
    <row r="1134" spans="1:23" x14ac:dyDescent="0.35">
      <c r="A1134" t="s">
        <v>1170</v>
      </c>
      <c r="B1134" s="2">
        <v>43366</v>
      </c>
      <c r="D1134" t="s">
        <v>23</v>
      </c>
      <c r="E1134">
        <v>38</v>
      </c>
      <c r="F1134" t="s">
        <v>62</v>
      </c>
      <c r="G1134" t="s">
        <v>42</v>
      </c>
      <c r="H1134" t="s">
        <v>58</v>
      </c>
      <c r="I1134" t="s">
        <v>45</v>
      </c>
      <c r="J1134" t="s">
        <v>164</v>
      </c>
      <c r="K1134">
        <v>2</v>
      </c>
      <c r="L1134" t="s">
        <v>84</v>
      </c>
      <c r="M1134">
        <v>49000</v>
      </c>
      <c r="N1134">
        <v>4.3</v>
      </c>
      <c r="O1134">
        <v>10.6</v>
      </c>
      <c r="P1134">
        <v>7.3</v>
      </c>
      <c r="Q1134">
        <v>1.5</v>
      </c>
      <c r="R1134">
        <v>3</v>
      </c>
      <c r="S1134">
        <v>4</v>
      </c>
      <c r="T1134">
        <v>3</v>
      </c>
      <c r="U1134" t="s">
        <v>23</v>
      </c>
      <c r="V1134">
        <v>2</v>
      </c>
      <c r="W1134">
        <f>COUNTIF($A$2:A1134,A1134)</f>
        <v>1</v>
      </c>
    </row>
    <row r="1135" spans="1:23" x14ac:dyDescent="0.35">
      <c r="A1135" t="s">
        <v>749</v>
      </c>
      <c r="B1135" s="2">
        <v>45889</v>
      </c>
      <c r="D1135" t="s">
        <v>23</v>
      </c>
      <c r="E1135">
        <v>29</v>
      </c>
      <c r="F1135" t="s">
        <v>36</v>
      </c>
      <c r="G1135" t="s">
        <v>42</v>
      </c>
      <c r="H1135" t="s">
        <v>58</v>
      </c>
      <c r="I1135" t="s">
        <v>27</v>
      </c>
      <c r="J1135" t="s">
        <v>43</v>
      </c>
      <c r="K1135">
        <v>2</v>
      </c>
      <c r="L1135" t="s">
        <v>29</v>
      </c>
      <c r="M1135">
        <v>42000</v>
      </c>
      <c r="N1135">
        <v>8.3000000000000007</v>
      </c>
      <c r="O1135">
        <v>6.8</v>
      </c>
      <c r="P1135">
        <v>0.4</v>
      </c>
      <c r="Q1135">
        <v>0</v>
      </c>
      <c r="S1135">
        <v>4</v>
      </c>
      <c r="T1135">
        <v>2</v>
      </c>
      <c r="U1135" t="s">
        <v>30</v>
      </c>
      <c r="V1135">
        <v>1</v>
      </c>
      <c r="W1135">
        <f>COUNTIF($A$2:A1135,A1135)</f>
        <v>1</v>
      </c>
    </row>
    <row r="1136" spans="1:23" x14ac:dyDescent="0.35">
      <c r="A1136" t="s">
        <v>1157</v>
      </c>
      <c r="B1136" s="2">
        <v>44459</v>
      </c>
      <c r="D1136" t="s">
        <v>23</v>
      </c>
      <c r="E1136">
        <v>30</v>
      </c>
      <c r="F1136" t="s">
        <v>36</v>
      </c>
      <c r="G1136" t="s">
        <v>42</v>
      </c>
      <c r="H1136" t="s">
        <v>26</v>
      </c>
      <c r="I1136" t="s">
        <v>59</v>
      </c>
      <c r="J1136" t="s">
        <v>60</v>
      </c>
      <c r="K1136">
        <v>2</v>
      </c>
      <c r="L1136" t="s">
        <v>66</v>
      </c>
      <c r="M1136">
        <v>55000</v>
      </c>
      <c r="N1136">
        <v>10.4</v>
      </c>
      <c r="O1136">
        <v>10.8</v>
      </c>
      <c r="P1136">
        <v>4.3</v>
      </c>
      <c r="Q1136">
        <v>4</v>
      </c>
      <c r="R1136">
        <v>3</v>
      </c>
      <c r="S1136">
        <v>3</v>
      </c>
      <c r="T1136">
        <v>4</v>
      </c>
      <c r="U1136" t="s">
        <v>23</v>
      </c>
      <c r="V1136">
        <v>3</v>
      </c>
      <c r="W1136">
        <f>COUNTIF($A$2:A1136,A1136)</f>
        <v>1</v>
      </c>
    </row>
    <row r="1137" spans="1:23" x14ac:dyDescent="0.35">
      <c r="A1137" t="s">
        <v>1311</v>
      </c>
      <c r="B1137" s="2">
        <v>42495</v>
      </c>
      <c r="D1137" t="s">
        <v>23</v>
      </c>
      <c r="E1137">
        <v>30</v>
      </c>
      <c r="F1137" t="s">
        <v>36</v>
      </c>
      <c r="G1137" t="s">
        <v>37</v>
      </c>
      <c r="H1137" t="s">
        <v>32</v>
      </c>
      <c r="I1137" t="s">
        <v>48</v>
      </c>
      <c r="J1137" t="s">
        <v>129</v>
      </c>
      <c r="K1137">
        <v>3</v>
      </c>
      <c r="L1137" t="s">
        <v>34</v>
      </c>
      <c r="M1137">
        <v>90000</v>
      </c>
      <c r="N1137">
        <v>11</v>
      </c>
      <c r="O1137">
        <v>13.1</v>
      </c>
      <c r="P1137">
        <v>9.6999999999999993</v>
      </c>
      <c r="Q1137">
        <v>1.5</v>
      </c>
      <c r="R1137">
        <v>3</v>
      </c>
      <c r="S1137">
        <v>4</v>
      </c>
      <c r="T1137">
        <v>2</v>
      </c>
      <c r="U1137" t="s">
        <v>30</v>
      </c>
      <c r="V1137">
        <v>3</v>
      </c>
      <c r="W1137">
        <f>COUNTIF($A$2:A1137,A1137)</f>
        <v>1</v>
      </c>
    </row>
    <row r="1138" spans="1:23" x14ac:dyDescent="0.35">
      <c r="A1138" t="s">
        <v>1045</v>
      </c>
      <c r="B1138" s="2">
        <v>44219</v>
      </c>
      <c r="D1138" t="s">
        <v>23</v>
      </c>
      <c r="E1138">
        <v>41</v>
      </c>
      <c r="F1138" t="s">
        <v>24</v>
      </c>
      <c r="G1138" t="s">
        <v>37</v>
      </c>
      <c r="H1138" t="s">
        <v>58</v>
      </c>
      <c r="I1138" t="s">
        <v>68</v>
      </c>
      <c r="J1138" t="s">
        <v>69</v>
      </c>
      <c r="K1138">
        <v>1</v>
      </c>
      <c r="L1138" t="s">
        <v>40</v>
      </c>
      <c r="M1138">
        <v>44000</v>
      </c>
      <c r="N1138">
        <v>3.4</v>
      </c>
      <c r="O1138">
        <v>5.4</v>
      </c>
      <c r="P1138">
        <v>4.9000000000000004</v>
      </c>
      <c r="Q1138">
        <v>3.4</v>
      </c>
      <c r="R1138">
        <v>3</v>
      </c>
      <c r="S1138">
        <v>3</v>
      </c>
      <c r="T1138">
        <v>2</v>
      </c>
      <c r="U1138" t="s">
        <v>23</v>
      </c>
      <c r="V1138">
        <v>3</v>
      </c>
      <c r="W1138">
        <f>COUNTIF($A$2:A1138,A1138)</f>
        <v>1</v>
      </c>
    </row>
    <row r="1139" spans="1:23" x14ac:dyDescent="0.35">
      <c r="A1139" t="s">
        <v>490</v>
      </c>
      <c r="B1139" s="2">
        <v>42147</v>
      </c>
      <c r="D1139" t="s">
        <v>23</v>
      </c>
      <c r="E1139">
        <v>33</v>
      </c>
      <c r="F1139" t="s">
        <v>62</v>
      </c>
      <c r="G1139" t="s">
        <v>37</v>
      </c>
      <c r="H1139" t="s">
        <v>26</v>
      </c>
      <c r="I1139" t="s">
        <v>59</v>
      </c>
      <c r="J1139" t="s">
        <v>60</v>
      </c>
      <c r="K1139">
        <v>2</v>
      </c>
      <c r="L1139" t="s">
        <v>84</v>
      </c>
      <c r="M1139">
        <v>47000</v>
      </c>
      <c r="N1139">
        <v>9.6999999999999993</v>
      </c>
      <c r="O1139">
        <v>16.7</v>
      </c>
      <c r="P1139">
        <v>10.6</v>
      </c>
      <c r="Q1139">
        <v>3.7</v>
      </c>
      <c r="R1139">
        <v>3</v>
      </c>
      <c r="S1139">
        <v>3</v>
      </c>
      <c r="T1139">
        <v>2</v>
      </c>
      <c r="U1139" t="s">
        <v>23</v>
      </c>
      <c r="V1139">
        <v>3</v>
      </c>
      <c r="W1139">
        <f>COUNTIF($A$2:A1139,A1139)</f>
        <v>1</v>
      </c>
    </row>
    <row r="1140" spans="1:23" x14ac:dyDescent="0.35">
      <c r="A1140" t="s">
        <v>1087</v>
      </c>
      <c r="B1140" s="2">
        <v>43703</v>
      </c>
      <c r="D1140" t="s">
        <v>23</v>
      </c>
      <c r="E1140">
        <v>37</v>
      </c>
      <c r="F1140" t="s">
        <v>62</v>
      </c>
      <c r="G1140" t="s">
        <v>42</v>
      </c>
      <c r="H1140" t="s">
        <v>32</v>
      </c>
      <c r="I1140" t="s">
        <v>59</v>
      </c>
      <c r="J1140" t="s">
        <v>150</v>
      </c>
      <c r="K1140">
        <v>3</v>
      </c>
      <c r="L1140" t="s">
        <v>40</v>
      </c>
      <c r="M1140">
        <v>67000</v>
      </c>
      <c r="N1140">
        <v>12</v>
      </c>
      <c r="O1140">
        <v>14.2</v>
      </c>
      <c r="P1140">
        <v>6.3</v>
      </c>
      <c r="Q1140">
        <v>0.1</v>
      </c>
      <c r="R1140">
        <v>1</v>
      </c>
      <c r="S1140">
        <v>3</v>
      </c>
      <c r="T1140">
        <v>3</v>
      </c>
      <c r="U1140" t="s">
        <v>23</v>
      </c>
      <c r="V1140">
        <v>3</v>
      </c>
      <c r="W1140">
        <f>COUNTIF($A$2:A1140,A1140)</f>
        <v>1</v>
      </c>
    </row>
    <row r="1141" spans="1:23" x14ac:dyDescent="0.35">
      <c r="A1141" t="s">
        <v>1333</v>
      </c>
      <c r="B1141" s="2">
        <v>43368</v>
      </c>
      <c r="D1141" t="s">
        <v>23</v>
      </c>
      <c r="E1141">
        <v>35</v>
      </c>
      <c r="F1141" t="s">
        <v>36</v>
      </c>
      <c r="G1141" t="s">
        <v>37</v>
      </c>
      <c r="H1141" t="s">
        <v>54</v>
      </c>
      <c r="I1141" t="s">
        <v>59</v>
      </c>
      <c r="J1141" t="s">
        <v>75</v>
      </c>
      <c r="K1141">
        <v>2</v>
      </c>
      <c r="L1141" t="s">
        <v>50</v>
      </c>
      <c r="M1141">
        <v>49000</v>
      </c>
      <c r="N1141">
        <v>8.1</v>
      </c>
      <c r="O1141">
        <v>7.4</v>
      </c>
      <c r="P1141">
        <v>7.3</v>
      </c>
      <c r="Q1141">
        <v>4.8</v>
      </c>
      <c r="R1141">
        <v>3</v>
      </c>
      <c r="S1141">
        <v>3</v>
      </c>
      <c r="T1141">
        <v>4</v>
      </c>
      <c r="U1141" t="s">
        <v>23</v>
      </c>
      <c r="V1141">
        <v>3</v>
      </c>
      <c r="W1141">
        <f>COUNTIF($A$2:A1141,A1141)</f>
        <v>1</v>
      </c>
    </row>
    <row r="1142" spans="1:23" x14ac:dyDescent="0.35">
      <c r="A1142" t="s">
        <v>457</v>
      </c>
      <c r="B1142" s="2">
        <v>43999</v>
      </c>
      <c r="D1142" t="s">
        <v>23</v>
      </c>
      <c r="E1142">
        <v>26</v>
      </c>
      <c r="F1142" t="s">
        <v>36</v>
      </c>
      <c r="G1142" t="s">
        <v>25</v>
      </c>
      <c r="H1142" t="s">
        <v>26</v>
      </c>
      <c r="I1142" t="s">
        <v>55</v>
      </c>
      <c r="J1142" t="s">
        <v>56</v>
      </c>
      <c r="K1142">
        <v>1</v>
      </c>
      <c r="L1142" t="s">
        <v>34</v>
      </c>
      <c r="M1142">
        <v>57000</v>
      </c>
      <c r="N1142">
        <v>1.7</v>
      </c>
      <c r="O1142">
        <v>11.6</v>
      </c>
      <c r="P1142">
        <v>5.5</v>
      </c>
      <c r="Q1142">
        <v>2.6</v>
      </c>
      <c r="R1142">
        <v>3</v>
      </c>
      <c r="S1142">
        <v>2</v>
      </c>
      <c r="T1142">
        <v>3</v>
      </c>
      <c r="U1142" t="s">
        <v>30</v>
      </c>
      <c r="V1142">
        <v>4</v>
      </c>
      <c r="W1142">
        <f>COUNTIF($A$2:A1142,A1142)</f>
        <v>1</v>
      </c>
    </row>
    <row r="1143" spans="1:23" x14ac:dyDescent="0.35">
      <c r="A1143" t="s">
        <v>1064</v>
      </c>
      <c r="B1143" s="2">
        <v>43197</v>
      </c>
      <c r="D1143" t="s">
        <v>23</v>
      </c>
      <c r="E1143">
        <v>36</v>
      </c>
      <c r="F1143" t="s">
        <v>36</v>
      </c>
      <c r="G1143" t="s">
        <v>42</v>
      </c>
      <c r="H1143" t="s">
        <v>58</v>
      </c>
      <c r="I1143" t="s">
        <v>27</v>
      </c>
      <c r="J1143" t="s">
        <v>28</v>
      </c>
      <c r="K1143">
        <v>5</v>
      </c>
      <c r="L1143" t="s">
        <v>50</v>
      </c>
      <c r="M1143">
        <v>152000</v>
      </c>
      <c r="N1143">
        <v>8.6</v>
      </c>
      <c r="O1143">
        <v>10.199999999999999</v>
      </c>
      <c r="P1143">
        <v>7.7</v>
      </c>
      <c r="Q1143">
        <v>0.7</v>
      </c>
      <c r="R1143">
        <v>3</v>
      </c>
      <c r="S1143">
        <v>3</v>
      </c>
      <c r="T1143">
        <v>3</v>
      </c>
      <c r="U1143" t="s">
        <v>23</v>
      </c>
      <c r="V1143">
        <v>3</v>
      </c>
      <c r="W1143">
        <f>COUNTIF($A$2:A1143,A1143)</f>
        <v>1</v>
      </c>
    </row>
    <row r="1144" spans="1:23" x14ac:dyDescent="0.35">
      <c r="A1144" t="s">
        <v>455</v>
      </c>
      <c r="B1144" s="2">
        <v>43123</v>
      </c>
      <c r="D1144" t="s">
        <v>23</v>
      </c>
      <c r="E1144">
        <v>36</v>
      </c>
      <c r="F1144" t="s">
        <v>62</v>
      </c>
      <c r="G1144" t="s">
        <v>42</v>
      </c>
      <c r="H1144" t="s">
        <v>58</v>
      </c>
      <c r="I1144" t="s">
        <v>38</v>
      </c>
      <c r="J1144" t="s">
        <v>52</v>
      </c>
      <c r="K1144">
        <v>2</v>
      </c>
      <c r="L1144" t="s">
        <v>66</v>
      </c>
      <c r="M1144">
        <v>57000</v>
      </c>
      <c r="N1144">
        <v>14.6</v>
      </c>
      <c r="O1144">
        <v>14.9</v>
      </c>
      <c r="P1144">
        <v>7.9</v>
      </c>
      <c r="Q1144">
        <v>5.0999999999999996</v>
      </c>
      <c r="R1144">
        <v>3</v>
      </c>
      <c r="S1144">
        <v>2</v>
      </c>
      <c r="T1144">
        <v>2</v>
      </c>
      <c r="U1144" t="s">
        <v>23</v>
      </c>
      <c r="V1144">
        <v>3</v>
      </c>
      <c r="W1144">
        <f>COUNTIF($A$2:A1144,A1144)</f>
        <v>1</v>
      </c>
    </row>
    <row r="1145" spans="1:23" x14ac:dyDescent="0.35">
      <c r="A1145" t="s">
        <v>1428</v>
      </c>
      <c r="B1145" s="2">
        <v>43260</v>
      </c>
      <c r="D1145" t="s">
        <v>23</v>
      </c>
      <c r="E1145">
        <v>39</v>
      </c>
      <c r="F1145" t="s">
        <v>62</v>
      </c>
      <c r="G1145" t="s">
        <v>37</v>
      </c>
      <c r="H1145" t="s">
        <v>54</v>
      </c>
      <c r="I1145" t="s">
        <v>27</v>
      </c>
      <c r="J1145" t="s">
        <v>33</v>
      </c>
      <c r="K1145">
        <v>3</v>
      </c>
      <c r="L1145" t="s">
        <v>40</v>
      </c>
      <c r="M1145">
        <v>65000</v>
      </c>
      <c r="N1145">
        <v>8.6999999999999993</v>
      </c>
      <c r="O1145">
        <v>13.8</v>
      </c>
      <c r="P1145">
        <v>7.6</v>
      </c>
      <c r="Q1145">
        <v>4.5999999999999996</v>
      </c>
      <c r="R1145">
        <v>2</v>
      </c>
      <c r="S1145">
        <v>2</v>
      </c>
      <c r="T1145">
        <v>3</v>
      </c>
      <c r="U1145" t="s">
        <v>23</v>
      </c>
      <c r="V1145">
        <v>4</v>
      </c>
      <c r="W1145">
        <f>COUNTIF($A$2:A1145,A1145)</f>
        <v>1</v>
      </c>
    </row>
    <row r="1146" spans="1:23" x14ac:dyDescent="0.35">
      <c r="A1146" t="s">
        <v>551</v>
      </c>
      <c r="B1146" s="2">
        <v>44107</v>
      </c>
      <c r="D1146" t="s">
        <v>23</v>
      </c>
      <c r="E1146">
        <v>26</v>
      </c>
      <c r="F1146" t="s">
        <v>24</v>
      </c>
      <c r="G1146" t="s">
        <v>25</v>
      </c>
      <c r="H1146" t="s">
        <v>54</v>
      </c>
      <c r="I1146" t="s">
        <v>38</v>
      </c>
      <c r="J1146" t="s">
        <v>139</v>
      </c>
      <c r="K1146">
        <v>1</v>
      </c>
      <c r="L1146" t="s">
        <v>40</v>
      </c>
      <c r="M1146">
        <v>41000</v>
      </c>
      <c r="N1146">
        <v>6.8</v>
      </c>
      <c r="O1146">
        <v>5.8</v>
      </c>
      <c r="P1146">
        <v>5.2</v>
      </c>
      <c r="Q1146">
        <v>2.5</v>
      </c>
      <c r="R1146">
        <v>3</v>
      </c>
      <c r="S1146">
        <v>3</v>
      </c>
      <c r="T1146">
        <v>3</v>
      </c>
      <c r="U1146" t="s">
        <v>23</v>
      </c>
      <c r="V1146">
        <v>2</v>
      </c>
      <c r="W1146">
        <f>COUNTIF($A$2:A1146,A1146)</f>
        <v>1</v>
      </c>
    </row>
    <row r="1147" spans="1:23" x14ac:dyDescent="0.35">
      <c r="A1147" t="s">
        <v>1358</v>
      </c>
      <c r="B1147" s="2">
        <v>45382</v>
      </c>
      <c r="D1147" t="s">
        <v>23</v>
      </c>
      <c r="E1147">
        <v>26</v>
      </c>
      <c r="F1147" t="s">
        <v>36</v>
      </c>
      <c r="G1147" t="s">
        <v>25</v>
      </c>
      <c r="H1147" t="s">
        <v>32</v>
      </c>
      <c r="I1147" t="s">
        <v>59</v>
      </c>
      <c r="J1147" t="s">
        <v>75</v>
      </c>
      <c r="K1147">
        <v>1</v>
      </c>
      <c r="L1147" t="s">
        <v>84</v>
      </c>
      <c r="M1147">
        <v>48000</v>
      </c>
      <c r="N1147">
        <v>5.4</v>
      </c>
      <c r="O1147">
        <v>9.6999999999999993</v>
      </c>
      <c r="P1147">
        <v>1.8</v>
      </c>
      <c r="Q1147">
        <v>1.8</v>
      </c>
      <c r="R1147">
        <v>2</v>
      </c>
      <c r="S1147">
        <v>3</v>
      </c>
      <c r="T1147">
        <v>3</v>
      </c>
      <c r="U1147" t="s">
        <v>23</v>
      </c>
      <c r="V1147">
        <v>4</v>
      </c>
      <c r="W1147">
        <f>COUNTIF($A$2:A1147,A1147)</f>
        <v>1</v>
      </c>
    </row>
    <row r="1148" spans="1:23" x14ac:dyDescent="0.35">
      <c r="A1148" t="s">
        <v>610</v>
      </c>
      <c r="B1148" s="2">
        <v>45862</v>
      </c>
      <c r="D1148" t="s">
        <v>23</v>
      </c>
      <c r="E1148">
        <v>39</v>
      </c>
      <c r="F1148" t="s">
        <v>36</v>
      </c>
      <c r="G1148" t="s">
        <v>25</v>
      </c>
      <c r="H1148" t="s">
        <v>26</v>
      </c>
      <c r="I1148" t="s">
        <v>59</v>
      </c>
      <c r="J1148" t="s">
        <v>86</v>
      </c>
      <c r="K1148">
        <v>4</v>
      </c>
      <c r="L1148" t="s">
        <v>34</v>
      </c>
      <c r="M1148">
        <v>103000</v>
      </c>
      <c r="N1148">
        <v>12.4</v>
      </c>
      <c r="O1148">
        <v>6.4</v>
      </c>
      <c r="P1148">
        <v>0.4</v>
      </c>
      <c r="Q1148">
        <v>0</v>
      </c>
      <c r="R1148">
        <v>4</v>
      </c>
      <c r="S1148">
        <v>3</v>
      </c>
      <c r="T1148">
        <v>3</v>
      </c>
      <c r="U1148" t="s">
        <v>23</v>
      </c>
      <c r="V1148">
        <v>3</v>
      </c>
      <c r="W1148">
        <f>COUNTIF($A$2:A1148,A1148)</f>
        <v>1</v>
      </c>
    </row>
    <row r="1149" spans="1:23" x14ac:dyDescent="0.35">
      <c r="A1149" t="s">
        <v>343</v>
      </c>
      <c r="B1149" s="2">
        <v>44826</v>
      </c>
      <c r="D1149" t="s">
        <v>23</v>
      </c>
      <c r="E1149">
        <v>43</v>
      </c>
      <c r="F1149" t="s">
        <v>36</v>
      </c>
      <c r="G1149" t="s">
        <v>25</v>
      </c>
      <c r="H1149" t="s">
        <v>32</v>
      </c>
      <c r="I1149" t="s">
        <v>68</v>
      </c>
      <c r="J1149" t="s">
        <v>109</v>
      </c>
      <c r="K1149">
        <v>2</v>
      </c>
      <c r="L1149" t="s">
        <v>34</v>
      </c>
      <c r="M1149">
        <v>53000</v>
      </c>
      <c r="N1149">
        <v>6.6</v>
      </c>
      <c r="O1149">
        <v>3.7</v>
      </c>
      <c r="P1149">
        <v>3.3</v>
      </c>
      <c r="Q1149">
        <v>1.8</v>
      </c>
      <c r="R1149">
        <v>3</v>
      </c>
      <c r="S1149">
        <v>4</v>
      </c>
      <c r="T1149">
        <v>4</v>
      </c>
      <c r="U1149" t="s">
        <v>23</v>
      </c>
      <c r="V1149">
        <v>4</v>
      </c>
      <c r="W1149">
        <f>COUNTIF($A$2:A1149,A1149)</f>
        <v>1</v>
      </c>
    </row>
    <row r="1150" spans="1:23" x14ac:dyDescent="0.35">
      <c r="A1150" t="s">
        <v>391</v>
      </c>
      <c r="B1150" s="2">
        <v>42980</v>
      </c>
      <c r="D1150" t="s">
        <v>23</v>
      </c>
      <c r="E1150">
        <v>39</v>
      </c>
      <c r="F1150" t="s">
        <v>62</v>
      </c>
      <c r="G1150" t="s">
        <v>42</v>
      </c>
      <c r="H1150" t="s">
        <v>54</v>
      </c>
      <c r="I1150" t="s">
        <v>45</v>
      </c>
      <c r="J1150" t="s">
        <v>164</v>
      </c>
      <c r="K1150">
        <v>1</v>
      </c>
      <c r="L1150" t="s">
        <v>66</v>
      </c>
      <c r="M1150">
        <v>26000</v>
      </c>
      <c r="N1150">
        <v>6</v>
      </c>
      <c r="O1150">
        <v>10.3</v>
      </c>
      <c r="P1150">
        <v>8.3000000000000007</v>
      </c>
      <c r="Q1150">
        <v>3.6</v>
      </c>
      <c r="R1150">
        <v>4</v>
      </c>
      <c r="S1150">
        <v>2</v>
      </c>
      <c r="T1150">
        <v>3</v>
      </c>
      <c r="U1150" t="s">
        <v>23</v>
      </c>
      <c r="V1150">
        <v>3</v>
      </c>
      <c r="W1150">
        <f>COUNTIF($A$2:A1150,A1150)</f>
        <v>1</v>
      </c>
    </row>
    <row r="1151" spans="1:23" x14ac:dyDescent="0.35">
      <c r="A1151" t="s">
        <v>1379</v>
      </c>
      <c r="B1151" s="2">
        <v>44217</v>
      </c>
      <c r="D1151" t="s">
        <v>23</v>
      </c>
      <c r="E1151">
        <v>25</v>
      </c>
      <c r="F1151" t="s">
        <v>62</v>
      </c>
      <c r="G1151" t="s">
        <v>37</v>
      </c>
      <c r="H1151" t="s">
        <v>54</v>
      </c>
      <c r="I1151" t="s">
        <v>27</v>
      </c>
      <c r="J1151" t="s">
        <v>33</v>
      </c>
      <c r="K1151">
        <v>1</v>
      </c>
      <c r="L1151" t="s">
        <v>50</v>
      </c>
      <c r="M1151">
        <v>49000</v>
      </c>
      <c r="N1151">
        <v>6.7</v>
      </c>
      <c r="O1151">
        <v>11.1</v>
      </c>
      <c r="P1151">
        <v>4.9000000000000004</v>
      </c>
      <c r="Q1151">
        <v>2.9</v>
      </c>
      <c r="R1151">
        <v>4</v>
      </c>
      <c r="S1151">
        <v>3</v>
      </c>
      <c r="T1151">
        <v>4</v>
      </c>
      <c r="U1151" t="s">
        <v>23</v>
      </c>
      <c r="V1151">
        <v>3</v>
      </c>
      <c r="W1151">
        <f>COUNTIF($A$2:A1151,A1151)</f>
        <v>1</v>
      </c>
    </row>
    <row r="1152" spans="1:23" x14ac:dyDescent="0.35">
      <c r="A1152" t="s">
        <v>1254</v>
      </c>
      <c r="B1152" s="2">
        <v>44828</v>
      </c>
      <c r="D1152" t="s">
        <v>23</v>
      </c>
      <c r="E1152">
        <v>34</v>
      </c>
      <c r="F1152" t="s">
        <v>24</v>
      </c>
      <c r="G1152" t="s">
        <v>37</v>
      </c>
      <c r="H1152" t="s">
        <v>32</v>
      </c>
      <c r="I1152" t="s">
        <v>68</v>
      </c>
      <c r="J1152" t="s">
        <v>121</v>
      </c>
      <c r="K1152">
        <v>3</v>
      </c>
      <c r="L1152" t="s">
        <v>66</v>
      </c>
      <c r="M1152">
        <v>68000</v>
      </c>
      <c r="N1152">
        <v>9</v>
      </c>
      <c r="O1152">
        <v>11.2</v>
      </c>
      <c r="P1152">
        <v>3.3</v>
      </c>
      <c r="Q1152">
        <v>1.8</v>
      </c>
      <c r="R1152">
        <v>4</v>
      </c>
      <c r="S1152">
        <v>4</v>
      </c>
      <c r="T1152">
        <v>3</v>
      </c>
      <c r="U1152" t="s">
        <v>30</v>
      </c>
      <c r="V1152">
        <v>3</v>
      </c>
      <c r="W1152">
        <f>COUNTIF($A$2:A1152,A1152)</f>
        <v>1</v>
      </c>
    </row>
    <row r="1153" spans="1:23" x14ac:dyDescent="0.35">
      <c r="A1153" t="s">
        <v>104</v>
      </c>
      <c r="B1153" s="2">
        <v>44895</v>
      </c>
      <c r="C1153" s="2">
        <v>45988</v>
      </c>
      <c r="D1153" t="s">
        <v>30</v>
      </c>
      <c r="E1153">
        <v>32</v>
      </c>
      <c r="F1153" t="s">
        <v>62</v>
      </c>
      <c r="G1153" t="s">
        <v>37</v>
      </c>
      <c r="H1153" t="s">
        <v>32</v>
      </c>
      <c r="I1153" t="s">
        <v>48</v>
      </c>
      <c r="J1153" t="s">
        <v>49</v>
      </c>
      <c r="K1153">
        <v>3</v>
      </c>
      <c r="L1153" t="s">
        <v>66</v>
      </c>
      <c r="M1153">
        <v>91000</v>
      </c>
      <c r="N1153">
        <v>13.1</v>
      </c>
      <c r="O1153">
        <v>8.3000000000000007</v>
      </c>
      <c r="P1153">
        <v>3</v>
      </c>
      <c r="Q1153">
        <v>1.5</v>
      </c>
      <c r="R1153">
        <v>2</v>
      </c>
      <c r="S1153">
        <v>3</v>
      </c>
      <c r="T1153">
        <v>4</v>
      </c>
      <c r="U1153" t="s">
        <v>23</v>
      </c>
      <c r="V1153">
        <v>5</v>
      </c>
      <c r="W1153">
        <f>COUNTIF($A$2:A1153,A1153)</f>
        <v>1</v>
      </c>
    </row>
    <row r="1154" spans="1:23" x14ac:dyDescent="0.35">
      <c r="A1154" t="s">
        <v>1539</v>
      </c>
      <c r="B1154" s="2">
        <v>43939</v>
      </c>
      <c r="C1154" s="2">
        <v>45717</v>
      </c>
      <c r="D1154" t="s">
        <v>30</v>
      </c>
      <c r="E1154">
        <v>30</v>
      </c>
      <c r="F1154" t="s">
        <v>36</v>
      </c>
      <c r="G1154" t="s">
        <v>42</v>
      </c>
      <c r="H1154" t="s">
        <v>54</v>
      </c>
      <c r="I1154" t="s">
        <v>59</v>
      </c>
      <c r="J1154" t="s">
        <v>75</v>
      </c>
      <c r="K1154">
        <v>3</v>
      </c>
      <c r="L1154" t="s">
        <v>34</v>
      </c>
      <c r="M1154">
        <v>65000</v>
      </c>
      <c r="N1154">
        <v>6.5</v>
      </c>
      <c r="O1154">
        <v>5</v>
      </c>
      <c r="P1154">
        <v>4.9000000000000004</v>
      </c>
      <c r="Q1154">
        <v>1.1000000000000001</v>
      </c>
      <c r="R1154">
        <v>2</v>
      </c>
      <c r="S1154">
        <v>4</v>
      </c>
      <c r="T1154">
        <v>1</v>
      </c>
      <c r="U1154" t="s">
        <v>30</v>
      </c>
      <c r="V1154">
        <v>4</v>
      </c>
      <c r="W1154">
        <f>COUNTIF($A$2:A1154,A1154)</f>
        <v>1</v>
      </c>
    </row>
    <row r="1155" spans="1:23" x14ac:dyDescent="0.35">
      <c r="A1155" t="s">
        <v>761</v>
      </c>
      <c r="B1155" s="2">
        <v>43742</v>
      </c>
      <c r="D1155" t="s">
        <v>23</v>
      </c>
      <c r="E1155">
        <v>37</v>
      </c>
      <c r="F1155" t="s">
        <v>36</v>
      </c>
      <c r="G1155" t="s">
        <v>37</v>
      </c>
      <c r="H1155" t="s">
        <v>58</v>
      </c>
      <c r="I1155" t="s">
        <v>38</v>
      </c>
      <c r="J1155" t="s">
        <v>118</v>
      </c>
      <c r="K1155">
        <v>4</v>
      </c>
      <c r="L1155" t="s">
        <v>34</v>
      </c>
      <c r="M1155">
        <v>105000</v>
      </c>
      <c r="N1155">
        <v>9</v>
      </c>
      <c r="O1155">
        <v>12.7</v>
      </c>
      <c r="P1155">
        <v>6.2</v>
      </c>
      <c r="Q1155">
        <v>2.9</v>
      </c>
      <c r="R1155">
        <v>3</v>
      </c>
      <c r="S1155">
        <v>3</v>
      </c>
      <c r="T1155">
        <v>1</v>
      </c>
      <c r="U1155" t="s">
        <v>23</v>
      </c>
      <c r="V1155">
        <v>2</v>
      </c>
      <c r="W1155">
        <f>COUNTIF($A$2:A1155,A1155)</f>
        <v>1</v>
      </c>
    </row>
    <row r="1156" spans="1:23" x14ac:dyDescent="0.35">
      <c r="A1156" t="s">
        <v>257</v>
      </c>
      <c r="B1156" s="2">
        <v>42328</v>
      </c>
      <c r="C1156" s="2">
        <v>42298</v>
      </c>
      <c r="D1156" t="s">
        <v>30</v>
      </c>
      <c r="E1156">
        <v>31</v>
      </c>
      <c r="F1156" t="s">
        <v>36</v>
      </c>
      <c r="G1156" t="s">
        <v>42</v>
      </c>
      <c r="H1156" t="s">
        <v>54</v>
      </c>
      <c r="I1156" t="s">
        <v>59</v>
      </c>
      <c r="J1156" t="s">
        <v>75</v>
      </c>
      <c r="K1156">
        <v>2</v>
      </c>
      <c r="L1156" t="s">
        <v>66</v>
      </c>
      <c r="M1156">
        <v>63000</v>
      </c>
      <c r="N1156">
        <v>10.7</v>
      </c>
      <c r="O1156">
        <v>15.3</v>
      </c>
      <c r="P1156">
        <v>10.1</v>
      </c>
      <c r="Q1156">
        <v>3.8</v>
      </c>
      <c r="R1156">
        <v>3</v>
      </c>
      <c r="S1156">
        <v>2</v>
      </c>
      <c r="T1156">
        <v>3</v>
      </c>
      <c r="U1156" t="s">
        <v>30</v>
      </c>
      <c r="V1156">
        <v>1</v>
      </c>
      <c r="W1156">
        <f>COUNTIF($A$2:A1156,A1156)</f>
        <v>1</v>
      </c>
    </row>
    <row r="1157" spans="1:23" x14ac:dyDescent="0.35">
      <c r="A1157" t="s">
        <v>257</v>
      </c>
      <c r="B1157" s="2">
        <v>42328</v>
      </c>
      <c r="D1157" t="s">
        <v>23</v>
      </c>
      <c r="E1157">
        <v>31</v>
      </c>
      <c r="F1157" t="s">
        <v>36</v>
      </c>
      <c r="G1157" t="s">
        <v>42</v>
      </c>
      <c r="H1157" t="s">
        <v>54</v>
      </c>
      <c r="I1157" t="s">
        <v>59</v>
      </c>
      <c r="J1157" t="s">
        <v>75</v>
      </c>
      <c r="K1157">
        <v>2</v>
      </c>
      <c r="L1157" t="s">
        <v>66</v>
      </c>
      <c r="M1157">
        <v>63000</v>
      </c>
      <c r="N1157">
        <v>10.7</v>
      </c>
      <c r="O1157">
        <v>15.3</v>
      </c>
      <c r="P1157">
        <v>10.1</v>
      </c>
      <c r="Q1157">
        <v>3.8</v>
      </c>
      <c r="R1157">
        <v>3</v>
      </c>
      <c r="S1157">
        <v>2</v>
      </c>
      <c r="T1157">
        <v>3</v>
      </c>
      <c r="U1157" t="s">
        <v>30</v>
      </c>
      <c r="V1157">
        <v>1</v>
      </c>
      <c r="W1157">
        <f>COUNTIF($A$2:A1157,A1157)</f>
        <v>2</v>
      </c>
    </row>
    <row r="1158" spans="1:23" x14ac:dyDescent="0.35">
      <c r="A1158" t="s">
        <v>574</v>
      </c>
      <c r="B1158" s="2">
        <v>44704</v>
      </c>
      <c r="D1158" t="s">
        <v>23</v>
      </c>
      <c r="E1158">
        <v>31</v>
      </c>
      <c r="F1158" t="s">
        <v>36</v>
      </c>
      <c r="G1158" t="s">
        <v>37</v>
      </c>
      <c r="H1158" t="s">
        <v>26</v>
      </c>
      <c r="I1158" t="s">
        <v>45</v>
      </c>
      <c r="J1158" t="s">
        <v>97</v>
      </c>
      <c r="K1158">
        <v>2</v>
      </c>
      <c r="L1158" t="s">
        <v>84</v>
      </c>
      <c r="M1158">
        <v>58000</v>
      </c>
      <c r="N1158">
        <v>15.5</v>
      </c>
      <c r="O1158">
        <v>9.9</v>
      </c>
      <c r="P1158">
        <v>3.6</v>
      </c>
      <c r="Q1158">
        <v>0.1</v>
      </c>
      <c r="R1158">
        <v>3</v>
      </c>
      <c r="S1158">
        <v>2</v>
      </c>
      <c r="T1158">
        <v>4</v>
      </c>
      <c r="U1158" t="s">
        <v>23</v>
      </c>
      <c r="V1158">
        <v>1</v>
      </c>
      <c r="W1158">
        <f>COUNTIF($A$2:A1158,A1158)</f>
        <v>1</v>
      </c>
    </row>
    <row r="1159" spans="1:23" x14ac:dyDescent="0.35">
      <c r="A1159" t="s">
        <v>1452</v>
      </c>
      <c r="B1159" s="2">
        <v>44293</v>
      </c>
      <c r="D1159" t="s">
        <v>23</v>
      </c>
      <c r="E1159">
        <v>25</v>
      </c>
      <c r="F1159" t="s">
        <v>62</v>
      </c>
      <c r="G1159" t="s">
        <v>42</v>
      </c>
      <c r="H1159" t="s">
        <v>54</v>
      </c>
      <c r="I1159" t="s">
        <v>59</v>
      </c>
      <c r="J1159" t="s">
        <v>150</v>
      </c>
      <c r="K1159">
        <v>1</v>
      </c>
      <c r="L1159" t="s">
        <v>84</v>
      </c>
      <c r="M1159">
        <v>31000</v>
      </c>
      <c r="N1159">
        <v>7.6</v>
      </c>
      <c r="O1159">
        <v>5.3</v>
      </c>
      <c r="P1159">
        <v>4.7</v>
      </c>
      <c r="Q1159">
        <v>0.1</v>
      </c>
      <c r="R1159">
        <v>3</v>
      </c>
      <c r="S1159">
        <v>3</v>
      </c>
      <c r="T1159">
        <v>3</v>
      </c>
      <c r="U1159" t="s">
        <v>23</v>
      </c>
      <c r="V1159">
        <v>5</v>
      </c>
      <c r="W1159">
        <f>COUNTIF($A$2:A1159,A1159)</f>
        <v>1</v>
      </c>
    </row>
    <row r="1160" spans="1:23" x14ac:dyDescent="0.35">
      <c r="A1160" t="s">
        <v>1340</v>
      </c>
      <c r="B1160" s="2">
        <v>43147</v>
      </c>
      <c r="C1160" s="2">
        <v>45704</v>
      </c>
      <c r="D1160" t="s">
        <v>30</v>
      </c>
      <c r="E1160">
        <v>38</v>
      </c>
      <c r="F1160" t="s">
        <v>36</v>
      </c>
      <c r="G1160" t="s">
        <v>25</v>
      </c>
      <c r="H1160" t="s">
        <v>58</v>
      </c>
      <c r="I1160" t="s">
        <v>38</v>
      </c>
      <c r="J1160" t="s">
        <v>118</v>
      </c>
      <c r="K1160">
        <v>1</v>
      </c>
      <c r="L1160" t="s">
        <v>50</v>
      </c>
      <c r="M1160">
        <v>30000</v>
      </c>
      <c r="N1160">
        <v>9.3000000000000007</v>
      </c>
      <c r="O1160">
        <v>12.6</v>
      </c>
      <c r="P1160">
        <v>7</v>
      </c>
      <c r="Q1160">
        <v>5.4</v>
      </c>
      <c r="R1160">
        <v>3</v>
      </c>
      <c r="S1160">
        <v>4</v>
      </c>
      <c r="T1160">
        <v>4</v>
      </c>
      <c r="U1160" t="s">
        <v>23</v>
      </c>
      <c r="V1160">
        <v>1</v>
      </c>
      <c r="W1160">
        <f>COUNTIF($A$2:A1160,A1160)</f>
        <v>1</v>
      </c>
    </row>
    <row r="1161" spans="1:23" x14ac:dyDescent="0.35">
      <c r="A1161" t="s">
        <v>439</v>
      </c>
      <c r="B1161" s="2">
        <v>43907</v>
      </c>
      <c r="D1161" t="s">
        <v>23</v>
      </c>
      <c r="E1161">
        <v>43</v>
      </c>
      <c r="F1161" t="s">
        <v>62</v>
      </c>
      <c r="G1161" t="s">
        <v>25</v>
      </c>
      <c r="H1161" t="s">
        <v>54</v>
      </c>
      <c r="I1161" t="s">
        <v>48</v>
      </c>
      <c r="J1161" t="s">
        <v>129</v>
      </c>
      <c r="K1161">
        <v>3</v>
      </c>
      <c r="L1161" t="s">
        <v>40</v>
      </c>
      <c r="M1161">
        <v>75000</v>
      </c>
      <c r="N1161">
        <v>9.1999999999999993</v>
      </c>
      <c r="O1161">
        <v>11.9</v>
      </c>
      <c r="P1161">
        <v>5.8</v>
      </c>
      <c r="Q1161">
        <v>2.5</v>
      </c>
      <c r="R1161">
        <v>1</v>
      </c>
      <c r="S1161">
        <v>3</v>
      </c>
      <c r="T1161">
        <v>3</v>
      </c>
      <c r="U1161" t="s">
        <v>23</v>
      </c>
      <c r="V1161">
        <v>2</v>
      </c>
      <c r="W1161">
        <f>COUNTIF($A$2:A1161,A1161)</f>
        <v>1</v>
      </c>
    </row>
    <row r="1162" spans="1:23" x14ac:dyDescent="0.35">
      <c r="A1162" t="s">
        <v>1461</v>
      </c>
      <c r="B1162" s="2">
        <v>43657</v>
      </c>
      <c r="D1162" t="s">
        <v>23</v>
      </c>
      <c r="E1162">
        <v>41</v>
      </c>
      <c r="F1162" t="s">
        <v>62</v>
      </c>
      <c r="G1162" t="s">
        <v>37</v>
      </c>
      <c r="H1162" t="s">
        <v>58</v>
      </c>
      <c r="I1162" t="s">
        <v>48</v>
      </c>
      <c r="J1162" t="s">
        <v>201</v>
      </c>
      <c r="K1162">
        <v>3</v>
      </c>
      <c r="L1162" t="s">
        <v>50</v>
      </c>
      <c r="M1162">
        <v>54000</v>
      </c>
      <c r="N1162">
        <v>8.9</v>
      </c>
      <c r="O1162">
        <v>11.6</v>
      </c>
      <c r="P1162">
        <v>6.5</v>
      </c>
      <c r="Q1162">
        <v>0.7</v>
      </c>
      <c r="R1162">
        <v>3</v>
      </c>
      <c r="S1162">
        <v>3</v>
      </c>
      <c r="T1162">
        <v>3</v>
      </c>
      <c r="U1162" t="s">
        <v>23</v>
      </c>
      <c r="V1162">
        <v>4</v>
      </c>
      <c r="W1162">
        <f>COUNTIF($A$2:A1162,A1162)</f>
        <v>1</v>
      </c>
    </row>
    <row r="1163" spans="1:23" x14ac:dyDescent="0.35">
      <c r="A1163" t="s">
        <v>1080</v>
      </c>
      <c r="B1163" s="2">
        <v>44306</v>
      </c>
      <c r="D1163" t="s">
        <v>23</v>
      </c>
      <c r="E1163">
        <v>30</v>
      </c>
      <c r="F1163" t="s">
        <v>62</v>
      </c>
      <c r="G1163" t="s">
        <v>42</v>
      </c>
      <c r="H1163" t="s">
        <v>54</v>
      </c>
      <c r="I1163" t="s">
        <v>68</v>
      </c>
      <c r="J1163" t="s">
        <v>121</v>
      </c>
      <c r="K1163">
        <v>2</v>
      </c>
      <c r="L1163" t="s">
        <v>29</v>
      </c>
      <c r="M1163">
        <v>68000</v>
      </c>
      <c r="N1163">
        <v>5.5</v>
      </c>
      <c r="O1163">
        <v>10.199999999999999</v>
      </c>
      <c r="P1163">
        <v>4.7</v>
      </c>
      <c r="Q1163">
        <v>1.1000000000000001</v>
      </c>
      <c r="R1163">
        <v>3</v>
      </c>
      <c r="S1163">
        <v>1</v>
      </c>
      <c r="T1163">
        <v>2</v>
      </c>
      <c r="U1163" t="s">
        <v>30</v>
      </c>
      <c r="V1163">
        <v>3</v>
      </c>
      <c r="W1163">
        <f>COUNTIF($A$2:A1163,A1163)</f>
        <v>1</v>
      </c>
    </row>
    <row r="1164" spans="1:23" x14ac:dyDescent="0.35">
      <c r="A1164" t="s">
        <v>631</v>
      </c>
      <c r="B1164" s="2">
        <v>44619</v>
      </c>
      <c r="D1164" t="s">
        <v>23</v>
      </c>
      <c r="E1164">
        <v>35</v>
      </c>
      <c r="F1164" t="s">
        <v>36</v>
      </c>
      <c r="G1164" t="s">
        <v>42</v>
      </c>
      <c r="H1164" t="s">
        <v>58</v>
      </c>
      <c r="I1164" t="s">
        <v>27</v>
      </c>
      <c r="J1164" t="s">
        <v>95</v>
      </c>
      <c r="K1164">
        <v>2</v>
      </c>
      <c r="L1164" t="s">
        <v>50</v>
      </c>
      <c r="M1164">
        <v>62000</v>
      </c>
      <c r="N1164">
        <v>6.3</v>
      </c>
      <c r="O1164">
        <v>11.7</v>
      </c>
      <c r="P1164">
        <v>3.8</v>
      </c>
      <c r="Q1164">
        <v>2.2000000000000002</v>
      </c>
      <c r="R1164">
        <v>4</v>
      </c>
      <c r="S1164">
        <v>4</v>
      </c>
      <c r="T1164">
        <v>4</v>
      </c>
      <c r="U1164" t="s">
        <v>30</v>
      </c>
      <c r="V1164">
        <v>4</v>
      </c>
      <c r="W1164">
        <f>COUNTIF($A$2:A1164,A1164)</f>
        <v>1</v>
      </c>
    </row>
    <row r="1165" spans="1:23" x14ac:dyDescent="0.35">
      <c r="A1165" t="s">
        <v>1413</v>
      </c>
      <c r="B1165" s="2">
        <v>42896</v>
      </c>
      <c r="D1165" t="s">
        <v>23</v>
      </c>
      <c r="E1165">
        <v>41</v>
      </c>
      <c r="F1165" t="s">
        <v>62</v>
      </c>
      <c r="G1165" t="s">
        <v>37</v>
      </c>
      <c r="H1165" t="s">
        <v>58</v>
      </c>
      <c r="I1165" t="s">
        <v>48</v>
      </c>
      <c r="J1165" t="s">
        <v>201</v>
      </c>
      <c r="K1165">
        <v>3</v>
      </c>
      <c r="L1165" t="s">
        <v>50</v>
      </c>
      <c r="M1165">
        <v>84000</v>
      </c>
      <c r="N1165">
        <v>2.8</v>
      </c>
      <c r="O1165">
        <v>13.4</v>
      </c>
      <c r="P1165">
        <v>8.6</v>
      </c>
      <c r="Q1165">
        <v>4.7</v>
      </c>
      <c r="R1165">
        <v>2</v>
      </c>
      <c r="S1165">
        <v>2</v>
      </c>
      <c r="T1165">
        <v>3</v>
      </c>
      <c r="U1165" t="s">
        <v>23</v>
      </c>
      <c r="V1165">
        <v>4</v>
      </c>
      <c r="W1165">
        <f>COUNTIF($A$2:A1165,A1165)</f>
        <v>1</v>
      </c>
    </row>
    <row r="1166" spans="1:23" x14ac:dyDescent="0.35">
      <c r="A1166" t="s">
        <v>508</v>
      </c>
      <c r="B1166" s="2">
        <v>44051</v>
      </c>
      <c r="D1166" t="s">
        <v>23</v>
      </c>
      <c r="E1166">
        <v>36</v>
      </c>
      <c r="F1166" t="s">
        <v>36</v>
      </c>
      <c r="G1166" t="s">
        <v>25</v>
      </c>
      <c r="H1166" t="s">
        <v>58</v>
      </c>
      <c r="I1166" t="s">
        <v>27</v>
      </c>
      <c r="J1166" t="s">
        <v>33</v>
      </c>
      <c r="K1166">
        <v>4</v>
      </c>
      <c r="L1166" t="s">
        <v>84</v>
      </c>
      <c r="M1166">
        <v>113000</v>
      </c>
      <c r="N1166">
        <v>6.3</v>
      </c>
      <c r="O1166">
        <v>8.1</v>
      </c>
      <c r="P1166">
        <v>5.4</v>
      </c>
      <c r="Q1166">
        <v>3.2</v>
      </c>
      <c r="R1166">
        <v>2</v>
      </c>
      <c r="S1166">
        <v>3</v>
      </c>
      <c r="T1166">
        <v>4</v>
      </c>
      <c r="U1166" t="s">
        <v>30</v>
      </c>
      <c r="V1166">
        <v>5</v>
      </c>
      <c r="W1166">
        <f>COUNTIF($A$2:A1166,A1166)</f>
        <v>1</v>
      </c>
    </row>
    <row r="1167" spans="1:23" x14ac:dyDescent="0.35">
      <c r="A1167" t="s">
        <v>484</v>
      </c>
      <c r="B1167" s="2">
        <v>44432</v>
      </c>
      <c r="D1167" t="s">
        <v>23</v>
      </c>
      <c r="E1167">
        <v>37</v>
      </c>
      <c r="F1167" t="s">
        <v>36</v>
      </c>
      <c r="G1167" t="s">
        <v>42</v>
      </c>
      <c r="H1167" t="s">
        <v>26</v>
      </c>
      <c r="I1167" t="s">
        <v>55</v>
      </c>
      <c r="J1167" t="s">
        <v>56</v>
      </c>
      <c r="K1167">
        <v>4</v>
      </c>
      <c r="L1167" t="s">
        <v>29</v>
      </c>
      <c r="M1167">
        <v>118000</v>
      </c>
      <c r="N1167">
        <v>0.9</v>
      </c>
      <c r="O1167">
        <v>6.9</v>
      </c>
      <c r="P1167">
        <v>4.4000000000000004</v>
      </c>
      <c r="Q1167">
        <v>3.4</v>
      </c>
      <c r="R1167">
        <v>3</v>
      </c>
      <c r="S1167">
        <v>2</v>
      </c>
      <c r="T1167">
        <v>4</v>
      </c>
      <c r="U1167" t="s">
        <v>23</v>
      </c>
      <c r="V1167">
        <v>2</v>
      </c>
      <c r="W1167">
        <f>COUNTIF($A$2:A1167,A1167)</f>
        <v>1</v>
      </c>
    </row>
    <row r="1168" spans="1:23" x14ac:dyDescent="0.35">
      <c r="A1168" t="s">
        <v>375</v>
      </c>
      <c r="B1168" s="2">
        <v>45700</v>
      </c>
      <c r="D1168" t="s">
        <v>23</v>
      </c>
      <c r="E1168">
        <v>39</v>
      </c>
      <c r="F1168" t="s">
        <v>36</v>
      </c>
      <c r="G1168" t="s">
        <v>42</v>
      </c>
      <c r="H1168" t="s">
        <v>32</v>
      </c>
      <c r="I1168" t="s">
        <v>27</v>
      </c>
      <c r="J1168" t="s">
        <v>43</v>
      </c>
      <c r="K1168">
        <v>4</v>
      </c>
      <c r="L1168" t="s">
        <v>66</v>
      </c>
      <c r="M1168">
        <v>107000</v>
      </c>
      <c r="N1168">
        <v>8.1</v>
      </c>
      <c r="O1168">
        <v>3.6</v>
      </c>
      <c r="P1168">
        <v>0.9</v>
      </c>
      <c r="Q1168">
        <v>0</v>
      </c>
      <c r="R1168">
        <v>2</v>
      </c>
      <c r="S1168">
        <v>1</v>
      </c>
      <c r="T1168">
        <v>2</v>
      </c>
      <c r="U1168" t="s">
        <v>23</v>
      </c>
      <c r="V1168">
        <v>4</v>
      </c>
      <c r="W1168">
        <f>COUNTIF($A$2:A1168,A1168)</f>
        <v>1</v>
      </c>
    </row>
    <row r="1169" spans="1:23" x14ac:dyDescent="0.35">
      <c r="A1169" t="s">
        <v>719</v>
      </c>
      <c r="B1169" s="2">
        <v>42129</v>
      </c>
      <c r="D1169" t="s">
        <v>23</v>
      </c>
      <c r="E1169">
        <v>37</v>
      </c>
      <c r="F1169" t="s">
        <v>36</v>
      </c>
      <c r="G1169" t="s">
        <v>37</v>
      </c>
      <c r="H1169" t="s">
        <v>26</v>
      </c>
      <c r="I1169" t="s">
        <v>55</v>
      </c>
      <c r="J1169" t="s">
        <v>88</v>
      </c>
      <c r="K1169">
        <v>4</v>
      </c>
      <c r="L1169" t="s">
        <v>40</v>
      </c>
      <c r="M1169">
        <v>143000</v>
      </c>
      <c r="N1169">
        <v>3.4</v>
      </c>
      <c r="O1169">
        <v>15.9</v>
      </c>
      <c r="P1169">
        <v>10.7</v>
      </c>
      <c r="Q1169">
        <v>5.5</v>
      </c>
      <c r="R1169">
        <v>1</v>
      </c>
      <c r="S1169">
        <v>3</v>
      </c>
      <c r="T1169">
        <v>2</v>
      </c>
      <c r="U1169" t="s">
        <v>30</v>
      </c>
      <c r="V1169">
        <v>3</v>
      </c>
      <c r="W1169">
        <f>COUNTIF($A$2:A1169,A1169)</f>
        <v>1</v>
      </c>
    </row>
    <row r="1170" spans="1:23" x14ac:dyDescent="0.35">
      <c r="A1170" t="s">
        <v>743</v>
      </c>
      <c r="B1170" s="2">
        <v>45671</v>
      </c>
      <c r="D1170" t="s">
        <v>23</v>
      </c>
      <c r="E1170">
        <v>22</v>
      </c>
      <c r="F1170" t="s">
        <v>62</v>
      </c>
      <c r="G1170" t="s">
        <v>37</v>
      </c>
      <c r="H1170" t="s">
        <v>26</v>
      </c>
      <c r="I1170" t="s">
        <v>48</v>
      </c>
      <c r="J1170" t="s">
        <v>63</v>
      </c>
      <c r="K1170">
        <v>1</v>
      </c>
      <c r="L1170" t="s">
        <v>50</v>
      </c>
      <c r="M1170">
        <v>33000</v>
      </c>
      <c r="N1170">
        <v>8</v>
      </c>
      <c r="O1170">
        <v>3.9</v>
      </c>
      <c r="P1170">
        <v>1</v>
      </c>
      <c r="Q1170">
        <v>0.5</v>
      </c>
      <c r="R1170">
        <v>4</v>
      </c>
      <c r="S1170">
        <v>1</v>
      </c>
      <c r="T1170">
        <v>3</v>
      </c>
      <c r="U1170" t="s">
        <v>23</v>
      </c>
      <c r="V1170">
        <v>4</v>
      </c>
      <c r="W1170">
        <f>COUNTIF($A$2:A1170,A1170)</f>
        <v>1</v>
      </c>
    </row>
    <row r="1171" spans="1:23" x14ac:dyDescent="0.35">
      <c r="A1171" t="s">
        <v>1453</v>
      </c>
      <c r="B1171" s="2">
        <v>43304</v>
      </c>
      <c r="C1171" s="2">
        <v>45994</v>
      </c>
      <c r="D1171" t="s">
        <v>30</v>
      </c>
      <c r="E1171">
        <v>33</v>
      </c>
      <c r="F1171" t="s">
        <v>24</v>
      </c>
      <c r="G1171" t="s">
        <v>42</v>
      </c>
      <c r="H1171" t="s">
        <v>26</v>
      </c>
      <c r="I1171" t="s">
        <v>27</v>
      </c>
      <c r="J1171" t="s">
        <v>28</v>
      </c>
      <c r="K1171">
        <v>5</v>
      </c>
      <c r="L1171" t="s">
        <v>66</v>
      </c>
      <c r="M1171">
        <v>153000</v>
      </c>
      <c r="N1171">
        <v>11.8</v>
      </c>
      <c r="O1171">
        <v>8.1</v>
      </c>
      <c r="P1171">
        <v>7.4</v>
      </c>
      <c r="Q1171">
        <v>1.1000000000000001</v>
      </c>
      <c r="R1171">
        <v>4</v>
      </c>
      <c r="S1171">
        <v>2</v>
      </c>
      <c r="T1171">
        <v>4</v>
      </c>
      <c r="U1171" t="s">
        <v>23</v>
      </c>
      <c r="V1171">
        <v>4</v>
      </c>
      <c r="W1171">
        <f>COUNTIF($A$2:A1171,A1171)</f>
        <v>1</v>
      </c>
    </row>
    <row r="1172" spans="1:23" x14ac:dyDescent="0.35">
      <c r="A1172" t="s">
        <v>412</v>
      </c>
      <c r="B1172" s="2">
        <v>44106</v>
      </c>
      <c r="D1172" t="s">
        <v>23</v>
      </c>
      <c r="E1172">
        <v>31</v>
      </c>
      <c r="F1172" t="s">
        <v>62</v>
      </c>
      <c r="G1172" t="s">
        <v>25</v>
      </c>
      <c r="H1172" t="s">
        <v>58</v>
      </c>
      <c r="I1172" t="s">
        <v>55</v>
      </c>
      <c r="J1172" t="s">
        <v>179</v>
      </c>
      <c r="K1172">
        <v>1</v>
      </c>
      <c r="L1172" t="s">
        <v>66</v>
      </c>
      <c r="M1172">
        <v>31000</v>
      </c>
      <c r="N1172">
        <v>10</v>
      </c>
      <c r="O1172">
        <v>5.3</v>
      </c>
      <c r="P1172">
        <v>5.2</v>
      </c>
      <c r="Q1172">
        <v>2.5</v>
      </c>
      <c r="R1172">
        <v>3</v>
      </c>
      <c r="S1172">
        <v>4</v>
      </c>
      <c r="T1172">
        <v>4</v>
      </c>
      <c r="U1172" t="s">
        <v>23</v>
      </c>
      <c r="V1172">
        <v>4</v>
      </c>
      <c r="W1172">
        <f>COUNTIF($A$2:A1172,A1172)</f>
        <v>1</v>
      </c>
    </row>
    <row r="1173" spans="1:23" x14ac:dyDescent="0.35">
      <c r="A1173" t="s">
        <v>244</v>
      </c>
      <c r="B1173" s="2">
        <v>44943</v>
      </c>
      <c r="D1173" t="s">
        <v>23</v>
      </c>
      <c r="E1173">
        <v>43</v>
      </c>
      <c r="F1173" t="s">
        <v>62</v>
      </c>
      <c r="G1173" t="s">
        <v>42</v>
      </c>
      <c r="H1173" t="s">
        <v>58</v>
      </c>
      <c r="I1173" t="s">
        <v>45</v>
      </c>
      <c r="J1173" t="s">
        <v>77</v>
      </c>
      <c r="K1173">
        <v>3</v>
      </c>
      <c r="L1173" t="s">
        <v>34</v>
      </c>
      <c r="M1173">
        <v>69000</v>
      </c>
      <c r="N1173">
        <v>6.7</v>
      </c>
      <c r="O1173">
        <v>6.3</v>
      </c>
      <c r="P1173">
        <v>3</v>
      </c>
      <c r="Q1173">
        <v>1.7</v>
      </c>
      <c r="R1173">
        <v>4</v>
      </c>
      <c r="S1173">
        <v>2</v>
      </c>
      <c r="T1173">
        <v>4</v>
      </c>
      <c r="U1173" t="s">
        <v>23</v>
      </c>
      <c r="V1173">
        <v>3</v>
      </c>
      <c r="W1173">
        <f>COUNTIF($A$2:A1173,A1173)</f>
        <v>1</v>
      </c>
    </row>
    <row r="1174" spans="1:23" x14ac:dyDescent="0.35">
      <c r="A1174" t="s">
        <v>707</v>
      </c>
      <c r="B1174" s="2">
        <v>42782</v>
      </c>
      <c r="D1174" t="s">
        <v>23</v>
      </c>
      <c r="E1174">
        <v>38</v>
      </c>
      <c r="F1174" t="s">
        <v>62</v>
      </c>
      <c r="G1174" t="s">
        <v>37</v>
      </c>
      <c r="H1174" t="s">
        <v>26</v>
      </c>
      <c r="I1174" t="s">
        <v>59</v>
      </c>
      <c r="J1174" t="s">
        <v>75</v>
      </c>
      <c r="K1174">
        <v>2</v>
      </c>
      <c r="L1174" t="s">
        <v>84</v>
      </c>
      <c r="M1174">
        <v>50000</v>
      </c>
      <c r="N1174">
        <v>6.4</v>
      </c>
      <c r="O1174">
        <v>10</v>
      </c>
      <c r="P1174">
        <v>8.9</v>
      </c>
      <c r="Q1174">
        <v>2.8</v>
      </c>
      <c r="R1174">
        <v>4</v>
      </c>
      <c r="S1174">
        <v>4</v>
      </c>
      <c r="T1174">
        <v>4</v>
      </c>
      <c r="U1174" t="s">
        <v>23</v>
      </c>
      <c r="V1174">
        <v>2</v>
      </c>
      <c r="W1174">
        <f>COUNTIF($A$2:A1174,A1174)</f>
        <v>1</v>
      </c>
    </row>
    <row r="1175" spans="1:23" x14ac:dyDescent="0.35">
      <c r="A1175" t="s">
        <v>124</v>
      </c>
      <c r="B1175" s="2">
        <v>45537</v>
      </c>
      <c r="D1175" t="s">
        <v>23</v>
      </c>
      <c r="E1175">
        <v>27</v>
      </c>
      <c r="F1175" t="s">
        <v>62</v>
      </c>
      <c r="G1175" t="s">
        <v>42</v>
      </c>
      <c r="H1175" t="s">
        <v>54</v>
      </c>
      <c r="I1175" t="s">
        <v>68</v>
      </c>
      <c r="J1175" t="s">
        <v>102</v>
      </c>
      <c r="K1175">
        <v>1</v>
      </c>
      <c r="L1175" t="s">
        <v>84</v>
      </c>
      <c r="M1175">
        <v>34000</v>
      </c>
      <c r="N1175">
        <v>11.6</v>
      </c>
      <c r="O1175">
        <v>6.8</v>
      </c>
      <c r="P1175">
        <v>1.3</v>
      </c>
      <c r="Q1175">
        <v>0.1</v>
      </c>
      <c r="R1175">
        <v>3</v>
      </c>
      <c r="S1175">
        <v>4</v>
      </c>
      <c r="T1175">
        <v>2</v>
      </c>
      <c r="U1175" t="s">
        <v>23</v>
      </c>
      <c r="V1175">
        <v>5</v>
      </c>
      <c r="W1175">
        <f>COUNTIF($A$2:A1175,A1175)</f>
        <v>1</v>
      </c>
    </row>
    <row r="1176" spans="1:23" x14ac:dyDescent="0.35">
      <c r="A1176" t="s">
        <v>115</v>
      </c>
      <c r="B1176" s="2">
        <v>41988</v>
      </c>
      <c r="D1176" t="s">
        <v>23</v>
      </c>
      <c r="E1176">
        <v>36</v>
      </c>
      <c r="F1176" t="s">
        <v>24</v>
      </c>
      <c r="G1176" t="s">
        <v>25</v>
      </c>
      <c r="H1176" t="s">
        <v>58</v>
      </c>
      <c r="I1176" t="s">
        <v>27</v>
      </c>
      <c r="J1176" t="s">
        <v>95</v>
      </c>
      <c r="K1176">
        <v>2</v>
      </c>
      <c r="L1176" t="s">
        <v>84</v>
      </c>
      <c r="M1176">
        <v>41000</v>
      </c>
      <c r="N1176">
        <v>12.3</v>
      </c>
      <c r="O1176">
        <v>18.899999999999999</v>
      </c>
      <c r="P1176">
        <v>11</v>
      </c>
      <c r="Q1176">
        <v>2.6</v>
      </c>
      <c r="R1176">
        <v>1</v>
      </c>
      <c r="S1176">
        <v>4</v>
      </c>
      <c r="T1176">
        <v>3</v>
      </c>
      <c r="U1176" t="s">
        <v>23</v>
      </c>
      <c r="V1176">
        <v>4</v>
      </c>
      <c r="W1176">
        <f>COUNTIF($A$2:A1176,A1176)</f>
        <v>1</v>
      </c>
    </row>
    <row r="1177" spans="1:23" x14ac:dyDescent="0.35">
      <c r="A1177" t="s">
        <v>1109</v>
      </c>
      <c r="B1177" s="2">
        <v>41778</v>
      </c>
      <c r="D1177" t="s">
        <v>23</v>
      </c>
      <c r="E1177">
        <v>38</v>
      </c>
      <c r="F1177" t="s">
        <v>24</v>
      </c>
      <c r="G1177" t="s">
        <v>42</v>
      </c>
      <c r="H1177" t="s">
        <v>58</v>
      </c>
      <c r="I1177" t="s">
        <v>27</v>
      </c>
      <c r="J1177" t="s">
        <v>95</v>
      </c>
      <c r="K1177">
        <v>3</v>
      </c>
      <c r="L1177" t="s">
        <v>50</v>
      </c>
      <c r="M1177">
        <v>84000</v>
      </c>
      <c r="N1177">
        <v>12.4</v>
      </c>
      <c r="O1177">
        <v>18</v>
      </c>
      <c r="P1177">
        <v>11.6</v>
      </c>
      <c r="Q1177">
        <v>3.8</v>
      </c>
      <c r="R1177">
        <v>2</v>
      </c>
      <c r="S1177">
        <v>4</v>
      </c>
      <c r="T1177">
        <v>3</v>
      </c>
      <c r="U1177" t="s">
        <v>23</v>
      </c>
      <c r="V1177">
        <v>2</v>
      </c>
      <c r="W1177">
        <f>COUNTIF($A$2:A1177,A1177)</f>
        <v>1</v>
      </c>
    </row>
    <row r="1178" spans="1:23" x14ac:dyDescent="0.35">
      <c r="A1178" t="s">
        <v>963</v>
      </c>
      <c r="B1178" s="2">
        <v>43159</v>
      </c>
      <c r="D1178" t="s">
        <v>23</v>
      </c>
      <c r="E1178">
        <v>31</v>
      </c>
      <c r="F1178" t="s">
        <v>24</v>
      </c>
      <c r="G1178" t="s">
        <v>25</v>
      </c>
      <c r="H1178" t="s">
        <v>26</v>
      </c>
      <c r="I1178" t="s">
        <v>48</v>
      </c>
      <c r="J1178" t="s">
        <v>201</v>
      </c>
      <c r="K1178">
        <v>4</v>
      </c>
      <c r="L1178" t="s">
        <v>66</v>
      </c>
      <c r="M1178">
        <v>110000</v>
      </c>
      <c r="N1178">
        <v>14.9</v>
      </c>
      <c r="O1178">
        <v>8.5</v>
      </c>
      <c r="P1178">
        <v>7.8</v>
      </c>
      <c r="Q1178">
        <v>5.8</v>
      </c>
      <c r="R1178">
        <v>3</v>
      </c>
      <c r="S1178">
        <v>2</v>
      </c>
      <c r="T1178">
        <v>3</v>
      </c>
      <c r="U1178" t="s">
        <v>23</v>
      </c>
      <c r="V1178">
        <v>4</v>
      </c>
      <c r="W1178">
        <f>COUNTIF($A$2:A1178,A1178)</f>
        <v>1</v>
      </c>
    </row>
    <row r="1179" spans="1:23" x14ac:dyDescent="0.35">
      <c r="A1179" t="s">
        <v>1281</v>
      </c>
      <c r="B1179" s="2">
        <v>45690</v>
      </c>
      <c r="D1179" t="s">
        <v>23</v>
      </c>
      <c r="E1179">
        <v>26</v>
      </c>
      <c r="F1179" t="s">
        <v>24</v>
      </c>
      <c r="G1179" t="s">
        <v>42</v>
      </c>
      <c r="H1179" t="s">
        <v>54</v>
      </c>
      <c r="I1179" t="s">
        <v>68</v>
      </c>
      <c r="J1179" t="s">
        <v>69</v>
      </c>
      <c r="K1179">
        <v>1</v>
      </c>
      <c r="L1179" t="s">
        <v>50</v>
      </c>
      <c r="M1179">
        <v>40000</v>
      </c>
      <c r="N1179">
        <v>5.8</v>
      </c>
      <c r="O1179">
        <v>6.2</v>
      </c>
      <c r="P1179">
        <v>0.9</v>
      </c>
      <c r="Q1179">
        <v>0</v>
      </c>
      <c r="R1179">
        <v>3</v>
      </c>
      <c r="S1179">
        <v>4</v>
      </c>
      <c r="T1179">
        <v>2</v>
      </c>
      <c r="U1179" t="s">
        <v>23</v>
      </c>
      <c r="V1179">
        <v>2</v>
      </c>
      <c r="W1179">
        <f>COUNTIF($A$2:A1179,A1179)</f>
        <v>1</v>
      </c>
    </row>
    <row r="1180" spans="1:23" x14ac:dyDescent="0.35">
      <c r="A1180" t="s">
        <v>556</v>
      </c>
      <c r="B1180" s="2">
        <v>45773</v>
      </c>
      <c r="D1180" t="s">
        <v>23</v>
      </c>
      <c r="E1180">
        <v>23</v>
      </c>
      <c r="F1180" t="s">
        <v>62</v>
      </c>
      <c r="G1180" t="s">
        <v>42</v>
      </c>
      <c r="H1180" t="s">
        <v>32</v>
      </c>
      <c r="I1180" t="s">
        <v>27</v>
      </c>
      <c r="J1180" t="s">
        <v>43</v>
      </c>
      <c r="K1180">
        <v>1</v>
      </c>
      <c r="L1180" t="s">
        <v>84</v>
      </c>
      <c r="M1180">
        <v>28000</v>
      </c>
      <c r="N1180">
        <v>8.6999999999999993</v>
      </c>
      <c r="O1180">
        <v>3.8</v>
      </c>
      <c r="P1180">
        <v>0.7</v>
      </c>
      <c r="Q1180">
        <v>0</v>
      </c>
      <c r="R1180">
        <v>3</v>
      </c>
      <c r="S1180">
        <v>2</v>
      </c>
      <c r="T1180">
        <v>3</v>
      </c>
      <c r="U1180" t="s">
        <v>23</v>
      </c>
      <c r="V1180">
        <v>3</v>
      </c>
      <c r="W1180">
        <f>COUNTIF($A$2:A1180,A1180)</f>
        <v>1</v>
      </c>
    </row>
    <row r="1181" spans="1:23" x14ac:dyDescent="0.35">
      <c r="A1181" t="s">
        <v>1441</v>
      </c>
      <c r="B1181" s="2">
        <v>45558</v>
      </c>
      <c r="C1181" s="2">
        <v>45727</v>
      </c>
      <c r="D1181" t="s">
        <v>30</v>
      </c>
      <c r="E1181">
        <v>40</v>
      </c>
      <c r="F1181" t="s">
        <v>24</v>
      </c>
      <c r="G1181" t="s">
        <v>37</v>
      </c>
      <c r="H1181" t="s">
        <v>32</v>
      </c>
      <c r="I1181" t="s">
        <v>59</v>
      </c>
      <c r="J1181" t="s">
        <v>150</v>
      </c>
      <c r="K1181">
        <v>3</v>
      </c>
      <c r="L1181" t="s">
        <v>34</v>
      </c>
      <c r="M1181">
        <v>80000</v>
      </c>
      <c r="N1181">
        <v>8.1999999999999993</v>
      </c>
      <c r="O1181">
        <v>1.9</v>
      </c>
      <c r="P1181">
        <v>0.5</v>
      </c>
      <c r="Q1181">
        <v>0</v>
      </c>
      <c r="R1181">
        <v>1</v>
      </c>
      <c r="S1181">
        <v>4</v>
      </c>
      <c r="T1181">
        <v>4</v>
      </c>
      <c r="U1181" t="s">
        <v>30</v>
      </c>
      <c r="V1181">
        <v>3</v>
      </c>
      <c r="W1181">
        <f>COUNTIF($A$2:A1181,A1181)</f>
        <v>1</v>
      </c>
    </row>
    <row r="1182" spans="1:23" x14ac:dyDescent="0.35">
      <c r="A1182" t="s">
        <v>1152</v>
      </c>
      <c r="B1182" s="2">
        <v>45439</v>
      </c>
      <c r="C1182" s="2">
        <v>45835</v>
      </c>
      <c r="D1182" t="s">
        <v>30</v>
      </c>
      <c r="E1182">
        <v>37</v>
      </c>
      <c r="F1182" t="s">
        <v>62</v>
      </c>
      <c r="G1182" t="s">
        <v>42</v>
      </c>
      <c r="H1182" t="s">
        <v>26</v>
      </c>
      <c r="I1182" t="s">
        <v>59</v>
      </c>
      <c r="J1182" t="s">
        <v>75</v>
      </c>
      <c r="K1182">
        <v>1</v>
      </c>
      <c r="L1182" t="s">
        <v>34</v>
      </c>
      <c r="M1182">
        <v>44000</v>
      </c>
      <c r="N1182">
        <v>9.5</v>
      </c>
      <c r="O1182">
        <v>8.8000000000000007</v>
      </c>
      <c r="P1182">
        <v>1.1000000000000001</v>
      </c>
      <c r="Q1182">
        <v>0.7</v>
      </c>
      <c r="R1182">
        <v>3</v>
      </c>
      <c r="S1182">
        <v>3</v>
      </c>
      <c r="T1182">
        <v>2</v>
      </c>
      <c r="U1182" t="s">
        <v>30</v>
      </c>
      <c r="V1182">
        <v>4</v>
      </c>
      <c r="W1182">
        <f>COUNTIF($A$2:A1182,A1182)</f>
        <v>1</v>
      </c>
    </row>
    <row r="1183" spans="1:23" x14ac:dyDescent="0.35">
      <c r="A1183" t="s">
        <v>1408</v>
      </c>
      <c r="B1183" s="2">
        <v>43923</v>
      </c>
      <c r="D1183" t="s">
        <v>23</v>
      </c>
      <c r="E1183">
        <v>26</v>
      </c>
      <c r="F1183" t="s">
        <v>62</v>
      </c>
      <c r="G1183" t="s">
        <v>25</v>
      </c>
      <c r="H1183" t="s">
        <v>58</v>
      </c>
      <c r="I1183" t="s">
        <v>68</v>
      </c>
      <c r="J1183" t="s">
        <v>102</v>
      </c>
      <c r="K1183">
        <v>1</v>
      </c>
      <c r="L1183" t="s">
        <v>29</v>
      </c>
      <c r="M1183">
        <v>22000</v>
      </c>
      <c r="N1183">
        <v>11.7</v>
      </c>
      <c r="O1183">
        <v>12.5</v>
      </c>
      <c r="P1183">
        <v>5.7</v>
      </c>
      <c r="Q1183">
        <v>2.6</v>
      </c>
      <c r="R1183">
        <v>4</v>
      </c>
      <c r="S1183">
        <v>3</v>
      </c>
      <c r="T1183">
        <v>4</v>
      </c>
      <c r="U1183" t="s">
        <v>23</v>
      </c>
      <c r="V1183">
        <v>4</v>
      </c>
      <c r="W1183">
        <f>COUNTIF($A$2:A1183,A1183)</f>
        <v>1</v>
      </c>
    </row>
    <row r="1184" spans="1:23" x14ac:dyDescent="0.35">
      <c r="A1184" t="s">
        <v>1250</v>
      </c>
      <c r="B1184" s="2">
        <v>42369</v>
      </c>
      <c r="D1184" t="s">
        <v>23</v>
      </c>
      <c r="E1184">
        <v>37</v>
      </c>
      <c r="F1184" t="s">
        <v>62</v>
      </c>
      <c r="G1184" t="s">
        <v>37</v>
      </c>
      <c r="H1184" t="s">
        <v>26</v>
      </c>
      <c r="I1184" t="s">
        <v>38</v>
      </c>
      <c r="J1184" t="s">
        <v>139</v>
      </c>
      <c r="K1184">
        <v>3</v>
      </c>
      <c r="L1184" t="s">
        <v>84</v>
      </c>
      <c r="M1184">
        <v>85000</v>
      </c>
      <c r="N1184">
        <v>14.6</v>
      </c>
      <c r="O1184">
        <v>15.4</v>
      </c>
      <c r="P1184">
        <v>10</v>
      </c>
      <c r="Q1184">
        <v>1.3</v>
      </c>
      <c r="R1184">
        <v>4</v>
      </c>
      <c r="S1184">
        <v>3</v>
      </c>
      <c r="T1184">
        <v>3</v>
      </c>
      <c r="U1184" t="s">
        <v>30</v>
      </c>
      <c r="V1184">
        <v>3</v>
      </c>
      <c r="W1184">
        <f>COUNTIF($A$2:A1184,A1184)</f>
        <v>1</v>
      </c>
    </row>
    <row r="1185" spans="1:23" x14ac:dyDescent="0.35">
      <c r="A1185" t="s">
        <v>692</v>
      </c>
      <c r="B1185" s="2">
        <v>42160</v>
      </c>
      <c r="D1185" t="s">
        <v>23</v>
      </c>
      <c r="E1185">
        <v>40</v>
      </c>
      <c r="F1185" t="s">
        <v>24</v>
      </c>
      <c r="G1185" t="s">
        <v>25</v>
      </c>
      <c r="H1185" t="s">
        <v>58</v>
      </c>
      <c r="I1185" t="s">
        <v>68</v>
      </c>
      <c r="J1185" t="s">
        <v>109</v>
      </c>
      <c r="K1185">
        <v>4</v>
      </c>
      <c r="L1185" t="s">
        <v>66</v>
      </c>
      <c r="M1185">
        <v>110000</v>
      </c>
      <c r="N1185">
        <v>6.6</v>
      </c>
      <c r="O1185">
        <v>16.7</v>
      </c>
      <c r="P1185">
        <v>10.6</v>
      </c>
      <c r="Q1185">
        <v>0.4</v>
      </c>
      <c r="R1185">
        <v>3</v>
      </c>
      <c r="S1185">
        <v>3</v>
      </c>
      <c r="T1185">
        <v>3</v>
      </c>
      <c r="U1185" t="s">
        <v>23</v>
      </c>
      <c r="V1185">
        <v>5</v>
      </c>
      <c r="W1185">
        <f>COUNTIF($A$2:A1185,A1185)</f>
        <v>1</v>
      </c>
    </row>
    <row r="1186" spans="1:23" x14ac:dyDescent="0.35">
      <c r="A1186" t="s">
        <v>605</v>
      </c>
      <c r="B1186" s="2">
        <v>44378</v>
      </c>
      <c r="D1186" t="s">
        <v>23</v>
      </c>
      <c r="E1186">
        <v>36</v>
      </c>
      <c r="F1186" t="s">
        <v>36</v>
      </c>
      <c r="G1186" t="s">
        <v>25</v>
      </c>
      <c r="H1186" t="s">
        <v>26</v>
      </c>
      <c r="I1186" t="s">
        <v>27</v>
      </c>
      <c r="J1186" t="s">
        <v>95</v>
      </c>
      <c r="K1186">
        <v>5</v>
      </c>
      <c r="L1186" t="s">
        <v>29</v>
      </c>
      <c r="M1186">
        <v>150000</v>
      </c>
      <c r="N1186">
        <v>9.3000000000000007</v>
      </c>
      <c r="O1186">
        <v>9</v>
      </c>
      <c r="P1186">
        <v>4.5</v>
      </c>
      <c r="Q1186">
        <v>0.7</v>
      </c>
      <c r="R1186">
        <v>2</v>
      </c>
      <c r="S1186">
        <v>3</v>
      </c>
      <c r="T1186">
        <v>2</v>
      </c>
      <c r="U1186" t="s">
        <v>23</v>
      </c>
      <c r="V1186">
        <v>2</v>
      </c>
      <c r="W1186">
        <f>COUNTIF($A$2:A1186,A1186)</f>
        <v>1</v>
      </c>
    </row>
    <row r="1187" spans="1:23" x14ac:dyDescent="0.35">
      <c r="A1187" t="s">
        <v>1035</v>
      </c>
      <c r="B1187" s="2">
        <v>41883</v>
      </c>
      <c r="C1187" s="2">
        <v>45856</v>
      </c>
      <c r="D1187" t="s">
        <v>30</v>
      </c>
      <c r="E1187">
        <v>50</v>
      </c>
      <c r="F1187" t="s">
        <v>36</v>
      </c>
      <c r="G1187" t="s">
        <v>25</v>
      </c>
      <c r="H1187" t="s">
        <v>58</v>
      </c>
      <c r="I1187" t="s">
        <v>38</v>
      </c>
      <c r="J1187" t="s">
        <v>52</v>
      </c>
      <c r="K1187">
        <v>3</v>
      </c>
      <c r="L1187" t="s">
        <v>29</v>
      </c>
      <c r="M1187">
        <v>97000</v>
      </c>
      <c r="N1187">
        <v>11.9</v>
      </c>
      <c r="O1187">
        <v>16.600000000000001</v>
      </c>
      <c r="P1187">
        <v>10.9</v>
      </c>
      <c r="Q1187">
        <v>2.9</v>
      </c>
      <c r="R1187">
        <v>3</v>
      </c>
      <c r="S1187">
        <v>1</v>
      </c>
      <c r="T1187">
        <v>3</v>
      </c>
      <c r="U1187" t="s">
        <v>23</v>
      </c>
      <c r="V1187">
        <v>3</v>
      </c>
      <c r="W1187">
        <f>COUNTIF($A$2:A1187,A1187)</f>
        <v>1</v>
      </c>
    </row>
    <row r="1188" spans="1:23" x14ac:dyDescent="0.35">
      <c r="A1188" t="s">
        <v>1229</v>
      </c>
      <c r="B1188" s="2">
        <v>41826</v>
      </c>
      <c r="D1188" t="s">
        <v>23</v>
      </c>
      <c r="E1188">
        <v>40</v>
      </c>
      <c r="F1188" t="s">
        <v>36</v>
      </c>
      <c r="G1188" t="s">
        <v>42</v>
      </c>
      <c r="H1188" t="s">
        <v>54</v>
      </c>
      <c r="I1188" t="s">
        <v>45</v>
      </c>
      <c r="J1188" t="s">
        <v>97</v>
      </c>
      <c r="K1188">
        <v>3</v>
      </c>
      <c r="L1188" t="s">
        <v>40</v>
      </c>
      <c r="M1188">
        <v>77000</v>
      </c>
      <c r="N1188">
        <v>9.1</v>
      </c>
      <c r="O1188">
        <v>16.100000000000001</v>
      </c>
      <c r="P1188">
        <v>11.5</v>
      </c>
      <c r="Q1188">
        <v>5.8</v>
      </c>
      <c r="R1188">
        <v>3</v>
      </c>
      <c r="S1188">
        <v>3</v>
      </c>
      <c r="T1188">
        <v>2</v>
      </c>
      <c r="U1188" t="s">
        <v>23</v>
      </c>
      <c r="V1188">
        <v>1</v>
      </c>
      <c r="W1188">
        <f>COUNTIF($A$2:A1188,A1188)</f>
        <v>1</v>
      </c>
    </row>
    <row r="1189" spans="1:23" x14ac:dyDescent="0.35">
      <c r="A1189" t="s">
        <v>793</v>
      </c>
      <c r="B1189" s="2">
        <v>45226</v>
      </c>
      <c r="D1189" t="s">
        <v>23</v>
      </c>
      <c r="E1189">
        <v>32</v>
      </c>
      <c r="F1189" t="s">
        <v>36</v>
      </c>
      <c r="G1189" t="s">
        <v>25</v>
      </c>
      <c r="H1189" t="s">
        <v>58</v>
      </c>
      <c r="I1189" t="s">
        <v>68</v>
      </c>
      <c r="J1189" t="s">
        <v>69</v>
      </c>
      <c r="K1189">
        <v>1</v>
      </c>
      <c r="L1189" t="s">
        <v>40</v>
      </c>
      <c r="M1189">
        <v>22000</v>
      </c>
      <c r="O1189">
        <v>10.1</v>
      </c>
      <c r="P1189">
        <v>2.2000000000000002</v>
      </c>
      <c r="Q1189">
        <v>0.7</v>
      </c>
      <c r="R1189">
        <v>1</v>
      </c>
      <c r="S1189">
        <v>2</v>
      </c>
      <c r="T1189">
        <v>3</v>
      </c>
      <c r="U1189" t="s">
        <v>23</v>
      </c>
      <c r="V1189">
        <v>3</v>
      </c>
      <c r="W1189">
        <f>COUNTIF($A$2:A1189,A1189)</f>
        <v>1</v>
      </c>
    </row>
    <row r="1190" spans="1:23" x14ac:dyDescent="0.35">
      <c r="A1190" t="s">
        <v>1394</v>
      </c>
      <c r="B1190" s="2">
        <v>43086</v>
      </c>
      <c r="D1190" t="s">
        <v>23</v>
      </c>
      <c r="E1190">
        <v>44</v>
      </c>
      <c r="F1190" t="s">
        <v>62</v>
      </c>
      <c r="G1190" t="s">
        <v>37</v>
      </c>
      <c r="H1190" t="s">
        <v>54</v>
      </c>
      <c r="I1190" t="s">
        <v>27</v>
      </c>
      <c r="J1190" t="s">
        <v>43</v>
      </c>
      <c r="K1190">
        <v>3</v>
      </c>
      <c r="L1190" t="s">
        <v>29</v>
      </c>
      <c r="M1190">
        <v>74000</v>
      </c>
      <c r="N1190">
        <v>4.2</v>
      </c>
      <c r="O1190">
        <v>9.8000000000000007</v>
      </c>
      <c r="P1190">
        <v>8</v>
      </c>
      <c r="Q1190">
        <v>2</v>
      </c>
      <c r="R1190">
        <v>4</v>
      </c>
      <c r="S1190">
        <v>2</v>
      </c>
      <c r="T1190">
        <v>1</v>
      </c>
      <c r="U1190" t="s">
        <v>23</v>
      </c>
      <c r="V1190">
        <v>4</v>
      </c>
      <c r="W1190">
        <f>COUNTIF($A$2:A1190,A1190)</f>
        <v>1</v>
      </c>
    </row>
    <row r="1191" spans="1:23" x14ac:dyDescent="0.35">
      <c r="A1191" t="s">
        <v>1270</v>
      </c>
      <c r="B1191" s="2">
        <v>45404</v>
      </c>
      <c r="D1191" t="s">
        <v>23</v>
      </c>
      <c r="E1191">
        <v>26</v>
      </c>
      <c r="F1191" t="s">
        <v>36</v>
      </c>
      <c r="G1191" t="s">
        <v>42</v>
      </c>
      <c r="H1191" t="s">
        <v>54</v>
      </c>
      <c r="I1191" t="s">
        <v>38</v>
      </c>
      <c r="J1191" t="s">
        <v>39</v>
      </c>
      <c r="K1191">
        <v>1</v>
      </c>
      <c r="L1191" t="s">
        <v>40</v>
      </c>
      <c r="M1191">
        <v>42000</v>
      </c>
      <c r="N1191">
        <v>10.199999999999999</v>
      </c>
      <c r="O1191">
        <v>5</v>
      </c>
      <c r="P1191">
        <v>1.7</v>
      </c>
      <c r="Q1191">
        <v>0.4</v>
      </c>
      <c r="R1191">
        <v>4</v>
      </c>
      <c r="S1191">
        <v>1</v>
      </c>
      <c r="T1191">
        <v>4</v>
      </c>
      <c r="U1191" t="s">
        <v>23</v>
      </c>
      <c r="V1191">
        <v>2</v>
      </c>
      <c r="W1191">
        <f>COUNTIF($A$2:A1191,A1191)</f>
        <v>1</v>
      </c>
    </row>
    <row r="1192" spans="1:23" x14ac:dyDescent="0.35">
      <c r="A1192" t="s">
        <v>1557</v>
      </c>
      <c r="B1192" s="2">
        <v>44405</v>
      </c>
      <c r="D1192" t="s">
        <v>23</v>
      </c>
      <c r="E1192">
        <v>27</v>
      </c>
      <c r="F1192" t="s">
        <v>62</v>
      </c>
      <c r="G1192" t="s">
        <v>42</v>
      </c>
      <c r="H1192" t="s">
        <v>58</v>
      </c>
      <c r="I1192" t="s">
        <v>59</v>
      </c>
      <c r="J1192" t="s">
        <v>86</v>
      </c>
      <c r="K1192">
        <v>1</v>
      </c>
      <c r="L1192" t="s">
        <v>66</v>
      </c>
      <c r="M1192">
        <v>33000</v>
      </c>
      <c r="N1192">
        <v>3.5</v>
      </c>
      <c r="O1192">
        <v>12.2</v>
      </c>
      <c r="P1192">
        <v>4.4000000000000004</v>
      </c>
      <c r="Q1192">
        <v>4</v>
      </c>
      <c r="R1192">
        <v>4</v>
      </c>
      <c r="S1192">
        <v>3</v>
      </c>
      <c r="T1192">
        <v>4</v>
      </c>
      <c r="U1192" t="s">
        <v>30</v>
      </c>
      <c r="V1192">
        <v>4</v>
      </c>
      <c r="W1192">
        <f>COUNTIF($A$2:A1192,A1192)</f>
        <v>1</v>
      </c>
    </row>
    <row r="1193" spans="1:23" x14ac:dyDescent="0.35">
      <c r="A1193" t="s">
        <v>1417</v>
      </c>
      <c r="B1193" s="2">
        <v>43377</v>
      </c>
      <c r="D1193" t="s">
        <v>23</v>
      </c>
      <c r="E1193">
        <v>37</v>
      </c>
      <c r="F1193" t="s">
        <v>24</v>
      </c>
      <c r="G1193" t="s">
        <v>25</v>
      </c>
      <c r="H1193" t="s">
        <v>32</v>
      </c>
      <c r="I1193" t="s">
        <v>59</v>
      </c>
      <c r="J1193" t="s">
        <v>86</v>
      </c>
      <c r="K1193">
        <v>1</v>
      </c>
      <c r="L1193" t="s">
        <v>34</v>
      </c>
      <c r="M1193" t="s">
        <v>1418</v>
      </c>
      <c r="N1193">
        <v>9</v>
      </c>
      <c r="O1193">
        <v>7.6</v>
      </c>
      <c r="P1193">
        <v>7.2</v>
      </c>
      <c r="Q1193">
        <v>5.7</v>
      </c>
      <c r="R1193">
        <v>3</v>
      </c>
      <c r="S1193">
        <v>2</v>
      </c>
      <c r="T1193">
        <v>3</v>
      </c>
      <c r="U1193" t="s">
        <v>23</v>
      </c>
      <c r="V1193">
        <v>5</v>
      </c>
      <c r="W1193">
        <f>COUNTIF($A$2:A1193,A1193)</f>
        <v>1</v>
      </c>
    </row>
    <row r="1194" spans="1:23" x14ac:dyDescent="0.35">
      <c r="A1194" t="s">
        <v>945</v>
      </c>
      <c r="B1194" s="2">
        <v>45581</v>
      </c>
      <c r="C1194" s="2">
        <v>45963</v>
      </c>
      <c r="D1194" t="s">
        <v>30</v>
      </c>
      <c r="E1194">
        <v>44</v>
      </c>
      <c r="F1194" t="s">
        <v>24</v>
      </c>
      <c r="G1194" t="s">
        <v>25</v>
      </c>
      <c r="H1194" t="s">
        <v>26</v>
      </c>
      <c r="I1194" t="s">
        <v>68</v>
      </c>
      <c r="J1194" t="s">
        <v>69</v>
      </c>
      <c r="K1194">
        <v>3</v>
      </c>
      <c r="L1194" t="s">
        <v>40</v>
      </c>
      <c r="M1194">
        <v>74000</v>
      </c>
      <c r="N1194">
        <v>9.6</v>
      </c>
      <c r="O1194">
        <v>2.1</v>
      </c>
      <c r="P1194">
        <v>1</v>
      </c>
      <c r="Q1194">
        <v>0.9</v>
      </c>
      <c r="R1194">
        <v>3</v>
      </c>
      <c r="S1194">
        <v>2</v>
      </c>
      <c r="T1194">
        <v>4</v>
      </c>
      <c r="U1194" t="s">
        <v>23</v>
      </c>
      <c r="V1194">
        <v>4</v>
      </c>
      <c r="W1194">
        <f>COUNTIF($A$2:A1194,A1194)</f>
        <v>1</v>
      </c>
    </row>
    <row r="1195" spans="1:23" x14ac:dyDescent="0.35">
      <c r="A1195" t="s">
        <v>959</v>
      </c>
      <c r="B1195" s="2">
        <v>44199</v>
      </c>
      <c r="D1195" t="s">
        <v>23</v>
      </c>
      <c r="E1195">
        <v>27</v>
      </c>
      <c r="F1195" t="s">
        <v>62</v>
      </c>
      <c r="G1195" t="s">
        <v>42</v>
      </c>
      <c r="H1195" t="s">
        <v>26</v>
      </c>
      <c r="I1195" t="s">
        <v>55</v>
      </c>
      <c r="J1195" t="s">
        <v>80</v>
      </c>
      <c r="K1195">
        <v>1</v>
      </c>
      <c r="L1195" t="s">
        <v>29</v>
      </c>
      <c r="M1195">
        <v>40000</v>
      </c>
      <c r="N1195">
        <v>13.4</v>
      </c>
      <c r="O1195">
        <v>10.3</v>
      </c>
      <c r="P1195">
        <v>5</v>
      </c>
      <c r="Q1195">
        <v>0.3</v>
      </c>
      <c r="R1195">
        <v>3</v>
      </c>
      <c r="S1195">
        <v>4</v>
      </c>
      <c r="T1195">
        <v>3</v>
      </c>
      <c r="U1195" t="s">
        <v>30</v>
      </c>
      <c r="V1195">
        <v>2</v>
      </c>
      <c r="W1195">
        <f>COUNTIF($A$2:A1195,A1195)</f>
        <v>1</v>
      </c>
    </row>
    <row r="1196" spans="1:23" x14ac:dyDescent="0.35">
      <c r="A1196" t="s">
        <v>1012</v>
      </c>
      <c r="B1196" s="2">
        <v>42893</v>
      </c>
      <c r="D1196" t="s">
        <v>23</v>
      </c>
      <c r="E1196">
        <v>31</v>
      </c>
      <c r="F1196" t="s">
        <v>62</v>
      </c>
      <c r="G1196" t="s">
        <v>42</v>
      </c>
      <c r="H1196" t="s">
        <v>32</v>
      </c>
      <c r="I1196" t="s">
        <v>68</v>
      </c>
      <c r="J1196" t="s">
        <v>102</v>
      </c>
      <c r="K1196">
        <v>2</v>
      </c>
      <c r="L1196" t="s">
        <v>29</v>
      </c>
      <c r="M1196">
        <v>49000</v>
      </c>
      <c r="N1196">
        <v>6.9</v>
      </c>
      <c r="O1196">
        <v>13</v>
      </c>
      <c r="P1196">
        <v>8.6</v>
      </c>
      <c r="Q1196">
        <v>0.5</v>
      </c>
      <c r="R1196">
        <v>2</v>
      </c>
      <c r="S1196">
        <v>3</v>
      </c>
      <c r="T1196">
        <v>3</v>
      </c>
      <c r="U1196" t="s">
        <v>23</v>
      </c>
      <c r="V1196">
        <v>4</v>
      </c>
      <c r="W1196">
        <f>COUNTIF($A$2:A1196,A1196)</f>
        <v>1</v>
      </c>
    </row>
    <row r="1197" spans="1:23" x14ac:dyDescent="0.35">
      <c r="A1197" t="s">
        <v>1009</v>
      </c>
      <c r="B1197" s="2">
        <v>45536</v>
      </c>
      <c r="D1197" t="s">
        <v>23</v>
      </c>
      <c r="E1197">
        <v>23</v>
      </c>
      <c r="F1197" t="s">
        <v>24</v>
      </c>
      <c r="G1197" t="s">
        <v>37</v>
      </c>
      <c r="H1197" t="s">
        <v>54</v>
      </c>
      <c r="I1197" t="s">
        <v>45</v>
      </c>
      <c r="J1197" t="s">
        <v>164</v>
      </c>
      <c r="K1197">
        <v>1</v>
      </c>
      <c r="L1197" t="s">
        <v>66</v>
      </c>
      <c r="M1197">
        <v>43000</v>
      </c>
      <c r="N1197">
        <v>6.3</v>
      </c>
      <c r="O1197">
        <v>7.5</v>
      </c>
      <c r="P1197">
        <v>1.3</v>
      </c>
      <c r="Q1197">
        <v>1.2</v>
      </c>
      <c r="R1197">
        <v>3</v>
      </c>
      <c r="S1197">
        <v>3</v>
      </c>
      <c r="T1197">
        <v>4</v>
      </c>
      <c r="U1197" t="s">
        <v>23</v>
      </c>
      <c r="V1197">
        <v>4</v>
      </c>
      <c r="W1197">
        <f>COUNTIF($A$2:A1197,A1197)</f>
        <v>1</v>
      </c>
    </row>
    <row r="1198" spans="1:23" x14ac:dyDescent="0.35">
      <c r="A1198" t="s">
        <v>676</v>
      </c>
      <c r="B1198" s="2">
        <v>44698</v>
      </c>
      <c r="D1198" t="s">
        <v>23</v>
      </c>
      <c r="E1198">
        <v>24</v>
      </c>
      <c r="F1198" t="s">
        <v>36</v>
      </c>
      <c r="G1198" t="s">
        <v>37</v>
      </c>
      <c r="H1198" t="s">
        <v>26</v>
      </c>
      <c r="I1198" t="s">
        <v>55</v>
      </c>
      <c r="J1198" t="s">
        <v>80</v>
      </c>
      <c r="K1198">
        <v>1</v>
      </c>
      <c r="L1198" t="s">
        <v>50</v>
      </c>
      <c r="M1198">
        <v>45000</v>
      </c>
      <c r="N1198">
        <v>11.7</v>
      </c>
      <c r="O1198">
        <v>6.1</v>
      </c>
      <c r="P1198">
        <v>3.6</v>
      </c>
      <c r="Q1198">
        <v>0.2</v>
      </c>
      <c r="R1198">
        <v>3</v>
      </c>
      <c r="S1198">
        <v>2</v>
      </c>
      <c r="T1198">
        <v>3</v>
      </c>
      <c r="U1198" t="s">
        <v>23</v>
      </c>
      <c r="V1198">
        <v>2</v>
      </c>
      <c r="W1198">
        <f>COUNTIF($A$2:A1198,A1198)</f>
        <v>1</v>
      </c>
    </row>
    <row r="1199" spans="1:23" x14ac:dyDescent="0.35">
      <c r="A1199" t="s">
        <v>693</v>
      </c>
      <c r="B1199" s="2">
        <v>44632</v>
      </c>
      <c r="D1199" t="s">
        <v>23</v>
      </c>
      <c r="E1199">
        <v>26</v>
      </c>
      <c r="F1199" t="s">
        <v>36</v>
      </c>
      <c r="G1199" t="s">
        <v>42</v>
      </c>
      <c r="H1199" t="s">
        <v>32</v>
      </c>
      <c r="I1199" t="s">
        <v>55</v>
      </c>
      <c r="J1199" t="s">
        <v>179</v>
      </c>
      <c r="K1199">
        <v>1</v>
      </c>
      <c r="L1199" t="s">
        <v>29</v>
      </c>
      <c r="M1199">
        <v>41000</v>
      </c>
      <c r="N1199">
        <v>4.3</v>
      </c>
      <c r="O1199">
        <v>5.6</v>
      </c>
      <c r="P1199">
        <v>3.8</v>
      </c>
      <c r="Q1199">
        <v>2.5</v>
      </c>
      <c r="R1199">
        <v>3</v>
      </c>
      <c r="S1199">
        <v>2</v>
      </c>
      <c r="T1199">
        <v>2</v>
      </c>
      <c r="U1199" t="s">
        <v>23</v>
      </c>
      <c r="V1199">
        <v>3</v>
      </c>
      <c r="W1199">
        <f>COUNTIF($A$2:A1199,A1199)</f>
        <v>1</v>
      </c>
    </row>
    <row r="1200" spans="1:23" x14ac:dyDescent="0.35">
      <c r="A1200" t="s">
        <v>1588</v>
      </c>
      <c r="B1200" s="2">
        <v>41751</v>
      </c>
      <c r="D1200" t="s">
        <v>23</v>
      </c>
      <c r="E1200">
        <v>40</v>
      </c>
      <c r="F1200" t="s">
        <v>62</v>
      </c>
      <c r="G1200" t="s">
        <v>37</v>
      </c>
      <c r="H1200" t="s">
        <v>26</v>
      </c>
      <c r="I1200" t="s">
        <v>55</v>
      </c>
      <c r="J1200" t="s">
        <v>56</v>
      </c>
      <c r="K1200">
        <v>1</v>
      </c>
      <c r="L1200" t="s">
        <v>84</v>
      </c>
      <c r="M1200">
        <v>46000</v>
      </c>
      <c r="N1200">
        <v>9.1</v>
      </c>
      <c r="O1200">
        <v>17.3</v>
      </c>
      <c r="P1200">
        <v>11.7</v>
      </c>
      <c r="Q1200">
        <v>4</v>
      </c>
      <c r="R1200">
        <v>3</v>
      </c>
      <c r="S1200">
        <v>3</v>
      </c>
      <c r="T1200">
        <v>3</v>
      </c>
      <c r="U1200" t="s">
        <v>23</v>
      </c>
      <c r="V1200">
        <v>2</v>
      </c>
      <c r="W1200">
        <f>COUNTIF($A$2:A1200,A1200)</f>
        <v>1</v>
      </c>
    </row>
    <row r="1201" spans="1:23" x14ac:dyDescent="0.35">
      <c r="A1201" t="s">
        <v>657</v>
      </c>
      <c r="B1201" s="2">
        <v>45352</v>
      </c>
      <c r="D1201" t="s">
        <v>23</v>
      </c>
      <c r="E1201">
        <v>38</v>
      </c>
      <c r="F1201" t="s">
        <v>24</v>
      </c>
      <c r="G1201" t="s">
        <v>25</v>
      </c>
      <c r="H1201" t="s">
        <v>26</v>
      </c>
      <c r="I1201" t="s">
        <v>45</v>
      </c>
      <c r="J1201" t="s">
        <v>97</v>
      </c>
      <c r="K1201">
        <v>2</v>
      </c>
      <c r="L1201" t="s">
        <v>34</v>
      </c>
      <c r="M1201">
        <v>50000</v>
      </c>
      <c r="N1201">
        <v>0</v>
      </c>
      <c r="O1201">
        <v>2.9</v>
      </c>
      <c r="P1201">
        <v>1.8</v>
      </c>
      <c r="Q1201">
        <v>1.6</v>
      </c>
      <c r="R1201">
        <v>3</v>
      </c>
      <c r="S1201">
        <v>2</v>
      </c>
      <c r="T1201">
        <v>3</v>
      </c>
      <c r="U1201" t="s">
        <v>23</v>
      </c>
      <c r="V1201">
        <v>1</v>
      </c>
      <c r="W1201">
        <f>COUNTIF($A$2:A1201,A1201)</f>
        <v>1</v>
      </c>
    </row>
    <row r="1202" spans="1:23" x14ac:dyDescent="0.35">
      <c r="A1202" t="s">
        <v>841</v>
      </c>
      <c r="B1202" s="2">
        <v>44221</v>
      </c>
      <c r="C1202" s="2">
        <v>45962</v>
      </c>
      <c r="D1202" t="s">
        <v>30</v>
      </c>
      <c r="E1202">
        <v>33</v>
      </c>
      <c r="F1202" t="s">
        <v>24</v>
      </c>
      <c r="G1202" t="s">
        <v>25</v>
      </c>
      <c r="H1202" t="s">
        <v>32</v>
      </c>
      <c r="I1202" t="s">
        <v>68</v>
      </c>
      <c r="J1202" t="s">
        <v>102</v>
      </c>
      <c r="K1202">
        <v>2</v>
      </c>
      <c r="L1202" t="s">
        <v>40</v>
      </c>
      <c r="M1202">
        <v>64000</v>
      </c>
      <c r="N1202">
        <v>4.5999999999999996</v>
      </c>
      <c r="O1202">
        <v>6.6</v>
      </c>
      <c r="P1202">
        <v>4.8</v>
      </c>
      <c r="Q1202">
        <v>4</v>
      </c>
      <c r="R1202">
        <v>4</v>
      </c>
      <c r="S1202">
        <v>3</v>
      </c>
      <c r="T1202">
        <v>3</v>
      </c>
      <c r="U1202" t="s">
        <v>30</v>
      </c>
      <c r="V1202">
        <v>5</v>
      </c>
      <c r="W1202">
        <f>COUNTIF($A$2:A1202,A1202)</f>
        <v>1</v>
      </c>
    </row>
    <row r="1203" spans="1:23" x14ac:dyDescent="0.35">
      <c r="A1203" t="s">
        <v>954</v>
      </c>
      <c r="B1203" s="2">
        <v>43128</v>
      </c>
      <c r="D1203" t="s">
        <v>23</v>
      </c>
      <c r="E1203">
        <v>35</v>
      </c>
      <c r="F1203" t="s">
        <v>24</v>
      </c>
      <c r="G1203" t="s">
        <v>37</v>
      </c>
      <c r="H1203" t="s">
        <v>32</v>
      </c>
      <c r="I1203" t="s">
        <v>59</v>
      </c>
      <c r="J1203" t="s">
        <v>75</v>
      </c>
      <c r="K1203">
        <v>3</v>
      </c>
      <c r="L1203" t="s">
        <v>50</v>
      </c>
      <c r="M1203">
        <v>78000</v>
      </c>
      <c r="N1203">
        <v>2.2000000000000002</v>
      </c>
      <c r="O1203">
        <v>14.4</v>
      </c>
      <c r="P1203">
        <v>7.9</v>
      </c>
      <c r="Q1203">
        <v>5.9</v>
      </c>
      <c r="R1203">
        <v>2</v>
      </c>
      <c r="S1203">
        <v>2</v>
      </c>
      <c r="T1203">
        <v>3</v>
      </c>
      <c r="U1203" t="s">
        <v>23</v>
      </c>
      <c r="V1203">
        <v>4</v>
      </c>
      <c r="W1203">
        <f>COUNTIF($A$2:A1203,A1203)</f>
        <v>1</v>
      </c>
    </row>
    <row r="1204" spans="1:23" x14ac:dyDescent="0.35">
      <c r="A1204" t="s">
        <v>123</v>
      </c>
      <c r="B1204" s="2">
        <v>42314</v>
      </c>
      <c r="C1204" s="2">
        <v>45856</v>
      </c>
      <c r="D1204" t="s">
        <v>30</v>
      </c>
      <c r="E1204">
        <v>52</v>
      </c>
      <c r="F1204" t="s">
        <v>36</v>
      </c>
      <c r="G1204" t="s">
        <v>42</v>
      </c>
      <c r="H1204" t="s">
        <v>26</v>
      </c>
      <c r="I1204" t="s">
        <v>59</v>
      </c>
      <c r="J1204" t="s">
        <v>75</v>
      </c>
      <c r="K1204">
        <v>2</v>
      </c>
      <c r="L1204" t="s">
        <v>66</v>
      </c>
      <c r="M1204">
        <v>49000</v>
      </c>
      <c r="N1204">
        <v>11.9</v>
      </c>
      <c r="O1204">
        <v>12.8</v>
      </c>
      <c r="P1204">
        <v>9.6999999999999993</v>
      </c>
      <c r="Q1204">
        <v>0.9</v>
      </c>
      <c r="R1204">
        <v>4</v>
      </c>
      <c r="S1204">
        <v>2</v>
      </c>
      <c r="T1204">
        <v>4</v>
      </c>
      <c r="U1204" t="s">
        <v>23</v>
      </c>
      <c r="V1204">
        <v>5</v>
      </c>
      <c r="W1204">
        <f>COUNTIF($A$2:A1204,A1204)</f>
        <v>1</v>
      </c>
    </row>
    <row r="1205" spans="1:23" x14ac:dyDescent="0.35">
      <c r="A1205" t="s">
        <v>1010</v>
      </c>
      <c r="B1205" s="2">
        <v>45809</v>
      </c>
      <c r="D1205" t="s">
        <v>23</v>
      </c>
      <c r="E1205">
        <v>21</v>
      </c>
      <c r="F1205" t="s">
        <v>24</v>
      </c>
      <c r="G1205" t="s">
        <v>25</v>
      </c>
      <c r="H1205" t="s">
        <v>54</v>
      </c>
      <c r="I1205" t="s">
        <v>38</v>
      </c>
      <c r="J1205" t="s">
        <v>39</v>
      </c>
      <c r="K1205">
        <v>1</v>
      </c>
      <c r="L1205" t="s">
        <v>40</v>
      </c>
      <c r="M1205">
        <v>36000</v>
      </c>
      <c r="N1205">
        <v>7.9</v>
      </c>
      <c r="O1205">
        <v>8.3000000000000007</v>
      </c>
      <c r="P1205">
        <v>0.6</v>
      </c>
      <c r="Q1205">
        <v>0</v>
      </c>
      <c r="R1205">
        <v>4</v>
      </c>
      <c r="S1205">
        <v>4</v>
      </c>
      <c r="T1205">
        <v>4</v>
      </c>
      <c r="U1205" t="s">
        <v>23</v>
      </c>
      <c r="V1205">
        <v>1</v>
      </c>
      <c r="W1205">
        <f>COUNTIF($A$2:A1205,A1205)</f>
        <v>1</v>
      </c>
    </row>
    <row r="1206" spans="1:23" x14ac:dyDescent="0.35">
      <c r="A1206" t="s">
        <v>1256</v>
      </c>
      <c r="B1206" s="2">
        <v>45655</v>
      </c>
      <c r="D1206" t="s">
        <v>23</v>
      </c>
      <c r="E1206">
        <v>32</v>
      </c>
      <c r="F1206" t="s">
        <v>36</v>
      </c>
      <c r="G1206" t="s">
        <v>25</v>
      </c>
      <c r="H1206" t="s">
        <v>32</v>
      </c>
      <c r="I1206" t="s">
        <v>38</v>
      </c>
      <c r="J1206" t="s">
        <v>52</v>
      </c>
      <c r="K1206">
        <v>2</v>
      </c>
      <c r="L1206" t="s">
        <v>29</v>
      </c>
      <c r="M1206">
        <v>62000</v>
      </c>
      <c r="N1206">
        <v>8.4</v>
      </c>
      <c r="O1206">
        <v>3.4</v>
      </c>
      <c r="P1206">
        <v>1</v>
      </c>
      <c r="Q1206">
        <v>0</v>
      </c>
      <c r="R1206">
        <v>4</v>
      </c>
      <c r="S1206">
        <v>4</v>
      </c>
      <c r="T1206">
        <v>3</v>
      </c>
      <c r="U1206" t="s">
        <v>23</v>
      </c>
      <c r="V1206">
        <v>3</v>
      </c>
      <c r="W1206">
        <f>COUNTIF($A$2:A1206,A1206)</f>
        <v>1</v>
      </c>
    </row>
    <row r="1207" spans="1:23" x14ac:dyDescent="0.35">
      <c r="A1207" t="s">
        <v>147</v>
      </c>
      <c r="B1207" s="2">
        <v>44621</v>
      </c>
      <c r="D1207" t="s">
        <v>23</v>
      </c>
      <c r="E1207">
        <v>36</v>
      </c>
      <c r="F1207" t="s">
        <v>24</v>
      </c>
      <c r="G1207" t="s">
        <v>42</v>
      </c>
      <c r="H1207" t="s">
        <v>32</v>
      </c>
      <c r="I1207" t="s">
        <v>55</v>
      </c>
      <c r="J1207" t="s">
        <v>80</v>
      </c>
      <c r="K1207">
        <v>2</v>
      </c>
      <c r="L1207" t="s">
        <v>34</v>
      </c>
      <c r="M1207">
        <v>44000</v>
      </c>
      <c r="N1207">
        <v>0.8</v>
      </c>
      <c r="O1207">
        <v>10.6</v>
      </c>
      <c r="P1207">
        <v>3.8</v>
      </c>
      <c r="Q1207">
        <v>1.5</v>
      </c>
      <c r="R1207">
        <v>2</v>
      </c>
      <c r="S1207">
        <v>3</v>
      </c>
      <c r="T1207">
        <v>4</v>
      </c>
      <c r="U1207" t="s">
        <v>23</v>
      </c>
      <c r="V1207">
        <v>2</v>
      </c>
      <c r="W1207">
        <f>COUNTIF($A$2:A1207,A1207)</f>
        <v>1</v>
      </c>
    </row>
    <row r="1208" spans="1:23" x14ac:dyDescent="0.35">
      <c r="A1208" t="s">
        <v>293</v>
      </c>
      <c r="B1208" s="2">
        <v>42756</v>
      </c>
      <c r="D1208" t="s">
        <v>23</v>
      </c>
      <c r="E1208">
        <v>37</v>
      </c>
      <c r="F1208" t="s">
        <v>24</v>
      </c>
      <c r="G1208" t="s">
        <v>25</v>
      </c>
      <c r="H1208" t="s">
        <v>54</v>
      </c>
      <c r="I1208" t="s">
        <v>45</v>
      </c>
      <c r="J1208" t="s">
        <v>97</v>
      </c>
      <c r="K1208">
        <v>4</v>
      </c>
      <c r="L1208" t="s">
        <v>66</v>
      </c>
      <c r="M1208">
        <v>103000</v>
      </c>
      <c r="N1208">
        <v>3.4</v>
      </c>
      <c r="O1208">
        <v>14.3</v>
      </c>
      <c r="P1208">
        <v>8.9</v>
      </c>
      <c r="Q1208">
        <v>0.6</v>
      </c>
      <c r="R1208">
        <v>3</v>
      </c>
      <c r="S1208">
        <v>3</v>
      </c>
      <c r="T1208">
        <v>3</v>
      </c>
      <c r="U1208" t="s">
        <v>23</v>
      </c>
      <c r="V1208">
        <v>5</v>
      </c>
      <c r="W1208">
        <f>COUNTIF($A$2:A1208,A1208)</f>
        <v>1</v>
      </c>
    </row>
    <row r="1209" spans="1:23" x14ac:dyDescent="0.35">
      <c r="A1209" t="s">
        <v>597</v>
      </c>
      <c r="B1209" s="2">
        <v>42277</v>
      </c>
      <c r="D1209" t="s">
        <v>23</v>
      </c>
      <c r="E1209">
        <v>31</v>
      </c>
      <c r="F1209" t="s">
        <v>24</v>
      </c>
      <c r="G1209" t="s">
        <v>25</v>
      </c>
      <c r="H1209" t="s">
        <v>58</v>
      </c>
      <c r="I1209" t="s">
        <v>45</v>
      </c>
      <c r="J1209" t="s">
        <v>164</v>
      </c>
      <c r="K1209">
        <v>3</v>
      </c>
      <c r="L1209" t="s">
        <v>40</v>
      </c>
      <c r="M1209">
        <v>58000</v>
      </c>
      <c r="N1209">
        <v>6</v>
      </c>
      <c r="O1209">
        <v>16.8</v>
      </c>
      <c r="P1209">
        <v>10.3</v>
      </c>
      <c r="Q1209">
        <v>0.5</v>
      </c>
      <c r="R1209">
        <v>2</v>
      </c>
      <c r="S1209">
        <v>3</v>
      </c>
      <c r="T1209">
        <v>3</v>
      </c>
      <c r="U1209" t="s">
        <v>30</v>
      </c>
      <c r="V1209">
        <v>3</v>
      </c>
      <c r="W1209">
        <f>COUNTIF($A$2:A1209,A1209)</f>
        <v>1</v>
      </c>
    </row>
    <row r="1210" spans="1:23" x14ac:dyDescent="0.35">
      <c r="A1210" t="s">
        <v>516</v>
      </c>
      <c r="B1210" s="2">
        <v>41750</v>
      </c>
      <c r="C1210" s="2">
        <v>45930</v>
      </c>
      <c r="D1210" t="s">
        <v>30</v>
      </c>
      <c r="E1210">
        <v>43</v>
      </c>
      <c r="F1210" t="s">
        <v>62</v>
      </c>
      <c r="G1210" t="s">
        <v>37</v>
      </c>
      <c r="H1210" t="s">
        <v>26</v>
      </c>
      <c r="I1210" t="s">
        <v>55</v>
      </c>
      <c r="J1210" t="s">
        <v>88</v>
      </c>
      <c r="K1210">
        <v>4</v>
      </c>
      <c r="L1210" t="s">
        <v>50</v>
      </c>
      <c r="M1210">
        <v>125000</v>
      </c>
      <c r="N1210">
        <v>12</v>
      </c>
      <c r="O1210">
        <v>13.3</v>
      </c>
      <c r="P1210">
        <v>11.4</v>
      </c>
      <c r="Q1210">
        <v>1.5</v>
      </c>
      <c r="R1210">
        <v>3</v>
      </c>
      <c r="S1210">
        <v>4</v>
      </c>
      <c r="T1210">
        <v>4</v>
      </c>
      <c r="U1210" t="s">
        <v>30</v>
      </c>
      <c r="V1210">
        <v>1</v>
      </c>
      <c r="W1210">
        <f>COUNTIF($A$2:A1210,A1210)</f>
        <v>1</v>
      </c>
    </row>
    <row r="1211" spans="1:23" x14ac:dyDescent="0.35">
      <c r="A1211" t="s">
        <v>76</v>
      </c>
      <c r="B1211" s="2">
        <v>43652</v>
      </c>
      <c r="D1211" t="s">
        <v>23</v>
      </c>
      <c r="E1211">
        <v>38</v>
      </c>
      <c r="F1211" t="s">
        <v>36</v>
      </c>
      <c r="G1211" t="s">
        <v>42</v>
      </c>
      <c r="H1211" t="s">
        <v>58</v>
      </c>
      <c r="I1211" t="s">
        <v>45</v>
      </c>
      <c r="J1211" t="s">
        <v>77</v>
      </c>
      <c r="K1211">
        <v>4</v>
      </c>
      <c r="L1211" t="s">
        <v>34</v>
      </c>
      <c r="M1211">
        <v>96000</v>
      </c>
      <c r="N1211">
        <v>10.199999999999999</v>
      </c>
      <c r="O1211">
        <v>9.4</v>
      </c>
      <c r="P1211">
        <v>6.5</v>
      </c>
      <c r="Q1211">
        <v>2.8</v>
      </c>
      <c r="R1211">
        <v>3</v>
      </c>
      <c r="S1211">
        <v>3</v>
      </c>
      <c r="T1211">
        <v>4</v>
      </c>
      <c r="U1211" t="s">
        <v>23</v>
      </c>
      <c r="V1211">
        <v>4</v>
      </c>
      <c r="W1211">
        <f>COUNTIF($A$2:A1211,A1211)</f>
        <v>1</v>
      </c>
    </row>
    <row r="1212" spans="1:23" x14ac:dyDescent="0.35">
      <c r="A1212" t="s">
        <v>510</v>
      </c>
      <c r="B1212" s="2">
        <v>41884</v>
      </c>
      <c r="D1212" t="s">
        <v>23</v>
      </c>
      <c r="E1212">
        <v>42</v>
      </c>
      <c r="F1212" t="s">
        <v>36</v>
      </c>
      <c r="G1212" t="s">
        <v>25</v>
      </c>
      <c r="H1212" t="s">
        <v>54</v>
      </c>
      <c r="I1212" t="s">
        <v>48</v>
      </c>
      <c r="J1212" t="s">
        <v>129</v>
      </c>
      <c r="K1212">
        <v>3</v>
      </c>
      <c r="L1212" t="s">
        <v>50</v>
      </c>
      <c r="M1212">
        <v>72000</v>
      </c>
      <c r="N1212">
        <v>11.5</v>
      </c>
      <c r="O1212">
        <v>19.100000000000001</v>
      </c>
      <c r="P1212">
        <v>11.3</v>
      </c>
      <c r="Q1212">
        <v>2.6</v>
      </c>
      <c r="R1212">
        <v>3</v>
      </c>
      <c r="S1212">
        <v>3</v>
      </c>
      <c r="T1212">
        <v>4</v>
      </c>
      <c r="U1212" t="s">
        <v>23</v>
      </c>
      <c r="V1212">
        <v>3</v>
      </c>
      <c r="W1212">
        <f>COUNTIF($A$2:A1212,A1212)</f>
        <v>1</v>
      </c>
    </row>
    <row r="1213" spans="1:23" x14ac:dyDescent="0.35">
      <c r="A1213" t="s">
        <v>1047</v>
      </c>
      <c r="B1213" s="2">
        <v>45372</v>
      </c>
      <c r="C1213" s="2">
        <v>46015</v>
      </c>
      <c r="D1213" t="s">
        <v>30</v>
      </c>
      <c r="E1213">
        <v>32</v>
      </c>
      <c r="F1213" t="s">
        <v>36</v>
      </c>
      <c r="G1213" t="s">
        <v>25</v>
      </c>
      <c r="H1213" t="s">
        <v>26</v>
      </c>
      <c r="I1213" t="s">
        <v>48</v>
      </c>
      <c r="J1213" t="s">
        <v>49</v>
      </c>
      <c r="K1213">
        <v>4</v>
      </c>
      <c r="L1213" t="s">
        <v>84</v>
      </c>
      <c r="M1213">
        <v>113000</v>
      </c>
      <c r="N1213">
        <v>5.6</v>
      </c>
      <c r="O1213">
        <v>9</v>
      </c>
      <c r="P1213">
        <v>1.8</v>
      </c>
      <c r="Q1213">
        <v>1</v>
      </c>
      <c r="R1213">
        <v>3</v>
      </c>
      <c r="S1213">
        <v>4</v>
      </c>
      <c r="T1213">
        <v>4</v>
      </c>
      <c r="U1213" t="s">
        <v>30</v>
      </c>
      <c r="V1213">
        <v>5</v>
      </c>
      <c r="W1213">
        <f>COUNTIF($A$2:A1213,A1213)</f>
        <v>1</v>
      </c>
    </row>
    <row r="1214" spans="1:23" x14ac:dyDescent="0.35">
      <c r="A1214" t="s">
        <v>1191</v>
      </c>
      <c r="B1214" s="2">
        <v>44532</v>
      </c>
      <c r="D1214" t="s">
        <v>23</v>
      </c>
      <c r="E1214">
        <v>33</v>
      </c>
      <c r="F1214" t="s">
        <v>36</v>
      </c>
      <c r="G1214" t="s">
        <v>37</v>
      </c>
      <c r="H1214" t="s">
        <v>32</v>
      </c>
      <c r="I1214" t="s">
        <v>55</v>
      </c>
      <c r="J1214" t="s">
        <v>80</v>
      </c>
      <c r="K1214">
        <v>3</v>
      </c>
      <c r="L1214" t="s">
        <v>84</v>
      </c>
      <c r="M1214">
        <v>92000</v>
      </c>
      <c r="N1214">
        <v>9.3000000000000007</v>
      </c>
      <c r="O1214">
        <v>10.8</v>
      </c>
      <c r="P1214">
        <v>4.0999999999999996</v>
      </c>
      <c r="Q1214">
        <v>0.7</v>
      </c>
      <c r="R1214">
        <v>3</v>
      </c>
      <c r="S1214">
        <v>4</v>
      </c>
      <c r="T1214">
        <v>2</v>
      </c>
      <c r="U1214" t="s">
        <v>23</v>
      </c>
      <c r="V1214">
        <v>3</v>
      </c>
      <c r="W1214">
        <f>COUNTIF($A$2:A1214,A1214)</f>
        <v>1</v>
      </c>
    </row>
    <row r="1215" spans="1:23" x14ac:dyDescent="0.35">
      <c r="A1215" t="s">
        <v>472</v>
      </c>
      <c r="B1215" s="2">
        <v>44268</v>
      </c>
      <c r="D1215" t="s">
        <v>23</v>
      </c>
      <c r="E1215">
        <v>39</v>
      </c>
      <c r="F1215" t="s">
        <v>36</v>
      </c>
      <c r="G1215" t="s">
        <v>37</v>
      </c>
      <c r="H1215" t="s">
        <v>58</v>
      </c>
      <c r="I1215" t="s">
        <v>59</v>
      </c>
      <c r="J1215" t="s">
        <v>75</v>
      </c>
      <c r="K1215">
        <v>2</v>
      </c>
      <c r="L1215" t="s">
        <v>84</v>
      </c>
      <c r="M1215">
        <v>42000</v>
      </c>
      <c r="N1215">
        <v>12.5</v>
      </c>
      <c r="O1215">
        <v>12.4</v>
      </c>
      <c r="P1215">
        <v>4.8</v>
      </c>
      <c r="Q1215">
        <v>3.1</v>
      </c>
      <c r="R1215">
        <v>3</v>
      </c>
      <c r="S1215">
        <v>3</v>
      </c>
      <c r="T1215">
        <v>2</v>
      </c>
      <c r="U1215" t="s">
        <v>23</v>
      </c>
      <c r="V1215">
        <v>5</v>
      </c>
      <c r="W1215">
        <f>COUNTIF($A$2:A1215,A1215)</f>
        <v>1</v>
      </c>
    </row>
    <row r="1216" spans="1:23" x14ac:dyDescent="0.35">
      <c r="A1216" t="s">
        <v>1002</v>
      </c>
      <c r="B1216" s="2">
        <v>45674</v>
      </c>
      <c r="D1216" t="s">
        <v>23</v>
      </c>
      <c r="E1216">
        <v>37</v>
      </c>
      <c r="F1216" t="s">
        <v>62</v>
      </c>
      <c r="G1216" t="s">
        <v>25</v>
      </c>
      <c r="H1216" t="s">
        <v>26</v>
      </c>
      <c r="I1216" t="s">
        <v>68</v>
      </c>
      <c r="J1216" t="s">
        <v>109</v>
      </c>
      <c r="K1216">
        <v>3</v>
      </c>
      <c r="L1216" t="s">
        <v>34</v>
      </c>
      <c r="M1216">
        <v>82000</v>
      </c>
      <c r="N1216">
        <v>1.4</v>
      </c>
      <c r="O1216">
        <v>2.8</v>
      </c>
      <c r="P1216">
        <v>1</v>
      </c>
      <c r="Q1216">
        <v>1</v>
      </c>
      <c r="R1216">
        <v>2</v>
      </c>
      <c r="S1216">
        <v>3</v>
      </c>
      <c r="T1216">
        <v>1</v>
      </c>
      <c r="U1216" t="s">
        <v>23</v>
      </c>
      <c r="V1216">
        <v>4</v>
      </c>
      <c r="W1216">
        <f>COUNTIF($A$2:A1216,A1216)</f>
        <v>1</v>
      </c>
    </row>
    <row r="1217" spans="1:23" x14ac:dyDescent="0.35">
      <c r="A1217" t="s">
        <v>1589</v>
      </c>
      <c r="B1217" s="2">
        <v>45410</v>
      </c>
      <c r="D1217" t="s">
        <v>23</v>
      </c>
      <c r="E1217">
        <v>30</v>
      </c>
      <c r="F1217" t="s">
        <v>62</v>
      </c>
      <c r="G1217" t="s">
        <v>42</v>
      </c>
      <c r="H1217" t="s">
        <v>32</v>
      </c>
      <c r="I1217" t="s">
        <v>27</v>
      </c>
      <c r="J1217" t="s">
        <v>28</v>
      </c>
      <c r="K1217">
        <v>4</v>
      </c>
      <c r="L1217" t="s">
        <v>34</v>
      </c>
      <c r="M1217">
        <v>99000</v>
      </c>
      <c r="N1217">
        <v>14.4</v>
      </c>
      <c r="O1217">
        <v>2.4</v>
      </c>
      <c r="P1217">
        <v>1.7</v>
      </c>
      <c r="Q1217">
        <v>1.6</v>
      </c>
      <c r="R1217">
        <v>3</v>
      </c>
      <c r="S1217">
        <v>3</v>
      </c>
      <c r="T1217">
        <v>2</v>
      </c>
      <c r="U1217" t="s">
        <v>30</v>
      </c>
      <c r="V1217">
        <v>3</v>
      </c>
      <c r="W1217">
        <f>COUNTIF($A$2:A1217,A1217)</f>
        <v>1</v>
      </c>
    </row>
    <row r="1218" spans="1:23" x14ac:dyDescent="0.35">
      <c r="A1218" t="s">
        <v>792</v>
      </c>
      <c r="B1218" s="2">
        <v>45277</v>
      </c>
      <c r="D1218" t="s">
        <v>23</v>
      </c>
      <c r="E1218">
        <v>27</v>
      </c>
      <c r="F1218" t="s">
        <v>62</v>
      </c>
      <c r="G1218" t="s">
        <v>37</v>
      </c>
      <c r="H1218" t="s">
        <v>54</v>
      </c>
      <c r="I1218" t="s">
        <v>27</v>
      </c>
      <c r="J1218" t="s">
        <v>33</v>
      </c>
      <c r="K1218">
        <v>1</v>
      </c>
      <c r="L1218" t="s">
        <v>84</v>
      </c>
      <c r="M1218">
        <v>33000</v>
      </c>
      <c r="N1218">
        <v>11.7</v>
      </c>
      <c r="O1218">
        <v>2.4</v>
      </c>
      <c r="P1218">
        <v>2</v>
      </c>
      <c r="Q1218">
        <v>1</v>
      </c>
      <c r="R1218">
        <v>3</v>
      </c>
      <c r="S1218">
        <v>3</v>
      </c>
      <c r="T1218">
        <v>2</v>
      </c>
      <c r="U1218" t="s">
        <v>23</v>
      </c>
      <c r="V1218">
        <v>4</v>
      </c>
      <c r="W1218">
        <f>COUNTIF($A$2:A1218,A1218)</f>
        <v>1</v>
      </c>
    </row>
    <row r="1219" spans="1:23" x14ac:dyDescent="0.35">
      <c r="A1219" t="s">
        <v>943</v>
      </c>
      <c r="B1219" s="2">
        <v>44012</v>
      </c>
      <c r="D1219" t="s">
        <v>23</v>
      </c>
      <c r="E1219">
        <v>41</v>
      </c>
      <c r="F1219" t="s">
        <v>62</v>
      </c>
      <c r="G1219" t="s">
        <v>37</v>
      </c>
      <c r="H1219" t="s">
        <v>58</v>
      </c>
      <c r="I1219" t="s">
        <v>45</v>
      </c>
      <c r="J1219" t="s">
        <v>97</v>
      </c>
      <c r="K1219">
        <v>2</v>
      </c>
      <c r="L1219" t="s">
        <v>40</v>
      </c>
      <c r="M1219">
        <v>54000</v>
      </c>
      <c r="N1219">
        <v>0.3</v>
      </c>
      <c r="O1219">
        <v>8.1</v>
      </c>
      <c r="P1219">
        <v>5.5</v>
      </c>
      <c r="Q1219">
        <v>1</v>
      </c>
      <c r="R1219">
        <v>3</v>
      </c>
      <c r="S1219">
        <v>3</v>
      </c>
      <c r="T1219">
        <v>2</v>
      </c>
      <c r="U1219" t="s">
        <v>23</v>
      </c>
      <c r="V1219">
        <v>5</v>
      </c>
      <c r="W1219">
        <f>COUNTIF($A$2:A1219,A1219)</f>
        <v>1</v>
      </c>
    </row>
    <row r="1220" spans="1:23" x14ac:dyDescent="0.35">
      <c r="A1220" t="s">
        <v>755</v>
      </c>
      <c r="B1220" s="2">
        <v>45713</v>
      </c>
      <c r="D1220" t="s">
        <v>23</v>
      </c>
      <c r="E1220">
        <v>29</v>
      </c>
      <c r="F1220" t="s">
        <v>24</v>
      </c>
      <c r="G1220" t="s">
        <v>25</v>
      </c>
      <c r="H1220" t="s">
        <v>32</v>
      </c>
      <c r="I1220" t="s">
        <v>59</v>
      </c>
      <c r="J1220" t="s">
        <v>60</v>
      </c>
      <c r="K1220">
        <v>4</v>
      </c>
      <c r="L1220" t="s">
        <v>50</v>
      </c>
      <c r="M1220">
        <v>112000</v>
      </c>
      <c r="N1220">
        <v>0</v>
      </c>
      <c r="O1220">
        <v>6.1</v>
      </c>
      <c r="P1220">
        <v>0.8</v>
      </c>
      <c r="Q1220">
        <v>0</v>
      </c>
      <c r="R1220">
        <v>3</v>
      </c>
      <c r="S1220">
        <v>1</v>
      </c>
      <c r="T1220">
        <v>2</v>
      </c>
      <c r="U1220" t="s">
        <v>23</v>
      </c>
      <c r="V1220">
        <v>4</v>
      </c>
      <c r="W1220">
        <f>COUNTIF($A$2:A1220,A1220)</f>
        <v>1</v>
      </c>
    </row>
    <row r="1221" spans="1:23" x14ac:dyDescent="0.35">
      <c r="A1221" t="s">
        <v>802</v>
      </c>
      <c r="B1221" s="2">
        <v>43081</v>
      </c>
      <c r="C1221" s="2">
        <v>45812</v>
      </c>
      <c r="D1221" t="s">
        <v>30</v>
      </c>
      <c r="E1221">
        <v>37</v>
      </c>
      <c r="F1221" t="s">
        <v>36</v>
      </c>
      <c r="G1221" t="s">
        <v>25</v>
      </c>
      <c r="H1221" t="s">
        <v>26</v>
      </c>
      <c r="I1221" t="s">
        <v>68</v>
      </c>
      <c r="J1221" t="s">
        <v>109</v>
      </c>
      <c r="K1221">
        <v>2</v>
      </c>
      <c r="L1221" t="s">
        <v>34</v>
      </c>
      <c r="M1221">
        <v>54000</v>
      </c>
      <c r="N1221">
        <v>13.7</v>
      </c>
      <c r="O1221">
        <v>9.3000000000000007</v>
      </c>
      <c r="P1221">
        <v>7.5</v>
      </c>
      <c r="Q1221">
        <v>3.4</v>
      </c>
      <c r="R1221">
        <v>2</v>
      </c>
      <c r="S1221">
        <v>4</v>
      </c>
      <c r="T1221">
        <v>4</v>
      </c>
      <c r="U1221" t="s">
        <v>23</v>
      </c>
      <c r="V1221">
        <v>3</v>
      </c>
      <c r="W1221">
        <f>COUNTIF($A$2:A1221,A1221)</f>
        <v>1</v>
      </c>
    </row>
    <row r="1222" spans="1:23" x14ac:dyDescent="0.35">
      <c r="A1222" t="s">
        <v>738</v>
      </c>
      <c r="B1222" s="2">
        <v>45066</v>
      </c>
      <c r="D1222" t="s">
        <v>23</v>
      </c>
      <c r="E1222">
        <v>39</v>
      </c>
      <c r="F1222" t="s">
        <v>62</v>
      </c>
      <c r="G1222" t="s">
        <v>25</v>
      </c>
      <c r="H1222" t="s">
        <v>54</v>
      </c>
      <c r="I1222" t="s">
        <v>55</v>
      </c>
      <c r="J1222" t="s">
        <v>56</v>
      </c>
      <c r="K1222">
        <v>2</v>
      </c>
      <c r="L1222" t="s">
        <v>40</v>
      </c>
      <c r="M1222">
        <v>70000</v>
      </c>
      <c r="N1222">
        <v>9.5</v>
      </c>
      <c r="O1222">
        <v>8.8000000000000007</v>
      </c>
      <c r="P1222">
        <v>2.6</v>
      </c>
      <c r="Q1222">
        <v>0.5</v>
      </c>
      <c r="R1222">
        <v>3</v>
      </c>
      <c r="S1222">
        <v>3</v>
      </c>
      <c r="T1222">
        <v>3</v>
      </c>
      <c r="U1222" t="s">
        <v>23</v>
      </c>
      <c r="V1222">
        <v>3</v>
      </c>
      <c r="W1222">
        <f>COUNTIF($A$2:A1222,A1222)</f>
        <v>1</v>
      </c>
    </row>
    <row r="1223" spans="1:23" x14ac:dyDescent="0.35">
      <c r="A1223" t="s">
        <v>398</v>
      </c>
      <c r="B1223" s="2">
        <v>42489</v>
      </c>
      <c r="D1223" t="s">
        <v>23</v>
      </c>
      <c r="E1223">
        <v>30</v>
      </c>
      <c r="F1223" t="s">
        <v>36</v>
      </c>
      <c r="G1223" t="s">
        <v>37</v>
      </c>
      <c r="H1223" t="s">
        <v>32</v>
      </c>
      <c r="I1223" t="s">
        <v>68</v>
      </c>
      <c r="J1223" t="s">
        <v>109</v>
      </c>
      <c r="K1223">
        <v>3</v>
      </c>
      <c r="L1223" t="s">
        <v>66</v>
      </c>
      <c r="M1223">
        <v>69000</v>
      </c>
      <c r="N1223">
        <v>6.3</v>
      </c>
      <c r="O1223">
        <v>11.4</v>
      </c>
      <c r="P1223">
        <v>9.6999999999999993</v>
      </c>
      <c r="Q1223">
        <v>1.4</v>
      </c>
      <c r="R1223">
        <v>4</v>
      </c>
      <c r="S1223">
        <v>2</v>
      </c>
      <c r="T1223">
        <v>3</v>
      </c>
      <c r="U1223" t="s">
        <v>23</v>
      </c>
      <c r="V1223">
        <v>4</v>
      </c>
      <c r="W1223">
        <f>COUNTIF($A$2:A1223,A1223)</f>
        <v>1</v>
      </c>
    </row>
    <row r="1224" spans="1:23" x14ac:dyDescent="0.35">
      <c r="A1224" t="s">
        <v>861</v>
      </c>
      <c r="B1224" s="2">
        <v>44359</v>
      </c>
      <c r="D1224" t="s">
        <v>23</v>
      </c>
      <c r="E1224">
        <v>32</v>
      </c>
      <c r="F1224" t="s">
        <v>62</v>
      </c>
      <c r="G1224" t="s">
        <v>42</v>
      </c>
      <c r="H1224" t="s">
        <v>26</v>
      </c>
      <c r="I1224" t="s">
        <v>27</v>
      </c>
      <c r="J1224" t="s">
        <v>95</v>
      </c>
      <c r="K1224">
        <v>1</v>
      </c>
      <c r="L1224" t="s">
        <v>34</v>
      </c>
      <c r="M1224">
        <v>22000</v>
      </c>
      <c r="N1224">
        <v>9.8000000000000007</v>
      </c>
      <c r="O1224">
        <v>11.2</v>
      </c>
      <c r="P1224">
        <v>4.5999999999999996</v>
      </c>
      <c r="Q1224">
        <v>3.6</v>
      </c>
      <c r="R1224">
        <v>3</v>
      </c>
      <c r="S1224">
        <v>2</v>
      </c>
      <c r="T1224">
        <v>2</v>
      </c>
      <c r="U1224" t="s">
        <v>23</v>
      </c>
      <c r="V1224">
        <v>3</v>
      </c>
      <c r="W1224">
        <f>COUNTIF($A$2:A1224,A1224)</f>
        <v>1</v>
      </c>
    </row>
    <row r="1225" spans="1:23" x14ac:dyDescent="0.35">
      <c r="A1225" t="s">
        <v>1362</v>
      </c>
      <c r="B1225" s="2">
        <v>43557</v>
      </c>
      <c r="D1225" t="s">
        <v>23</v>
      </c>
      <c r="E1225">
        <v>34</v>
      </c>
      <c r="F1225" t="s">
        <v>24</v>
      </c>
      <c r="G1225" t="s">
        <v>42</v>
      </c>
      <c r="H1225" t="s">
        <v>26</v>
      </c>
      <c r="I1225" t="s">
        <v>48</v>
      </c>
      <c r="J1225" t="s">
        <v>63</v>
      </c>
      <c r="K1225">
        <v>4</v>
      </c>
      <c r="L1225" t="s">
        <v>50</v>
      </c>
      <c r="M1225">
        <v>110000</v>
      </c>
      <c r="N1225">
        <v>21.3</v>
      </c>
      <c r="O1225">
        <v>10.7</v>
      </c>
      <c r="P1225">
        <v>6.7</v>
      </c>
      <c r="Q1225">
        <v>5.8</v>
      </c>
      <c r="R1225">
        <v>3</v>
      </c>
      <c r="S1225">
        <v>4</v>
      </c>
      <c r="T1225">
        <v>4</v>
      </c>
      <c r="U1225" t="s">
        <v>23</v>
      </c>
      <c r="V1225">
        <v>4</v>
      </c>
      <c r="W1225">
        <f>COUNTIF($A$2:A1225,A1225)</f>
        <v>1</v>
      </c>
    </row>
    <row r="1226" spans="1:23" x14ac:dyDescent="0.35">
      <c r="A1226" t="s">
        <v>658</v>
      </c>
      <c r="B1226" s="2">
        <v>45744</v>
      </c>
      <c r="D1226" t="s">
        <v>23</v>
      </c>
      <c r="E1226">
        <v>24</v>
      </c>
      <c r="F1226" t="s">
        <v>24</v>
      </c>
      <c r="G1226" t="s">
        <v>25</v>
      </c>
      <c r="H1226" t="s">
        <v>26</v>
      </c>
      <c r="I1226" t="s">
        <v>38</v>
      </c>
      <c r="J1226" t="s">
        <v>52</v>
      </c>
      <c r="K1226">
        <v>1</v>
      </c>
      <c r="L1226" t="s">
        <v>34</v>
      </c>
      <c r="M1226">
        <v>40000</v>
      </c>
      <c r="N1226">
        <v>6.6</v>
      </c>
      <c r="O1226">
        <v>7.4</v>
      </c>
      <c r="P1226">
        <v>0.8</v>
      </c>
      <c r="Q1226">
        <v>0</v>
      </c>
      <c r="R1226">
        <v>3</v>
      </c>
      <c r="S1226">
        <v>4</v>
      </c>
      <c r="T1226">
        <v>3</v>
      </c>
      <c r="U1226" t="s">
        <v>23</v>
      </c>
      <c r="V1226">
        <v>4</v>
      </c>
      <c r="W1226">
        <f>COUNTIF($A$2:A1226,A1226)</f>
        <v>1</v>
      </c>
    </row>
    <row r="1227" spans="1:23" x14ac:dyDescent="0.35">
      <c r="A1227" t="s">
        <v>947</v>
      </c>
      <c r="B1227" s="2">
        <v>44666</v>
      </c>
      <c r="D1227" t="s">
        <v>23</v>
      </c>
      <c r="E1227">
        <v>24</v>
      </c>
      <c r="F1227" t="s">
        <v>24</v>
      </c>
      <c r="G1227" t="s">
        <v>25</v>
      </c>
      <c r="H1227" t="s">
        <v>32</v>
      </c>
      <c r="I1227" t="s">
        <v>45</v>
      </c>
      <c r="J1227" t="s">
        <v>46</v>
      </c>
      <c r="K1227">
        <v>1</v>
      </c>
      <c r="L1227" t="s">
        <v>40</v>
      </c>
      <c r="M1227">
        <v>35000</v>
      </c>
      <c r="N1227">
        <v>6.3</v>
      </c>
      <c r="O1227">
        <v>6.9</v>
      </c>
      <c r="P1227">
        <v>3.7</v>
      </c>
      <c r="Q1227">
        <v>0.7</v>
      </c>
      <c r="R1227">
        <v>3</v>
      </c>
      <c r="S1227">
        <v>3</v>
      </c>
      <c r="T1227">
        <v>3</v>
      </c>
      <c r="U1227" t="s">
        <v>23</v>
      </c>
      <c r="V1227">
        <v>2</v>
      </c>
      <c r="W1227">
        <f>COUNTIF($A$2:A1227,A1227)</f>
        <v>1</v>
      </c>
    </row>
    <row r="1228" spans="1:23" x14ac:dyDescent="0.35">
      <c r="A1228" t="s">
        <v>1383</v>
      </c>
      <c r="B1228" s="2">
        <v>42689</v>
      </c>
      <c r="D1228" t="s">
        <v>23</v>
      </c>
      <c r="E1228">
        <v>40</v>
      </c>
      <c r="F1228" t="s">
        <v>62</v>
      </c>
      <c r="G1228" t="s">
        <v>25</v>
      </c>
      <c r="H1228" t="s">
        <v>32</v>
      </c>
      <c r="I1228" t="s">
        <v>55</v>
      </c>
      <c r="J1228" t="s">
        <v>56</v>
      </c>
      <c r="K1228">
        <v>3</v>
      </c>
      <c r="L1228" t="s">
        <v>40</v>
      </c>
      <c r="M1228">
        <v>102000</v>
      </c>
      <c r="N1228">
        <v>5.6</v>
      </c>
      <c r="O1228">
        <v>17</v>
      </c>
      <c r="P1228">
        <v>9.1</v>
      </c>
      <c r="Q1228">
        <v>5.0999999999999996</v>
      </c>
      <c r="R1228">
        <v>4</v>
      </c>
      <c r="S1228">
        <v>3</v>
      </c>
      <c r="T1228">
        <v>3</v>
      </c>
      <c r="U1228" t="s">
        <v>23</v>
      </c>
      <c r="V1228">
        <v>4</v>
      </c>
      <c r="W1228">
        <f>COUNTIF($A$2:A1228,A1228)</f>
        <v>1</v>
      </c>
    </row>
    <row r="1229" spans="1:23" x14ac:dyDescent="0.35">
      <c r="A1229" t="s">
        <v>1586</v>
      </c>
      <c r="B1229" s="2">
        <v>44302</v>
      </c>
      <c r="D1229" t="s">
        <v>23</v>
      </c>
      <c r="E1229">
        <v>37</v>
      </c>
      <c r="F1229" t="s">
        <v>62</v>
      </c>
      <c r="G1229" t="s">
        <v>42</v>
      </c>
      <c r="H1229" t="s">
        <v>32</v>
      </c>
      <c r="I1229" t="s">
        <v>45</v>
      </c>
      <c r="J1229" t="s">
        <v>77</v>
      </c>
      <c r="K1229">
        <v>2</v>
      </c>
      <c r="L1229" t="s">
        <v>50</v>
      </c>
      <c r="M1229">
        <v>45000</v>
      </c>
      <c r="N1229">
        <v>5.9</v>
      </c>
      <c r="O1229">
        <v>6.4</v>
      </c>
      <c r="P1229">
        <v>4.7</v>
      </c>
      <c r="Q1229">
        <v>3.1</v>
      </c>
      <c r="R1229">
        <v>3</v>
      </c>
      <c r="S1229">
        <v>4</v>
      </c>
      <c r="T1229">
        <v>2</v>
      </c>
      <c r="U1229" t="s">
        <v>23</v>
      </c>
      <c r="V1229">
        <v>5</v>
      </c>
      <c r="W1229">
        <f>COUNTIF($A$2:A1229,A1229)</f>
        <v>1</v>
      </c>
    </row>
    <row r="1230" spans="1:23" x14ac:dyDescent="0.35">
      <c r="A1230" t="s">
        <v>1446</v>
      </c>
      <c r="B1230" s="2">
        <v>44752</v>
      </c>
      <c r="C1230" s="2">
        <v>45778</v>
      </c>
      <c r="D1230" t="s">
        <v>30</v>
      </c>
      <c r="E1230">
        <v>35</v>
      </c>
      <c r="F1230" t="s">
        <v>24</v>
      </c>
      <c r="G1230" t="s">
        <v>25</v>
      </c>
      <c r="H1230" t="s">
        <v>58</v>
      </c>
      <c r="I1230" t="s">
        <v>59</v>
      </c>
      <c r="J1230" t="s">
        <v>75</v>
      </c>
      <c r="K1230">
        <v>3</v>
      </c>
      <c r="L1230" t="s">
        <v>40</v>
      </c>
      <c r="M1230">
        <v>81000</v>
      </c>
      <c r="N1230">
        <v>5.7</v>
      </c>
      <c r="O1230">
        <v>2.9</v>
      </c>
      <c r="P1230">
        <v>2.8</v>
      </c>
      <c r="Q1230">
        <v>1.9</v>
      </c>
      <c r="R1230">
        <v>3</v>
      </c>
      <c r="S1230">
        <v>2</v>
      </c>
      <c r="T1230">
        <v>3</v>
      </c>
      <c r="U1230" t="s">
        <v>23</v>
      </c>
      <c r="V1230">
        <v>3</v>
      </c>
      <c r="W1230">
        <f>COUNTIF($A$2:A1230,A1230)</f>
        <v>1</v>
      </c>
    </row>
    <row r="1231" spans="1:23" x14ac:dyDescent="0.35">
      <c r="A1231" t="s">
        <v>1043</v>
      </c>
      <c r="B1231" s="2">
        <v>44688</v>
      </c>
      <c r="D1231" t="s">
        <v>23</v>
      </c>
      <c r="E1231">
        <v>29</v>
      </c>
      <c r="F1231" t="s">
        <v>24</v>
      </c>
      <c r="G1231" t="s">
        <v>42</v>
      </c>
      <c r="H1231" t="s">
        <v>58</v>
      </c>
      <c r="I1231" t="s">
        <v>38</v>
      </c>
      <c r="J1231" t="s">
        <v>118</v>
      </c>
      <c r="K1231">
        <v>2</v>
      </c>
      <c r="L1231" t="s">
        <v>34</v>
      </c>
      <c r="M1231">
        <v>58000</v>
      </c>
      <c r="N1231">
        <v>4.7</v>
      </c>
      <c r="O1231">
        <v>9</v>
      </c>
      <c r="P1231">
        <v>3.7</v>
      </c>
      <c r="Q1231">
        <v>0.8</v>
      </c>
      <c r="R1231">
        <v>1</v>
      </c>
      <c r="S1231">
        <v>4</v>
      </c>
      <c r="T1231">
        <v>3</v>
      </c>
      <c r="U1231" t="s">
        <v>23</v>
      </c>
      <c r="V1231">
        <v>3</v>
      </c>
      <c r="W1231">
        <f>COUNTIF($A$2:A1231,A1231)</f>
        <v>1</v>
      </c>
    </row>
    <row r="1232" spans="1:23" x14ac:dyDescent="0.35">
      <c r="A1232" t="s">
        <v>143</v>
      </c>
      <c r="B1232" s="2">
        <v>45832</v>
      </c>
      <c r="D1232" t="s">
        <v>23</v>
      </c>
      <c r="E1232">
        <v>21</v>
      </c>
      <c r="F1232" t="s">
        <v>62</v>
      </c>
      <c r="G1232" t="s">
        <v>25</v>
      </c>
      <c r="H1232" t="s">
        <v>58</v>
      </c>
      <c r="I1232" t="s">
        <v>38</v>
      </c>
      <c r="J1232" t="s">
        <v>39</v>
      </c>
      <c r="K1232">
        <v>1</v>
      </c>
      <c r="L1232" t="s">
        <v>84</v>
      </c>
      <c r="M1232">
        <v>28000</v>
      </c>
      <c r="N1232">
        <v>11.7</v>
      </c>
      <c r="O1232">
        <v>5.8</v>
      </c>
      <c r="P1232">
        <v>0.5</v>
      </c>
      <c r="Q1232">
        <v>0</v>
      </c>
      <c r="R1232">
        <v>4</v>
      </c>
      <c r="S1232">
        <v>3</v>
      </c>
      <c r="T1232">
        <v>3</v>
      </c>
      <c r="U1232" t="s">
        <v>23</v>
      </c>
      <c r="V1232">
        <v>2</v>
      </c>
      <c r="W1232">
        <f>COUNTIF($A$2:A1232,A1232)</f>
        <v>1</v>
      </c>
    </row>
    <row r="1233" spans="1:23" x14ac:dyDescent="0.35">
      <c r="A1233" t="s">
        <v>1359</v>
      </c>
      <c r="B1233" s="2">
        <v>42606</v>
      </c>
      <c r="D1233" t="s">
        <v>23</v>
      </c>
      <c r="E1233">
        <v>30</v>
      </c>
      <c r="F1233" t="s">
        <v>36</v>
      </c>
      <c r="G1233" t="s">
        <v>37</v>
      </c>
      <c r="H1233" t="s">
        <v>32</v>
      </c>
      <c r="I1233" t="s">
        <v>48</v>
      </c>
      <c r="J1233" t="s">
        <v>129</v>
      </c>
      <c r="K1233">
        <v>1</v>
      </c>
      <c r="L1233" t="s">
        <v>50</v>
      </c>
      <c r="M1233">
        <v>26000</v>
      </c>
      <c r="N1233">
        <v>4.9000000000000004</v>
      </c>
      <c r="O1233">
        <v>11</v>
      </c>
      <c r="P1233">
        <v>9.4</v>
      </c>
      <c r="Q1233">
        <v>1.9</v>
      </c>
      <c r="R1233">
        <v>3</v>
      </c>
      <c r="S1233">
        <v>3</v>
      </c>
      <c r="T1233">
        <v>3</v>
      </c>
      <c r="U1233" t="s">
        <v>30</v>
      </c>
      <c r="V1233">
        <v>3</v>
      </c>
      <c r="W1233">
        <f>COUNTIF($A$2:A1233,A1233)</f>
        <v>1</v>
      </c>
    </row>
    <row r="1234" spans="1:23" x14ac:dyDescent="0.35">
      <c r="A1234" t="s">
        <v>921</v>
      </c>
      <c r="B1234" s="2">
        <v>45236</v>
      </c>
      <c r="D1234" t="s">
        <v>23</v>
      </c>
      <c r="E1234">
        <v>38</v>
      </c>
      <c r="F1234" t="s">
        <v>62</v>
      </c>
      <c r="G1234" t="s">
        <v>37</v>
      </c>
      <c r="H1234" t="s">
        <v>54</v>
      </c>
      <c r="I1234" t="s">
        <v>68</v>
      </c>
      <c r="J1234" t="s">
        <v>109</v>
      </c>
      <c r="K1234">
        <v>2</v>
      </c>
      <c r="L1234" t="s">
        <v>66</v>
      </c>
      <c r="M1234">
        <v>61000</v>
      </c>
      <c r="N1234">
        <v>7</v>
      </c>
      <c r="O1234">
        <v>2.9</v>
      </c>
      <c r="P1234">
        <v>2.2000000000000002</v>
      </c>
      <c r="Q1234">
        <v>1.6</v>
      </c>
      <c r="R1234">
        <v>3</v>
      </c>
      <c r="S1234">
        <v>2</v>
      </c>
      <c r="T1234">
        <v>3</v>
      </c>
      <c r="U1234" t="s">
        <v>30</v>
      </c>
      <c r="V1234">
        <v>5</v>
      </c>
      <c r="W1234">
        <f>COUNTIF($A$2:A1234,A1234)</f>
        <v>1</v>
      </c>
    </row>
    <row r="1235" spans="1:23" x14ac:dyDescent="0.35">
      <c r="A1235" t="s">
        <v>1449</v>
      </c>
      <c r="B1235" s="2">
        <v>43147</v>
      </c>
      <c r="D1235" t="s">
        <v>23</v>
      </c>
      <c r="E1235">
        <v>35</v>
      </c>
      <c r="F1235" t="s">
        <v>62</v>
      </c>
      <c r="G1235" t="s">
        <v>37</v>
      </c>
      <c r="H1235" t="s">
        <v>32</v>
      </c>
      <c r="I1235" t="s">
        <v>48</v>
      </c>
      <c r="J1235" t="s">
        <v>201</v>
      </c>
      <c r="K1235">
        <v>3</v>
      </c>
      <c r="L1235" t="s">
        <v>34</v>
      </c>
      <c r="M1235">
        <v>73000</v>
      </c>
      <c r="N1235">
        <v>6.9</v>
      </c>
      <c r="O1235">
        <v>9.6</v>
      </c>
      <c r="P1235">
        <v>7.9</v>
      </c>
      <c r="Q1235">
        <v>1</v>
      </c>
      <c r="R1235">
        <v>3</v>
      </c>
      <c r="S1235">
        <v>3</v>
      </c>
      <c r="T1235">
        <v>3</v>
      </c>
      <c r="U1235" t="s">
        <v>23</v>
      </c>
      <c r="V1235">
        <v>2</v>
      </c>
      <c r="W1235">
        <f>COUNTIF($A$2:A1235,A1235)</f>
        <v>1</v>
      </c>
    </row>
    <row r="1236" spans="1:23" x14ac:dyDescent="0.35">
      <c r="A1236" t="s">
        <v>720</v>
      </c>
      <c r="B1236" s="2">
        <v>45792</v>
      </c>
      <c r="D1236" t="s">
        <v>23</v>
      </c>
      <c r="E1236">
        <v>39</v>
      </c>
      <c r="F1236" t="s">
        <v>24</v>
      </c>
      <c r="G1236" t="s">
        <v>25</v>
      </c>
      <c r="H1236" t="s">
        <v>58</v>
      </c>
      <c r="I1236" t="s">
        <v>45</v>
      </c>
      <c r="J1236" t="s">
        <v>46</v>
      </c>
      <c r="K1236">
        <v>3</v>
      </c>
      <c r="L1236" t="s">
        <v>40</v>
      </c>
      <c r="M1236">
        <v>73000</v>
      </c>
      <c r="N1236">
        <v>3.9</v>
      </c>
      <c r="O1236">
        <v>4.9000000000000004</v>
      </c>
      <c r="P1236">
        <v>0.6</v>
      </c>
      <c r="Q1236">
        <v>0</v>
      </c>
      <c r="R1236">
        <v>3</v>
      </c>
      <c r="S1236">
        <v>3</v>
      </c>
      <c r="T1236">
        <v>3</v>
      </c>
      <c r="U1236" t="s">
        <v>23</v>
      </c>
      <c r="V1236">
        <v>4</v>
      </c>
      <c r="W1236">
        <f>COUNTIF($A$2:A1236,A1236)</f>
        <v>1</v>
      </c>
    </row>
    <row r="1237" spans="1:23" x14ac:dyDescent="0.35">
      <c r="A1237" t="s">
        <v>1348</v>
      </c>
      <c r="B1237" s="2">
        <v>44279</v>
      </c>
      <c r="D1237" t="s">
        <v>23</v>
      </c>
      <c r="E1237">
        <v>40</v>
      </c>
      <c r="F1237" t="s">
        <v>24</v>
      </c>
      <c r="G1237" t="s">
        <v>37</v>
      </c>
      <c r="H1237" t="s">
        <v>26</v>
      </c>
      <c r="I1237" t="s">
        <v>38</v>
      </c>
      <c r="J1237" t="s">
        <v>118</v>
      </c>
      <c r="K1237">
        <v>3</v>
      </c>
      <c r="L1237" t="s">
        <v>84</v>
      </c>
      <c r="M1237">
        <v>83000</v>
      </c>
      <c r="N1237">
        <v>14.4</v>
      </c>
      <c r="O1237">
        <v>10.6</v>
      </c>
      <c r="P1237">
        <v>4.8</v>
      </c>
      <c r="Q1237">
        <v>2.8</v>
      </c>
      <c r="R1237">
        <v>1</v>
      </c>
      <c r="S1237">
        <v>3</v>
      </c>
      <c r="T1237">
        <v>2</v>
      </c>
      <c r="U1237" t="s">
        <v>23</v>
      </c>
      <c r="V1237">
        <v>2</v>
      </c>
      <c r="W1237">
        <f>COUNTIF($A$2:A1237,A1237)</f>
        <v>1</v>
      </c>
    </row>
    <row r="1238" spans="1:23" x14ac:dyDescent="0.35">
      <c r="A1238" t="s">
        <v>988</v>
      </c>
      <c r="B1238" s="2">
        <v>43835</v>
      </c>
      <c r="D1238" t="s">
        <v>23</v>
      </c>
      <c r="E1238">
        <v>45</v>
      </c>
      <c r="F1238" t="s">
        <v>36</v>
      </c>
      <c r="G1238" t="s">
        <v>25</v>
      </c>
      <c r="H1238" t="s">
        <v>54</v>
      </c>
      <c r="I1238" t="s">
        <v>59</v>
      </c>
      <c r="J1238" t="s">
        <v>75</v>
      </c>
      <c r="K1238">
        <v>3</v>
      </c>
      <c r="L1238" t="s">
        <v>34</v>
      </c>
      <c r="M1238">
        <v>78000</v>
      </c>
      <c r="N1238">
        <v>11.3</v>
      </c>
      <c r="O1238">
        <v>9.6</v>
      </c>
      <c r="P1238">
        <v>6</v>
      </c>
      <c r="Q1238">
        <v>5.5</v>
      </c>
      <c r="R1238">
        <v>4</v>
      </c>
      <c r="S1238">
        <v>3</v>
      </c>
      <c r="T1238">
        <v>3</v>
      </c>
      <c r="U1238" t="s">
        <v>23</v>
      </c>
      <c r="V1238">
        <v>1</v>
      </c>
      <c r="W1238">
        <f>COUNTIF($A$2:A1238,A1238)</f>
        <v>1</v>
      </c>
    </row>
    <row r="1239" spans="1:23" x14ac:dyDescent="0.35">
      <c r="A1239" t="s">
        <v>1427</v>
      </c>
      <c r="B1239" s="2">
        <v>42654</v>
      </c>
      <c r="D1239" t="s">
        <v>23</v>
      </c>
      <c r="E1239">
        <v>36</v>
      </c>
      <c r="F1239" t="s">
        <v>36</v>
      </c>
      <c r="G1239" t="s">
        <v>42</v>
      </c>
      <c r="H1239" t="s">
        <v>26</v>
      </c>
      <c r="I1239" t="s">
        <v>68</v>
      </c>
      <c r="J1239" t="s">
        <v>69</v>
      </c>
      <c r="K1239">
        <v>3</v>
      </c>
      <c r="L1239" t="s">
        <v>84</v>
      </c>
      <c r="M1239">
        <v>72000</v>
      </c>
      <c r="N1239">
        <v>7.2</v>
      </c>
      <c r="O1239">
        <v>12.8</v>
      </c>
      <c r="P1239">
        <v>9.1999999999999993</v>
      </c>
      <c r="Q1239">
        <v>1.9</v>
      </c>
      <c r="R1239">
        <v>3</v>
      </c>
      <c r="S1239">
        <v>4</v>
      </c>
      <c r="T1239">
        <v>3</v>
      </c>
      <c r="U1239" t="s">
        <v>23</v>
      </c>
      <c r="V1239">
        <v>3</v>
      </c>
      <c r="W1239">
        <f>COUNTIF($A$2:A1239,A1239)</f>
        <v>1</v>
      </c>
    </row>
    <row r="1240" spans="1:23" x14ac:dyDescent="0.35">
      <c r="A1240" t="s">
        <v>1055</v>
      </c>
      <c r="B1240" s="2">
        <v>45868</v>
      </c>
      <c r="D1240" t="s">
        <v>23</v>
      </c>
      <c r="E1240">
        <v>24</v>
      </c>
      <c r="F1240" t="s">
        <v>62</v>
      </c>
      <c r="G1240" t="s">
        <v>37</v>
      </c>
      <c r="H1240" t="s">
        <v>54</v>
      </c>
      <c r="I1240" t="s">
        <v>59</v>
      </c>
      <c r="J1240" t="s">
        <v>150</v>
      </c>
      <c r="K1240">
        <v>1</v>
      </c>
      <c r="L1240" t="s">
        <v>34</v>
      </c>
      <c r="M1240">
        <v>32000</v>
      </c>
      <c r="N1240">
        <v>13.4</v>
      </c>
      <c r="O1240">
        <v>4.2</v>
      </c>
      <c r="P1240">
        <v>0.4</v>
      </c>
      <c r="Q1240">
        <v>0</v>
      </c>
      <c r="R1240">
        <v>3</v>
      </c>
      <c r="S1240">
        <v>3</v>
      </c>
      <c r="T1240">
        <v>4</v>
      </c>
      <c r="U1240" t="s">
        <v>23</v>
      </c>
      <c r="V1240">
        <v>4</v>
      </c>
      <c r="W1240">
        <f>COUNTIF($A$2:A1240,A1240)</f>
        <v>1</v>
      </c>
    </row>
    <row r="1241" spans="1:23" x14ac:dyDescent="0.35">
      <c r="A1241" t="s">
        <v>1278</v>
      </c>
      <c r="B1241" s="2">
        <v>43497</v>
      </c>
      <c r="D1241" t="s">
        <v>23</v>
      </c>
      <c r="E1241">
        <v>44</v>
      </c>
      <c r="F1241" t="s">
        <v>36</v>
      </c>
      <c r="G1241" t="s">
        <v>42</v>
      </c>
      <c r="H1241" t="s">
        <v>26</v>
      </c>
      <c r="I1241" t="s">
        <v>38</v>
      </c>
      <c r="J1241" t="s">
        <v>118</v>
      </c>
      <c r="K1241">
        <v>4</v>
      </c>
      <c r="L1241" t="s">
        <v>40</v>
      </c>
      <c r="M1241">
        <v>134000</v>
      </c>
      <c r="N1241">
        <v>7.2</v>
      </c>
      <c r="O1241">
        <v>9.5</v>
      </c>
      <c r="P1241">
        <v>6.9</v>
      </c>
      <c r="Q1241">
        <v>0.3</v>
      </c>
      <c r="R1241">
        <v>3</v>
      </c>
      <c r="S1241">
        <v>3</v>
      </c>
      <c r="T1241">
        <v>3</v>
      </c>
      <c r="U1241" t="s">
        <v>23</v>
      </c>
      <c r="V1241">
        <v>1</v>
      </c>
      <c r="W1241">
        <f>COUNTIF($A$2:A1241,A1241)</f>
        <v>1</v>
      </c>
    </row>
    <row r="1242" spans="1:23" x14ac:dyDescent="0.35">
      <c r="A1242" t="s">
        <v>443</v>
      </c>
      <c r="B1242" s="2">
        <v>43031</v>
      </c>
      <c r="C1242" s="2">
        <v>45818</v>
      </c>
      <c r="D1242" t="s">
        <v>30</v>
      </c>
      <c r="E1242">
        <v>33</v>
      </c>
      <c r="F1242" t="s">
        <v>36</v>
      </c>
      <c r="G1242" t="s">
        <v>25</v>
      </c>
      <c r="H1242" t="s">
        <v>54</v>
      </c>
      <c r="I1242" t="s">
        <v>27</v>
      </c>
      <c r="J1242" t="s">
        <v>95</v>
      </c>
      <c r="K1242">
        <v>3</v>
      </c>
      <c r="L1242" t="s">
        <v>84</v>
      </c>
      <c r="M1242">
        <v>85000</v>
      </c>
      <c r="N1242">
        <v>12.9</v>
      </c>
      <c r="O1242">
        <v>12.5</v>
      </c>
      <c r="P1242">
        <v>7.6</v>
      </c>
      <c r="Q1242">
        <v>5.5</v>
      </c>
      <c r="R1242">
        <v>2</v>
      </c>
      <c r="S1242">
        <v>3</v>
      </c>
      <c r="T1242">
        <v>3</v>
      </c>
      <c r="U1242" t="s">
        <v>23</v>
      </c>
      <c r="V1242">
        <v>4</v>
      </c>
      <c r="W1242">
        <f>COUNTIF($A$2:A1242,A1242)</f>
        <v>1</v>
      </c>
    </row>
    <row r="1243" spans="1:23" x14ac:dyDescent="0.35">
      <c r="A1243" t="s">
        <v>223</v>
      </c>
      <c r="B1243" s="2">
        <v>44853</v>
      </c>
      <c r="D1243" t="s">
        <v>23</v>
      </c>
      <c r="E1243">
        <v>37</v>
      </c>
      <c r="F1243" t="s">
        <v>36</v>
      </c>
      <c r="G1243" t="s">
        <v>25</v>
      </c>
      <c r="H1243" t="s">
        <v>26</v>
      </c>
      <c r="I1243" t="s">
        <v>68</v>
      </c>
      <c r="J1243" t="s">
        <v>121</v>
      </c>
      <c r="K1243">
        <v>3</v>
      </c>
      <c r="L1243" t="s">
        <v>34</v>
      </c>
      <c r="M1243">
        <v>75000</v>
      </c>
      <c r="N1243">
        <v>9.3000000000000007</v>
      </c>
      <c r="O1243">
        <v>10.7</v>
      </c>
      <c r="P1243">
        <v>3.2</v>
      </c>
      <c r="Q1243">
        <v>0.9</v>
      </c>
      <c r="R1243">
        <v>4</v>
      </c>
      <c r="S1243">
        <v>2</v>
      </c>
      <c r="T1243">
        <v>3</v>
      </c>
      <c r="U1243" t="s">
        <v>23</v>
      </c>
      <c r="V1243">
        <v>4</v>
      </c>
      <c r="W1243">
        <f>COUNTIF($A$2:A1243,A1243)</f>
        <v>1</v>
      </c>
    </row>
    <row r="1244" spans="1:23" x14ac:dyDescent="0.35">
      <c r="A1244" t="s">
        <v>315</v>
      </c>
      <c r="B1244" s="2">
        <v>44877</v>
      </c>
      <c r="D1244" t="s">
        <v>23</v>
      </c>
      <c r="E1244">
        <v>45</v>
      </c>
      <c r="F1244" t="s">
        <v>62</v>
      </c>
      <c r="G1244" t="s">
        <v>25</v>
      </c>
      <c r="H1244" t="s">
        <v>32</v>
      </c>
      <c r="I1244" t="s">
        <v>27</v>
      </c>
      <c r="J1244" t="s">
        <v>95</v>
      </c>
      <c r="K1244">
        <v>3</v>
      </c>
      <c r="L1244" t="s">
        <v>40</v>
      </c>
      <c r="M1244">
        <v>83000</v>
      </c>
      <c r="N1244">
        <v>6</v>
      </c>
      <c r="O1244">
        <v>6.7</v>
      </c>
      <c r="P1244">
        <v>3.1</v>
      </c>
      <c r="Q1244">
        <v>0.7</v>
      </c>
      <c r="R1244">
        <v>4</v>
      </c>
      <c r="S1244">
        <v>4</v>
      </c>
      <c r="T1244">
        <v>4</v>
      </c>
      <c r="U1244" t="s">
        <v>23</v>
      </c>
      <c r="V1244">
        <v>3</v>
      </c>
      <c r="W1244">
        <f>COUNTIF($A$2:A1244,A1244)</f>
        <v>1</v>
      </c>
    </row>
    <row r="1245" spans="1:23" x14ac:dyDescent="0.35">
      <c r="A1245" t="s">
        <v>839</v>
      </c>
      <c r="B1245" s="2">
        <v>44140</v>
      </c>
      <c r="D1245" t="s">
        <v>23</v>
      </c>
      <c r="E1245">
        <v>30</v>
      </c>
      <c r="F1245" t="s">
        <v>62</v>
      </c>
      <c r="G1245" t="s">
        <v>42</v>
      </c>
      <c r="H1245" t="s">
        <v>26</v>
      </c>
      <c r="I1245" t="s">
        <v>55</v>
      </c>
      <c r="J1245" t="s">
        <v>56</v>
      </c>
      <c r="K1245">
        <v>3</v>
      </c>
      <c r="L1245" t="s">
        <v>40</v>
      </c>
      <c r="M1245">
        <v>94000</v>
      </c>
      <c r="N1245">
        <v>10</v>
      </c>
      <c r="O1245">
        <v>6.9</v>
      </c>
      <c r="P1245">
        <v>5.2</v>
      </c>
      <c r="Q1245">
        <v>3</v>
      </c>
      <c r="R1245">
        <v>3</v>
      </c>
      <c r="S1245">
        <v>4</v>
      </c>
      <c r="T1245">
        <v>3</v>
      </c>
      <c r="U1245" t="s">
        <v>30</v>
      </c>
      <c r="V1245">
        <v>5</v>
      </c>
      <c r="W1245">
        <f>COUNTIF($A$2:A1245,A1245)</f>
        <v>1</v>
      </c>
    </row>
    <row r="1246" spans="1:23" x14ac:dyDescent="0.35">
      <c r="A1246" t="s">
        <v>1207</v>
      </c>
      <c r="B1246" s="2">
        <v>41649</v>
      </c>
      <c r="C1246" s="2">
        <v>45746</v>
      </c>
      <c r="D1246" t="s">
        <v>30</v>
      </c>
      <c r="E1246">
        <v>39</v>
      </c>
      <c r="F1246" t="s">
        <v>62</v>
      </c>
      <c r="G1246" t="s">
        <v>42</v>
      </c>
      <c r="H1246" t="s">
        <v>32</v>
      </c>
      <c r="I1246" t="s">
        <v>55</v>
      </c>
      <c r="J1246" t="s">
        <v>56</v>
      </c>
      <c r="K1246">
        <v>5</v>
      </c>
      <c r="L1246" t="s">
        <v>84</v>
      </c>
      <c r="M1246">
        <v>188000</v>
      </c>
      <c r="N1246">
        <v>10.3</v>
      </c>
      <c r="O1246">
        <v>12.1</v>
      </c>
      <c r="P1246">
        <v>11.2</v>
      </c>
      <c r="Q1246">
        <v>2.9</v>
      </c>
      <c r="R1246">
        <v>3</v>
      </c>
      <c r="S1246">
        <v>1</v>
      </c>
      <c r="T1246">
        <v>3</v>
      </c>
      <c r="U1246" t="s">
        <v>23</v>
      </c>
      <c r="V1246">
        <v>5</v>
      </c>
      <c r="W1246">
        <f>COUNTIF($A$2:A1246,A1246)</f>
        <v>1</v>
      </c>
    </row>
    <row r="1247" spans="1:23" x14ac:dyDescent="0.35">
      <c r="A1247" t="s">
        <v>1575</v>
      </c>
      <c r="B1247" s="2">
        <v>43893</v>
      </c>
      <c r="D1247" t="s">
        <v>23</v>
      </c>
      <c r="E1247">
        <v>32</v>
      </c>
      <c r="F1247" t="s">
        <v>24</v>
      </c>
      <c r="G1247" t="s">
        <v>37</v>
      </c>
      <c r="H1247" t="s">
        <v>32</v>
      </c>
      <c r="I1247" t="s">
        <v>45</v>
      </c>
      <c r="J1247" t="s">
        <v>46</v>
      </c>
      <c r="K1247">
        <v>2</v>
      </c>
      <c r="L1247" t="s">
        <v>66</v>
      </c>
      <c r="M1247">
        <v>59000</v>
      </c>
      <c r="N1247">
        <v>8.8000000000000007</v>
      </c>
      <c r="O1247">
        <v>7.8</v>
      </c>
      <c r="P1247">
        <v>5.8</v>
      </c>
      <c r="Q1247">
        <v>0.2</v>
      </c>
      <c r="R1247">
        <v>4</v>
      </c>
      <c r="S1247">
        <v>3</v>
      </c>
      <c r="T1247">
        <v>3</v>
      </c>
      <c r="U1247" t="s">
        <v>23</v>
      </c>
      <c r="V1247">
        <v>3</v>
      </c>
      <c r="W1247">
        <f>COUNTIF($A$2:A1247,A1247)</f>
        <v>1</v>
      </c>
    </row>
    <row r="1248" spans="1:23" x14ac:dyDescent="0.35">
      <c r="A1248" t="s">
        <v>152</v>
      </c>
      <c r="B1248" s="2">
        <v>43031</v>
      </c>
      <c r="C1248" s="2">
        <v>45894</v>
      </c>
      <c r="D1248" t="s">
        <v>30</v>
      </c>
      <c r="E1248">
        <v>31</v>
      </c>
      <c r="F1248" t="s">
        <v>36</v>
      </c>
      <c r="G1248" t="s">
        <v>25</v>
      </c>
      <c r="H1248" t="s">
        <v>58</v>
      </c>
      <c r="I1248" t="s">
        <v>38</v>
      </c>
      <c r="J1248" t="s">
        <v>118</v>
      </c>
      <c r="K1248">
        <v>2</v>
      </c>
      <c r="L1248" t="s">
        <v>29</v>
      </c>
      <c r="M1248">
        <v>50000</v>
      </c>
      <c r="N1248">
        <v>8.5</v>
      </c>
      <c r="O1248">
        <v>10.5</v>
      </c>
      <c r="P1248">
        <v>7.8</v>
      </c>
      <c r="Q1248">
        <v>2.4</v>
      </c>
      <c r="R1248">
        <v>2</v>
      </c>
      <c r="S1248">
        <v>3</v>
      </c>
      <c r="T1248">
        <v>3</v>
      </c>
      <c r="U1248" t="s">
        <v>23</v>
      </c>
      <c r="V1248">
        <v>3</v>
      </c>
      <c r="W1248">
        <f>COUNTIF($A$2:A1248,A1248)</f>
        <v>1</v>
      </c>
    </row>
    <row r="1249" spans="1:23" x14ac:dyDescent="0.35">
      <c r="A1249" t="s">
        <v>847</v>
      </c>
      <c r="B1249" s="2">
        <v>44351</v>
      </c>
      <c r="D1249" t="s">
        <v>23</v>
      </c>
      <c r="E1249">
        <v>28</v>
      </c>
      <c r="F1249" t="s">
        <v>36</v>
      </c>
      <c r="G1249" t="s">
        <v>25</v>
      </c>
      <c r="H1249" t="s">
        <v>58</v>
      </c>
      <c r="I1249" t="s">
        <v>45</v>
      </c>
      <c r="J1249" t="s">
        <v>46</v>
      </c>
      <c r="K1249">
        <v>5</v>
      </c>
      <c r="L1249" t="s">
        <v>34</v>
      </c>
      <c r="M1249">
        <v>142000</v>
      </c>
      <c r="N1249">
        <v>5.2</v>
      </c>
      <c r="O1249">
        <v>9.5</v>
      </c>
      <c r="P1249">
        <v>4.5999999999999996</v>
      </c>
      <c r="Q1249">
        <v>4.3</v>
      </c>
      <c r="R1249">
        <v>4</v>
      </c>
      <c r="S1249">
        <v>3</v>
      </c>
      <c r="T1249">
        <v>3</v>
      </c>
      <c r="U1249" t="s">
        <v>23</v>
      </c>
      <c r="V1249">
        <v>3</v>
      </c>
      <c r="W1249">
        <f>COUNTIF($A$2:A1249,A1249)</f>
        <v>1</v>
      </c>
    </row>
    <row r="1250" spans="1:23" x14ac:dyDescent="0.35">
      <c r="A1250" t="s">
        <v>1456</v>
      </c>
      <c r="B1250" s="2">
        <v>45042</v>
      </c>
      <c r="D1250" t="s">
        <v>23</v>
      </c>
      <c r="E1250">
        <v>31</v>
      </c>
      <c r="F1250" t="s">
        <v>24</v>
      </c>
      <c r="G1250" t="s">
        <v>37</v>
      </c>
      <c r="H1250" t="s">
        <v>32</v>
      </c>
      <c r="I1250" t="s">
        <v>48</v>
      </c>
      <c r="J1250" t="s">
        <v>49</v>
      </c>
      <c r="K1250">
        <v>1</v>
      </c>
      <c r="L1250" t="s">
        <v>40</v>
      </c>
      <c r="M1250">
        <v>48000</v>
      </c>
      <c r="N1250">
        <v>15.1</v>
      </c>
      <c r="O1250">
        <v>5.0999999999999996</v>
      </c>
      <c r="P1250">
        <v>2.7</v>
      </c>
      <c r="Q1250">
        <v>0.5</v>
      </c>
      <c r="R1250">
        <v>3</v>
      </c>
      <c r="S1250">
        <v>4</v>
      </c>
      <c r="T1250">
        <v>2</v>
      </c>
      <c r="U1250" t="s">
        <v>23</v>
      </c>
      <c r="V1250">
        <v>4</v>
      </c>
      <c r="W1250">
        <f>COUNTIF($A$2:A1250,A1250)</f>
        <v>1</v>
      </c>
    </row>
    <row r="1251" spans="1:23" x14ac:dyDescent="0.35">
      <c r="A1251" t="s">
        <v>477</v>
      </c>
      <c r="B1251" s="2">
        <v>45303</v>
      </c>
      <c r="C1251" s="2">
        <v>45812</v>
      </c>
      <c r="D1251" t="s">
        <v>30</v>
      </c>
      <c r="E1251">
        <v>26</v>
      </c>
      <c r="F1251" t="s">
        <v>62</v>
      </c>
      <c r="G1251" t="s">
        <v>42</v>
      </c>
      <c r="H1251" t="s">
        <v>26</v>
      </c>
      <c r="I1251" t="s">
        <v>68</v>
      </c>
      <c r="J1251" t="s">
        <v>121</v>
      </c>
      <c r="K1251">
        <v>1</v>
      </c>
      <c r="L1251" t="s">
        <v>50</v>
      </c>
      <c r="M1251">
        <v>22000</v>
      </c>
      <c r="N1251">
        <v>3.1</v>
      </c>
      <c r="O1251">
        <v>3.2</v>
      </c>
      <c r="P1251">
        <v>1.4</v>
      </c>
      <c r="Q1251">
        <v>0.6</v>
      </c>
      <c r="R1251">
        <v>2</v>
      </c>
      <c r="S1251">
        <v>3</v>
      </c>
      <c r="T1251">
        <v>3</v>
      </c>
      <c r="U1251" t="s">
        <v>30</v>
      </c>
      <c r="V1251">
        <v>4</v>
      </c>
      <c r="W1251">
        <f>COUNTIF($A$2:A1251,A1251)</f>
        <v>1</v>
      </c>
    </row>
    <row r="1252" spans="1:23" x14ac:dyDescent="0.35">
      <c r="A1252" t="s">
        <v>466</v>
      </c>
      <c r="B1252" s="2">
        <v>42079</v>
      </c>
      <c r="D1252" t="s">
        <v>23</v>
      </c>
      <c r="E1252">
        <v>43</v>
      </c>
      <c r="F1252" t="s">
        <v>36</v>
      </c>
      <c r="G1252" t="s">
        <v>42</v>
      </c>
      <c r="H1252" t="s">
        <v>58</v>
      </c>
      <c r="I1252" t="s">
        <v>27</v>
      </c>
      <c r="J1252" t="s">
        <v>28</v>
      </c>
      <c r="K1252">
        <v>3</v>
      </c>
      <c r="L1252" t="s">
        <v>50</v>
      </c>
      <c r="M1252">
        <v>75000</v>
      </c>
      <c r="N1252">
        <v>10.6</v>
      </c>
      <c r="O1252">
        <v>18.5</v>
      </c>
      <c r="P1252">
        <v>10.8</v>
      </c>
      <c r="Q1252">
        <v>0.9</v>
      </c>
      <c r="R1252">
        <v>3</v>
      </c>
      <c r="S1252">
        <v>4</v>
      </c>
      <c r="T1252">
        <v>2</v>
      </c>
      <c r="U1252" t="s">
        <v>23</v>
      </c>
      <c r="V1252">
        <v>4</v>
      </c>
      <c r="W1252">
        <f>COUNTIF($A$2:A1252,A1252)</f>
        <v>1</v>
      </c>
    </row>
    <row r="1253" spans="1:23" x14ac:dyDescent="0.35">
      <c r="A1253" t="s">
        <v>1579</v>
      </c>
      <c r="B1253" s="2">
        <v>45590</v>
      </c>
      <c r="D1253" t="s">
        <v>23</v>
      </c>
      <c r="E1253">
        <v>25</v>
      </c>
      <c r="F1253" t="s">
        <v>24</v>
      </c>
      <c r="G1253" t="s">
        <v>25</v>
      </c>
      <c r="H1253" t="s">
        <v>58</v>
      </c>
      <c r="I1253" t="s">
        <v>48</v>
      </c>
      <c r="J1253" t="s">
        <v>129</v>
      </c>
      <c r="K1253">
        <v>1</v>
      </c>
      <c r="L1253" t="s">
        <v>34</v>
      </c>
      <c r="M1253">
        <v>43000</v>
      </c>
      <c r="N1253">
        <v>10.1</v>
      </c>
      <c r="O1253">
        <v>2.4</v>
      </c>
      <c r="P1253">
        <v>1.2</v>
      </c>
      <c r="Q1253">
        <v>0.6</v>
      </c>
      <c r="R1253">
        <v>2</v>
      </c>
      <c r="S1253">
        <v>4</v>
      </c>
      <c r="T1253">
        <v>3</v>
      </c>
      <c r="U1253" t="s">
        <v>30</v>
      </c>
      <c r="V1253">
        <v>1</v>
      </c>
      <c r="W1253">
        <f>COUNTIF($A$2:A1253,A1253)</f>
        <v>1</v>
      </c>
    </row>
    <row r="1254" spans="1:23" x14ac:dyDescent="0.35">
      <c r="A1254" t="s">
        <v>645</v>
      </c>
      <c r="B1254" s="2">
        <v>42701</v>
      </c>
      <c r="D1254" t="s">
        <v>23</v>
      </c>
      <c r="E1254">
        <v>37</v>
      </c>
      <c r="F1254" t="s">
        <v>24</v>
      </c>
      <c r="G1254" t="s">
        <v>37</v>
      </c>
      <c r="H1254" t="s">
        <v>32</v>
      </c>
      <c r="I1254" t="s">
        <v>48</v>
      </c>
      <c r="J1254" t="s">
        <v>129</v>
      </c>
      <c r="K1254">
        <v>2</v>
      </c>
      <c r="L1254" t="s">
        <v>84</v>
      </c>
      <c r="M1254">
        <v>70000</v>
      </c>
      <c r="N1254">
        <v>8.1</v>
      </c>
      <c r="O1254">
        <v>10.7</v>
      </c>
      <c r="P1254">
        <v>9.1</v>
      </c>
      <c r="Q1254">
        <v>0.8</v>
      </c>
      <c r="R1254">
        <v>4</v>
      </c>
      <c r="S1254">
        <v>4</v>
      </c>
      <c r="T1254">
        <v>3</v>
      </c>
      <c r="U1254" t="s">
        <v>23</v>
      </c>
      <c r="V1254">
        <v>3</v>
      </c>
      <c r="W1254">
        <f>COUNTIF($A$2:A1254,A1254)</f>
        <v>1</v>
      </c>
    </row>
    <row r="1255" spans="1:23" x14ac:dyDescent="0.35">
      <c r="A1255" t="s">
        <v>1451</v>
      </c>
      <c r="B1255" s="2">
        <v>42162</v>
      </c>
      <c r="D1255" t="s">
        <v>23</v>
      </c>
      <c r="E1255">
        <v>34</v>
      </c>
      <c r="F1255" t="s">
        <v>36</v>
      </c>
      <c r="G1255" t="s">
        <v>42</v>
      </c>
      <c r="H1255" t="s">
        <v>26</v>
      </c>
      <c r="I1255" t="s">
        <v>48</v>
      </c>
      <c r="J1255" t="s">
        <v>63</v>
      </c>
      <c r="K1255">
        <v>2</v>
      </c>
      <c r="L1255" t="s">
        <v>34</v>
      </c>
      <c r="M1255">
        <v>77000</v>
      </c>
      <c r="N1255">
        <v>0.6</v>
      </c>
      <c r="O1255">
        <v>14.3</v>
      </c>
      <c r="P1255">
        <v>10.6</v>
      </c>
      <c r="Q1255">
        <v>0.4</v>
      </c>
      <c r="R1255">
        <v>2</v>
      </c>
      <c r="S1255">
        <v>3</v>
      </c>
      <c r="T1255">
        <v>3</v>
      </c>
      <c r="U1255" t="s">
        <v>30</v>
      </c>
      <c r="V1255">
        <v>3</v>
      </c>
      <c r="W1255">
        <f>COUNTIF($A$2:A1255,A1255)</f>
        <v>1</v>
      </c>
    </row>
    <row r="1256" spans="1:23" x14ac:dyDescent="0.35">
      <c r="A1256" t="s">
        <v>974</v>
      </c>
      <c r="B1256" s="2">
        <v>43869</v>
      </c>
      <c r="D1256" t="s">
        <v>23</v>
      </c>
      <c r="E1256">
        <v>32</v>
      </c>
      <c r="F1256" t="s">
        <v>24</v>
      </c>
      <c r="G1256" t="s">
        <v>37</v>
      </c>
      <c r="H1256" t="s">
        <v>58</v>
      </c>
      <c r="I1256" t="s">
        <v>59</v>
      </c>
      <c r="J1256" t="s">
        <v>60</v>
      </c>
      <c r="K1256">
        <v>2</v>
      </c>
      <c r="L1256" t="s">
        <v>34</v>
      </c>
      <c r="M1256">
        <v>57000</v>
      </c>
      <c r="N1256">
        <v>6.4</v>
      </c>
      <c r="O1256">
        <v>13.1</v>
      </c>
      <c r="P1256">
        <v>5.9</v>
      </c>
      <c r="Q1256">
        <v>0.3</v>
      </c>
      <c r="R1256">
        <v>4</v>
      </c>
      <c r="S1256">
        <v>3</v>
      </c>
      <c r="T1256">
        <v>3</v>
      </c>
      <c r="U1256" t="s">
        <v>23</v>
      </c>
      <c r="V1256">
        <v>2</v>
      </c>
      <c r="W1256">
        <f>COUNTIF($A$2:A1256,A1256)</f>
        <v>1</v>
      </c>
    </row>
    <row r="1257" spans="1:23" x14ac:dyDescent="0.35">
      <c r="A1257" t="s">
        <v>1164</v>
      </c>
      <c r="B1257" s="2">
        <v>44755</v>
      </c>
      <c r="C1257" s="2">
        <v>45934</v>
      </c>
      <c r="D1257" t="s">
        <v>30</v>
      </c>
      <c r="E1257">
        <v>38</v>
      </c>
      <c r="F1257" t="s">
        <v>24</v>
      </c>
      <c r="G1257" t="s">
        <v>37</v>
      </c>
      <c r="H1257" t="s">
        <v>54</v>
      </c>
      <c r="I1257" t="s">
        <v>55</v>
      </c>
      <c r="J1257" t="s">
        <v>179</v>
      </c>
      <c r="K1257">
        <v>1</v>
      </c>
      <c r="L1257" t="s">
        <v>29</v>
      </c>
      <c r="M1257">
        <v>67000</v>
      </c>
      <c r="N1257">
        <v>12.2</v>
      </c>
      <c r="O1257">
        <v>5.6</v>
      </c>
      <c r="P1257">
        <v>3.2</v>
      </c>
      <c r="Q1257">
        <v>0.2</v>
      </c>
      <c r="R1257">
        <v>4</v>
      </c>
      <c r="S1257">
        <v>4</v>
      </c>
      <c r="T1257">
        <v>3</v>
      </c>
      <c r="U1257" t="s">
        <v>23</v>
      </c>
      <c r="V1257">
        <v>4</v>
      </c>
      <c r="W1257">
        <f>COUNTIF($A$2:A1257,A1257)</f>
        <v>1</v>
      </c>
    </row>
    <row r="1258" spans="1:23" x14ac:dyDescent="0.35">
      <c r="A1258" t="s">
        <v>1308</v>
      </c>
      <c r="B1258" s="2">
        <v>45444</v>
      </c>
      <c r="D1258" t="s">
        <v>23</v>
      </c>
      <c r="E1258">
        <v>30</v>
      </c>
      <c r="F1258" t="s">
        <v>62</v>
      </c>
      <c r="G1258" t="s">
        <v>37</v>
      </c>
      <c r="H1258" t="s">
        <v>54</v>
      </c>
      <c r="I1258" t="s">
        <v>55</v>
      </c>
      <c r="J1258" t="s">
        <v>179</v>
      </c>
      <c r="K1258">
        <v>3</v>
      </c>
      <c r="L1258" t="s">
        <v>29</v>
      </c>
      <c r="M1258">
        <v>86000</v>
      </c>
      <c r="N1258">
        <v>1.8</v>
      </c>
      <c r="O1258">
        <v>8.6</v>
      </c>
      <c r="P1258">
        <v>1.6</v>
      </c>
      <c r="Q1258">
        <v>0.7</v>
      </c>
      <c r="R1258">
        <v>3</v>
      </c>
      <c r="S1258">
        <v>4</v>
      </c>
      <c r="T1258">
        <v>3</v>
      </c>
      <c r="U1258" t="s">
        <v>30</v>
      </c>
      <c r="V1258">
        <v>4</v>
      </c>
      <c r="W1258">
        <f>COUNTIF($A$2:A1258,A1258)</f>
        <v>1</v>
      </c>
    </row>
    <row r="1259" spans="1:23" x14ac:dyDescent="0.35">
      <c r="A1259" t="s">
        <v>932</v>
      </c>
      <c r="B1259" s="2">
        <v>44800</v>
      </c>
      <c r="D1259" t="s">
        <v>23</v>
      </c>
      <c r="E1259">
        <v>38</v>
      </c>
      <c r="F1259" t="s">
        <v>62</v>
      </c>
      <c r="G1259" t="s">
        <v>42</v>
      </c>
      <c r="H1259" t="s">
        <v>32</v>
      </c>
      <c r="I1259" t="s">
        <v>45</v>
      </c>
      <c r="J1259" t="s">
        <v>46</v>
      </c>
      <c r="K1259">
        <v>2</v>
      </c>
      <c r="L1259" t="s">
        <v>29</v>
      </c>
      <c r="M1259">
        <v>38000</v>
      </c>
      <c r="N1259">
        <v>13.2</v>
      </c>
      <c r="O1259">
        <v>10.199999999999999</v>
      </c>
      <c r="P1259">
        <v>3.3</v>
      </c>
      <c r="Q1259">
        <v>3.1</v>
      </c>
      <c r="R1259">
        <v>4</v>
      </c>
      <c r="S1259">
        <v>1</v>
      </c>
      <c r="T1259">
        <v>3</v>
      </c>
      <c r="U1259" t="s">
        <v>30</v>
      </c>
      <c r="V1259">
        <v>4</v>
      </c>
      <c r="W1259">
        <f>COUNTIF($A$2:A1259,A1259)</f>
        <v>1</v>
      </c>
    </row>
    <row r="1260" spans="1:23" x14ac:dyDescent="0.35">
      <c r="A1260" t="s">
        <v>644</v>
      </c>
      <c r="B1260" s="2">
        <v>43460</v>
      </c>
      <c r="D1260" t="s">
        <v>23</v>
      </c>
      <c r="E1260">
        <v>28</v>
      </c>
      <c r="F1260" t="s">
        <v>36</v>
      </c>
      <c r="G1260" t="s">
        <v>25</v>
      </c>
      <c r="H1260" t="s">
        <v>58</v>
      </c>
      <c r="I1260" t="s">
        <v>48</v>
      </c>
      <c r="J1260" t="s">
        <v>49</v>
      </c>
      <c r="K1260">
        <v>2</v>
      </c>
      <c r="L1260" t="s">
        <v>66</v>
      </c>
      <c r="M1260">
        <v>54000</v>
      </c>
      <c r="N1260">
        <v>15.4</v>
      </c>
      <c r="O1260">
        <v>13.4</v>
      </c>
      <c r="P1260">
        <v>7</v>
      </c>
      <c r="Q1260">
        <v>3.5</v>
      </c>
      <c r="R1260">
        <v>2</v>
      </c>
      <c r="S1260">
        <v>3</v>
      </c>
      <c r="T1260">
        <v>3</v>
      </c>
      <c r="U1260" t="s">
        <v>30</v>
      </c>
      <c r="V1260">
        <v>4</v>
      </c>
      <c r="W1260">
        <f>COUNTIF($A$2:A1260,A1260)</f>
        <v>1</v>
      </c>
    </row>
    <row r="1261" spans="1:23" x14ac:dyDescent="0.35">
      <c r="A1261" t="s">
        <v>578</v>
      </c>
      <c r="B1261" s="2">
        <v>43838</v>
      </c>
      <c r="D1261" t="s">
        <v>23</v>
      </c>
      <c r="E1261">
        <v>33</v>
      </c>
      <c r="F1261" t="s">
        <v>62</v>
      </c>
      <c r="G1261" t="s">
        <v>42</v>
      </c>
      <c r="H1261" t="s">
        <v>26</v>
      </c>
      <c r="I1261" t="s">
        <v>45</v>
      </c>
      <c r="J1261" t="s">
        <v>97</v>
      </c>
      <c r="K1261">
        <v>4</v>
      </c>
      <c r="L1261" t="s">
        <v>40</v>
      </c>
      <c r="M1261">
        <v>101000</v>
      </c>
      <c r="N1261">
        <v>9.3000000000000007</v>
      </c>
      <c r="O1261">
        <v>6.6</v>
      </c>
      <c r="P1261">
        <v>6</v>
      </c>
      <c r="Q1261">
        <v>1.1000000000000001</v>
      </c>
      <c r="R1261">
        <v>3</v>
      </c>
      <c r="S1261">
        <v>2</v>
      </c>
      <c r="T1261">
        <v>2</v>
      </c>
      <c r="U1261" t="s">
        <v>23</v>
      </c>
      <c r="V1261">
        <v>1</v>
      </c>
      <c r="W1261">
        <f>COUNTIF($A$2:A1261,A1261)</f>
        <v>1</v>
      </c>
    </row>
    <row r="1262" spans="1:23" x14ac:dyDescent="0.35">
      <c r="A1262" t="s">
        <v>542</v>
      </c>
      <c r="B1262" s="2">
        <v>45662</v>
      </c>
      <c r="D1262" t="s">
        <v>23</v>
      </c>
      <c r="E1262">
        <v>21</v>
      </c>
      <c r="F1262" t="s">
        <v>36</v>
      </c>
      <c r="G1262" t="s">
        <v>42</v>
      </c>
      <c r="H1262" t="s">
        <v>26</v>
      </c>
      <c r="I1262" t="s">
        <v>45</v>
      </c>
      <c r="J1262" t="s">
        <v>77</v>
      </c>
      <c r="K1262">
        <v>1</v>
      </c>
      <c r="L1262" t="s">
        <v>29</v>
      </c>
      <c r="M1262">
        <v>50000</v>
      </c>
      <c r="N1262">
        <v>9.6</v>
      </c>
      <c r="O1262">
        <v>1.4</v>
      </c>
      <c r="P1262">
        <v>1</v>
      </c>
      <c r="Q1262">
        <v>0.9</v>
      </c>
      <c r="R1262">
        <v>4</v>
      </c>
      <c r="S1262">
        <v>4</v>
      </c>
      <c r="T1262">
        <v>2</v>
      </c>
      <c r="U1262" t="s">
        <v>23</v>
      </c>
      <c r="V1262">
        <v>4</v>
      </c>
      <c r="W1262">
        <f>COUNTIF($A$2:A1262,A1262)</f>
        <v>1</v>
      </c>
    </row>
    <row r="1263" spans="1:23" x14ac:dyDescent="0.35">
      <c r="A1263" t="s">
        <v>994</v>
      </c>
      <c r="B1263" s="2">
        <v>43401</v>
      </c>
      <c r="D1263" t="s">
        <v>23</v>
      </c>
      <c r="E1263">
        <v>33</v>
      </c>
      <c r="F1263" t="s">
        <v>24</v>
      </c>
      <c r="G1263" t="s">
        <v>37</v>
      </c>
      <c r="H1263" t="s">
        <v>54</v>
      </c>
      <c r="I1263" t="s">
        <v>55</v>
      </c>
      <c r="J1263" t="s">
        <v>179</v>
      </c>
      <c r="K1263">
        <v>2</v>
      </c>
      <c r="L1263" t="s">
        <v>34</v>
      </c>
      <c r="M1263">
        <v>55000</v>
      </c>
      <c r="N1263">
        <v>8.3000000000000007</v>
      </c>
      <c r="O1263">
        <v>12</v>
      </c>
      <c r="P1263">
        <v>7.2</v>
      </c>
      <c r="Q1263">
        <v>4.4000000000000004</v>
      </c>
      <c r="R1263">
        <v>3</v>
      </c>
      <c r="S1263">
        <v>4</v>
      </c>
      <c r="T1263">
        <v>2</v>
      </c>
      <c r="U1263" t="s">
        <v>23</v>
      </c>
      <c r="V1263">
        <v>2</v>
      </c>
      <c r="W1263">
        <f>COUNTIF($A$2:A1263,A1263)</f>
        <v>1</v>
      </c>
    </row>
    <row r="1264" spans="1:23" x14ac:dyDescent="0.35">
      <c r="A1264" t="s">
        <v>151</v>
      </c>
      <c r="B1264" s="2">
        <v>43530</v>
      </c>
      <c r="D1264" t="s">
        <v>23</v>
      </c>
      <c r="E1264">
        <v>49</v>
      </c>
      <c r="F1264" t="s">
        <v>36</v>
      </c>
      <c r="G1264" t="s">
        <v>25</v>
      </c>
      <c r="H1264" t="s">
        <v>54</v>
      </c>
      <c r="I1264" t="s">
        <v>45</v>
      </c>
      <c r="J1264" t="s">
        <v>77</v>
      </c>
      <c r="K1264">
        <v>2</v>
      </c>
      <c r="L1264" t="s">
        <v>40</v>
      </c>
      <c r="M1264">
        <v>38000</v>
      </c>
      <c r="N1264">
        <v>4.9000000000000004</v>
      </c>
      <c r="O1264">
        <v>8</v>
      </c>
      <c r="P1264">
        <v>6.8</v>
      </c>
      <c r="Q1264">
        <v>0.7</v>
      </c>
      <c r="R1264">
        <v>1</v>
      </c>
      <c r="S1264">
        <v>2</v>
      </c>
      <c r="T1264">
        <v>3</v>
      </c>
      <c r="U1264" t="s">
        <v>30</v>
      </c>
      <c r="V1264">
        <v>4</v>
      </c>
      <c r="W1264">
        <f>COUNTIF($A$2:A1264,A1264)</f>
        <v>1</v>
      </c>
    </row>
    <row r="1265" spans="1:23" x14ac:dyDescent="0.35">
      <c r="A1265" t="s">
        <v>284</v>
      </c>
      <c r="B1265" s="2">
        <v>42424</v>
      </c>
      <c r="D1265" t="s">
        <v>23</v>
      </c>
      <c r="E1265">
        <v>42</v>
      </c>
      <c r="F1265" t="s">
        <v>62</v>
      </c>
      <c r="G1265" t="s">
        <v>25</v>
      </c>
      <c r="H1265" t="s">
        <v>58</v>
      </c>
      <c r="I1265" t="s">
        <v>55</v>
      </c>
      <c r="J1265" t="s">
        <v>56</v>
      </c>
      <c r="K1265">
        <v>3</v>
      </c>
      <c r="L1265" t="s">
        <v>50</v>
      </c>
      <c r="M1265">
        <v>90000</v>
      </c>
      <c r="N1265">
        <v>4.0999999999999996</v>
      </c>
      <c r="O1265">
        <v>16.899999999999999</v>
      </c>
      <c r="P1265">
        <v>9.9</v>
      </c>
      <c r="Q1265">
        <v>5</v>
      </c>
      <c r="R1265">
        <v>3</v>
      </c>
      <c r="S1265">
        <v>3</v>
      </c>
      <c r="T1265">
        <v>4</v>
      </c>
      <c r="U1265" t="s">
        <v>30</v>
      </c>
      <c r="V1265">
        <v>3</v>
      </c>
      <c r="W1265">
        <f>COUNTIF($A$2:A1265,A1265)</f>
        <v>1</v>
      </c>
    </row>
    <row r="1266" spans="1:23" x14ac:dyDescent="0.35">
      <c r="A1266" t="s">
        <v>770</v>
      </c>
      <c r="B1266" s="2">
        <v>45203</v>
      </c>
      <c r="D1266" t="s">
        <v>23</v>
      </c>
      <c r="E1266">
        <v>38</v>
      </c>
      <c r="F1266" t="s">
        <v>62</v>
      </c>
      <c r="G1266" t="s">
        <v>42</v>
      </c>
      <c r="H1266" t="s">
        <v>54</v>
      </c>
      <c r="I1266" t="s">
        <v>68</v>
      </c>
      <c r="J1266" t="s">
        <v>121</v>
      </c>
      <c r="K1266">
        <v>1</v>
      </c>
      <c r="L1266" t="s">
        <v>84</v>
      </c>
      <c r="M1266">
        <v>38000</v>
      </c>
      <c r="N1266">
        <v>11.9</v>
      </c>
      <c r="O1266">
        <v>6.3</v>
      </c>
      <c r="P1266">
        <v>2.2000000000000002</v>
      </c>
      <c r="Q1266">
        <v>0.8</v>
      </c>
      <c r="R1266">
        <v>3</v>
      </c>
      <c r="S1266">
        <v>3</v>
      </c>
      <c r="T1266">
        <v>4</v>
      </c>
      <c r="U1266" t="s">
        <v>23</v>
      </c>
      <c r="V1266">
        <v>3</v>
      </c>
      <c r="W1266">
        <f>COUNTIF($A$2:A1266,A1266)</f>
        <v>1</v>
      </c>
    </row>
    <row r="1267" spans="1:23" x14ac:dyDescent="0.35">
      <c r="A1267" t="s">
        <v>1310</v>
      </c>
      <c r="B1267" s="2">
        <v>43201</v>
      </c>
      <c r="D1267" t="s">
        <v>23</v>
      </c>
      <c r="E1267">
        <v>48</v>
      </c>
      <c r="F1267" t="s">
        <v>24</v>
      </c>
      <c r="G1267" t="s">
        <v>37</v>
      </c>
      <c r="H1267" t="s">
        <v>58</v>
      </c>
      <c r="I1267" t="s">
        <v>27</v>
      </c>
      <c r="J1267" t="s">
        <v>95</v>
      </c>
      <c r="K1267">
        <v>2</v>
      </c>
      <c r="L1267" t="s">
        <v>66</v>
      </c>
      <c r="M1267">
        <v>44000</v>
      </c>
      <c r="N1267">
        <v>15.5</v>
      </c>
      <c r="O1267">
        <v>10.3</v>
      </c>
      <c r="P1267">
        <v>7.7</v>
      </c>
      <c r="Q1267">
        <v>1.4</v>
      </c>
      <c r="R1267">
        <v>4</v>
      </c>
      <c r="S1267">
        <v>2</v>
      </c>
      <c r="T1267">
        <v>4</v>
      </c>
      <c r="U1267" t="s">
        <v>30</v>
      </c>
      <c r="V1267">
        <v>3</v>
      </c>
      <c r="W1267">
        <f>COUNTIF($A$2:A1267,A1267)</f>
        <v>1</v>
      </c>
    </row>
    <row r="1268" spans="1:23" x14ac:dyDescent="0.35">
      <c r="A1268" t="s">
        <v>1293</v>
      </c>
      <c r="B1268" s="2">
        <v>42127</v>
      </c>
      <c r="D1268" t="s">
        <v>23</v>
      </c>
      <c r="E1268">
        <v>36</v>
      </c>
      <c r="F1268" t="s">
        <v>36</v>
      </c>
      <c r="G1268" t="s">
        <v>37</v>
      </c>
      <c r="H1268" t="s">
        <v>26</v>
      </c>
      <c r="I1268" t="s">
        <v>55</v>
      </c>
      <c r="J1268" t="s">
        <v>56</v>
      </c>
      <c r="K1268">
        <v>2</v>
      </c>
      <c r="L1268" t="s">
        <v>84</v>
      </c>
      <c r="M1268">
        <v>46000</v>
      </c>
      <c r="N1268">
        <v>8.3000000000000007</v>
      </c>
      <c r="O1268">
        <v>11.7</v>
      </c>
      <c r="P1268">
        <v>10.7</v>
      </c>
      <c r="Q1268">
        <v>3.9</v>
      </c>
      <c r="R1268">
        <v>2</v>
      </c>
      <c r="S1268">
        <v>3</v>
      </c>
      <c r="T1268">
        <v>4</v>
      </c>
      <c r="U1268" t="s">
        <v>23</v>
      </c>
      <c r="V1268">
        <v>2</v>
      </c>
      <c r="W1268">
        <f>COUNTIF($A$2:A1268,A1268)</f>
        <v>1</v>
      </c>
    </row>
    <row r="1269" spans="1:23" x14ac:dyDescent="0.35">
      <c r="A1269" t="s">
        <v>436</v>
      </c>
      <c r="B1269" s="2">
        <v>45265</v>
      </c>
      <c r="D1269" t="s">
        <v>23</v>
      </c>
      <c r="E1269">
        <v>39</v>
      </c>
      <c r="F1269" t="s">
        <v>36</v>
      </c>
      <c r="G1269" t="s">
        <v>37</v>
      </c>
      <c r="H1269" t="s">
        <v>58</v>
      </c>
      <c r="I1269" t="s">
        <v>59</v>
      </c>
      <c r="J1269" t="s">
        <v>60</v>
      </c>
      <c r="K1269">
        <v>2</v>
      </c>
      <c r="L1269" t="s">
        <v>29</v>
      </c>
      <c r="M1269">
        <v>61000</v>
      </c>
      <c r="N1269">
        <v>0.7</v>
      </c>
      <c r="O1269">
        <v>5.3</v>
      </c>
      <c r="P1269">
        <v>2.1</v>
      </c>
      <c r="Q1269">
        <v>0.9</v>
      </c>
      <c r="R1269">
        <v>4</v>
      </c>
      <c r="S1269">
        <v>3</v>
      </c>
      <c r="T1269">
        <v>3</v>
      </c>
      <c r="U1269" t="s">
        <v>23</v>
      </c>
      <c r="V1269">
        <v>2</v>
      </c>
      <c r="W1269">
        <f>COUNTIF($A$2:A1269,A1269)</f>
        <v>1</v>
      </c>
    </row>
    <row r="1270" spans="1:23" x14ac:dyDescent="0.35">
      <c r="A1270" t="s">
        <v>550</v>
      </c>
      <c r="B1270" s="2">
        <v>44302</v>
      </c>
      <c r="D1270" t="s">
        <v>23</v>
      </c>
      <c r="E1270">
        <v>41</v>
      </c>
      <c r="F1270" t="s">
        <v>62</v>
      </c>
      <c r="G1270" t="s">
        <v>25</v>
      </c>
      <c r="H1270" t="s">
        <v>26</v>
      </c>
      <c r="I1270" t="s">
        <v>59</v>
      </c>
      <c r="J1270" t="s">
        <v>86</v>
      </c>
      <c r="K1270">
        <v>1</v>
      </c>
      <c r="L1270" t="s">
        <v>50</v>
      </c>
      <c r="M1270">
        <v>31000</v>
      </c>
      <c r="N1270">
        <v>11.9</v>
      </c>
      <c r="O1270">
        <v>9.9</v>
      </c>
      <c r="P1270">
        <v>4.7</v>
      </c>
      <c r="Q1270">
        <v>2.6</v>
      </c>
      <c r="R1270">
        <v>3</v>
      </c>
      <c r="S1270">
        <v>2</v>
      </c>
      <c r="T1270">
        <v>2</v>
      </c>
      <c r="U1270" t="s">
        <v>23</v>
      </c>
      <c r="V1270">
        <v>2</v>
      </c>
      <c r="W1270">
        <f>COUNTIF($A$2:A1270,A1270)</f>
        <v>1</v>
      </c>
    </row>
    <row r="1271" spans="1:23" x14ac:dyDescent="0.35">
      <c r="A1271" t="s">
        <v>161</v>
      </c>
      <c r="B1271" s="2">
        <v>45242</v>
      </c>
      <c r="D1271" t="s">
        <v>23</v>
      </c>
      <c r="E1271">
        <v>35</v>
      </c>
      <c r="F1271" t="s">
        <v>62</v>
      </c>
      <c r="G1271" t="s">
        <v>37</v>
      </c>
      <c r="H1271" t="s">
        <v>58</v>
      </c>
      <c r="I1271" t="s">
        <v>68</v>
      </c>
      <c r="J1271" t="s">
        <v>109</v>
      </c>
      <c r="K1271">
        <v>3</v>
      </c>
      <c r="L1271" t="s">
        <v>66</v>
      </c>
      <c r="M1271">
        <v>74000</v>
      </c>
      <c r="N1271">
        <v>4.0999999999999996</v>
      </c>
      <c r="O1271">
        <v>2.9</v>
      </c>
      <c r="P1271">
        <v>2.1</v>
      </c>
      <c r="Q1271">
        <v>1.7</v>
      </c>
      <c r="R1271">
        <v>2</v>
      </c>
      <c r="S1271">
        <v>4</v>
      </c>
      <c r="T1271">
        <v>3</v>
      </c>
      <c r="U1271" t="s">
        <v>23</v>
      </c>
      <c r="V1271">
        <v>3</v>
      </c>
      <c r="W1271">
        <f>COUNTIF($A$2:A1271,A1271)</f>
        <v>1</v>
      </c>
    </row>
    <row r="1272" spans="1:23" x14ac:dyDescent="0.35">
      <c r="A1272" t="s">
        <v>1437</v>
      </c>
      <c r="B1272" s="2">
        <v>43623</v>
      </c>
      <c r="C1272" s="2">
        <v>45956</v>
      </c>
      <c r="D1272" t="s">
        <v>30</v>
      </c>
      <c r="E1272">
        <v>38</v>
      </c>
      <c r="F1272" t="s">
        <v>36</v>
      </c>
      <c r="G1272" t="s">
        <v>37</v>
      </c>
      <c r="H1272" t="s">
        <v>26</v>
      </c>
      <c r="I1272" t="s">
        <v>55</v>
      </c>
      <c r="J1272" t="s">
        <v>80</v>
      </c>
      <c r="K1272">
        <v>3</v>
      </c>
      <c r="L1272" t="s">
        <v>50</v>
      </c>
      <c r="M1272">
        <v>90000</v>
      </c>
      <c r="N1272">
        <v>8.4</v>
      </c>
      <c r="O1272">
        <v>7.3</v>
      </c>
      <c r="P1272">
        <v>6.4</v>
      </c>
      <c r="Q1272">
        <v>2</v>
      </c>
      <c r="R1272">
        <v>3</v>
      </c>
      <c r="S1272">
        <v>3</v>
      </c>
      <c r="T1272">
        <v>1</v>
      </c>
      <c r="U1272" t="s">
        <v>23</v>
      </c>
      <c r="V1272">
        <v>3</v>
      </c>
      <c r="W1272">
        <f>COUNTIF($A$2:A1272,A1272)</f>
        <v>1</v>
      </c>
    </row>
    <row r="1273" spans="1:23" x14ac:dyDescent="0.35">
      <c r="A1273" t="s">
        <v>1353</v>
      </c>
      <c r="B1273" s="2">
        <v>42286</v>
      </c>
      <c r="D1273" t="s">
        <v>23</v>
      </c>
      <c r="E1273">
        <v>31</v>
      </c>
      <c r="F1273" t="s">
        <v>62</v>
      </c>
      <c r="G1273" t="s">
        <v>42</v>
      </c>
      <c r="H1273" t="s">
        <v>58</v>
      </c>
      <c r="I1273" t="s">
        <v>59</v>
      </c>
      <c r="J1273" t="s">
        <v>60</v>
      </c>
      <c r="K1273">
        <v>2</v>
      </c>
      <c r="L1273" t="s">
        <v>34</v>
      </c>
      <c r="M1273">
        <v>61000</v>
      </c>
      <c r="N1273">
        <v>7.7</v>
      </c>
      <c r="O1273">
        <v>14.1</v>
      </c>
      <c r="P1273">
        <v>10.199999999999999</v>
      </c>
      <c r="Q1273">
        <v>5</v>
      </c>
      <c r="R1273">
        <v>3</v>
      </c>
      <c r="S1273">
        <v>3</v>
      </c>
      <c r="T1273">
        <v>4</v>
      </c>
      <c r="U1273" t="s">
        <v>23</v>
      </c>
      <c r="V1273">
        <v>5</v>
      </c>
      <c r="W1273">
        <f>COUNTIF($A$2:A1273,A1273)</f>
        <v>1</v>
      </c>
    </row>
    <row r="1274" spans="1:23" x14ac:dyDescent="0.35">
      <c r="A1274" t="s">
        <v>354</v>
      </c>
      <c r="B1274" s="2">
        <v>45405</v>
      </c>
      <c r="D1274" t="s">
        <v>23</v>
      </c>
      <c r="E1274">
        <v>38</v>
      </c>
      <c r="F1274" t="s">
        <v>24</v>
      </c>
      <c r="G1274" t="s">
        <v>37</v>
      </c>
      <c r="H1274" t="s">
        <v>32</v>
      </c>
      <c r="I1274" t="s">
        <v>45</v>
      </c>
      <c r="J1274" t="s">
        <v>77</v>
      </c>
      <c r="K1274">
        <v>3</v>
      </c>
      <c r="L1274" t="s">
        <v>50</v>
      </c>
      <c r="M1274">
        <v>70000</v>
      </c>
      <c r="N1274">
        <v>9.1</v>
      </c>
      <c r="O1274">
        <v>3.1</v>
      </c>
      <c r="P1274">
        <v>1.7</v>
      </c>
      <c r="Q1274">
        <v>1</v>
      </c>
      <c r="R1274">
        <v>2</v>
      </c>
      <c r="S1274">
        <v>3</v>
      </c>
      <c r="T1274">
        <v>3</v>
      </c>
      <c r="U1274" t="s">
        <v>23</v>
      </c>
      <c r="V1274">
        <v>2</v>
      </c>
      <c r="W1274">
        <f>COUNTIF($A$2:A1274,A1274)</f>
        <v>1</v>
      </c>
    </row>
    <row r="1275" spans="1:23" x14ac:dyDescent="0.35">
      <c r="A1275" t="s">
        <v>1102</v>
      </c>
      <c r="B1275" s="2">
        <v>45216</v>
      </c>
      <c r="D1275" t="s">
        <v>23</v>
      </c>
      <c r="E1275">
        <v>33</v>
      </c>
      <c r="F1275" t="s">
        <v>62</v>
      </c>
      <c r="G1275" t="s">
        <v>37</v>
      </c>
      <c r="H1275" t="s">
        <v>26</v>
      </c>
      <c r="I1275" t="s">
        <v>68</v>
      </c>
      <c r="J1275" t="s">
        <v>102</v>
      </c>
      <c r="K1275">
        <v>1</v>
      </c>
      <c r="L1275" t="s">
        <v>34</v>
      </c>
      <c r="M1275">
        <v>36000</v>
      </c>
      <c r="N1275">
        <v>4.3</v>
      </c>
      <c r="O1275">
        <v>4.5</v>
      </c>
      <c r="P1275">
        <v>2.2000000000000002</v>
      </c>
      <c r="Q1275">
        <v>1.1000000000000001</v>
      </c>
      <c r="R1275">
        <v>2</v>
      </c>
      <c r="S1275">
        <v>3</v>
      </c>
      <c r="T1275">
        <v>4</v>
      </c>
      <c r="U1275" t="s">
        <v>30</v>
      </c>
      <c r="V1275">
        <v>4</v>
      </c>
      <c r="W1275">
        <f>COUNTIF($A$2:A1275,A1275)</f>
        <v>1</v>
      </c>
    </row>
    <row r="1276" spans="1:23" x14ac:dyDescent="0.35">
      <c r="A1276" t="s">
        <v>390</v>
      </c>
      <c r="B1276" s="2">
        <v>42664</v>
      </c>
      <c r="D1276" t="s">
        <v>23</v>
      </c>
      <c r="E1276">
        <v>37</v>
      </c>
      <c r="F1276" t="s">
        <v>62</v>
      </c>
      <c r="G1276" t="s">
        <v>25</v>
      </c>
      <c r="H1276" t="s">
        <v>26</v>
      </c>
      <c r="I1276" t="s">
        <v>59</v>
      </c>
      <c r="J1276" t="s">
        <v>60</v>
      </c>
      <c r="K1276">
        <v>2</v>
      </c>
      <c r="L1276" t="s">
        <v>50</v>
      </c>
      <c r="M1276">
        <v>38000</v>
      </c>
      <c r="N1276">
        <v>9.8000000000000007</v>
      </c>
      <c r="O1276">
        <v>13.8</v>
      </c>
      <c r="P1276">
        <v>9.1999999999999993</v>
      </c>
      <c r="Q1276">
        <v>3.2</v>
      </c>
      <c r="R1276">
        <v>3</v>
      </c>
      <c r="S1276">
        <v>3</v>
      </c>
      <c r="T1276">
        <v>3</v>
      </c>
      <c r="U1276" t="s">
        <v>23</v>
      </c>
      <c r="V1276">
        <v>3</v>
      </c>
      <c r="W1276">
        <f>COUNTIF($A$2:A1276,A1276)</f>
        <v>1</v>
      </c>
    </row>
    <row r="1277" spans="1:23" x14ac:dyDescent="0.35">
      <c r="A1277" t="s">
        <v>970</v>
      </c>
      <c r="B1277" s="2">
        <v>45823</v>
      </c>
      <c r="C1277" s="2">
        <v>45884</v>
      </c>
      <c r="D1277" t="s">
        <v>30</v>
      </c>
      <c r="E1277">
        <v>33</v>
      </c>
      <c r="F1277" t="s">
        <v>24</v>
      </c>
      <c r="G1277" t="s">
        <v>37</v>
      </c>
      <c r="H1277" t="s">
        <v>26</v>
      </c>
      <c r="I1277" t="s">
        <v>55</v>
      </c>
      <c r="J1277" t="s">
        <v>80</v>
      </c>
      <c r="K1277">
        <v>2</v>
      </c>
      <c r="L1277" t="s">
        <v>84</v>
      </c>
      <c r="M1277">
        <v>71000</v>
      </c>
      <c r="N1277">
        <v>10.3</v>
      </c>
      <c r="O1277">
        <v>2.9</v>
      </c>
      <c r="P1277">
        <v>0.2</v>
      </c>
      <c r="Q1277">
        <v>0</v>
      </c>
      <c r="R1277">
        <v>2</v>
      </c>
      <c r="S1277">
        <v>2</v>
      </c>
      <c r="T1277">
        <v>3</v>
      </c>
      <c r="U1277" t="s">
        <v>23</v>
      </c>
      <c r="V1277">
        <v>4</v>
      </c>
      <c r="W1277">
        <f>COUNTIF($A$2:A1277,A1277)</f>
        <v>1</v>
      </c>
    </row>
    <row r="1278" spans="1:23" x14ac:dyDescent="0.35">
      <c r="A1278" t="s">
        <v>1083</v>
      </c>
      <c r="B1278" s="2">
        <v>45233</v>
      </c>
      <c r="D1278" t="s">
        <v>23</v>
      </c>
      <c r="E1278">
        <v>26</v>
      </c>
      <c r="F1278" t="s">
        <v>36</v>
      </c>
      <c r="G1278" t="s">
        <v>25</v>
      </c>
      <c r="H1278" t="s">
        <v>32</v>
      </c>
      <c r="I1278" t="s">
        <v>45</v>
      </c>
      <c r="J1278" t="s">
        <v>164</v>
      </c>
      <c r="K1278">
        <v>1</v>
      </c>
      <c r="L1278" t="s">
        <v>29</v>
      </c>
      <c r="M1278">
        <v>33000</v>
      </c>
      <c r="N1278">
        <v>9.3000000000000007</v>
      </c>
      <c r="O1278">
        <v>4</v>
      </c>
      <c r="P1278">
        <v>2.2000000000000002</v>
      </c>
      <c r="Q1278">
        <v>1.6</v>
      </c>
      <c r="R1278">
        <v>2</v>
      </c>
      <c r="S1278">
        <v>4</v>
      </c>
      <c r="T1278">
        <v>3</v>
      </c>
      <c r="U1278" t="s">
        <v>30</v>
      </c>
      <c r="V1278">
        <v>2</v>
      </c>
      <c r="W1278">
        <f>COUNTIF($A$2:A1278,A1278)</f>
        <v>1</v>
      </c>
    </row>
    <row r="1279" spans="1:23" x14ac:dyDescent="0.35">
      <c r="A1279" t="s">
        <v>583</v>
      </c>
      <c r="B1279" s="2">
        <v>44212</v>
      </c>
      <c r="D1279" t="s">
        <v>23</v>
      </c>
      <c r="E1279">
        <v>40</v>
      </c>
      <c r="F1279" t="s">
        <v>24</v>
      </c>
      <c r="G1279" t="s">
        <v>25</v>
      </c>
      <c r="H1279" t="s">
        <v>54</v>
      </c>
      <c r="I1279" t="s">
        <v>59</v>
      </c>
      <c r="J1279" t="s">
        <v>75</v>
      </c>
      <c r="K1279">
        <v>1</v>
      </c>
      <c r="L1279" t="s">
        <v>29</v>
      </c>
      <c r="M1279">
        <v>54000</v>
      </c>
      <c r="N1279">
        <v>8.9</v>
      </c>
      <c r="O1279">
        <v>8.4</v>
      </c>
      <c r="P1279">
        <v>5</v>
      </c>
      <c r="Q1279">
        <v>1.2</v>
      </c>
      <c r="R1279">
        <v>2</v>
      </c>
      <c r="S1279">
        <v>2</v>
      </c>
      <c r="T1279">
        <v>4</v>
      </c>
      <c r="U1279" t="s">
        <v>23</v>
      </c>
      <c r="V1279">
        <v>5</v>
      </c>
      <c r="W1279">
        <f>COUNTIF($A$2:A1279,A1279)</f>
        <v>1</v>
      </c>
    </row>
    <row r="1280" spans="1:23" x14ac:dyDescent="0.35">
      <c r="A1280" t="s">
        <v>1421</v>
      </c>
      <c r="B1280" s="2">
        <v>43846</v>
      </c>
      <c r="D1280" t="s">
        <v>23</v>
      </c>
      <c r="E1280">
        <v>34</v>
      </c>
      <c r="F1280" t="s">
        <v>36</v>
      </c>
      <c r="G1280" t="s">
        <v>37</v>
      </c>
      <c r="H1280" t="s">
        <v>54</v>
      </c>
      <c r="I1280" t="s">
        <v>59</v>
      </c>
      <c r="J1280" t="s">
        <v>86</v>
      </c>
      <c r="K1280">
        <v>2</v>
      </c>
      <c r="L1280" t="s">
        <v>34</v>
      </c>
      <c r="M1280">
        <v>45000</v>
      </c>
      <c r="N1280">
        <v>1.7</v>
      </c>
      <c r="O1280">
        <v>6.9</v>
      </c>
      <c r="P1280">
        <v>6</v>
      </c>
      <c r="Q1280">
        <v>3.8</v>
      </c>
      <c r="R1280">
        <v>2</v>
      </c>
      <c r="S1280">
        <v>3</v>
      </c>
      <c r="T1280">
        <v>4</v>
      </c>
      <c r="U1280" t="s">
        <v>23</v>
      </c>
      <c r="V1280">
        <v>4</v>
      </c>
      <c r="W1280">
        <f>COUNTIF($A$2:A1280,A1280)</f>
        <v>1</v>
      </c>
    </row>
    <row r="1281" spans="1:23" x14ac:dyDescent="0.35">
      <c r="A1281" t="s">
        <v>1038</v>
      </c>
      <c r="B1281" s="2">
        <v>45485</v>
      </c>
      <c r="C1281" s="2">
        <v>45696</v>
      </c>
      <c r="D1281" t="s">
        <v>30</v>
      </c>
      <c r="E1281">
        <v>23</v>
      </c>
      <c r="F1281" t="s">
        <v>62</v>
      </c>
      <c r="G1281" t="s">
        <v>37</v>
      </c>
      <c r="H1281" t="s">
        <v>26</v>
      </c>
      <c r="I1281" t="s">
        <v>38</v>
      </c>
      <c r="J1281" t="s">
        <v>139</v>
      </c>
      <c r="K1281">
        <v>1</v>
      </c>
      <c r="L1281" t="s">
        <v>29</v>
      </c>
      <c r="M1281">
        <v>53000</v>
      </c>
      <c r="N1281">
        <v>8.5</v>
      </c>
      <c r="O1281">
        <v>2.1</v>
      </c>
      <c r="P1281">
        <v>0.6</v>
      </c>
      <c r="Q1281">
        <v>0</v>
      </c>
      <c r="R1281">
        <v>4</v>
      </c>
      <c r="S1281">
        <v>4</v>
      </c>
      <c r="T1281">
        <v>2</v>
      </c>
      <c r="U1281" t="s">
        <v>23</v>
      </c>
      <c r="V1281">
        <v>3</v>
      </c>
      <c r="W1281">
        <f>COUNTIF($A$2:A1281,A1281)</f>
        <v>1</v>
      </c>
    </row>
    <row r="1282" spans="1:23" x14ac:dyDescent="0.35">
      <c r="A1282" t="s">
        <v>153</v>
      </c>
      <c r="B1282" s="2">
        <v>45114</v>
      </c>
      <c r="C1282" s="2">
        <v>45902</v>
      </c>
      <c r="D1282" t="s">
        <v>30</v>
      </c>
      <c r="E1282">
        <v>39</v>
      </c>
      <c r="F1282" t="s">
        <v>36</v>
      </c>
      <c r="G1282" t="s">
        <v>42</v>
      </c>
      <c r="H1282" t="s">
        <v>54</v>
      </c>
      <c r="I1282" t="s">
        <v>27</v>
      </c>
      <c r="J1282" t="s">
        <v>95</v>
      </c>
      <c r="K1282">
        <v>2</v>
      </c>
      <c r="L1282" t="s">
        <v>50</v>
      </c>
      <c r="M1282">
        <v>41000</v>
      </c>
      <c r="N1282">
        <v>5.9</v>
      </c>
      <c r="O1282">
        <v>4.8</v>
      </c>
      <c r="P1282">
        <v>2.2000000000000002</v>
      </c>
      <c r="Q1282">
        <v>2.1</v>
      </c>
      <c r="R1282">
        <v>3</v>
      </c>
      <c r="S1282">
        <v>3</v>
      </c>
      <c r="T1282">
        <v>3</v>
      </c>
      <c r="U1282" t="s">
        <v>23</v>
      </c>
      <c r="V1282">
        <v>3</v>
      </c>
      <c r="W1282">
        <f>COUNTIF($A$2:A1282,A1282)</f>
        <v>1</v>
      </c>
    </row>
    <row r="1283" spans="1:23" x14ac:dyDescent="0.35">
      <c r="A1283" t="s">
        <v>318</v>
      </c>
      <c r="B1283" s="2">
        <v>43224</v>
      </c>
      <c r="C1283" s="2">
        <v>45933</v>
      </c>
      <c r="D1283" t="s">
        <v>30</v>
      </c>
      <c r="E1283">
        <v>40</v>
      </c>
      <c r="F1283" t="s">
        <v>24</v>
      </c>
      <c r="G1283" t="s">
        <v>42</v>
      </c>
      <c r="H1283" t="s">
        <v>54</v>
      </c>
      <c r="I1283" t="s">
        <v>45</v>
      </c>
      <c r="J1283" t="s">
        <v>164</v>
      </c>
      <c r="K1283">
        <v>2</v>
      </c>
      <c r="L1283" t="s">
        <v>34</v>
      </c>
      <c r="M1283">
        <v>54000</v>
      </c>
      <c r="N1283">
        <v>10</v>
      </c>
      <c r="O1283">
        <v>11.6</v>
      </c>
      <c r="P1283">
        <v>7.4</v>
      </c>
      <c r="Q1283">
        <v>5.0999999999999996</v>
      </c>
      <c r="R1283">
        <v>3</v>
      </c>
      <c r="S1283">
        <v>4</v>
      </c>
      <c r="T1283">
        <v>2</v>
      </c>
      <c r="U1283" t="s">
        <v>23</v>
      </c>
      <c r="V1283">
        <v>2</v>
      </c>
      <c r="W1283">
        <f>COUNTIF($A$2:A1283,A1283)</f>
        <v>1</v>
      </c>
    </row>
    <row r="1284" spans="1:23" x14ac:dyDescent="0.35">
      <c r="A1284" t="s">
        <v>382</v>
      </c>
      <c r="B1284" s="2">
        <v>42944</v>
      </c>
      <c r="D1284" t="s">
        <v>23</v>
      </c>
      <c r="E1284">
        <v>36</v>
      </c>
      <c r="F1284" t="s">
        <v>62</v>
      </c>
      <c r="H1284" t="s">
        <v>26</v>
      </c>
      <c r="I1284" t="s">
        <v>38</v>
      </c>
      <c r="J1284" t="s">
        <v>52</v>
      </c>
      <c r="K1284">
        <v>4</v>
      </c>
      <c r="L1284" t="s">
        <v>29</v>
      </c>
      <c r="M1284">
        <v>126000</v>
      </c>
      <c r="N1284">
        <v>4.9000000000000004</v>
      </c>
      <c r="O1284">
        <v>12.7</v>
      </c>
      <c r="P1284">
        <v>8.4</v>
      </c>
      <c r="Q1284">
        <v>1.5</v>
      </c>
      <c r="R1284">
        <v>3</v>
      </c>
      <c r="S1284">
        <v>3</v>
      </c>
      <c r="T1284">
        <v>3</v>
      </c>
      <c r="U1284" t="s">
        <v>23</v>
      </c>
      <c r="V1284">
        <v>3</v>
      </c>
      <c r="W1284">
        <f>COUNTIF($A$2:A1284,A1284)</f>
        <v>1</v>
      </c>
    </row>
    <row r="1285" spans="1:23" x14ac:dyDescent="0.35">
      <c r="A1285" t="s">
        <v>624</v>
      </c>
      <c r="B1285" s="2">
        <v>44709</v>
      </c>
      <c r="D1285" t="s">
        <v>23</v>
      </c>
      <c r="E1285">
        <v>25</v>
      </c>
      <c r="F1285" t="s">
        <v>24</v>
      </c>
      <c r="G1285" t="s">
        <v>42</v>
      </c>
      <c r="H1285" t="s">
        <v>54</v>
      </c>
      <c r="I1285" t="s">
        <v>59</v>
      </c>
      <c r="J1285" t="s">
        <v>86</v>
      </c>
      <c r="K1285">
        <v>1</v>
      </c>
      <c r="L1285" t="s">
        <v>40</v>
      </c>
      <c r="M1285">
        <v>34000</v>
      </c>
      <c r="N1285">
        <v>7.1</v>
      </c>
      <c r="O1285">
        <v>7.9</v>
      </c>
      <c r="P1285">
        <v>3.6</v>
      </c>
      <c r="Q1285">
        <v>2.7</v>
      </c>
      <c r="R1285">
        <v>3</v>
      </c>
      <c r="S1285">
        <v>3</v>
      </c>
      <c r="T1285">
        <v>3</v>
      </c>
      <c r="U1285" t="s">
        <v>23</v>
      </c>
      <c r="V1285">
        <v>4</v>
      </c>
      <c r="W1285">
        <f>COUNTIF($A$2:A1285,A1285)</f>
        <v>1</v>
      </c>
    </row>
    <row r="1286" spans="1:23" x14ac:dyDescent="0.35">
      <c r="A1286" t="s">
        <v>1583</v>
      </c>
      <c r="B1286" s="2">
        <v>44958</v>
      </c>
      <c r="D1286" t="s">
        <v>23</v>
      </c>
      <c r="E1286">
        <v>33</v>
      </c>
      <c r="F1286" t="s">
        <v>36</v>
      </c>
      <c r="G1286" t="s">
        <v>42</v>
      </c>
      <c r="H1286" t="s">
        <v>54</v>
      </c>
      <c r="I1286" t="s">
        <v>68</v>
      </c>
      <c r="J1286" t="s">
        <v>109</v>
      </c>
      <c r="K1286">
        <v>2</v>
      </c>
      <c r="M1286">
        <v>40000</v>
      </c>
      <c r="N1286">
        <v>8.5</v>
      </c>
      <c r="O1286">
        <v>9</v>
      </c>
      <c r="P1286">
        <v>2.9</v>
      </c>
      <c r="Q1286">
        <v>2.1</v>
      </c>
      <c r="R1286">
        <v>3</v>
      </c>
      <c r="S1286">
        <v>4</v>
      </c>
      <c r="T1286">
        <v>3</v>
      </c>
      <c r="U1286" t="s">
        <v>30</v>
      </c>
      <c r="V1286">
        <v>4</v>
      </c>
      <c r="W1286">
        <f>COUNTIF($A$2:A1286,A1286)</f>
        <v>1</v>
      </c>
    </row>
    <row r="1287" spans="1:23" x14ac:dyDescent="0.35">
      <c r="A1287" t="s">
        <v>1459</v>
      </c>
      <c r="B1287" s="2">
        <v>41689</v>
      </c>
      <c r="D1287" t="s">
        <v>23</v>
      </c>
      <c r="E1287">
        <v>45</v>
      </c>
      <c r="F1287" t="s">
        <v>62</v>
      </c>
      <c r="G1287" t="s">
        <v>25</v>
      </c>
      <c r="H1287" t="s">
        <v>54</v>
      </c>
      <c r="I1287" t="s">
        <v>59</v>
      </c>
      <c r="J1287" t="s">
        <v>60</v>
      </c>
      <c r="K1287">
        <v>2</v>
      </c>
      <c r="L1287" t="s">
        <v>84</v>
      </c>
      <c r="M1287">
        <v>46000</v>
      </c>
      <c r="N1287">
        <v>2.7</v>
      </c>
      <c r="O1287">
        <v>15</v>
      </c>
      <c r="P1287">
        <v>11.9</v>
      </c>
      <c r="Q1287">
        <v>0.1</v>
      </c>
      <c r="R1287">
        <v>4</v>
      </c>
      <c r="S1287">
        <v>1</v>
      </c>
      <c r="T1287">
        <v>4</v>
      </c>
      <c r="U1287" t="s">
        <v>23</v>
      </c>
      <c r="V1287">
        <v>3</v>
      </c>
      <c r="W1287">
        <f>COUNTIF($A$2:A1287,A1287)</f>
        <v>1</v>
      </c>
    </row>
    <row r="1288" spans="1:23" x14ac:dyDescent="0.35">
      <c r="A1288" t="s">
        <v>1409</v>
      </c>
      <c r="B1288" s="2">
        <v>45237</v>
      </c>
      <c r="D1288" t="s">
        <v>23</v>
      </c>
      <c r="E1288">
        <v>23</v>
      </c>
      <c r="F1288" t="s">
        <v>36</v>
      </c>
      <c r="G1288" t="s">
        <v>42</v>
      </c>
      <c r="H1288" t="s">
        <v>32</v>
      </c>
      <c r="I1288" t="s">
        <v>27</v>
      </c>
      <c r="J1288" t="s">
        <v>28</v>
      </c>
      <c r="K1288">
        <v>1</v>
      </c>
      <c r="L1288" t="s">
        <v>84</v>
      </c>
      <c r="M1288">
        <v>28000</v>
      </c>
      <c r="N1288">
        <v>8</v>
      </c>
      <c r="O1288">
        <v>9.8000000000000007</v>
      </c>
      <c r="P1288">
        <v>2.1</v>
      </c>
      <c r="Q1288">
        <v>0.4</v>
      </c>
      <c r="R1288">
        <v>3</v>
      </c>
      <c r="S1288">
        <v>3</v>
      </c>
      <c r="T1288">
        <v>3</v>
      </c>
      <c r="U1288" t="s">
        <v>23</v>
      </c>
      <c r="V1288">
        <v>3</v>
      </c>
      <c r="W1288">
        <f>COUNTIF($A$2:A1288,A1288)</f>
        <v>1</v>
      </c>
    </row>
    <row r="1289" spans="1:23" x14ac:dyDescent="0.35">
      <c r="A1289" t="s">
        <v>1546</v>
      </c>
      <c r="B1289" s="2">
        <v>43221</v>
      </c>
      <c r="D1289" t="s">
        <v>23</v>
      </c>
      <c r="E1289">
        <v>38</v>
      </c>
      <c r="F1289" t="s">
        <v>36</v>
      </c>
      <c r="G1289" t="s">
        <v>42</v>
      </c>
      <c r="H1289" t="s">
        <v>26</v>
      </c>
      <c r="I1289" t="s">
        <v>59</v>
      </c>
      <c r="J1289" t="s">
        <v>60</v>
      </c>
      <c r="K1289">
        <v>3</v>
      </c>
      <c r="L1289" t="s">
        <v>66</v>
      </c>
      <c r="M1289">
        <v>69000</v>
      </c>
      <c r="N1289">
        <v>7.9</v>
      </c>
      <c r="O1289">
        <v>11.9</v>
      </c>
      <c r="P1289">
        <v>7.7</v>
      </c>
      <c r="Q1289">
        <v>6</v>
      </c>
      <c r="R1289">
        <v>4</v>
      </c>
      <c r="S1289">
        <v>3</v>
      </c>
      <c r="T1289">
        <v>3</v>
      </c>
      <c r="U1289" t="s">
        <v>30</v>
      </c>
      <c r="V1289">
        <v>1</v>
      </c>
      <c r="W1289">
        <f>COUNTIF($A$2:A1289,A1289)</f>
        <v>1</v>
      </c>
    </row>
    <row r="1290" spans="1:23" x14ac:dyDescent="0.35">
      <c r="A1290" t="s">
        <v>762</v>
      </c>
      <c r="B1290" s="2">
        <v>44517</v>
      </c>
      <c r="D1290" t="s">
        <v>23</v>
      </c>
      <c r="E1290">
        <v>34</v>
      </c>
      <c r="F1290" t="s">
        <v>62</v>
      </c>
      <c r="G1290" t="s">
        <v>37</v>
      </c>
      <c r="H1290" t="s">
        <v>26</v>
      </c>
      <c r="I1290" t="s">
        <v>55</v>
      </c>
      <c r="J1290" t="s">
        <v>80</v>
      </c>
      <c r="K1290">
        <v>4</v>
      </c>
      <c r="L1290" t="s">
        <v>66</v>
      </c>
      <c r="M1290">
        <v>130000</v>
      </c>
      <c r="N1290">
        <v>10.7</v>
      </c>
      <c r="O1290">
        <v>5.4</v>
      </c>
      <c r="P1290">
        <v>4.0999999999999996</v>
      </c>
      <c r="Q1290">
        <v>0.6</v>
      </c>
      <c r="R1290">
        <v>4</v>
      </c>
      <c r="S1290">
        <v>3</v>
      </c>
      <c r="T1290">
        <v>3</v>
      </c>
      <c r="U1290" t="s">
        <v>30</v>
      </c>
      <c r="V1290">
        <v>3</v>
      </c>
      <c r="W1290">
        <f>COUNTIF($A$2:A1290,A1290)</f>
        <v>1</v>
      </c>
    </row>
    <row r="1291" spans="1:23" x14ac:dyDescent="0.35">
      <c r="A1291" t="s">
        <v>195</v>
      </c>
      <c r="B1291" s="2">
        <v>44833</v>
      </c>
      <c r="C1291" s="2">
        <v>45934</v>
      </c>
      <c r="D1291" t="s">
        <v>30</v>
      </c>
      <c r="E1291">
        <v>36</v>
      </c>
      <c r="F1291" t="s">
        <v>62</v>
      </c>
      <c r="G1291" t="s">
        <v>25</v>
      </c>
      <c r="H1291" t="s">
        <v>32</v>
      </c>
      <c r="I1291" t="s">
        <v>55</v>
      </c>
      <c r="J1291" t="s">
        <v>88</v>
      </c>
      <c r="K1291">
        <v>3</v>
      </c>
      <c r="L1291" t="s">
        <v>66</v>
      </c>
      <c r="M1291">
        <v>94000</v>
      </c>
      <c r="N1291">
        <v>2.7</v>
      </c>
      <c r="O1291">
        <v>7.6</v>
      </c>
      <c r="P1291">
        <v>3</v>
      </c>
      <c r="Q1291">
        <v>0.6</v>
      </c>
      <c r="R1291">
        <v>4</v>
      </c>
      <c r="S1291">
        <v>3</v>
      </c>
      <c r="T1291">
        <v>1</v>
      </c>
      <c r="U1291" t="s">
        <v>23</v>
      </c>
      <c r="V1291">
        <v>3</v>
      </c>
      <c r="W1291">
        <f>COUNTIF($A$2:A1291,A1291)</f>
        <v>1</v>
      </c>
    </row>
    <row r="1292" spans="1:23" x14ac:dyDescent="0.35">
      <c r="A1292" t="s">
        <v>903</v>
      </c>
      <c r="B1292" s="2">
        <v>42261</v>
      </c>
      <c r="D1292" t="s">
        <v>23</v>
      </c>
      <c r="E1292">
        <v>36</v>
      </c>
      <c r="F1292" t="s">
        <v>24</v>
      </c>
      <c r="G1292" t="s">
        <v>37</v>
      </c>
      <c r="H1292" t="s">
        <v>26</v>
      </c>
      <c r="I1292" t="s">
        <v>27</v>
      </c>
      <c r="J1292" t="s">
        <v>33</v>
      </c>
      <c r="K1292">
        <v>2</v>
      </c>
      <c r="L1292" t="s">
        <v>40</v>
      </c>
      <c r="M1292">
        <v>57000</v>
      </c>
      <c r="N1292">
        <v>6.2</v>
      </c>
      <c r="O1292">
        <v>17.2</v>
      </c>
      <c r="P1292">
        <v>10.3</v>
      </c>
      <c r="Q1292">
        <v>0.1</v>
      </c>
      <c r="R1292">
        <v>3</v>
      </c>
      <c r="S1292">
        <v>4</v>
      </c>
      <c r="T1292">
        <v>3</v>
      </c>
      <c r="U1292" t="s">
        <v>23</v>
      </c>
      <c r="V1292">
        <v>3</v>
      </c>
      <c r="W1292">
        <f>COUNTIF($A$2:A1292,A1292)</f>
        <v>1</v>
      </c>
    </row>
    <row r="1293" spans="1:23" x14ac:dyDescent="0.35">
      <c r="A1293" t="s">
        <v>1285</v>
      </c>
      <c r="B1293" s="2">
        <v>43499</v>
      </c>
      <c r="D1293" t="s">
        <v>23</v>
      </c>
      <c r="E1293">
        <v>29</v>
      </c>
      <c r="F1293" t="s">
        <v>36</v>
      </c>
      <c r="G1293" t="s">
        <v>37</v>
      </c>
      <c r="H1293" t="s">
        <v>58</v>
      </c>
      <c r="I1293" t="s">
        <v>38</v>
      </c>
      <c r="J1293" t="s">
        <v>39</v>
      </c>
      <c r="K1293">
        <v>3</v>
      </c>
      <c r="L1293" t="s">
        <v>66</v>
      </c>
      <c r="M1293">
        <v>91000</v>
      </c>
      <c r="N1293">
        <v>13.1</v>
      </c>
      <c r="O1293">
        <v>11.7</v>
      </c>
      <c r="P1293">
        <v>6.9</v>
      </c>
      <c r="Q1293">
        <v>3.9</v>
      </c>
      <c r="R1293">
        <v>3</v>
      </c>
      <c r="S1293">
        <v>1</v>
      </c>
      <c r="T1293">
        <v>4</v>
      </c>
      <c r="U1293" t="s">
        <v>23</v>
      </c>
      <c r="V1293">
        <v>3</v>
      </c>
      <c r="W1293">
        <f>COUNTIF($A$2:A1293,A1293)</f>
        <v>1</v>
      </c>
    </row>
    <row r="1294" spans="1:23" x14ac:dyDescent="0.35">
      <c r="A1294" t="s">
        <v>1222</v>
      </c>
      <c r="B1294" s="2">
        <v>43071</v>
      </c>
      <c r="D1294" t="s">
        <v>23</v>
      </c>
      <c r="E1294">
        <v>39</v>
      </c>
      <c r="F1294" t="s">
        <v>62</v>
      </c>
      <c r="G1294" t="s">
        <v>42</v>
      </c>
      <c r="H1294" t="s">
        <v>32</v>
      </c>
      <c r="I1294" t="s">
        <v>55</v>
      </c>
      <c r="J1294" t="s">
        <v>80</v>
      </c>
      <c r="K1294">
        <v>5</v>
      </c>
      <c r="L1294" t="s">
        <v>34</v>
      </c>
      <c r="M1294">
        <v>180000</v>
      </c>
      <c r="N1294">
        <v>8.5</v>
      </c>
      <c r="O1294">
        <v>8.5</v>
      </c>
      <c r="P1294">
        <v>8.1</v>
      </c>
      <c r="Q1294">
        <v>4.5999999999999996</v>
      </c>
      <c r="R1294">
        <v>3</v>
      </c>
      <c r="S1294">
        <v>4</v>
      </c>
      <c r="T1294">
        <v>4</v>
      </c>
      <c r="U1294" t="s">
        <v>23</v>
      </c>
      <c r="V1294">
        <v>4</v>
      </c>
      <c r="W1294">
        <f>COUNTIF($A$2:A1294,A1294)</f>
        <v>1</v>
      </c>
    </row>
    <row r="1295" spans="1:23" x14ac:dyDescent="0.35">
      <c r="A1295" t="s">
        <v>1052</v>
      </c>
      <c r="B1295" s="2">
        <v>43216</v>
      </c>
      <c r="D1295" t="s">
        <v>23</v>
      </c>
      <c r="E1295">
        <v>38</v>
      </c>
      <c r="F1295" t="s">
        <v>62</v>
      </c>
      <c r="G1295" t="s">
        <v>25</v>
      </c>
      <c r="H1295" t="s">
        <v>26</v>
      </c>
      <c r="I1295" t="s">
        <v>45</v>
      </c>
      <c r="J1295" t="s">
        <v>164</v>
      </c>
      <c r="K1295">
        <v>1</v>
      </c>
      <c r="L1295" t="s">
        <v>34</v>
      </c>
      <c r="M1295">
        <v>34000</v>
      </c>
      <c r="N1295">
        <v>18.100000000000001</v>
      </c>
      <c r="O1295">
        <v>8.1</v>
      </c>
      <c r="P1295">
        <v>7.7</v>
      </c>
      <c r="Q1295">
        <v>1.6</v>
      </c>
      <c r="R1295">
        <v>3</v>
      </c>
      <c r="S1295">
        <v>3</v>
      </c>
      <c r="T1295">
        <v>4</v>
      </c>
      <c r="U1295" t="s">
        <v>30</v>
      </c>
      <c r="V1295">
        <v>3</v>
      </c>
      <c r="W1295">
        <f>COUNTIF($A$2:A1295,A1295)</f>
        <v>1</v>
      </c>
    </row>
    <row r="1296" spans="1:23" x14ac:dyDescent="0.35">
      <c r="A1296" t="s">
        <v>140</v>
      </c>
      <c r="B1296" s="2">
        <v>41833</v>
      </c>
      <c r="D1296" t="s">
        <v>23</v>
      </c>
      <c r="E1296">
        <v>37</v>
      </c>
      <c r="F1296" t="s">
        <v>24</v>
      </c>
      <c r="G1296" t="s">
        <v>42</v>
      </c>
      <c r="H1296" t="s">
        <v>58</v>
      </c>
      <c r="I1296" t="s">
        <v>48</v>
      </c>
      <c r="J1296" t="s">
        <v>129</v>
      </c>
      <c r="K1296">
        <v>3</v>
      </c>
      <c r="L1296" t="s">
        <v>66</v>
      </c>
      <c r="M1296">
        <v>75000</v>
      </c>
      <c r="N1296">
        <v>5.5</v>
      </c>
      <c r="O1296">
        <v>14.5</v>
      </c>
      <c r="P1296">
        <v>11.5</v>
      </c>
      <c r="Q1296">
        <v>1.8</v>
      </c>
      <c r="R1296">
        <v>4</v>
      </c>
      <c r="S1296">
        <v>1</v>
      </c>
      <c r="T1296">
        <v>2</v>
      </c>
      <c r="U1296" t="s">
        <v>23</v>
      </c>
      <c r="V1296">
        <v>4</v>
      </c>
      <c r="W1296">
        <f>COUNTIF($A$2:A1296,A1296)</f>
        <v>1</v>
      </c>
    </row>
    <row r="1297" spans="1:23" x14ac:dyDescent="0.35">
      <c r="A1297" t="s">
        <v>1296</v>
      </c>
      <c r="B1297" s="2">
        <v>45328</v>
      </c>
      <c r="D1297" t="s">
        <v>23</v>
      </c>
      <c r="E1297">
        <v>34</v>
      </c>
      <c r="F1297" t="s">
        <v>62</v>
      </c>
      <c r="G1297" t="s">
        <v>25</v>
      </c>
      <c r="H1297" t="s">
        <v>58</v>
      </c>
      <c r="I1297" t="s">
        <v>459</v>
      </c>
      <c r="J1297" t="s">
        <v>33</v>
      </c>
      <c r="K1297">
        <v>4</v>
      </c>
      <c r="L1297" t="s">
        <v>34</v>
      </c>
      <c r="M1297">
        <v>132000</v>
      </c>
      <c r="N1297">
        <v>8.3000000000000007</v>
      </c>
      <c r="O1297">
        <v>8.6999999999999993</v>
      </c>
      <c r="P1297">
        <v>1.9</v>
      </c>
      <c r="Q1297">
        <v>0.2</v>
      </c>
      <c r="R1297">
        <v>4</v>
      </c>
      <c r="S1297">
        <v>1</v>
      </c>
      <c r="T1297">
        <v>2</v>
      </c>
      <c r="U1297" t="s">
        <v>23</v>
      </c>
      <c r="V1297">
        <v>5</v>
      </c>
      <c r="W1297">
        <f>COUNTIF($A$2:A1297,A1297)</f>
        <v>1</v>
      </c>
    </row>
    <row r="1298" spans="1:23" x14ac:dyDescent="0.35">
      <c r="A1298" t="s">
        <v>530</v>
      </c>
      <c r="B1298" s="2">
        <v>44600</v>
      </c>
      <c r="D1298" t="s">
        <v>23</v>
      </c>
      <c r="E1298">
        <v>35</v>
      </c>
      <c r="F1298" t="s">
        <v>24</v>
      </c>
      <c r="G1298" t="s">
        <v>25</v>
      </c>
      <c r="H1298" t="s">
        <v>32</v>
      </c>
      <c r="I1298" t="s">
        <v>59</v>
      </c>
      <c r="J1298" t="s">
        <v>75</v>
      </c>
      <c r="K1298">
        <v>2</v>
      </c>
      <c r="L1298" t="s">
        <v>84</v>
      </c>
      <c r="M1298">
        <v>33000</v>
      </c>
      <c r="N1298">
        <v>8.6</v>
      </c>
      <c r="O1298">
        <v>10.199999999999999</v>
      </c>
      <c r="P1298">
        <v>3.9</v>
      </c>
      <c r="Q1298">
        <v>1.5</v>
      </c>
      <c r="R1298">
        <v>3</v>
      </c>
      <c r="S1298">
        <v>2</v>
      </c>
      <c r="T1298">
        <v>3</v>
      </c>
      <c r="U1298" t="s">
        <v>23</v>
      </c>
      <c r="V1298">
        <v>3</v>
      </c>
      <c r="W1298">
        <f>COUNTIF($A$2:A1298,A1298)</f>
        <v>1</v>
      </c>
    </row>
    <row r="1299" spans="1:23" x14ac:dyDescent="0.35">
      <c r="A1299" t="s">
        <v>262</v>
      </c>
      <c r="B1299" s="2">
        <v>41770</v>
      </c>
      <c r="D1299" t="s">
        <v>23</v>
      </c>
      <c r="E1299">
        <v>39</v>
      </c>
      <c r="F1299" t="s">
        <v>36</v>
      </c>
      <c r="G1299" t="s">
        <v>37</v>
      </c>
      <c r="H1299" t="s">
        <v>32</v>
      </c>
      <c r="I1299" t="s">
        <v>38</v>
      </c>
      <c r="J1299" t="s">
        <v>52</v>
      </c>
      <c r="K1299">
        <v>4</v>
      </c>
      <c r="L1299" t="s">
        <v>50</v>
      </c>
      <c r="M1299">
        <v>133000</v>
      </c>
      <c r="N1299">
        <v>7</v>
      </c>
      <c r="O1299">
        <v>13</v>
      </c>
      <c r="P1299">
        <v>11.6</v>
      </c>
      <c r="Q1299">
        <v>5</v>
      </c>
      <c r="R1299">
        <v>3</v>
      </c>
      <c r="S1299">
        <v>4</v>
      </c>
      <c r="T1299">
        <v>1</v>
      </c>
      <c r="U1299" t="s">
        <v>23</v>
      </c>
      <c r="V1299">
        <v>4</v>
      </c>
      <c r="W1299">
        <f>COUNTIF($A$2:A1299,A1299)</f>
        <v>1</v>
      </c>
    </row>
    <row r="1300" spans="1:23" x14ac:dyDescent="0.35">
      <c r="A1300" t="s">
        <v>688</v>
      </c>
      <c r="B1300" s="2">
        <v>43722</v>
      </c>
      <c r="C1300" s="2">
        <v>45895</v>
      </c>
      <c r="D1300" t="s">
        <v>30</v>
      </c>
      <c r="E1300">
        <v>28</v>
      </c>
      <c r="F1300" t="s">
        <v>62</v>
      </c>
      <c r="G1300" t="s">
        <v>42</v>
      </c>
      <c r="H1300" t="s">
        <v>58</v>
      </c>
      <c r="I1300" t="s">
        <v>59</v>
      </c>
      <c r="J1300" t="s">
        <v>75</v>
      </c>
      <c r="K1300">
        <v>4</v>
      </c>
      <c r="L1300" t="s">
        <v>29</v>
      </c>
      <c r="M1300">
        <v>98000</v>
      </c>
      <c r="O1300">
        <v>9.9</v>
      </c>
      <c r="P1300">
        <v>5.9</v>
      </c>
      <c r="Q1300">
        <v>2.5</v>
      </c>
      <c r="R1300">
        <v>4</v>
      </c>
      <c r="S1300">
        <v>3</v>
      </c>
      <c r="T1300">
        <v>3</v>
      </c>
      <c r="U1300" t="s">
        <v>30</v>
      </c>
      <c r="V1300">
        <v>4</v>
      </c>
      <c r="W1300">
        <f>COUNTIF($A$2:A1300,A1300)</f>
        <v>1</v>
      </c>
    </row>
    <row r="1301" spans="1:23" x14ac:dyDescent="0.35">
      <c r="A1301" t="s">
        <v>1169</v>
      </c>
      <c r="B1301" s="2">
        <v>45307</v>
      </c>
      <c r="D1301" t="s">
        <v>23</v>
      </c>
      <c r="E1301">
        <v>30</v>
      </c>
      <c r="F1301" t="s">
        <v>36</v>
      </c>
      <c r="G1301" t="s">
        <v>42</v>
      </c>
      <c r="H1301" t="s">
        <v>58</v>
      </c>
      <c r="I1301" t="s">
        <v>45</v>
      </c>
      <c r="J1301" t="s">
        <v>77</v>
      </c>
      <c r="K1301">
        <v>3</v>
      </c>
      <c r="L1301" t="s">
        <v>66</v>
      </c>
      <c r="M1301">
        <v>63000</v>
      </c>
      <c r="N1301">
        <v>11.2</v>
      </c>
      <c r="O1301">
        <v>4.7</v>
      </c>
      <c r="P1301">
        <v>2</v>
      </c>
      <c r="Q1301">
        <v>1.4</v>
      </c>
      <c r="R1301">
        <v>3</v>
      </c>
      <c r="S1301">
        <v>3</v>
      </c>
      <c r="T1301">
        <v>3</v>
      </c>
      <c r="U1301" t="s">
        <v>23</v>
      </c>
      <c r="V1301">
        <v>5</v>
      </c>
      <c r="W1301">
        <f>COUNTIF($A$2:A1301,A1301)</f>
        <v>1</v>
      </c>
    </row>
    <row r="1302" spans="1:23" x14ac:dyDescent="0.35">
      <c r="A1302" t="s">
        <v>1017</v>
      </c>
      <c r="B1302" s="2">
        <v>45823</v>
      </c>
      <c r="D1302" t="s">
        <v>23</v>
      </c>
      <c r="E1302">
        <v>24</v>
      </c>
      <c r="F1302" t="s">
        <v>36</v>
      </c>
      <c r="G1302" t="s">
        <v>37</v>
      </c>
      <c r="H1302" t="s">
        <v>58</v>
      </c>
      <c r="I1302" t="s">
        <v>38</v>
      </c>
      <c r="J1302" t="s">
        <v>52</v>
      </c>
      <c r="K1302">
        <v>1</v>
      </c>
      <c r="L1302" t="s">
        <v>29</v>
      </c>
      <c r="M1302">
        <v>22000</v>
      </c>
      <c r="N1302">
        <v>8.5</v>
      </c>
      <c r="O1302">
        <v>0.9</v>
      </c>
      <c r="P1302">
        <v>0.5</v>
      </c>
      <c r="Q1302">
        <v>0</v>
      </c>
      <c r="R1302">
        <v>1</v>
      </c>
      <c r="S1302">
        <v>2</v>
      </c>
      <c r="T1302">
        <v>3</v>
      </c>
      <c r="U1302" t="s">
        <v>23</v>
      </c>
      <c r="V1302">
        <v>3</v>
      </c>
      <c r="W1302">
        <f>COUNTIF($A$2:A1302,A1302)</f>
        <v>1</v>
      </c>
    </row>
    <row r="1303" spans="1:23" x14ac:dyDescent="0.35">
      <c r="A1303" t="s">
        <v>734</v>
      </c>
      <c r="B1303" s="2">
        <v>44641</v>
      </c>
      <c r="D1303" t="s">
        <v>23</v>
      </c>
      <c r="E1303">
        <v>35</v>
      </c>
      <c r="F1303" t="s">
        <v>62</v>
      </c>
      <c r="G1303" t="s">
        <v>25</v>
      </c>
      <c r="H1303" t="s">
        <v>54</v>
      </c>
      <c r="I1303" t="s">
        <v>55</v>
      </c>
      <c r="J1303" t="s">
        <v>88</v>
      </c>
      <c r="K1303">
        <v>3</v>
      </c>
      <c r="L1303" t="s">
        <v>40</v>
      </c>
      <c r="M1303">
        <v>86000</v>
      </c>
      <c r="N1303">
        <v>8.1999999999999993</v>
      </c>
      <c r="O1303">
        <v>6.1</v>
      </c>
      <c r="P1303">
        <v>3.8</v>
      </c>
      <c r="Q1303">
        <v>3.2</v>
      </c>
      <c r="R1303">
        <v>4</v>
      </c>
      <c r="S1303">
        <v>4</v>
      </c>
      <c r="T1303">
        <v>2</v>
      </c>
      <c r="U1303" t="s">
        <v>23</v>
      </c>
      <c r="V1303">
        <v>4</v>
      </c>
      <c r="W1303">
        <f>COUNTIF($A$2:A1303,A1303)</f>
        <v>1</v>
      </c>
    </row>
    <row r="1304" spans="1:23" x14ac:dyDescent="0.35">
      <c r="A1304" t="s">
        <v>196</v>
      </c>
      <c r="B1304" s="2">
        <v>43336</v>
      </c>
      <c r="D1304" t="s">
        <v>23</v>
      </c>
      <c r="E1304">
        <v>40</v>
      </c>
      <c r="F1304" t="s">
        <v>24</v>
      </c>
      <c r="G1304" t="s">
        <v>25</v>
      </c>
      <c r="H1304" t="s">
        <v>32</v>
      </c>
      <c r="I1304" t="s">
        <v>68</v>
      </c>
      <c r="J1304" t="s">
        <v>69</v>
      </c>
      <c r="K1304">
        <v>4</v>
      </c>
      <c r="L1304" t="s">
        <v>40</v>
      </c>
      <c r="M1304">
        <v>93000</v>
      </c>
      <c r="N1304">
        <v>7.5</v>
      </c>
      <c r="O1304">
        <v>7.6</v>
      </c>
      <c r="P1304">
        <v>7.4</v>
      </c>
      <c r="Q1304">
        <v>1.2</v>
      </c>
      <c r="R1304">
        <v>2</v>
      </c>
      <c r="S1304">
        <v>3</v>
      </c>
      <c r="T1304">
        <v>3</v>
      </c>
      <c r="U1304" t="s">
        <v>30</v>
      </c>
      <c r="V1304">
        <v>5</v>
      </c>
      <c r="W1304">
        <f>COUNTIF($A$2:A1304,A1304)</f>
        <v>1</v>
      </c>
    </row>
    <row r="1305" spans="1:23" x14ac:dyDescent="0.35">
      <c r="A1305" t="s">
        <v>1237</v>
      </c>
      <c r="B1305" s="2">
        <v>44868</v>
      </c>
      <c r="D1305" t="s">
        <v>23</v>
      </c>
      <c r="E1305">
        <v>27</v>
      </c>
      <c r="F1305" t="s">
        <v>36</v>
      </c>
      <c r="G1305" t="s">
        <v>37</v>
      </c>
      <c r="H1305" t="s">
        <v>26</v>
      </c>
      <c r="I1305" t="s">
        <v>59</v>
      </c>
      <c r="J1305" t="s">
        <v>86</v>
      </c>
      <c r="K1305">
        <v>1</v>
      </c>
      <c r="L1305" t="s">
        <v>84</v>
      </c>
      <c r="M1305">
        <v>48000</v>
      </c>
      <c r="N1305">
        <v>6.5</v>
      </c>
      <c r="O1305">
        <v>4.5999999999999996</v>
      </c>
      <c r="P1305">
        <v>3.2</v>
      </c>
      <c r="Q1305">
        <v>2.9</v>
      </c>
      <c r="R1305">
        <v>3</v>
      </c>
      <c r="S1305">
        <v>1</v>
      </c>
      <c r="T1305">
        <v>4</v>
      </c>
      <c r="U1305" t="s">
        <v>30</v>
      </c>
      <c r="V1305">
        <v>3</v>
      </c>
      <c r="W1305">
        <f>COUNTIF($A$2:A1305,A1305)</f>
        <v>1</v>
      </c>
    </row>
    <row r="1306" spans="1:23" x14ac:dyDescent="0.35">
      <c r="A1306" t="s">
        <v>1249</v>
      </c>
      <c r="B1306" s="2">
        <v>42989</v>
      </c>
      <c r="D1306" t="s">
        <v>23</v>
      </c>
      <c r="E1306">
        <v>37</v>
      </c>
      <c r="F1306" t="s">
        <v>62</v>
      </c>
      <c r="G1306" t="s">
        <v>37</v>
      </c>
      <c r="H1306" t="s">
        <v>26</v>
      </c>
      <c r="I1306" t="s">
        <v>59</v>
      </c>
      <c r="J1306" t="s">
        <v>60</v>
      </c>
      <c r="K1306">
        <v>2</v>
      </c>
      <c r="L1306" t="s">
        <v>66</v>
      </c>
      <c r="M1306">
        <v>46000</v>
      </c>
      <c r="N1306">
        <v>1.6</v>
      </c>
      <c r="O1306">
        <v>11.6</v>
      </c>
      <c r="P1306">
        <v>8.3000000000000007</v>
      </c>
      <c r="Q1306">
        <v>5</v>
      </c>
      <c r="R1306">
        <v>2</v>
      </c>
      <c r="S1306">
        <v>2</v>
      </c>
      <c r="T1306">
        <v>3</v>
      </c>
      <c r="U1306" t="s">
        <v>23</v>
      </c>
      <c r="V1306">
        <v>3</v>
      </c>
      <c r="W1306">
        <f>COUNTIF($A$2:A1306,A1306)</f>
        <v>1</v>
      </c>
    </row>
    <row r="1307" spans="1:23" x14ac:dyDescent="0.35">
      <c r="A1307" t="s">
        <v>758</v>
      </c>
      <c r="B1307" s="2">
        <v>42983</v>
      </c>
      <c r="D1307" t="s">
        <v>23</v>
      </c>
      <c r="E1307">
        <v>40</v>
      </c>
      <c r="F1307" t="s">
        <v>36</v>
      </c>
      <c r="G1307" t="s">
        <v>25</v>
      </c>
      <c r="H1307" t="s">
        <v>26</v>
      </c>
      <c r="I1307" t="s">
        <v>27</v>
      </c>
      <c r="J1307" t="s">
        <v>43</v>
      </c>
      <c r="K1307">
        <v>2</v>
      </c>
      <c r="L1307" t="s">
        <v>84</v>
      </c>
      <c r="M1307">
        <v>48000</v>
      </c>
      <c r="N1307">
        <v>5.6</v>
      </c>
      <c r="O1307">
        <v>9</v>
      </c>
      <c r="P1307">
        <v>8.3000000000000007</v>
      </c>
      <c r="Q1307">
        <v>2.9</v>
      </c>
      <c r="R1307">
        <v>3</v>
      </c>
      <c r="S1307">
        <v>4</v>
      </c>
      <c r="T1307">
        <v>4</v>
      </c>
      <c r="U1307" t="s">
        <v>30</v>
      </c>
      <c r="V1307">
        <v>4</v>
      </c>
      <c r="W1307">
        <f>COUNTIF($A$2:A1307,A1307)</f>
        <v>1</v>
      </c>
    </row>
    <row r="1308" spans="1:23" x14ac:dyDescent="0.35">
      <c r="A1308" t="s">
        <v>1255</v>
      </c>
      <c r="B1308" s="2">
        <v>45379</v>
      </c>
      <c r="D1308" t="s">
        <v>23</v>
      </c>
      <c r="E1308">
        <v>31</v>
      </c>
      <c r="F1308" t="s">
        <v>62</v>
      </c>
      <c r="G1308" t="s">
        <v>37</v>
      </c>
      <c r="H1308" t="s">
        <v>26</v>
      </c>
      <c r="I1308" t="s">
        <v>55</v>
      </c>
      <c r="J1308" t="s">
        <v>179</v>
      </c>
      <c r="K1308">
        <v>4</v>
      </c>
      <c r="L1308" t="s">
        <v>50</v>
      </c>
      <c r="M1308">
        <v>124000</v>
      </c>
      <c r="N1308">
        <v>9.6</v>
      </c>
      <c r="O1308">
        <v>8.1</v>
      </c>
      <c r="P1308">
        <v>1.8</v>
      </c>
      <c r="Q1308">
        <v>0.5</v>
      </c>
      <c r="R1308">
        <v>3</v>
      </c>
      <c r="S1308">
        <v>4</v>
      </c>
      <c r="T1308">
        <v>1</v>
      </c>
      <c r="U1308" t="s">
        <v>23</v>
      </c>
      <c r="V1308">
        <v>4</v>
      </c>
      <c r="W1308">
        <f>COUNTIF($A$2:A1308,A1308)</f>
        <v>1</v>
      </c>
    </row>
    <row r="1309" spans="1:23" x14ac:dyDescent="0.35">
      <c r="A1309" t="s">
        <v>1556</v>
      </c>
      <c r="B1309" s="2">
        <v>43445</v>
      </c>
      <c r="D1309" t="s">
        <v>23</v>
      </c>
      <c r="E1309">
        <v>50</v>
      </c>
      <c r="F1309" t="s">
        <v>62</v>
      </c>
      <c r="G1309" t="s">
        <v>42</v>
      </c>
      <c r="H1309" t="s">
        <v>58</v>
      </c>
      <c r="I1309" t="s">
        <v>38</v>
      </c>
      <c r="J1309" t="s">
        <v>39</v>
      </c>
      <c r="K1309">
        <v>3</v>
      </c>
      <c r="L1309" t="s">
        <v>40</v>
      </c>
      <c r="M1309">
        <v>94000</v>
      </c>
      <c r="N1309">
        <v>13.6</v>
      </c>
      <c r="O1309">
        <v>12.7</v>
      </c>
      <c r="P1309">
        <v>7.1</v>
      </c>
      <c r="Q1309">
        <v>1</v>
      </c>
      <c r="R1309">
        <v>2</v>
      </c>
      <c r="S1309">
        <v>3</v>
      </c>
      <c r="T1309">
        <v>3</v>
      </c>
      <c r="U1309" t="s">
        <v>23</v>
      </c>
      <c r="V1309">
        <v>3</v>
      </c>
      <c r="W1309">
        <f>COUNTIF($A$2:A1309,A1309)</f>
        <v>1</v>
      </c>
    </row>
    <row r="1310" spans="1:23" x14ac:dyDescent="0.35">
      <c r="A1310" t="s">
        <v>184</v>
      </c>
      <c r="B1310" s="2">
        <v>45101</v>
      </c>
      <c r="D1310" t="s">
        <v>23</v>
      </c>
      <c r="E1310">
        <v>26</v>
      </c>
      <c r="F1310" t="s">
        <v>36</v>
      </c>
      <c r="G1310" t="s">
        <v>42</v>
      </c>
      <c r="H1310" t="s">
        <v>32</v>
      </c>
      <c r="I1310" t="s">
        <v>45</v>
      </c>
      <c r="J1310" t="s">
        <v>77</v>
      </c>
      <c r="K1310">
        <v>1</v>
      </c>
      <c r="L1310" t="s">
        <v>66</v>
      </c>
      <c r="M1310">
        <v>32000</v>
      </c>
      <c r="N1310">
        <v>9.4</v>
      </c>
      <c r="O1310">
        <v>7.5</v>
      </c>
      <c r="P1310">
        <v>2.5</v>
      </c>
      <c r="Q1310">
        <v>2.2999999999999998</v>
      </c>
      <c r="R1310">
        <v>3</v>
      </c>
      <c r="S1310">
        <v>4</v>
      </c>
      <c r="T1310">
        <v>3</v>
      </c>
      <c r="U1310" t="s">
        <v>23</v>
      </c>
      <c r="V1310">
        <v>3</v>
      </c>
      <c r="W1310">
        <f>COUNTIF($A$2:A1310,A1310)</f>
        <v>1</v>
      </c>
    </row>
    <row r="1311" spans="1:23" x14ac:dyDescent="0.35">
      <c r="A1311" t="s">
        <v>614</v>
      </c>
      <c r="B1311" s="2">
        <v>42879</v>
      </c>
      <c r="D1311" t="s">
        <v>23</v>
      </c>
      <c r="E1311">
        <v>32</v>
      </c>
      <c r="F1311" t="s">
        <v>62</v>
      </c>
      <c r="G1311" t="s">
        <v>42</v>
      </c>
      <c r="H1311" t="s">
        <v>26</v>
      </c>
      <c r="I1311" t="s">
        <v>68</v>
      </c>
      <c r="J1311" t="s">
        <v>121</v>
      </c>
      <c r="K1311">
        <v>2</v>
      </c>
      <c r="L1311" t="s">
        <v>40</v>
      </c>
      <c r="M1311">
        <v>56000</v>
      </c>
      <c r="N1311">
        <v>10.4</v>
      </c>
      <c r="O1311">
        <v>14.5</v>
      </c>
      <c r="P1311">
        <v>8.6</v>
      </c>
      <c r="Q1311">
        <v>5.0999999999999996</v>
      </c>
      <c r="R1311">
        <v>3</v>
      </c>
      <c r="S1311">
        <v>1</v>
      </c>
      <c r="T1311">
        <v>2</v>
      </c>
      <c r="U1311" t="s">
        <v>23</v>
      </c>
      <c r="V1311">
        <v>3</v>
      </c>
      <c r="W1311">
        <f>COUNTIF($A$2:A1311,A1311)</f>
        <v>1</v>
      </c>
    </row>
    <row r="1312" spans="1:23" x14ac:dyDescent="0.35">
      <c r="A1312" t="s">
        <v>745</v>
      </c>
      <c r="B1312" s="2">
        <v>42036</v>
      </c>
      <c r="C1312" s="2">
        <v>45826</v>
      </c>
      <c r="D1312" t="s">
        <v>30</v>
      </c>
      <c r="E1312">
        <v>35</v>
      </c>
      <c r="F1312" t="s">
        <v>24</v>
      </c>
      <c r="G1312" t="s">
        <v>42</v>
      </c>
      <c r="H1312" t="s">
        <v>32</v>
      </c>
      <c r="I1312" t="s">
        <v>68</v>
      </c>
      <c r="J1312" t="s">
        <v>109</v>
      </c>
      <c r="K1312">
        <v>3</v>
      </c>
      <c r="L1312" t="s">
        <v>34</v>
      </c>
      <c r="M1312">
        <v>72000</v>
      </c>
      <c r="N1312">
        <v>6.9</v>
      </c>
      <c r="O1312">
        <v>16.399999999999999</v>
      </c>
      <c r="P1312">
        <v>10.4</v>
      </c>
      <c r="Q1312">
        <v>3.2</v>
      </c>
      <c r="R1312">
        <v>2</v>
      </c>
      <c r="S1312">
        <v>4</v>
      </c>
      <c r="T1312">
        <v>3</v>
      </c>
      <c r="U1312" t="s">
        <v>23</v>
      </c>
      <c r="V1312">
        <v>3</v>
      </c>
      <c r="W1312">
        <f>COUNTIF($A$2:A1312,A1312)</f>
        <v>1</v>
      </c>
    </row>
    <row r="1313" spans="1:23" x14ac:dyDescent="0.35">
      <c r="A1313" t="s">
        <v>215</v>
      </c>
      <c r="B1313" s="2">
        <v>44241</v>
      </c>
      <c r="D1313" t="s">
        <v>23</v>
      </c>
      <c r="E1313">
        <v>45</v>
      </c>
      <c r="F1313" t="s">
        <v>24</v>
      </c>
      <c r="G1313" t="s">
        <v>37</v>
      </c>
      <c r="H1313" t="s">
        <v>32</v>
      </c>
      <c r="I1313" t="s">
        <v>48</v>
      </c>
      <c r="J1313" t="s">
        <v>49</v>
      </c>
      <c r="K1313">
        <v>3</v>
      </c>
      <c r="L1313" t="s">
        <v>66</v>
      </c>
      <c r="M1313">
        <v>80000</v>
      </c>
      <c r="N1313">
        <v>8.1</v>
      </c>
      <c r="O1313">
        <v>10</v>
      </c>
      <c r="P1313">
        <v>4.9000000000000004</v>
      </c>
      <c r="Q1313">
        <v>1</v>
      </c>
      <c r="R1313">
        <v>2</v>
      </c>
      <c r="S1313">
        <v>3</v>
      </c>
      <c r="T1313">
        <v>3</v>
      </c>
      <c r="U1313" t="s">
        <v>23</v>
      </c>
      <c r="V1313">
        <v>4</v>
      </c>
      <c r="W1313">
        <f>COUNTIF($A$2:A1313,A1313)</f>
        <v>1</v>
      </c>
    </row>
    <row r="1314" spans="1:23" x14ac:dyDescent="0.35">
      <c r="A1314" t="s">
        <v>696</v>
      </c>
      <c r="B1314" s="2">
        <v>41997</v>
      </c>
      <c r="C1314" s="2">
        <v>45974</v>
      </c>
      <c r="D1314" t="s">
        <v>30</v>
      </c>
      <c r="E1314">
        <v>54</v>
      </c>
      <c r="F1314" t="s">
        <v>24</v>
      </c>
      <c r="G1314" t="s">
        <v>42</v>
      </c>
      <c r="H1314" t="s">
        <v>54</v>
      </c>
      <c r="I1314" t="s">
        <v>48</v>
      </c>
      <c r="J1314" t="s">
        <v>63</v>
      </c>
      <c r="K1314">
        <v>2</v>
      </c>
      <c r="L1314" t="s">
        <v>66</v>
      </c>
      <c r="M1314">
        <v>45000</v>
      </c>
      <c r="N1314">
        <v>7.3</v>
      </c>
      <c r="O1314">
        <v>16.100000000000001</v>
      </c>
      <c r="P1314">
        <v>10.9</v>
      </c>
      <c r="Q1314">
        <v>5.2</v>
      </c>
      <c r="R1314">
        <v>4</v>
      </c>
      <c r="S1314">
        <v>4</v>
      </c>
      <c r="T1314">
        <v>3</v>
      </c>
      <c r="U1314" t="s">
        <v>23</v>
      </c>
      <c r="V1314">
        <v>4</v>
      </c>
      <c r="W1314">
        <f>COUNTIF($A$2:A1314,A1314)</f>
        <v>1</v>
      </c>
    </row>
    <row r="1315" spans="1:23" x14ac:dyDescent="0.35">
      <c r="A1315" t="s">
        <v>925</v>
      </c>
      <c r="B1315" s="2">
        <v>43519</v>
      </c>
      <c r="D1315" t="s">
        <v>23</v>
      </c>
      <c r="E1315">
        <v>37</v>
      </c>
      <c r="F1315" t="s">
        <v>62</v>
      </c>
      <c r="G1315" t="s">
        <v>37</v>
      </c>
      <c r="H1315" t="s">
        <v>54</v>
      </c>
      <c r="I1315" t="s">
        <v>38</v>
      </c>
      <c r="J1315" t="s">
        <v>39</v>
      </c>
      <c r="K1315">
        <v>2</v>
      </c>
      <c r="L1315" t="s">
        <v>29</v>
      </c>
      <c r="M1315">
        <v>68000</v>
      </c>
      <c r="N1315">
        <v>16.2</v>
      </c>
      <c r="O1315">
        <v>13.4</v>
      </c>
      <c r="P1315">
        <v>6.9</v>
      </c>
      <c r="Q1315">
        <v>2.2000000000000002</v>
      </c>
      <c r="R1315">
        <v>3</v>
      </c>
      <c r="S1315">
        <v>3</v>
      </c>
      <c r="T1315">
        <v>3</v>
      </c>
      <c r="U1315" t="s">
        <v>23</v>
      </c>
      <c r="V1315">
        <v>4</v>
      </c>
      <c r="W1315">
        <f>COUNTIF($A$2:A1315,A1315)</f>
        <v>1</v>
      </c>
    </row>
    <row r="1316" spans="1:23" x14ac:dyDescent="0.35">
      <c r="A1316" t="s">
        <v>1294</v>
      </c>
      <c r="B1316" s="2">
        <v>45507</v>
      </c>
      <c r="D1316" t="s">
        <v>23</v>
      </c>
      <c r="E1316">
        <v>26</v>
      </c>
      <c r="F1316" t="s">
        <v>62</v>
      </c>
      <c r="G1316" t="s">
        <v>37</v>
      </c>
      <c r="H1316" t="s">
        <v>54</v>
      </c>
      <c r="I1316" t="s">
        <v>38</v>
      </c>
      <c r="J1316" t="s">
        <v>39</v>
      </c>
      <c r="K1316">
        <v>1</v>
      </c>
      <c r="L1316" t="s">
        <v>84</v>
      </c>
      <c r="M1316">
        <v>35000</v>
      </c>
      <c r="N1316">
        <v>10.199999999999999</v>
      </c>
      <c r="O1316">
        <v>2.4</v>
      </c>
      <c r="P1316">
        <v>1.4</v>
      </c>
      <c r="Q1316">
        <v>0.3</v>
      </c>
      <c r="R1316">
        <v>1</v>
      </c>
      <c r="S1316">
        <v>3</v>
      </c>
      <c r="T1316">
        <v>1</v>
      </c>
      <c r="U1316" t="s">
        <v>23</v>
      </c>
      <c r="V1316">
        <v>5</v>
      </c>
      <c r="W1316">
        <f>COUNTIF($A$2:A1316,A1316)</f>
        <v>1</v>
      </c>
    </row>
    <row r="1317" spans="1:23" x14ac:dyDescent="0.35">
      <c r="A1317" t="s">
        <v>363</v>
      </c>
      <c r="B1317" s="2">
        <v>45568</v>
      </c>
      <c r="D1317" t="s">
        <v>23</v>
      </c>
      <c r="E1317">
        <v>23</v>
      </c>
      <c r="F1317" t="s">
        <v>24</v>
      </c>
      <c r="G1317" t="s">
        <v>37</v>
      </c>
      <c r="H1317" t="s">
        <v>58</v>
      </c>
      <c r="I1317" t="s">
        <v>55</v>
      </c>
      <c r="J1317" t="s">
        <v>88</v>
      </c>
      <c r="K1317">
        <v>1</v>
      </c>
      <c r="L1317" t="s">
        <v>84</v>
      </c>
      <c r="M1317">
        <v>50000</v>
      </c>
      <c r="N1317">
        <v>9.6999999999999993</v>
      </c>
      <c r="O1317">
        <v>6.8</v>
      </c>
      <c r="P1317">
        <v>1.2</v>
      </c>
      <c r="Q1317">
        <v>0.4</v>
      </c>
      <c r="R1317">
        <v>3</v>
      </c>
      <c r="S1317">
        <v>3</v>
      </c>
      <c r="T1317">
        <v>2</v>
      </c>
      <c r="U1317" t="s">
        <v>30</v>
      </c>
      <c r="V1317">
        <v>3</v>
      </c>
      <c r="W1317">
        <f>COUNTIF($A$2:A1317,A1317)</f>
        <v>1</v>
      </c>
    </row>
    <row r="1318" spans="1:23" x14ac:dyDescent="0.35">
      <c r="A1318" t="s">
        <v>1221</v>
      </c>
      <c r="B1318" s="2">
        <v>42859</v>
      </c>
      <c r="D1318" t="s">
        <v>23</v>
      </c>
      <c r="E1318">
        <v>32</v>
      </c>
      <c r="F1318" t="s">
        <v>36</v>
      </c>
      <c r="G1318" t="s">
        <v>37</v>
      </c>
      <c r="H1318" t="s">
        <v>32</v>
      </c>
      <c r="I1318" t="s">
        <v>38</v>
      </c>
      <c r="J1318" t="s">
        <v>139</v>
      </c>
      <c r="K1318">
        <v>2</v>
      </c>
      <c r="L1318" t="s">
        <v>29</v>
      </c>
      <c r="M1318">
        <v>52000</v>
      </c>
      <c r="N1318">
        <v>12</v>
      </c>
      <c r="O1318">
        <v>14.2</v>
      </c>
      <c r="P1318">
        <v>8.6999999999999993</v>
      </c>
      <c r="Q1318">
        <v>4.7</v>
      </c>
      <c r="R1318">
        <v>1</v>
      </c>
      <c r="S1318">
        <v>3</v>
      </c>
      <c r="T1318">
        <v>3</v>
      </c>
      <c r="U1318" t="s">
        <v>30</v>
      </c>
      <c r="V1318">
        <v>3</v>
      </c>
      <c r="W1318">
        <f>COUNTIF($A$2:A1318,A1318)</f>
        <v>1</v>
      </c>
    </row>
    <row r="1319" spans="1:23" x14ac:dyDescent="0.35">
      <c r="A1319" t="s">
        <v>637</v>
      </c>
      <c r="B1319" s="2">
        <v>45020</v>
      </c>
      <c r="D1319" t="s">
        <v>23</v>
      </c>
      <c r="E1319">
        <v>40</v>
      </c>
      <c r="F1319" t="s">
        <v>36</v>
      </c>
      <c r="G1319" t="s">
        <v>37</v>
      </c>
      <c r="H1319" t="s">
        <v>58</v>
      </c>
      <c r="I1319" t="s">
        <v>68</v>
      </c>
      <c r="J1319" t="s">
        <v>121</v>
      </c>
      <c r="K1319">
        <v>3</v>
      </c>
      <c r="L1319" t="s">
        <v>29</v>
      </c>
      <c r="M1319">
        <v>77000</v>
      </c>
      <c r="N1319">
        <v>6.6</v>
      </c>
      <c r="O1319">
        <v>7.8</v>
      </c>
      <c r="P1319">
        <v>2.7</v>
      </c>
      <c r="Q1319">
        <v>1.5</v>
      </c>
      <c r="R1319">
        <v>3</v>
      </c>
      <c r="S1319">
        <v>4</v>
      </c>
      <c r="T1319">
        <v>4</v>
      </c>
      <c r="U1319" t="s">
        <v>30</v>
      </c>
      <c r="V1319">
        <v>4</v>
      </c>
      <c r="W1319">
        <f>COUNTIF($A$2:A1319,A1319)</f>
        <v>1</v>
      </c>
    </row>
    <row r="1320" spans="1:23" x14ac:dyDescent="0.35">
      <c r="A1320" t="s">
        <v>1279</v>
      </c>
      <c r="B1320" s="2">
        <v>45546</v>
      </c>
      <c r="D1320" t="s">
        <v>23</v>
      </c>
      <c r="E1320">
        <v>39</v>
      </c>
      <c r="F1320" t="s">
        <v>36</v>
      </c>
      <c r="G1320" t="s">
        <v>42</v>
      </c>
      <c r="H1320" t="s">
        <v>32</v>
      </c>
      <c r="I1320" t="s">
        <v>68</v>
      </c>
      <c r="J1320" t="s">
        <v>121</v>
      </c>
      <c r="K1320">
        <v>3</v>
      </c>
      <c r="L1320" t="s">
        <v>34</v>
      </c>
      <c r="M1320">
        <v>81000</v>
      </c>
      <c r="N1320">
        <v>5.0999999999999996</v>
      </c>
      <c r="O1320">
        <v>6</v>
      </c>
      <c r="P1320">
        <v>1.3</v>
      </c>
      <c r="Q1320">
        <v>0.7</v>
      </c>
      <c r="R1320">
        <v>3</v>
      </c>
      <c r="S1320">
        <v>3</v>
      </c>
      <c r="T1320">
        <v>4</v>
      </c>
      <c r="U1320" t="s">
        <v>23</v>
      </c>
      <c r="V1320">
        <v>2</v>
      </c>
      <c r="W1320">
        <f>COUNTIF($A$2:A1320,A1320)</f>
        <v>1</v>
      </c>
    </row>
    <row r="1321" spans="1:23" x14ac:dyDescent="0.35">
      <c r="A1321" t="s">
        <v>1391</v>
      </c>
      <c r="B1321" s="2">
        <v>42943</v>
      </c>
      <c r="D1321" t="s">
        <v>23</v>
      </c>
      <c r="E1321">
        <v>30</v>
      </c>
      <c r="F1321" t="s">
        <v>36</v>
      </c>
      <c r="G1321" t="s">
        <v>37</v>
      </c>
      <c r="H1321" t="s">
        <v>58</v>
      </c>
      <c r="I1321" t="s">
        <v>45</v>
      </c>
      <c r="J1321" t="s">
        <v>164</v>
      </c>
      <c r="K1321">
        <v>3</v>
      </c>
      <c r="L1321" t="s">
        <v>40</v>
      </c>
      <c r="M1321">
        <v>59000</v>
      </c>
      <c r="N1321">
        <v>5.7</v>
      </c>
      <c r="O1321">
        <v>8.6999999999999993</v>
      </c>
      <c r="P1321">
        <v>8.4</v>
      </c>
      <c r="Q1321">
        <v>1</v>
      </c>
      <c r="R1321">
        <v>3</v>
      </c>
      <c r="S1321">
        <v>3</v>
      </c>
      <c r="T1321">
        <v>4</v>
      </c>
      <c r="U1321" t="s">
        <v>23</v>
      </c>
      <c r="V1321">
        <v>4</v>
      </c>
      <c r="W1321">
        <f>COUNTIF($A$2:A1321,A1321)</f>
        <v>1</v>
      </c>
    </row>
    <row r="1322" spans="1:23" x14ac:dyDescent="0.35">
      <c r="A1322" t="s">
        <v>380</v>
      </c>
      <c r="B1322" s="2">
        <v>44575</v>
      </c>
      <c r="D1322" t="s">
        <v>23</v>
      </c>
      <c r="E1322">
        <v>30</v>
      </c>
      <c r="F1322" t="s">
        <v>36</v>
      </c>
      <c r="G1322" t="s">
        <v>25</v>
      </c>
      <c r="H1322" t="s">
        <v>32</v>
      </c>
      <c r="I1322" t="s">
        <v>68</v>
      </c>
      <c r="J1322" t="s">
        <v>109</v>
      </c>
      <c r="K1322">
        <v>3</v>
      </c>
      <c r="L1322" t="s">
        <v>84</v>
      </c>
      <c r="M1322">
        <v>70000</v>
      </c>
      <c r="N1322">
        <v>2.5</v>
      </c>
      <c r="O1322">
        <v>7.3</v>
      </c>
      <c r="P1322">
        <v>4</v>
      </c>
      <c r="Q1322">
        <v>0.1</v>
      </c>
      <c r="R1322">
        <v>1</v>
      </c>
      <c r="S1322">
        <v>2</v>
      </c>
      <c r="T1322">
        <v>4</v>
      </c>
      <c r="U1322" t="s">
        <v>30</v>
      </c>
      <c r="V1322">
        <v>3</v>
      </c>
      <c r="W1322">
        <f>COUNTIF($A$2:A1322,A1322)</f>
        <v>1</v>
      </c>
    </row>
    <row r="1323" spans="1:23" x14ac:dyDescent="0.35">
      <c r="A1323" t="s">
        <v>251</v>
      </c>
      <c r="B1323" s="2">
        <v>44778</v>
      </c>
      <c r="C1323" s="2">
        <v>46000</v>
      </c>
      <c r="D1323" t="s">
        <v>30</v>
      </c>
      <c r="E1323">
        <v>42</v>
      </c>
      <c r="F1323" t="s">
        <v>36</v>
      </c>
      <c r="G1323" t="s">
        <v>42</v>
      </c>
      <c r="H1323" t="s">
        <v>32</v>
      </c>
      <c r="I1323" t="s">
        <v>27</v>
      </c>
      <c r="J1323" t="s">
        <v>28</v>
      </c>
      <c r="K1323">
        <v>2</v>
      </c>
      <c r="L1323" t="s">
        <v>34</v>
      </c>
      <c r="M1323">
        <v>44000</v>
      </c>
      <c r="N1323">
        <v>10.1</v>
      </c>
      <c r="O1323">
        <v>7.8</v>
      </c>
      <c r="P1323">
        <v>3.3</v>
      </c>
      <c r="Q1323">
        <v>0</v>
      </c>
      <c r="R1323">
        <v>4</v>
      </c>
      <c r="S1323">
        <v>3</v>
      </c>
      <c r="T1323">
        <v>2</v>
      </c>
      <c r="U1323" t="s">
        <v>23</v>
      </c>
      <c r="V1323">
        <v>3</v>
      </c>
      <c r="W1323">
        <f>COUNTIF($A$2:A1323,A1323)</f>
        <v>1</v>
      </c>
    </row>
    <row r="1324" spans="1:23" x14ac:dyDescent="0.35">
      <c r="A1324" t="s">
        <v>1275</v>
      </c>
      <c r="B1324" s="2">
        <v>44805</v>
      </c>
      <c r="D1324" t="s">
        <v>23</v>
      </c>
      <c r="E1324">
        <v>41</v>
      </c>
      <c r="F1324" t="s">
        <v>24</v>
      </c>
      <c r="G1324" t="s">
        <v>42</v>
      </c>
      <c r="H1324" t="s">
        <v>54</v>
      </c>
      <c r="I1324" t="s">
        <v>55</v>
      </c>
      <c r="J1324" t="s">
        <v>56</v>
      </c>
      <c r="K1324">
        <v>2</v>
      </c>
      <c r="L1324" t="s">
        <v>34</v>
      </c>
      <c r="M1324">
        <v>54000</v>
      </c>
      <c r="N1324">
        <v>13.4</v>
      </c>
      <c r="O1324">
        <v>5.2</v>
      </c>
      <c r="P1324">
        <v>3.3</v>
      </c>
      <c r="Q1324">
        <v>1</v>
      </c>
      <c r="R1324">
        <v>2</v>
      </c>
      <c r="S1324">
        <v>2</v>
      </c>
      <c r="T1324">
        <v>1</v>
      </c>
      <c r="U1324" t="s">
        <v>30</v>
      </c>
      <c r="V1324">
        <v>3</v>
      </c>
      <c r="W1324">
        <f>COUNTIF($A$2:A1324,A1324)</f>
        <v>1</v>
      </c>
    </row>
    <row r="1325" spans="1:23" x14ac:dyDescent="0.35">
      <c r="A1325" t="s">
        <v>1336</v>
      </c>
      <c r="B1325" s="2">
        <v>45143</v>
      </c>
      <c r="D1325" t="s">
        <v>23</v>
      </c>
      <c r="E1325">
        <v>24</v>
      </c>
      <c r="F1325" t="s">
        <v>36</v>
      </c>
      <c r="G1325" t="s">
        <v>37</v>
      </c>
      <c r="H1325" t="s">
        <v>32</v>
      </c>
      <c r="I1325" t="s">
        <v>68</v>
      </c>
      <c r="J1325" t="s">
        <v>102</v>
      </c>
      <c r="K1325">
        <v>1</v>
      </c>
      <c r="L1325" t="s">
        <v>84</v>
      </c>
      <c r="M1325">
        <v>40000</v>
      </c>
      <c r="N1325">
        <v>14.2</v>
      </c>
      <c r="O1325">
        <v>9.9</v>
      </c>
      <c r="P1325">
        <v>2.4</v>
      </c>
      <c r="Q1325">
        <v>1.2</v>
      </c>
      <c r="R1325">
        <v>3</v>
      </c>
      <c r="S1325">
        <v>4</v>
      </c>
      <c r="T1325">
        <v>4</v>
      </c>
      <c r="U1325" t="s">
        <v>30</v>
      </c>
      <c r="V1325">
        <v>4</v>
      </c>
      <c r="W1325">
        <f>COUNTIF($A$2:A1325,A1325)</f>
        <v>1</v>
      </c>
    </row>
    <row r="1326" spans="1:23" x14ac:dyDescent="0.35">
      <c r="A1326" t="s">
        <v>706</v>
      </c>
      <c r="B1326" s="2">
        <v>45680</v>
      </c>
      <c r="D1326" t="s">
        <v>23</v>
      </c>
      <c r="E1326">
        <v>25</v>
      </c>
      <c r="F1326" t="s">
        <v>24</v>
      </c>
      <c r="G1326" t="s">
        <v>42</v>
      </c>
      <c r="H1326" t="s">
        <v>58</v>
      </c>
      <c r="I1326" t="s">
        <v>27</v>
      </c>
      <c r="J1326" t="s">
        <v>33</v>
      </c>
      <c r="K1326">
        <v>1</v>
      </c>
      <c r="L1326" t="s">
        <v>29</v>
      </c>
      <c r="M1326">
        <v>38000</v>
      </c>
      <c r="N1326">
        <v>7.4</v>
      </c>
      <c r="O1326">
        <v>1.1000000000000001</v>
      </c>
      <c r="P1326">
        <v>0.9</v>
      </c>
      <c r="Q1326">
        <v>0</v>
      </c>
      <c r="R1326">
        <v>3</v>
      </c>
      <c r="S1326">
        <v>4</v>
      </c>
      <c r="T1326">
        <v>4</v>
      </c>
      <c r="U1326" t="s">
        <v>23</v>
      </c>
      <c r="V1326">
        <v>5</v>
      </c>
      <c r="W1326">
        <f>COUNTIF($A$2:A1326,A1326)</f>
        <v>1</v>
      </c>
    </row>
    <row r="1327" spans="1:23" x14ac:dyDescent="0.35">
      <c r="A1327" t="s">
        <v>350</v>
      </c>
      <c r="B1327" s="2">
        <v>45713</v>
      </c>
      <c r="D1327" t="s">
        <v>23</v>
      </c>
      <c r="E1327">
        <v>23</v>
      </c>
      <c r="F1327" t="s">
        <v>36</v>
      </c>
      <c r="G1327" t="s">
        <v>25</v>
      </c>
      <c r="H1327" t="s">
        <v>32</v>
      </c>
      <c r="I1327" t="s">
        <v>59</v>
      </c>
      <c r="J1327" t="s">
        <v>75</v>
      </c>
      <c r="K1327">
        <v>1</v>
      </c>
      <c r="L1327" t="s">
        <v>29</v>
      </c>
      <c r="M1327">
        <v>22000</v>
      </c>
      <c r="N1327">
        <v>5.9</v>
      </c>
      <c r="O1327">
        <v>8.1</v>
      </c>
      <c r="P1327">
        <v>0.8</v>
      </c>
      <c r="Q1327">
        <v>0</v>
      </c>
      <c r="R1327">
        <v>3</v>
      </c>
      <c r="S1327">
        <v>2</v>
      </c>
      <c r="T1327">
        <v>3</v>
      </c>
      <c r="U1327" t="s">
        <v>23</v>
      </c>
      <c r="V1327">
        <v>4</v>
      </c>
      <c r="W1327">
        <f>COUNTIF($A$2:A1327,A1327)</f>
        <v>1</v>
      </c>
    </row>
    <row r="1328" spans="1:23" x14ac:dyDescent="0.35">
      <c r="A1328" t="s">
        <v>1075</v>
      </c>
      <c r="B1328" s="2">
        <v>43495</v>
      </c>
      <c r="C1328" s="2">
        <v>45662</v>
      </c>
      <c r="D1328" t="s">
        <v>30</v>
      </c>
      <c r="E1328">
        <v>29</v>
      </c>
      <c r="F1328" t="s">
        <v>62</v>
      </c>
      <c r="G1328" t="s">
        <v>42</v>
      </c>
      <c r="H1328" t="s">
        <v>26</v>
      </c>
      <c r="I1328" t="s">
        <v>55</v>
      </c>
      <c r="J1328" t="s">
        <v>179</v>
      </c>
      <c r="K1328">
        <v>2</v>
      </c>
      <c r="L1328" t="s">
        <v>40</v>
      </c>
      <c r="M1328">
        <v>68000</v>
      </c>
      <c r="N1328">
        <v>13.1</v>
      </c>
      <c r="O1328">
        <v>10.8</v>
      </c>
      <c r="P1328">
        <v>5.9</v>
      </c>
      <c r="Q1328">
        <v>3.7</v>
      </c>
      <c r="R1328">
        <v>4</v>
      </c>
      <c r="S1328">
        <v>2</v>
      </c>
      <c r="T1328">
        <v>4</v>
      </c>
      <c r="U1328" t="s">
        <v>23</v>
      </c>
      <c r="V1328">
        <v>3</v>
      </c>
      <c r="W1328">
        <f>COUNTIF($A$2:A1328,A1328)</f>
        <v>1</v>
      </c>
    </row>
    <row r="1329" spans="1:23" x14ac:dyDescent="0.35">
      <c r="A1329" t="s">
        <v>1540</v>
      </c>
      <c r="B1329" s="2">
        <v>44423</v>
      </c>
      <c r="D1329" t="s">
        <v>23</v>
      </c>
      <c r="E1329">
        <v>44</v>
      </c>
      <c r="F1329" t="s">
        <v>24</v>
      </c>
      <c r="G1329" t="s">
        <v>25</v>
      </c>
      <c r="H1329" t="s">
        <v>58</v>
      </c>
      <c r="I1329" t="s">
        <v>27</v>
      </c>
      <c r="J1329" t="s">
        <v>95</v>
      </c>
      <c r="K1329">
        <v>2</v>
      </c>
      <c r="L1329" t="s">
        <v>34</v>
      </c>
      <c r="M1329">
        <v>54000</v>
      </c>
      <c r="N1329">
        <v>4.0999999999999996</v>
      </c>
      <c r="O1329">
        <v>4.9000000000000004</v>
      </c>
      <c r="P1329">
        <v>4.4000000000000004</v>
      </c>
      <c r="Q1329">
        <v>3.7</v>
      </c>
      <c r="R1329">
        <v>4</v>
      </c>
      <c r="S1329">
        <v>4</v>
      </c>
      <c r="T1329">
        <v>2</v>
      </c>
      <c r="U1329" t="s">
        <v>23</v>
      </c>
      <c r="V1329">
        <v>2</v>
      </c>
      <c r="W1329">
        <f>COUNTIF($A$2:A1329,A1329)</f>
        <v>1</v>
      </c>
    </row>
    <row r="1330" spans="1:23" x14ac:dyDescent="0.35">
      <c r="A1330" t="s">
        <v>47</v>
      </c>
      <c r="B1330" s="2">
        <v>43504</v>
      </c>
      <c r="D1330" t="s">
        <v>23</v>
      </c>
      <c r="E1330">
        <v>29</v>
      </c>
      <c r="F1330" t="s">
        <v>36</v>
      </c>
      <c r="G1330" t="s">
        <v>37</v>
      </c>
      <c r="H1330" t="s">
        <v>26</v>
      </c>
      <c r="I1330" t="s">
        <v>48</v>
      </c>
      <c r="J1330" t="s">
        <v>49</v>
      </c>
      <c r="K1330">
        <v>1</v>
      </c>
      <c r="L1330" t="s">
        <v>50</v>
      </c>
      <c r="M1330">
        <v>43000</v>
      </c>
      <c r="N1330">
        <v>15.3</v>
      </c>
      <c r="O1330">
        <v>12.4</v>
      </c>
      <c r="P1330">
        <v>6.9</v>
      </c>
      <c r="Q1330">
        <v>5</v>
      </c>
      <c r="R1330">
        <v>1</v>
      </c>
      <c r="S1330">
        <v>3</v>
      </c>
      <c r="T1330">
        <v>3</v>
      </c>
      <c r="U1330" t="s">
        <v>30</v>
      </c>
      <c r="V1330">
        <v>2</v>
      </c>
      <c r="W1330">
        <f>COUNTIF($A$2:A1330,A1330)</f>
        <v>1</v>
      </c>
    </row>
    <row r="1331" spans="1:23" x14ac:dyDescent="0.35">
      <c r="A1331" t="s">
        <v>253</v>
      </c>
      <c r="B1331" s="2">
        <v>45208</v>
      </c>
      <c r="D1331" t="s">
        <v>23</v>
      </c>
      <c r="E1331">
        <v>23</v>
      </c>
      <c r="F1331" t="s">
        <v>62</v>
      </c>
      <c r="G1331" t="s">
        <v>42</v>
      </c>
      <c r="H1331" t="s">
        <v>32</v>
      </c>
      <c r="I1331" t="s">
        <v>27</v>
      </c>
      <c r="J1331" t="s">
        <v>33</v>
      </c>
      <c r="K1331">
        <v>1</v>
      </c>
      <c r="L1331" t="s">
        <v>29</v>
      </c>
      <c r="M1331">
        <v>24000</v>
      </c>
      <c r="N1331">
        <v>14.3</v>
      </c>
      <c r="O1331">
        <v>3.4</v>
      </c>
      <c r="P1331">
        <v>2.2000000000000002</v>
      </c>
      <c r="Q1331">
        <v>0.6</v>
      </c>
      <c r="R1331">
        <v>4</v>
      </c>
      <c r="S1331">
        <v>4</v>
      </c>
      <c r="T1331">
        <v>1</v>
      </c>
      <c r="U1331" t="s">
        <v>23</v>
      </c>
      <c r="V1331">
        <v>4</v>
      </c>
      <c r="W1331">
        <f>COUNTIF($A$2:A1331,A1331)</f>
        <v>1</v>
      </c>
    </row>
    <row r="1332" spans="1:23" x14ac:dyDescent="0.35">
      <c r="A1332" t="s">
        <v>1223</v>
      </c>
      <c r="B1332" s="2">
        <v>43459</v>
      </c>
      <c r="C1332" s="2">
        <v>45911</v>
      </c>
      <c r="D1332" t="s">
        <v>30</v>
      </c>
      <c r="E1332">
        <v>34</v>
      </c>
      <c r="F1332" t="s">
        <v>62</v>
      </c>
      <c r="G1332" t="s">
        <v>25</v>
      </c>
      <c r="H1332" t="s">
        <v>32</v>
      </c>
      <c r="I1332" t="s">
        <v>48</v>
      </c>
      <c r="J1332" t="s">
        <v>129</v>
      </c>
      <c r="K1332">
        <v>4</v>
      </c>
      <c r="L1332" t="s">
        <v>40</v>
      </c>
      <c r="M1332">
        <v>122000</v>
      </c>
      <c r="N1332">
        <v>11.8</v>
      </c>
      <c r="O1332">
        <v>13.4</v>
      </c>
      <c r="P1332">
        <v>6.7</v>
      </c>
      <c r="Q1332">
        <v>4.8</v>
      </c>
      <c r="R1332">
        <v>2</v>
      </c>
      <c r="S1332">
        <v>2</v>
      </c>
      <c r="T1332">
        <v>1</v>
      </c>
      <c r="U1332" t="s">
        <v>30</v>
      </c>
      <c r="V1332">
        <v>4</v>
      </c>
      <c r="W1332">
        <f>COUNTIF($A$2:A1332,A1332)</f>
        <v>1</v>
      </c>
    </row>
    <row r="1333" spans="1:23" x14ac:dyDescent="0.35">
      <c r="A1333" t="s">
        <v>1079</v>
      </c>
      <c r="B1333" s="2">
        <v>42373</v>
      </c>
      <c r="D1333" t="s">
        <v>23</v>
      </c>
      <c r="E1333">
        <v>32</v>
      </c>
      <c r="F1333" t="s">
        <v>36</v>
      </c>
      <c r="G1333" t="s">
        <v>42</v>
      </c>
      <c r="H1333" t="s">
        <v>32</v>
      </c>
      <c r="I1333" t="s">
        <v>48</v>
      </c>
      <c r="J1333" t="s">
        <v>63</v>
      </c>
      <c r="K1333">
        <v>2</v>
      </c>
      <c r="L1333" t="s">
        <v>50</v>
      </c>
      <c r="M1333">
        <v>52000</v>
      </c>
      <c r="N1333">
        <v>12.4</v>
      </c>
      <c r="O1333">
        <v>13.4</v>
      </c>
      <c r="P1333">
        <v>10</v>
      </c>
      <c r="Q1333">
        <v>4.0999999999999996</v>
      </c>
      <c r="R1333">
        <v>2</v>
      </c>
      <c r="S1333">
        <v>2</v>
      </c>
      <c r="T1333">
        <v>3</v>
      </c>
      <c r="U1333" t="s">
        <v>30</v>
      </c>
      <c r="V1333">
        <v>2</v>
      </c>
      <c r="W1333">
        <f>COUNTIF($A$2:A1333,A1333)</f>
        <v>1</v>
      </c>
    </row>
    <row r="1334" spans="1:23" x14ac:dyDescent="0.35">
      <c r="A1334" t="s">
        <v>125</v>
      </c>
      <c r="B1334" s="2">
        <v>44603</v>
      </c>
      <c r="D1334" t="s">
        <v>23</v>
      </c>
      <c r="E1334">
        <v>31</v>
      </c>
      <c r="F1334" t="s">
        <v>24</v>
      </c>
      <c r="G1334" t="s">
        <v>37</v>
      </c>
      <c r="H1334" t="s">
        <v>58</v>
      </c>
      <c r="I1334" t="s">
        <v>55</v>
      </c>
      <c r="J1334" t="s">
        <v>56</v>
      </c>
      <c r="K1334">
        <v>1</v>
      </c>
      <c r="L1334" t="s">
        <v>34</v>
      </c>
      <c r="M1334">
        <v>49000</v>
      </c>
      <c r="N1334">
        <v>8.5</v>
      </c>
      <c r="O1334">
        <v>9.6999999999999993</v>
      </c>
      <c r="P1334">
        <v>3.9</v>
      </c>
      <c r="Q1334">
        <v>0.3</v>
      </c>
      <c r="R1334">
        <v>3</v>
      </c>
      <c r="S1334">
        <v>3</v>
      </c>
      <c r="T1334">
        <v>3</v>
      </c>
      <c r="U1334" t="s">
        <v>23</v>
      </c>
      <c r="V1334">
        <v>4</v>
      </c>
      <c r="W1334">
        <f>COUNTIF($A$2:A1334,A1334)</f>
        <v>1</v>
      </c>
    </row>
    <row r="1335" spans="1:23" x14ac:dyDescent="0.35">
      <c r="A1335" t="s">
        <v>250</v>
      </c>
      <c r="B1335" s="2">
        <v>45644</v>
      </c>
      <c r="D1335" t="s">
        <v>23</v>
      </c>
      <c r="E1335">
        <v>28</v>
      </c>
      <c r="F1335" t="s">
        <v>24</v>
      </c>
      <c r="G1335" t="s">
        <v>25</v>
      </c>
      <c r="H1335" t="s">
        <v>54</v>
      </c>
      <c r="I1335" t="s">
        <v>48</v>
      </c>
      <c r="J1335" t="s">
        <v>129</v>
      </c>
      <c r="K1335">
        <v>1</v>
      </c>
      <c r="L1335" t="s">
        <v>40</v>
      </c>
      <c r="M1335">
        <v>26000</v>
      </c>
      <c r="N1335">
        <v>7.9</v>
      </c>
      <c r="O1335">
        <v>8.8000000000000007</v>
      </c>
      <c r="P1335">
        <v>1</v>
      </c>
      <c r="Q1335">
        <v>0</v>
      </c>
      <c r="R1335">
        <v>3</v>
      </c>
      <c r="S1335">
        <v>3</v>
      </c>
      <c r="T1335">
        <v>3</v>
      </c>
      <c r="U1335" t="s">
        <v>30</v>
      </c>
      <c r="V1335">
        <v>2</v>
      </c>
      <c r="W1335">
        <f>COUNTIF($A$2:A1335,A1335)</f>
        <v>1</v>
      </c>
    </row>
    <row r="1336" spans="1:23" x14ac:dyDescent="0.35">
      <c r="A1336" t="s">
        <v>419</v>
      </c>
      <c r="B1336" s="2">
        <v>45646</v>
      </c>
      <c r="C1336" s="2">
        <v>45966</v>
      </c>
      <c r="D1336" t="s">
        <v>30</v>
      </c>
      <c r="E1336">
        <v>27</v>
      </c>
      <c r="F1336" t="s">
        <v>36</v>
      </c>
      <c r="G1336" t="s">
        <v>42</v>
      </c>
      <c r="H1336" t="s">
        <v>58</v>
      </c>
      <c r="I1336" t="s">
        <v>55</v>
      </c>
      <c r="J1336" t="s">
        <v>56</v>
      </c>
      <c r="K1336">
        <v>1</v>
      </c>
      <c r="L1336" t="s">
        <v>29</v>
      </c>
      <c r="M1336">
        <v>41000</v>
      </c>
      <c r="N1336">
        <v>6.4</v>
      </c>
      <c r="O1336">
        <v>4.7</v>
      </c>
      <c r="P1336">
        <v>0.9</v>
      </c>
      <c r="Q1336">
        <v>0</v>
      </c>
      <c r="R1336">
        <v>3</v>
      </c>
      <c r="S1336">
        <v>3</v>
      </c>
      <c r="T1336">
        <v>2</v>
      </c>
      <c r="U1336" t="s">
        <v>23</v>
      </c>
      <c r="V1336">
        <v>2</v>
      </c>
      <c r="W1336">
        <f>COUNTIF($A$2:A1336,A1336)</f>
        <v>1</v>
      </c>
    </row>
    <row r="1337" spans="1:23" x14ac:dyDescent="0.35">
      <c r="A1337" t="s">
        <v>1390</v>
      </c>
      <c r="B1337" s="2">
        <v>45293</v>
      </c>
      <c r="D1337" t="s">
        <v>23</v>
      </c>
      <c r="E1337">
        <v>22</v>
      </c>
      <c r="F1337" t="s">
        <v>24</v>
      </c>
      <c r="G1337" t="s">
        <v>37</v>
      </c>
      <c r="H1337" t="s">
        <v>32</v>
      </c>
      <c r="I1337" t="s">
        <v>48</v>
      </c>
      <c r="J1337" t="s">
        <v>63</v>
      </c>
      <c r="K1337">
        <v>1</v>
      </c>
      <c r="L1337" t="s">
        <v>84</v>
      </c>
      <c r="M1337">
        <v>33000</v>
      </c>
      <c r="N1337">
        <v>8.1999999999999993</v>
      </c>
      <c r="O1337">
        <v>9.6999999999999993</v>
      </c>
      <c r="P1337">
        <v>2</v>
      </c>
      <c r="Q1337">
        <v>0.9</v>
      </c>
      <c r="R1337">
        <v>2</v>
      </c>
      <c r="S1337">
        <v>1</v>
      </c>
      <c r="T1337">
        <v>2</v>
      </c>
      <c r="U1337" t="s">
        <v>30</v>
      </c>
      <c r="V1337">
        <v>3</v>
      </c>
      <c r="W1337">
        <f>COUNTIF($A$2:A1337,A1337)</f>
        <v>1</v>
      </c>
    </row>
    <row r="1338" spans="1:23" x14ac:dyDescent="0.35">
      <c r="A1338" t="s">
        <v>540</v>
      </c>
      <c r="B1338" s="2">
        <v>45297</v>
      </c>
      <c r="D1338" t="s">
        <v>23</v>
      </c>
      <c r="E1338">
        <v>35</v>
      </c>
      <c r="F1338" t="s">
        <v>62</v>
      </c>
      <c r="G1338" t="s">
        <v>25</v>
      </c>
      <c r="H1338" t="s">
        <v>26</v>
      </c>
      <c r="I1338" t="s">
        <v>68</v>
      </c>
      <c r="J1338" t="s">
        <v>109</v>
      </c>
      <c r="K1338">
        <v>2</v>
      </c>
      <c r="L1338" t="s">
        <v>66</v>
      </c>
      <c r="M1338">
        <v>42000</v>
      </c>
      <c r="N1338">
        <v>13.3</v>
      </c>
      <c r="O1338">
        <v>3.7</v>
      </c>
      <c r="P1338">
        <v>2</v>
      </c>
      <c r="Q1338">
        <v>1.2</v>
      </c>
      <c r="R1338">
        <v>1</v>
      </c>
      <c r="S1338">
        <v>4</v>
      </c>
      <c r="T1338">
        <v>2</v>
      </c>
      <c r="U1338" t="s">
        <v>23</v>
      </c>
      <c r="V1338">
        <v>4</v>
      </c>
      <c r="W1338">
        <f>COUNTIF($A$2:A1338,A1338)</f>
        <v>1</v>
      </c>
    </row>
    <row r="1339" spans="1:23" x14ac:dyDescent="0.35">
      <c r="A1339" t="s">
        <v>276</v>
      </c>
      <c r="B1339" s="2">
        <v>44007</v>
      </c>
      <c r="D1339" t="s">
        <v>23</v>
      </c>
      <c r="E1339">
        <v>34</v>
      </c>
      <c r="F1339" t="s">
        <v>24</v>
      </c>
      <c r="G1339" t="s">
        <v>37</v>
      </c>
      <c r="H1339" t="s">
        <v>54</v>
      </c>
      <c r="I1339" t="s">
        <v>68</v>
      </c>
      <c r="J1339" t="s">
        <v>69</v>
      </c>
      <c r="K1339">
        <v>3</v>
      </c>
      <c r="L1339" t="s">
        <v>34</v>
      </c>
      <c r="M1339">
        <v>77000</v>
      </c>
      <c r="N1339">
        <v>6.9</v>
      </c>
      <c r="O1339">
        <v>5.7</v>
      </c>
      <c r="P1339">
        <v>5.5</v>
      </c>
      <c r="Q1339">
        <v>3.7</v>
      </c>
      <c r="R1339">
        <v>4</v>
      </c>
      <c r="S1339">
        <v>3</v>
      </c>
      <c r="T1339">
        <v>3</v>
      </c>
      <c r="U1339" t="s">
        <v>23</v>
      </c>
      <c r="V1339">
        <v>3</v>
      </c>
      <c r="W1339">
        <f>COUNTIF($A$2:A1339,A1339)</f>
        <v>1</v>
      </c>
    </row>
    <row r="1340" spans="1:23" x14ac:dyDescent="0.35">
      <c r="A1340" t="s">
        <v>1192</v>
      </c>
      <c r="B1340" s="2">
        <v>44630</v>
      </c>
      <c r="D1340" t="s">
        <v>23</v>
      </c>
      <c r="E1340">
        <v>36</v>
      </c>
      <c r="F1340" t="s">
        <v>36</v>
      </c>
      <c r="G1340" t="s">
        <v>37</v>
      </c>
      <c r="H1340" t="s">
        <v>32</v>
      </c>
      <c r="I1340" t="s">
        <v>38</v>
      </c>
      <c r="J1340" t="s">
        <v>52</v>
      </c>
      <c r="K1340">
        <v>3</v>
      </c>
      <c r="L1340" t="s">
        <v>50</v>
      </c>
      <c r="M1340">
        <v>71000</v>
      </c>
      <c r="N1340">
        <v>6.8</v>
      </c>
      <c r="O1340">
        <v>6</v>
      </c>
      <c r="P1340">
        <v>3.8</v>
      </c>
      <c r="Q1340">
        <v>1.3</v>
      </c>
      <c r="R1340">
        <v>4</v>
      </c>
      <c r="S1340">
        <v>3</v>
      </c>
      <c r="T1340">
        <v>3</v>
      </c>
      <c r="U1340" t="s">
        <v>23</v>
      </c>
      <c r="V1340">
        <v>3</v>
      </c>
      <c r="W1340">
        <f>COUNTIF($A$2:A1340,A1340)</f>
        <v>1</v>
      </c>
    </row>
    <row r="1341" spans="1:23" x14ac:dyDescent="0.35">
      <c r="A1341" t="s">
        <v>807</v>
      </c>
      <c r="B1341" s="2">
        <v>41938</v>
      </c>
      <c r="D1341" t="s">
        <v>23</v>
      </c>
      <c r="E1341">
        <v>35</v>
      </c>
      <c r="F1341" t="s">
        <v>62</v>
      </c>
      <c r="G1341" t="s">
        <v>42</v>
      </c>
      <c r="H1341" t="s">
        <v>58</v>
      </c>
      <c r="I1341" t="s">
        <v>38</v>
      </c>
      <c r="J1341" t="s">
        <v>118</v>
      </c>
      <c r="K1341">
        <v>2</v>
      </c>
      <c r="L1341" t="s">
        <v>34</v>
      </c>
      <c r="M1341">
        <v>70000</v>
      </c>
      <c r="N1341">
        <v>5.9</v>
      </c>
      <c r="O1341">
        <v>14.6</v>
      </c>
      <c r="P1341">
        <v>11.2</v>
      </c>
      <c r="Q1341">
        <v>5.3</v>
      </c>
      <c r="R1341">
        <v>4</v>
      </c>
      <c r="S1341">
        <v>4</v>
      </c>
      <c r="T1341">
        <v>3</v>
      </c>
      <c r="U1341" t="s">
        <v>23</v>
      </c>
      <c r="V1341">
        <v>4</v>
      </c>
      <c r="W1341">
        <f>COUNTIF($A$2:A1341,A1341)</f>
        <v>1</v>
      </c>
    </row>
    <row r="1342" spans="1:23" x14ac:dyDescent="0.35">
      <c r="A1342" t="s">
        <v>914</v>
      </c>
      <c r="B1342" s="2">
        <v>43027</v>
      </c>
      <c r="D1342" t="s">
        <v>23</v>
      </c>
      <c r="E1342">
        <v>29</v>
      </c>
      <c r="F1342" t="s">
        <v>36</v>
      </c>
      <c r="G1342" t="s">
        <v>37</v>
      </c>
      <c r="H1342" t="s">
        <v>32</v>
      </c>
      <c r="I1342" t="s">
        <v>27</v>
      </c>
      <c r="J1342" t="s">
        <v>33</v>
      </c>
      <c r="K1342">
        <v>3</v>
      </c>
      <c r="L1342" t="s">
        <v>34</v>
      </c>
      <c r="M1342">
        <v>66000</v>
      </c>
      <c r="N1342">
        <v>7.6</v>
      </c>
      <c r="O1342">
        <v>11.2</v>
      </c>
      <c r="P1342">
        <v>8.1999999999999993</v>
      </c>
      <c r="Q1342">
        <v>0.4</v>
      </c>
      <c r="R1342">
        <v>3</v>
      </c>
      <c r="S1342">
        <v>1</v>
      </c>
      <c r="T1342">
        <v>3</v>
      </c>
      <c r="U1342" t="s">
        <v>23</v>
      </c>
      <c r="V1342">
        <v>3</v>
      </c>
      <c r="W1342">
        <f>COUNTIF($A$2:A1342,A1342)</f>
        <v>1</v>
      </c>
    </row>
    <row r="1343" spans="1:23" x14ac:dyDescent="0.35">
      <c r="A1343" t="s">
        <v>523</v>
      </c>
      <c r="B1343" s="2">
        <v>43879</v>
      </c>
      <c r="D1343" t="s">
        <v>23</v>
      </c>
      <c r="E1343">
        <v>26</v>
      </c>
      <c r="F1343" t="s">
        <v>62</v>
      </c>
      <c r="G1343" t="s">
        <v>25</v>
      </c>
      <c r="H1343" t="s">
        <v>32</v>
      </c>
      <c r="I1343" t="s">
        <v>59</v>
      </c>
      <c r="J1343" t="s">
        <v>75</v>
      </c>
      <c r="K1343">
        <v>1</v>
      </c>
      <c r="L1343" t="s">
        <v>34</v>
      </c>
      <c r="M1343">
        <v>37000</v>
      </c>
      <c r="N1343">
        <v>2.2000000000000002</v>
      </c>
      <c r="O1343">
        <v>12.6</v>
      </c>
      <c r="P1343">
        <v>5.9</v>
      </c>
      <c r="Q1343">
        <v>0.8</v>
      </c>
      <c r="R1343">
        <v>1</v>
      </c>
      <c r="S1343">
        <v>3</v>
      </c>
      <c r="T1343">
        <v>1</v>
      </c>
      <c r="U1343" t="s">
        <v>30</v>
      </c>
      <c r="V1343">
        <v>3</v>
      </c>
      <c r="W1343">
        <f>COUNTIF($A$2:A1343,A1343)</f>
        <v>1</v>
      </c>
    </row>
    <row r="1344" spans="1:23" x14ac:dyDescent="0.35">
      <c r="A1344" t="s">
        <v>94</v>
      </c>
      <c r="B1344" s="2">
        <v>42843</v>
      </c>
      <c r="D1344" t="s">
        <v>23</v>
      </c>
      <c r="E1344">
        <v>31</v>
      </c>
      <c r="F1344" t="s">
        <v>62</v>
      </c>
      <c r="G1344" t="s">
        <v>25</v>
      </c>
      <c r="H1344" t="s">
        <v>54</v>
      </c>
      <c r="I1344" t="s">
        <v>27</v>
      </c>
      <c r="J1344" t="s">
        <v>95</v>
      </c>
      <c r="K1344">
        <v>4</v>
      </c>
      <c r="L1344" t="s">
        <v>84</v>
      </c>
      <c r="M1344">
        <v>121000</v>
      </c>
      <c r="N1344">
        <v>7.9</v>
      </c>
      <c r="O1344">
        <v>12.2</v>
      </c>
      <c r="P1344">
        <v>8.6999999999999993</v>
      </c>
      <c r="Q1344">
        <v>2.7</v>
      </c>
      <c r="R1344">
        <v>3</v>
      </c>
      <c r="S1344">
        <v>4</v>
      </c>
      <c r="T1344">
        <v>3</v>
      </c>
      <c r="U1344" t="s">
        <v>23</v>
      </c>
      <c r="V1344">
        <v>2</v>
      </c>
      <c r="W1344">
        <f>COUNTIF($A$2:A1344,A1344)</f>
        <v>1</v>
      </c>
    </row>
    <row r="1345" spans="1:23" x14ac:dyDescent="0.35">
      <c r="A1345" t="s">
        <v>1289</v>
      </c>
      <c r="B1345" s="2">
        <v>45865</v>
      </c>
      <c r="C1345" s="2">
        <v>45946</v>
      </c>
      <c r="D1345" t="s">
        <v>30</v>
      </c>
      <c r="E1345">
        <v>21</v>
      </c>
      <c r="F1345" t="s">
        <v>36</v>
      </c>
      <c r="G1345" t="s">
        <v>42</v>
      </c>
      <c r="H1345" t="s">
        <v>26</v>
      </c>
      <c r="I1345" t="s">
        <v>68</v>
      </c>
      <c r="J1345" t="s">
        <v>121</v>
      </c>
      <c r="K1345">
        <v>1</v>
      </c>
      <c r="L1345" t="s">
        <v>40</v>
      </c>
      <c r="M1345">
        <v>34000</v>
      </c>
      <c r="N1345">
        <v>11.5</v>
      </c>
      <c r="O1345">
        <v>1.8</v>
      </c>
      <c r="P1345">
        <v>0.2</v>
      </c>
      <c r="Q1345">
        <v>0</v>
      </c>
      <c r="R1345">
        <v>1</v>
      </c>
      <c r="S1345">
        <v>3</v>
      </c>
      <c r="T1345">
        <v>3</v>
      </c>
      <c r="U1345" t="s">
        <v>23</v>
      </c>
      <c r="V1345">
        <v>4</v>
      </c>
      <c r="W1345">
        <f>COUNTIF($A$2:A1345,A1345)</f>
        <v>1</v>
      </c>
    </row>
    <row r="1346" spans="1:23" x14ac:dyDescent="0.35">
      <c r="A1346" t="s">
        <v>1482</v>
      </c>
      <c r="B1346" s="2">
        <v>45825</v>
      </c>
      <c r="D1346" t="s">
        <v>23</v>
      </c>
      <c r="E1346">
        <v>34</v>
      </c>
      <c r="F1346" t="s">
        <v>24</v>
      </c>
      <c r="G1346" t="s">
        <v>25</v>
      </c>
      <c r="H1346" t="s">
        <v>26</v>
      </c>
      <c r="I1346" t="s">
        <v>59</v>
      </c>
      <c r="J1346" t="s">
        <v>86</v>
      </c>
      <c r="K1346">
        <v>1</v>
      </c>
      <c r="L1346" t="s">
        <v>50</v>
      </c>
      <c r="M1346">
        <v>43000</v>
      </c>
      <c r="N1346">
        <v>6.8</v>
      </c>
      <c r="O1346">
        <v>6.5</v>
      </c>
      <c r="P1346">
        <v>0.5</v>
      </c>
      <c r="Q1346">
        <v>0</v>
      </c>
      <c r="R1346">
        <v>3</v>
      </c>
      <c r="S1346">
        <v>3</v>
      </c>
      <c r="T1346">
        <v>3</v>
      </c>
      <c r="U1346" t="s">
        <v>23</v>
      </c>
      <c r="V1346">
        <v>4</v>
      </c>
      <c r="W1346">
        <f>COUNTIF($A$2:A1346,A1346)</f>
        <v>1</v>
      </c>
    </row>
    <row r="1347" spans="1:23" x14ac:dyDescent="0.35">
      <c r="A1347" t="s">
        <v>724</v>
      </c>
      <c r="B1347" s="2">
        <v>45661</v>
      </c>
      <c r="D1347" t="s">
        <v>23</v>
      </c>
      <c r="E1347">
        <v>22</v>
      </c>
      <c r="F1347" t="s">
        <v>62</v>
      </c>
      <c r="G1347" t="s">
        <v>42</v>
      </c>
      <c r="H1347" t="s">
        <v>32</v>
      </c>
      <c r="I1347" t="s">
        <v>68</v>
      </c>
      <c r="J1347" t="s">
        <v>102</v>
      </c>
      <c r="K1347">
        <v>1</v>
      </c>
      <c r="L1347" t="s">
        <v>34</v>
      </c>
      <c r="M1347">
        <v>25000</v>
      </c>
      <c r="N1347">
        <v>1.8</v>
      </c>
      <c r="O1347">
        <v>1.7</v>
      </c>
      <c r="P1347">
        <v>1</v>
      </c>
      <c r="Q1347">
        <v>0.6</v>
      </c>
      <c r="R1347">
        <v>3</v>
      </c>
      <c r="S1347">
        <v>4</v>
      </c>
      <c r="T1347">
        <v>2</v>
      </c>
      <c r="U1347" t="s">
        <v>30</v>
      </c>
      <c r="V1347">
        <v>3</v>
      </c>
      <c r="W1347">
        <f>COUNTIF($A$2:A1347,A1347)</f>
        <v>1</v>
      </c>
    </row>
    <row r="1348" spans="1:23" x14ac:dyDescent="0.35">
      <c r="A1348" t="s">
        <v>155</v>
      </c>
      <c r="B1348" s="2">
        <v>43273</v>
      </c>
      <c r="D1348" t="s">
        <v>23</v>
      </c>
      <c r="E1348">
        <v>33</v>
      </c>
      <c r="F1348" t="s">
        <v>62</v>
      </c>
      <c r="G1348" t="s">
        <v>42</v>
      </c>
      <c r="H1348" t="s">
        <v>54</v>
      </c>
      <c r="I1348" t="s">
        <v>45</v>
      </c>
      <c r="J1348" t="s">
        <v>46</v>
      </c>
      <c r="K1348">
        <v>3</v>
      </c>
      <c r="L1348" t="s">
        <v>84</v>
      </c>
      <c r="M1348">
        <v>73000</v>
      </c>
      <c r="N1348">
        <v>9.1999999999999993</v>
      </c>
      <c r="O1348">
        <v>9.9</v>
      </c>
      <c r="P1348">
        <v>7.5</v>
      </c>
      <c r="Q1348">
        <v>5.9</v>
      </c>
      <c r="R1348">
        <v>3</v>
      </c>
      <c r="S1348">
        <v>4</v>
      </c>
      <c r="T1348">
        <v>4</v>
      </c>
      <c r="U1348" t="s">
        <v>23</v>
      </c>
      <c r="V1348">
        <v>4</v>
      </c>
      <c r="W1348">
        <f>COUNTIF($A$2:A1348,A1348)</f>
        <v>1</v>
      </c>
    </row>
    <row r="1349" spans="1:23" x14ac:dyDescent="0.35">
      <c r="A1349" t="s">
        <v>1363</v>
      </c>
      <c r="B1349" s="2">
        <v>45814</v>
      </c>
      <c r="D1349" t="s">
        <v>23</v>
      </c>
      <c r="E1349">
        <v>32</v>
      </c>
      <c r="F1349" t="s">
        <v>24</v>
      </c>
      <c r="G1349" t="s">
        <v>42</v>
      </c>
      <c r="H1349" t="s">
        <v>26</v>
      </c>
      <c r="I1349" t="s">
        <v>48</v>
      </c>
      <c r="J1349" t="s">
        <v>49</v>
      </c>
      <c r="K1349">
        <v>1</v>
      </c>
      <c r="L1349" t="s">
        <v>50</v>
      </c>
      <c r="M1349">
        <v>22000</v>
      </c>
      <c r="N1349">
        <v>14.5</v>
      </c>
      <c r="O1349">
        <v>2.8</v>
      </c>
      <c r="P1349">
        <v>0.6</v>
      </c>
      <c r="Q1349">
        <v>0</v>
      </c>
      <c r="R1349">
        <v>4</v>
      </c>
      <c r="S1349">
        <v>3</v>
      </c>
      <c r="T1349">
        <v>4</v>
      </c>
      <c r="U1349" t="s">
        <v>23</v>
      </c>
      <c r="V1349">
        <v>4</v>
      </c>
      <c r="W1349">
        <f>COUNTIF($A$2:A1349,A1349)</f>
        <v>1</v>
      </c>
    </row>
    <row r="1350" spans="1:23" x14ac:dyDescent="0.35">
      <c r="A1350" t="s">
        <v>463</v>
      </c>
      <c r="B1350" s="2">
        <v>43567</v>
      </c>
      <c r="D1350" t="s">
        <v>23</v>
      </c>
      <c r="E1350">
        <v>30</v>
      </c>
      <c r="F1350" t="s">
        <v>24</v>
      </c>
      <c r="G1350" t="s">
        <v>25</v>
      </c>
      <c r="H1350" t="s">
        <v>58</v>
      </c>
      <c r="I1350" t="s">
        <v>27</v>
      </c>
      <c r="J1350" t="s">
        <v>43</v>
      </c>
      <c r="K1350">
        <v>2</v>
      </c>
      <c r="L1350" t="s">
        <v>29</v>
      </c>
      <c r="M1350">
        <v>65000</v>
      </c>
      <c r="N1350">
        <v>4</v>
      </c>
      <c r="O1350">
        <v>10.7</v>
      </c>
      <c r="P1350">
        <v>6.7</v>
      </c>
      <c r="Q1350">
        <v>4.5999999999999996</v>
      </c>
      <c r="R1350">
        <v>3</v>
      </c>
      <c r="S1350">
        <v>4</v>
      </c>
      <c r="T1350">
        <v>3</v>
      </c>
      <c r="U1350" t="s">
        <v>23</v>
      </c>
      <c r="V1350">
        <v>5</v>
      </c>
      <c r="W1350">
        <f>COUNTIF($A$2:A1350,A1350)</f>
        <v>1</v>
      </c>
    </row>
    <row r="1351" spans="1:23" x14ac:dyDescent="0.35">
      <c r="A1351" t="s">
        <v>915</v>
      </c>
      <c r="B1351" s="2">
        <v>45290</v>
      </c>
      <c r="D1351" t="s">
        <v>23</v>
      </c>
      <c r="E1351">
        <v>25</v>
      </c>
      <c r="F1351" t="s">
        <v>62</v>
      </c>
      <c r="G1351" t="s">
        <v>25</v>
      </c>
      <c r="H1351" t="s">
        <v>58</v>
      </c>
      <c r="I1351" t="s">
        <v>38</v>
      </c>
      <c r="J1351" t="s">
        <v>118</v>
      </c>
      <c r="K1351">
        <v>1</v>
      </c>
      <c r="L1351" t="s">
        <v>34</v>
      </c>
      <c r="M1351">
        <v>37000</v>
      </c>
      <c r="N1351">
        <v>10.7</v>
      </c>
      <c r="O1351">
        <v>2.2000000000000002</v>
      </c>
      <c r="P1351">
        <v>2</v>
      </c>
      <c r="Q1351">
        <v>0.6</v>
      </c>
      <c r="R1351">
        <v>2</v>
      </c>
      <c r="S1351">
        <v>4</v>
      </c>
      <c r="T1351">
        <v>3</v>
      </c>
      <c r="U1351" t="s">
        <v>23</v>
      </c>
      <c r="V1351">
        <v>3</v>
      </c>
      <c r="W1351">
        <f>COUNTIF($A$2:A1351,A1351)</f>
        <v>1</v>
      </c>
    </row>
    <row r="1352" spans="1:23" x14ac:dyDescent="0.35">
      <c r="A1352" t="s">
        <v>1484</v>
      </c>
      <c r="B1352" s="2">
        <v>45684</v>
      </c>
      <c r="D1352" t="s">
        <v>23</v>
      </c>
      <c r="E1352">
        <v>51</v>
      </c>
      <c r="F1352" t="s">
        <v>62</v>
      </c>
      <c r="G1352" t="s">
        <v>37</v>
      </c>
      <c r="H1352" t="s">
        <v>32</v>
      </c>
      <c r="I1352" t="s">
        <v>48</v>
      </c>
      <c r="J1352" t="s">
        <v>201</v>
      </c>
      <c r="K1352">
        <v>2</v>
      </c>
      <c r="L1352" t="s">
        <v>29</v>
      </c>
      <c r="M1352">
        <v>35000</v>
      </c>
      <c r="N1352">
        <v>11.4</v>
      </c>
      <c r="O1352">
        <v>6.7</v>
      </c>
      <c r="P1352">
        <v>0.9</v>
      </c>
      <c r="Q1352">
        <v>0</v>
      </c>
      <c r="R1352">
        <v>2</v>
      </c>
      <c r="S1352">
        <v>3</v>
      </c>
      <c r="T1352">
        <v>3</v>
      </c>
      <c r="U1352" t="s">
        <v>30</v>
      </c>
      <c r="V1352">
        <v>2</v>
      </c>
      <c r="W1352">
        <f>COUNTIF($A$2:A1352,A1352)</f>
        <v>1</v>
      </c>
    </row>
    <row r="1353" spans="1:23" x14ac:dyDescent="0.35">
      <c r="A1353" t="s">
        <v>110</v>
      </c>
      <c r="B1353" s="2">
        <v>43475</v>
      </c>
      <c r="D1353" t="s">
        <v>23</v>
      </c>
      <c r="E1353">
        <v>29</v>
      </c>
      <c r="F1353" t="s">
        <v>36</v>
      </c>
      <c r="G1353" t="s">
        <v>37</v>
      </c>
      <c r="H1353" t="s">
        <v>54</v>
      </c>
      <c r="I1353" t="s">
        <v>55</v>
      </c>
      <c r="J1353" t="s">
        <v>80</v>
      </c>
      <c r="K1353">
        <v>3</v>
      </c>
      <c r="L1353" t="s">
        <v>40</v>
      </c>
      <c r="M1353">
        <v>84000</v>
      </c>
      <c r="N1353">
        <v>5.4</v>
      </c>
      <c r="O1353">
        <v>8.1</v>
      </c>
      <c r="P1353">
        <v>7</v>
      </c>
      <c r="Q1353">
        <v>3.2</v>
      </c>
      <c r="R1353">
        <v>2</v>
      </c>
      <c r="S1353">
        <v>3</v>
      </c>
      <c r="T1353">
        <v>2</v>
      </c>
      <c r="U1353" t="s">
        <v>23</v>
      </c>
      <c r="V1353">
        <v>3</v>
      </c>
      <c r="W1353">
        <f>COUNTIF($A$2:A1353,A1353)</f>
        <v>1</v>
      </c>
    </row>
    <row r="1354" spans="1:23" x14ac:dyDescent="0.35">
      <c r="A1354" t="s">
        <v>243</v>
      </c>
      <c r="B1354" s="2">
        <v>45090</v>
      </c>
      <c r="D1354" t="s">
        <v>23</v>
      </c>
      <c r="E1354">
        <v>39</v>
      </c>
      <c r="F1354" t="s">
        <v>62</v>
      </c>
      <c r="G1354" t="s">
        <v>37</v>
      </c>
      <c r="H1354" t="s">
        <v>58</v>
      </c>
      <c r="I1354" t="s">
        <v>59</v>
      </c>
      <c r="J1354" t="s">
        <v>150</v>
      </c>
      <c r="K1354">
        <v>3</v>
      </c>
      <c r="L1354" t="s">
        <v>50</v>
      </c>
      <c r="M1354">
        <v>75000</v>
      </c>
      <c r="N1354">
        <v>14.4</v>
      </c>
      <c r="O1354">
        <v>10.5</v>
      </c>
      <c r="P1354">
        <v>2.6</v>
      </c>
      <c r="Q1354">
        <v>0</v>
      </c>
      <c r="R1354">
        <v>4</v>
      </c>
      <c r="S1354">
        <v>3</v>
      </c>
      <c r="T1354">
        <v>2</v>
      </c>
      <c r="U1354" t="s">
        <v>23</v>
      </c>
      <c r="V1354">
        <v>2</v>
      </c>
      <c r="W1354">
        <f>COUNTIF($A$2:A1354,A1354)</f>
        <v>1</v>
      </c>
    </row>
    <row r="1355" spans="1:23" x14ac:dyDescent="0.35">
      <c r="A1355" t="s">
        <v>890</v>
      </c>
      <c r="B1355" s="2">
        <v>44985</v>
      </c>
      <c r="D1355" t="s">
        <v>23</v>
      </c>
      <c r="E1355">
        <v>24</v>
      </c>
      <c r="F1355" t="s">
        <v>24</v>
      </c>
      <c r="G1355" t="s">
        <v>37</v>
      </c>
      <c r="H1355" t="s">
        <v>26</v>
      </c>
      <c r="I1355" t="s">
        <v>27</v>
      </c>
      <c r="J1355" t="s">
        <v>43</v>
      </c>
      <c r="K1355">
        <v>1</v>
      </c>
      <c r="L1355" t="s">
        <v>34</v>
      </c>
      <c r="M1355">
        <v>22000</v>
      </c>
      <c r="N1355">
        <v>6.2</v>
      </c>
      <c r="O1355">
        <v>10.6</v>
      </c>
      <c r="P1355">
        <v>2.8</v>
      </c>
      <c r="Q1355">
        <v>1</v>
      </c>
      <c r="R1355">
        <v>3</v>
      </c>
      <c r="S1355">
        <v>1</v>
      </c>
      <c r="T1355">
        <v>3</v>
      </c>
      <c r="U1355" t="s">
        <v>23</v>
      </c>
      <c r="V1355">
        <v>5</v>
      </c>
      <c r="W1355">
        <f>COUNTIF($A$2:A1355,A1355)</f>
        <v>1</v>
      </c>
    </row>
    <row r="1356" spans="1:23" x14ac:dyDescent="0.35">
      <c r="A1356" t="s">
        <v>721</v>
      </c>
      <c r="B1356" s="2">
        <v>44783</v>
      </c>
      <c r="C1356" s="2">
        <v>45782</v>
      </c>
      <c r="D1356" t="s">
        <v>30</v>
      </c>
      <c r="E1356">
        <v>34</v>
      </c>
      <c r="F1356" t="s">
        <v>24</v>
      </c>
      <c r="G1356" t="s">
        <v>37</v>
      </c>
      <c r="H1356" t="s">
        <v>32</v>
      </c>
      <c r="I1356" t="s">
        <v>27</v>
      </c>
      <c r="J1356" t="s">
        <v>95</v>
      </c>
      <c r="K1356">
        <v>2</v>
      </c>
      <c r="L1356" t="s">
        <v>66</v>
      </c>
      <c r="M1356">
        <v>52000</v>
      </c>
      <c r="N1356">
        <v>3.4</v>
      </c>
      <c r="O1356">
        <v>6.9</v>
      </c>
      <c r="P1356">
        <v>2.7</v>
      </c>
      <c r="Q1356">
        <v>1.2</v>
      </c>
      <c r="R1356">
        <v>1</v>
      </c>
      <c r="S1356">
        <v>1</v>
      </c>
      <c r="T1356">
        <v>3</v>
      </c>
      <c r="U1356" t="s">
        <v>23</v>
      </c>
      <c r="V1356">
        <v>4</v>
      </c>
      <c r="W1356">
        <f>COUNTIF($A$2:A1356,A1356)</f>
        <v>1</v>
      </c>
    </row>
    <row r="1357" spans="1:23" x14ac:dyDescent="0.35">
      <c r="A1357" t="s">
        <v>1494</v>
      </c>
      <c r="B1357" s="2">
        <v>45530</v>
      </c>
      <c r="D1357" t="s">
        <v>23</v>
      </c>
      <c r="E1357">
        <v>35</v>
      </c>
      <c r="F1357" t="s">
        <v>62</v>
      </c>
      <c r="H1357" t="s">
        <v>58</v>
      </c>
      <c r="I1357" t="s">
        <v>45</v>
      </c>
      <c r="J1357" t="s">
        <v>46</v>
      </c>
      <c r="K1357">
        <v>1</v>
      </c>
      <c r="L1357" t="s">
        <v>34</v>
      </c>
      <c r="M1357">
        <v>38000</v>
      </c>
      <c r="N1357">
        <v>1.4</v>
      </c>
      <c r="O1357">
        <v>7.1</v>
      </c>
      <c r="P1357">
        <v>1.3</v>
      </c>
      <c r="Q1357">
        <v>0</v>
      </c>
      <c r="R1357">
        <v>4</v>
      </c>
      <c r="S1357">
        <v>3</v>
      </c>
      <c r="T1357">
        <v>3</v>
      </c>
      <c r="U1357" t="s">
        <v>30</v>
      </c>
      <c r="V1357">
        <v>3</v>
      </c>
      <c r="W1357">
        <f>COUNTIF($A$2:A1357,A1357)</f>
        <v>1</v>
      </c>
    </row>
    <row r="1358" spans="1:23" x14ac:dyDescent="0.35">
      <c r="A1358" t="s">
        <v>303</v>
      </c>
      <c r="B1358" s="2">
        <v>44247</v>
      </c>
      <c r="C1358" s="2">
        <v>45883</v>
      </c>
      <c r="D1358" t="s">
        <v>30</v>
      </c>
      <c r="E1358">
        <v>25</v>
      </c>
      <c r="F1358" t="s">
        <v>24</v>
      </c>
      <c r="G1358" t="s">
        <v>25</v>
      </c>
      <c r="H1358" t="s">
        <v>26</v>
      </c>
      <c r="I1358" t="s">
        <v>45</v>
      </c>
      <c r="J1358" t="s">
        <v>164</v>
      </c>
      <c r="K1358">
        <v>1</v>
      </c>
      <c r="L1358" t="s">
        <v>84</v>
      </c>
      <c r="M1358">
        <v>28000</v>
      </c>
      <c r="N1358">
        <v>11.1</v>
      </c>
      <c r="O1358">
        <v>7.8</v>
      </c>
      <c r="P1358">
        <v>4.5</v>
      </c>
      <c r="Q1358">
        <v>1</v>
      </c>
      <c r="R1358">
        <v>2</v>
      </c>
      <c r="S1358">
        <v>3</v>
      </c>
      <c r="T1358">
        <v>3</v>
      </c>
      <c r="U1358" t="s">
        <v>23</v>
      </c>
      <c r="V1358">
        <v>5</v>
      </c>
      <c r="W1358">
        <f>COUNTIF($A$2:A1358,A1358)</f>
        <v>1</v>
      </c>
    </row>
    <row r="1359" spans="1:23" x14ac:dyDescent="0.35">
      <c r="A1359" t="s">
        <v>423</v>
      </c>
      <c r="B1359" s="2">
        <v>45017</v>
      </c>
      <c r="D1359" t="s">
        <v>23</v>
      </c>
      <c r="E1359">
        <v>27</v>
      </c>
      <c r="F1359" t="s">
        <v>36</v>
      </c>
      <c r="G1359" t="s">
        <v>37</v>
      </c>
      <c r="H1359" t="s">
        <v>54</v>
      </c>
      <c r="I1359" t="s">
        <v>55</v>
      </c>
      <c r="J1359" t="s">
        <v>56</v>
      </c>
      <c r="K1359">
        <v>1</v>
      </c>
      <c r="L1359" t="s">
        <v>34</v>
      </c>
      <c r="M1359">
        <v>39000</v>
      </c>
      <c r="N1359">
        <v>2.9</v>
      </c>
      <c r="O1359">
        <v>10.5</v>
      </c>
      <c r="P1359">
        <v>2.8</v>
      </c>
      <c r="Q1359">
        <v>0.9</v>
      </c>
      <c r="R1359">
        <v>4</v>
      </c>
      <c r="S1359">
        <v>4</v>
      </c>
      <c r="T1359">
        <v>2</v>
      </c>
      <c r="U1359" t="s">
        <v>23</v>
      </c>
      <c r="V1359">
        <v>3</v>
      </c>
      <c r="W1359">
        <f>COUNTIF($A$2:A1359,A1359)</f>
        <v>1</v>
      </c>
    </row>
    <row r="1360" spans="1:23" x14ac:dyDescent="0.35">
      <c r="A1360" t="s">
        <v>665</v>
      </c>
      <c r="B1360" s="2">
        <v>44555</v>
      </c>
      <c r="D1360" t="s">
        <v>23</v>
      </c>
      <c r="E1360">
        <v>32</v>
      </c>
      <c r="F1360" t="s">
        <v>36</v>
      </c>
      <c r="G1360" t="s">
        <v>25</v>
      </c>
      <c r="H1360" t="s">
        <v>54</v>
      </c>
      <c r="I1360" t="s">
        <v>27</v>
      </c>
      <c r="J1360" t="s">
        <v>95</v>
      </c>
      <c r="K1360">
        <v>2</v>
      </c>
      <c r="L1360" t="s">
        <v>84</v>
      </c>
      <c r="M1360">
        <v>61000</v>
      </c>
      <c r="N1360">
        <v>6.9</v>
      </c>
      <c r="O1360">
        <v>9.4</v>
      </c>
      <c r="P1360">
        <v>4</v>
      </c>
      <c r="Q1360">
        <v>0.7</v>
      </c>
      <c r="R1360">
        <v>3</v>
      </c>
      <c r="S1360">
        <v>3</v>
      </c>
      <c r="T1360">
        <v>1</v>
      </c>
      <c r="U1360" t="s">
        <v>30</v>
      </c>
      <c r="V1360">
        <v>3</v>
      </c>
      <c r="W1360">
        <f>COUNTIF($A$2:A1360,A1360)</f>
        <v>1</v>
      </c>
    </row>
    <row r="1361" spans="1:23" x14ac:dyDescent="0.35">
      <c r="A1361" t="s">
        <v>1375</v>
      </c>
      <c r="B1361" s="2">
        <v>43506</v>
      </c>
      <c r="D1361" t="s">
        <v>23</v>
      </c>
      <c r="E1361">
        <v>28</v>
      </c>
      <c r="F1361" t="s">
        <v>36</v>
      </c>
      <c r="G1361" t="s">
        <v>25</v>
      </c>
      <c r="H1361" t="s">
        <v>58</v>
      </c>
      <c r="I1361" t="s">
        <v>45</v>
      </c>
      <c r="J1361" t="s">
        <v>46</v>
      </c>
      <c r="K1361">
        <v>5</v>
      </c>
      <c r="L1361" t="s">
        <v>34</v>
      </c>
      <c r="M1361">
        <v>152000</v>
      </c>
      <c r="N1361">
        <v>6.2</v>
      </c>
      <c r="O1361">
        <v>13.9</v>
      </c>
      <c r="P1361">
        <v>6.9</v>
      </c>
      <c r="Q1361">
        <v>5.3</v>
      </c>
      <c r="R1361">
        <v>1</v>
      </c>
      <c r="S1361">
        <v>3</v>
      </c>
      <c r="T1361">
        <v>3</v>
      </c>
      <c r="U1361" t="s">
        <v>30</v>
      </c>
      <c r="V1361">
        <v>3</v>
      </c>
      <c r="W1361">
        <f>COUNTIF($A$2:A1361,A1361)</f>
        <v>1</v>
      </c>
    </row>
    <row r="1362" spans="1:23" x14ac:dyDescent="0.35">
      <c r="A1362" t="s">
        <v>236</v>
      </c>
      <c r="B1362" s="2">
        <v>43864</v>
      </c>
      <c r="C1362" s="2">
        <v>45713</v>
      </c>
      <c r="D1362" t="s">
        <v>30</v>
      </c>
      <c r="E1362">
        <v>30</v>
      </c>
      <c r="F1362" t="s">
        <v>24</v>
      </c>
      <c r="G1362" t="s">
        <v>37</v>
      </c>
      <c r="H1362" t="s">
        <v>58</v>
      </c>
      <c r="I1362" t="s">
        <v>48</v>
      </c>
      <c r="J1362" t="s">
        <v>63</v>
      </c>
      <c r="K1362">
        <v>3</v>
      </c>
      <c r="L1362" t="s">
        <v>84</v>
      </c>
      <c r="M1362">
        <v>62000</v>
      </c>
      <c r="N1362">
        <v>6.7</v>
      </c>
      <c r="O1362">
        <v>11.5</v>
      </c>
      <c r="P1362">
        <v>5.0999999999999996</v>
      </c>
      <c r="Q1362">
        <v>1.5</v>
      </c>
      <c r="R1362">
        <v>3</v>
      </c>
      <c r="S1362">
        <v>3</v>
      </c>
      <c r="T1362">
        <v>4</v>
      </c>
      <c r="U1362" t="s">
        <v>23</v>
      </c>
      <c r="V1362">
        <v>5</v>
      </c>
      <c r="W1362">
        <f>COUNTIF($A$2:A1362,A1362)</f>
        <v>1</v>
      </c>
    </row>
    <row r="1363" spans="1:23" x14ac:dyDescent="0.35">
      <c r="A1363" t="s">
        <v>619</v>
      </c>
      <c r="B1363" s="2">
        <v>44600</v>
      </c>
      <c r="D1363" t="s">
        <v>23</v>
      </c>
      <c r="E1363">
        <v>33</v>
      </c>
      <c r="F1363" t="s">
        <v>36</v>
      </c>
      <c r="G1363" t="s">
        <v>25</v>
      </c>
      <c r="H1363" t="s">
        <v>58</v>
      </c>
      <c r="I1363" t="s">
        <v>59</v>
      </c>
      <c r="J1363" t="s">
        <v>86</v>
      </c>
      <c r="K1363">
        <v>2</v>
      </c>
      <c r="L1363" t="s">
        <v>40</v>
      </c>
      <c r="M1363">
        <v>41000</v>
      </c>
      <c r="N1363">
        <v>12.7</v>
      </c>
      <c r="O1363">
        <v>5.0999999999999996</v>
      </c>
      <c r="P1363">
        <v>3.9</v>
      </c>
      <c r="Q1363">
        <v>0.4</v>
      </c>
      <c r="R1363">
        <v>4</v>
      </c>
      <c r="S1363">
        <v>2</v>
      </c>
      <c r="T1363">
        <v>4</v>
      </c>
      <c r="U1363" t="s">
        <v>23</v>
      </c>
      <c r="V1363">
        <v>3</v>
      </c>
      <c r="W1363">
        <f>COUNTIF($A$2:A1363,A1363)</f>
        <v>1</v>
      </c>
    </row>
    <row r="1364" spans="1:23" x14ac:dyDescent="0.35">
      <c r="A1364" t="s">
        <v>1372</v>
      </c>
      <c r="B1364" s="2">
        <v>45178</v>
      </c>
      <c r="D1364" t="s">
        <v>23</v>
      </c>
      <c r="E1364">
        <v>32</v>
      </c>
      <c r="F1364" t="s">
        <v>36</v>
      </c>
      <c r="G1364" t="s">
        <v>37</v>
      </c>
      <c r="H1364" t="s">
        <v>26</v>
      </c>
      <c r="I1364" t="s">
        <v>68</v>
      </c>
      <c r="J1364" t="s">
        <v>69</v>
      </c>
      <c r="K1364">
        <v>3</v>
      </c>
      <c r="L1364" t="s">
        <v>66</v>
      </c>
      <c r="M1364">
        <v>83000</v>
      </c>
      <c r="N1364">
        <v>12.9</v>
      </c>
      <c r="O1364">
        <v>4.5999999999999996</v>
      </c>
      <c r="P1364">
        <v>2.2999999999999998</v>
      </c>
      <c r="Q1364">
        <v>1.9</v>
      </c>
      <c r="R1364">
        <v>3</v>
      </c>
      <c r="S1364">
        <v>4</v>
      </c>
      <c r="T1364">
        <v>2</v>
      </c>
      <c r="U1364" t="s">
        <v>23</v>
      </c>
      <c r="V1364">
        <v>4</v>
      </c>
      <c r="W1364">
        <f>COUNTIF($A$2:A1364,A1364)</f>
        <v>1</v>
      </c>
    </row>
    <row r="1365" spans="1:23" x14ac:dyDescent="0.35">
      <c r="A1365" t="s">
        <v>966</v>
      </c>
      <c r="B1365" s="2">
        <v>43502</v>
      </c>
      <c r="D1365" t="s">
        <v>23</v>
      </c>
      <c r="E1365">
        <v>28</v>
      </c>
      <c r="F1365" t="s">
        <v>24</v>
      </c>
      <c r="G1365" t="s">
        <v>25</v>
      </c>
      <c r="H1365" t="s">
        <v>58</v>
      </c>
      <c r="I1365" t="s">
        <v>55</v>
      </c>
      <c r="J1365" t="s">
        <v>80</v>
      </c>
      <c r="K1365">
        <v>2</v>
      </c>
      <c r="L1365" t="s">
        <v>66</v>
      </c>
      <c r="M1365">
        <v>46000</v>
      </c>
      <c r="N1365">
        <v>6.3</v>
      </c>
      <c r="O1365">
        <v>11.6</v>
      </c>
      <c r="P1365">
        <v>6.9</v>
      </c>
      <c r="Q1365">
        <v>1.7</v>
      </c>
      <c r="R1365">
        <v>3</v>
      </c>
      <c r="S1365">
        <v>4</v>
      </c>
      <c r="T1365">
        <v>3</v>
      </c>
      <c r="U1365" t="s">
        <v>23</v>
      </c>
      <c r="V1365">
        <v>3</v>
      </c>
      <c r="W1365">
        <f>COUNTIF($A$2:A1365,A1365)</f>
        <v>1</v>
      </c>
    </row>
    <row r="1366" spans="1:23" x14ac:dyDescent="0.35">
      <c r="A1366" t="s">
        <v>955</v>
      </c>
      <c r="B1366" s="2">
        <v>41669</v>
      </c>
      <c r="C1366" s="2">
        <v>45708</v>
      </c>
      <c r="D1366" t="s">
        <v>30</v>
      </c>
      <c r="E1366">
        <v>34</v>
      </c>
      <c r="F1366" t="s">
        <v>36</v>
      </c>
      <c r="G1366" t="s">
        <v>37</v>
      </c>
      <c r="H1366" t="s">
        <v>58</v>
      </c>
      <c r="I1366" t="s">
        <v>59</v>
      </c>
      <c r="J1366" t="s">
        <v>60</v>
      </c>
      <c r="K1366">
        <v>3</v>
      </c>
      <c r="L1366" t="s">
        <v>50</v>
      </c>
      <c r="M1366" t="s">
        <v>956</v>
      </c>
      <c r="N1366">
        <v>11.8</v>
      </c>
      <c r="O1366">
        <v>17.600000000000001</v>
      </c>
      <c r="P1366">
        <v>11.1</v>
      </c>
      <c r="Q1366">
        <v>6</v>
      </c>
      <c r="R1366">
        <v>4</v>
      </c>
      <c r="S1366">
        <v>2</v>
      </c>
      <c r="T1366">
        <v>2</v>
      </c>
      <c r="U1366" t="s">
        <v>23</v>
      </c>
      <c r="V1366">
        <v>5</v>
      </c>
      <c r="W1366">
        <f>COUNTIF($A$2:A1366,A1366)</f>
        <v>1</v>
      </c>
    </row>
    <row r="1367" spans="1:23" x14ac:dyDescent="0.35">
      <c r="A1367" t="s">
        <v>437</v>
      </c>
      <c r="B1367" s="2">
        <v>45788</v>
      </c>
      <c r="D1367" t="s">
        <v>23</v>
      </c>
      <c r="E1367">
        <v>33</v>
      </c>
      <c r="F1367" t="s">
        <v>62</v>
      </c>
      <c r="G1367" t="s">
        <v>25</v>
      </c>
      <c r="H1367" t="s">
        <v>54</v>
      </c>
      <c r="I1367" t="s">
        <v>59</v>
      </c>
      <c r="J1367" t="s">
        <v>86</v>
      </c>
      <c r="K1367">
        <v>2</v>
      </c>
      <c r="L1367" t="s">
        <v>50</v>
      </c>
      <c r="M1367">
        <v>62000</v>
      </c>
      <c r="N1367">
        <v>10.4</v>
      </c>
      <c r="O1367">
        <v>8.1999999999999993</v>
      </c>
      <c r="P1367">
        <v>0.6</v>
      </c>
      <c r="Q1367">
        <v>0</v>
      </c>
      <c r="R1367">
        <v>1</v>
      </c>
      <c r="S1367">
        <v>4</v>
      </c>
      <c r="T1367">
        <v>2</v>
      </c>
      <c r="U1367" t="s">
        <v>23</v>
      </c>
      <c r="V1367">
        <v>2</v>
      </c>
      <c r="W1367">
        <f>COUNTIF($A$2:A1367,A1367)</f>
        <v>1</v>
      </c>
    </row>
    <row r="1368" spans="1:23" x14ac:dyDescent="0.35">
      <c r="A1368" t="s">
        <v>912</v>
      </c>
      <c r="B1368" s="2">
        <v>42737</v>
      </c>
      <c r="D1368" t="s">
        <v>23</v>
      </c>
      <c r="E1368">
        <v>29</v>
      </c>
      <c r="F1368" t="s">
        <v>24</v>
      </c>
      <c r="G1368" t="s">
        <v>37</v>
      </c>
      <c r="H1368" t="s">
        <v>32</v>
      </c>
      <c r="I1368" t="s">
        <v>38</v>
      </c>
      <c r="J1368" t="s">
        <v>139</v>
      </c>
      <c r="K1368">
        <v>2</v>
      </c>
      <c r="L1368" t="s">
        <v>84</v>
      </c>
      <c r="M1368">
        <v>54000</v>
      </c>
      <c r="N1368">
        <v>5.6</v>
      </c>
      <c r="O1368">
        <v>13.7</v>
      </c>
      <c r="P1368">
        <v>9</v>
      </c>
      <c r="Q1368">
        <v>3.6</v>
      </c>
      <c r="R1368">
        <v>3</v>
      </c>
      <c r="S1368">
        <v>4</v>
      </c>
      <c r="T1368">
        <v>2</v>
      </c>
      <c r="U1368" t="s">
        <v>30</v>
      </c>
      <c r="V1368">
        <v>4</v>
      </c>
      <c r="W1368">
        <f>COUNTIF($A$2:A1368,A1368)</f>
        <v>1</v>
      </c>
    </row>
    <row r="1369" spans="1:23" x14ac:dyDescent="0.35">
      <c r="A1369" t="s">
        <v>193</v>
      </c>
      <c r="B1369" s="2">
        <v>42707</v>
      </c>
      <c r="D1369" t="s">
        <v>23</v>
      </c>
      <c r="E1369">
        <v>38</v>
      </c>
      <c r="F1369" t="s">
        <v>36</v>
      </c>
      <c r="G1369" t="s">
        <v>37</v>
      </c>
      <c r="H1369" t="s">
        <v>58</v>
      </c>
      <c r="I1369" t="s">
        <v>48</v>
      </c>
      <c r="J1369" t="s">
        <v>63</v>
      </c>
      <c r="K1369">
        <v>2</v>
      </c>
      <c r="L1369" t="s">
        <v>29</v>
      </c>
      <c r="M1369">
        <v>53000</v>
      </c>
      <c r="N1369">
        <v>3.6</v>
      </c>
      <c r="O1369">
        <v>15.2</v>
      </c>
      <c r="P1369">
        <v>9.1</v>
      </c>
      <c r="Q1369">
        <v>3.3</v>
      </c>
      <c r="R1369">
        <v>2</v>
      </c>
      <c r="S1369">
        <v>1</v>
      </c>
      <c r="T1369">
        <v>3</v>
      </c>
      <c r="U1369" t="s">
        <v>23</v>
      </c>
      <c r="V1369">
        <v>5</v>
      </c>
      <c r="W1369">
        <f>COUNTIF($A$2:A1369,A1369)</f>
        <v>1</v>
      </c>
    </row>
    <row r="1370" spans="1:23" x14ac:dyDescent="0.35">
      <c r="A1370" t="s">
        <v>844</v>
      </c>
      <c r="B1370" s="2">
        <v>44809</v>
      </c>
      <c r="D1370" t="s">
        <v>23</v>
      </c>
      <c r="E1370">
        <v>35</v>
      </c>
      <c r="F1370" t="s">
        <v>24</v>
      </c>
      <c r="G1370" t="s">
        <v>37</v>
      </c>
      <c r="H1370" t="s">
        <v>54</v>
      </c>
      <c r="I1370" t="s">
        <v>45</v>
      </c>
      <c r="J1370" t="s">
        <v>164</v>
      </c>
      <c r="K1370">
        <v>3</v>
      </c>
      <c r="L1370" t="s">
        <v>84</v>
      </c>
      <c r="M1370">
        <v>59000</v>
      </c>
      <c r="N1370">
        <v>7.2</v>
      </c>
      <c r="O1370">
        <v>7.1</v>
      </c>
      <c r="P1370">
        <v>3.3</v>
      </c>
      <c r="Q1370">
        <v>1.7</v>
      </c>
      <c r="R1370">
        <v>3</v>
      </c>
      <c r="S1370">
        <v>4</v>
      </c>
      <c r="T1370">
        <v>4</v>
      </c>
      <c r="U1370" t="s">
        <v>23</v>
      </c>
      <c r="V1370">
        <v>4</v>
      </c>
      <c r="W1370">
        <f>COUNTIF($A$2:A1370,A1370)</f>
        <v>1</v>
      </c>
    </row>
    <row r="1371" spans="1:23" x14ac:dyDescent="0.35">
      <c r="A1371" t="s">
        <v>116</v>
      </c>
      <c r="B1371" s="2">
        <v>42895</v>
      </c>
      <c r="D1371" t="s">
        <v>23</v>
      </c>
      <c r="E1371">
        <v>45</v>
      </c>
      <c r="F1371" t="s">
        <v>36</v>
      </c>
      <c r="G1371" t="s">
        <v>25</v>
      </c>
      <c r="H1371" t="s">
        <v>26</v>
      </c>
      <c r="I1371" t="s">
        <v>55</v>
      </c>
      <c r="J1371" t="s">
        <v>88</v>
      </c>
      <c r="K1371">
        <v>3</v>
      </c>
      <c r="L1371" t="s">
        <v>29</v>
      </c>
      <c r="M1371">
        <v>80000</v>
      </c>
      <c r="N1371">
        <v>12.9</v>
      </c>
      <c r="O1371">
        <v>14</v>
      </c>
      <c r="P1371">
        <v>8.6</v>
      </c>
      <c r="Q1371">
        <v>5</v>
      </c>
      <c r="R1371">
        <v>4</v>
      </c>
      <c r="S1371">
        <v>3</v>
      </c>
      <c r="T1371">
        <v>1</v>
      </c>
      <c r="U1371" t="s">
        <v>30</v>
      </c>
      <c r="V1371">
        <v>2</v>
      </c>
      <c r="W1371">
        <f>COUNTIF($A$2:A1371,A1371)</f>
        <v>1</v>
      </c>
    </row>
    <row r="1372" spans="1:23" x14ac:dyDescent="0.35">
      <c r="A1372" t="s">
        <v>1143</v>
      </c>
      <c r="B1372" s="2">
        <v>44593</v>
      </c>
      <c r="D1372" t="s">
        <v>23</v>
      </c>
      <c r="E1372">
        <v>29</v>
      </c>
      <c r="F1372" t="s">
        <v>62</v>
      </c>
      <c r="G1372" t="s">
        <v>25</v>
      </c>
      <c r="H1372" t="s">
        <v>54</v>
      </c>
      <c r="I1372" t="s">
        <v>55</v>
      </c>
      <c r="J1372" t="s">
        <v>80</v>
      </c>
      <c r="K1372">
        <v>2</v>
      </c>
      <c r="L1372" t="s">
        <v>84</v>
      </c>
      <c r="M1372">
        <v>59000</v>
      </c>
      <c r="N1372">
        <v>4.9000000000000004</v>
      </c>
      <c r="O1372">
        <v>10.1</v>
      </c>
      <c r="P1372">
        <v>3.9</v>
      </c>
      <c r="Q1372">
        <v>1.8</v>
      </c>
      <c r="R1372">
        <v>3</v>
      </c>
      <c r="S1372">
        <v>4</v>
      </c>
      <c r="T1372">
        <v>2</v>
      </c>
      <c r="U1372" t="s">
        <v>23</v>
      </c>
      <c r="V1372">
        <v>3</v>
      </c>
      <c r="W1372">
        <f>COUNTIF($A$2:A1372,A1372)</f>
        <v>1</v>
      </c>
    </row>
    <row r="1373" spans="1:23" x14ac:dyDescent="0.35">
      <c r="A1373" t="s">
        <v>838</v>
      </c>
      <c r="B1373" s="2">
        <v>43625</v>
      </c>
      <c r="C1373" s="2">
        <v>45872</v>
      </c>
      <c r="D1373" t="s">
        <v>30</v>
      </c>
      <c r="E1373">
        <v>33</v>
      </c>
      <c r="F1373" t="s">
        <v>24</v>
      </c>
      <c r="G1373" t="s">
        <v>25</v>
      </c>
      <c r="H1373" t="s">
        <v>58</v>
      </c>
      <c r="I1373" t="s">
        <v>48</v>
      </c>
      <c r="J1373" t="s">
        <v>201</v>
      </c>
      <c r="K1373">
        <v>3</v>
      </c>
      <c r="L1373" t="s">
        <v>84</v>
      </c>
      <c r="M1373">
        <v>86000</v>
      </c>
      <c r="N1373">
        <v>13.4</v>
      </c>
      <c r="O1373">
        <v>10.6</v>
      </c>
      <c r="P1373">
        <v>6.2</v>
      </c>
      <c r="Q1373">
        <v>0.6</v>
      </c>
      <c r="R1373">
        <v>4</v>
      </c>
      <c r="S1373">
        <v>4</v>
      </c>
      <c r="T1373">
        <v>2</v>
      </c>
      <c r="U1373" t="s">
        <v>23</v>
      </c>
      <c r="V1373">
        <v>3</v>
      </c>
      <c r="W1373">
        <f>COUNTIF($A$2:A1373,A1373)</f>
        <v>1</v>
      </c>
    </row>
    <row r="1374" spans="1:23" x14ac:dyDescent="0.35">
      <c r="A1374" t="s">
        <v>357</v>
      </c>
      <c r="B1374" s="2">
        <v>45909</v>
      </c>
      <c r="D1374" t="s">
        <v>23</v>
      </c>
      <c r="E1374">
        <v>21</v>
      </c>
      <c r="F1374" t="s">
        <v>24</v>
      </c>
      <c r="G1374" t="s">
        <v>42</v>
      </c>
      <c r="H1374" t="s">
        <v>26</v>
      </c>
      <c r="I1374" t="s">
        <v>48</v>
      </c>
      <c r="J1374" t="s">
        <v>63</v>
      </c>
      <c r="K1374">
        <v>1</v>
      </c>
      <c r="L1374" t="s">
        <v>34</v>
      </c>
      <c r="M1374">
        <v>35000</v>
      </c>
      <c r="N1374">
        <v>10.199999999999999</v>
      </c>
      <c r="O1374">
        <v>6.7</v>
      </c>
      <c r="P1374">
        <v>0.3</v>
      </c>
      <c r="Q1374">
        <v>0</v>
      </c>
      <c r="R1374">
        <v>3</v>
      </c>
      <c r="S1374">
        <v>4</v>
      </c>
      <c r="T1374">
        <v>4</v>
      </c>
      <c r="U1374" t="s">
        <v>23</v>
      </c>
      <c r="V1374">
        <v>2</v>
      </c>
      <c r="W1374">
        <f>COUNTIF($A$2:A1374,A1374)</f>
        <v>1</v>
      </c>
    </row>
    <row r="1375" spans="1:23" x14ac:dyDescent="0.35">
      <c r="A1375" t="s">
        <v>134</v>
      </c>
      <c r="B1375" s="2">
        <v>42603</v>
      </c>
      <c r="C1375" s="2">
        <v>45884</v>
      </c>
      <c r="D1375" t="s">
        <v>30</v>
      </c>
      <c r="E1375">
        <v>31</v>
      </c>
      <c r="F1375" t="s">
        <v>36</v>
      </c>
      <c r="G1375" t="s">
        <v>25</v>
      </c>
      <c r="H1375" t="s">
        <v>32</v>
      </c>
      <c r="I1375" t="s">
        <v>27</v>
      </c>
      <c r="J1375" t="s">
        <v>33</v>
      </c>
      <c r="K1375">
        <v>3</v>
      </c>
      <c r="L1375" t="s">
        <v>50</v>
      </c>
      <c r="M1375">
        <v>75000</v>
      </c>
      <c r="N1375">
        <v>15.1</v>
      </c>
      <c r="O1375">
        <v>14.4</v>
      </c>
      <c r="P1375">
        <v>9</v>
      </c>
      <c r="Q1375">
        <v>2.1</v>
      </c>
      <c r="R1375">
        <v>3</v>
      </c>
      <c r="S1375">
        <v>3</v>
      </c>
      <c r="T1375">
        <v>3</v>
      </c>
      <c r="U1375" t="s">
        <v>30</v>
      </c>
      <c r="V1375">
        <v>3</v>
      </c>
      <c r="W1375">
        <f>COUNTIF($A$2:A1375,A1375)</f>
        <v>1</v>
      </c>
    </row>
    <row r="1376" spans="1:23" x14ac:dyDescent="0.35">
      <c r="A1376" t="s">
        <v>780</v>
      </c>
      <c r="B1376" s="2">
        <v>42941</v>
      </c>
      <c r="D1376" t="s">
        <v>23</v>
      </c>
      <c r="E1376">
        <v>30</v>
      </c>
      <c r="F1376" t="s">
        <v>62</v>
      </c>
      <c r="G1376" t="s">
        <v>25</v>
      </c>
      <c r="H1376" t="s">
        <v>58</v>
      </c>
      <c r="I1376" t="s">
        <v>68</v>
      </c>
      <c r="J1376" t="s">
        <v>102</v>
      </c>
      <c r="K1376">
        <v>3</v>
      </c>
      <c r="L1376" t="s">
        <v>40</v>
      </c>
      <c r="M1376">
        <v>72000</v>
      </c>
      <c r="N1376">
        <v>8.3000000000000007</v>
      </c>
      <c r="O1376">
        <v>8.5</v>
      </c>
      <c r="P1376">
        <v>8.4</v>
      </c>
      <c r="Q1376">
        <v>5.6</v>
      </c>
      <c r="R1376">
        <v>4</v>
      </c>
      <c r="S1376">
        <v>2</v>
      </c>
      <c r="T1376">
        <v>3</v>
      </c>
      <c r="U1376" t="s">
        <v>23</v>
      </c>
      <c r="V1376">
        <v>5</v>
      </c>
      <c r="W1376">
        <f>COUNTIF($A$2:A1376,A1376)</f>
        <v>1</v>
      </c>
    </row>
    <row r="1377" spans="1:23" x14ac:dyDescent="0.35">
      <c r="A1377" t="s">
        <v>543</v>
      </c>
      <c r="B1377" s="2">
        <v>42944</v>
      </c>
      <c r="D1377" t="s">
        <v>23</v>
      </c>
      <c r="E1377">
        <v>32</v>
      </c>
      <c r="F1377" t="s">
        <v>24</v>
      </c>
      <c r="G1377" t="s">
        <v>25</v>
      </c>
      <c r="H1377" t="s">
        <v>54</v>
      </c>
      <c r="I1377" t="s">
        <v>68</v>
      </c>
      <c r="J1377" t="s">
        <v>109</v>
      </c>
      <c r="K1377">
        <v>3</v>
      </c>
      <c r="L1377" t="s">
        <v>66</v>
      </c>
      <c r="M1377">
        <v>77000</v>
      </c>
      <c r="N1377">
        <v>7.1</v>
      </c>
      <c r="O1377">
        <v>10.7</v>
      </c>
      <c r="P1377">
        <v>8.4</v>
      </c>
      <c r="Q1377">
        <v>5.0999999999999996</v>
      </c>
      <c r="R1377">
        <v>4</v>
      </c>
      <c r="S1377">
        <v>3</v>
      </c>
      <c r="T1377">
        <v>2</v>
      </c>
      <c r="U1377" t="s">
        <v>23</v>
      </c>
      <c r="V1377">
        <v>1</v>
      </c>
      <c r="W1377">
        <f>COUNTIF($A$2:A1377,A1377)</f>
        <v>1</v>
      </c>
    </row>
    <row r="1378" spans="1:23" x14ac:dyDescent="0.35">
      <c r="A1378" t="s">
        <v>977</v>
      </c>
      <c r="B1378" s="2">
        <v>44561</v>
      </c>
      <c r="D1378" t="s">
        <v>23</v>
      </c>
      <c r="E1378">
        <v>47</v>
      </c>
      <c r="F1378" t="s">
        <v>36</v>
      </c>
      <c r="G1378" t="s">
        <v>25</v>
      </c>
      <c r="H1378" t="s">
        <v>58</v>
      </c>
      <c r="I1378" t="s">
        <v>59</v>
      </c>
      <c r="J1378" t="s">
        <v>75</v>
      </c>
      <c r="K1378">
        <v>4</v>
      </c>
      <c r="L1378" t="s">
        <v>34</v>
      </c>
      <c r="M1378">
        <v>112000</v>
      </c>
      <c r="N1378">
        <v>9.3000000000000007</v>
      </c>
      <c r="O1378">
        <v>4.5999999999999996</v>
      </c>
      <c r="P1378">
        <v>4</v>
      </c>
      <c r="Q1378">
        <v>1.9</v>
      </c>
      <c r="R1378">
        <v>2</v>
      </c>
      <c r="S1378">
        <v>3</v>
      </c>
      <c r="T1378">
        <v>4</v>
      </c>
      <c r="U1378" t="s">
        <v>30</v>
      </c>
      <c r="V1378">
        <v>4</v>
      </c>
      <c r="W1378">
        <f>COUNTIF($A$2:A1378,A1378)</f>
        <v>1</v>
      </c>
    </row>
    <row r="1379" spans="1:23" x14ac:dyDescent="0.35">
      <c r="A1379" t="s">
        <v>173</v>
      </c>
      <c r="B1379" s="2">
        <v>45854</v>
      </c>
      <c r="D1379" t="s">
        <v>23</v>
      </c>
      <c r="E1379">
        <v>21</v>
      </c>
      <c r="F1379" t="s">
        <v>36</v>
      </c>
      <c r="G1379" t="s">
        <v>42</v>
      </c>
      <c r="H1379" t="s">
        <v>54</v>
      </c>
      <c r="I1379" t="s">
        <v>45</v>
      </c>
      <c r="J1379" t="s">
        <v>97</v>
      </c>
      <c r="K1379">
        <v>1</v>
      </c>
      <c r="L1379" t="s">
        <v>84</v>
      </c>
      <c r="M1379">
        <v>38000</v>
      </c>
      <c r="N1379">
        <v>9.5</v>
      </c>
      <c r="O1379">
        <v>2.9</v>
      </c>
      <c r="P1379">
        <v>0.5</v>
      </c>
      <c r="Q1379">
        <v>0</v>
      </c>
      <c r="R1379">
        <v>3</v>
      </c>
      <c r="S1379">
        <v>1</v>
      </c>
      <c r="T1379">
        <v>1</v>
      </c>
      <c r="U1379" t="s">
        <v>23</v>
      </c>
      <c r="V1379">
        <v>2</v>
      </c>
      <c r="W1379">
        <f>COUNTIF($A$2:A1379,A1379)</f>
        <v>1</v>
      </c>
    </row>
    <row r="1380" spans="1:23" x14ac:dyDescent="0.35">
      <c r="A1380" t="s">
        <v>1252</v>
      </c>
      <c r="B1380" s="2">
        <v>43606</v>
      </c>
      <c r="D1380" t="s">
        <v>23</v>
      </c>
      <c r="E1380">
        <v>28</v>
      </c>
      <c r="F1380" t="s">
        <v>24</v>
      </c>
      <c r="G1380" t="s">
        <v>37</v>
      </c>
      <c r="H1380" t="s">
        <v>26</v>
      </c>
      <c r="I1380" t="s">
        <v>59</v>
      </c>
      <c r="J1380" t="s">
        <v>86</v>
      </c>
      <c r="K1380">
        <v>3</v>
      </c>
      <c r="L1380" t="s">
        <v>34</v>
      </c>
      <c r="M1380">
        <v>72000</v>
      </c>
      <c r="N1380">
        <v>7.4</v>
      </c>
      <c r="O1380">
        <v>9.1999999999999993</v>
      </c>
      <c r="P1380">
        <v>6.6</v>
      </c>
      <c r="Q1380">
        <v>1.5</v>
      </c>
      <c r="R1380">
        <v>3</v>
      </c>
      <c r="S1380">
        <v>3</v>
      </c>
      <c r="T1380">
        <v>3</v>
      </c>
      <c r="U1380" t="s">
        <v>23</v>
      </c>
      <c r="V1380">
        <v>5</v>
      </c>
      <c r="W1380">
        <f>COUNTIF($A$2:A1380,A1380)</f>
        <v>1</v>
      </c>
    </row>
    <row r="1381" spans="1:23" x14ac:dyDescent="0.35">
      <c r="A1381" t="s">
        <v>502</v>
      </c>
      <c r="B1381" s="2">
        <v>45438</v>
      </c>
      <c r="D1381" t="s">
        <v>23</v>
      </c>
      <c r="E1381">
        <v>30</v>
      </c>
      <c r="F1381" t="s">
        <v>62</v>
      </c>
      <c r="G1381" t="s">
        <v>25</v>
      </c>
      <c r="H1381" t="s">
        <v>54</v>
      </c>
      <c r="I1381" t="s">
        <v>48</v>
      </c>
      <c r="J1381" t="s">
        <v>129</v>
      </c>
      <c r="K1381">
        <v>4</v>
      </c>
      <c r="L1381" t="s">
        <v>40</v>
      </c>
      <c r="M1381">
        <v>134000</v>
      </c>
      <c r="N1381">
        <v>10.7</v>
      </c>
      <c r="O1381">
        <v>2.4</v>
      </c>
      <c r="P1381">
        <v>1.6</v>
      </c>
      <c r="Q1381">
        <v>0.6</v>
      </c>
      <c r="R1381">
        <v>4</v>
      </c>
      <c r="S1381">
        <v>2</v>
      </c>
      <c r="T1381">
        <v>4</v>
      </c>
      <c r="U1381" t="s">
        <v>23</v>
      </c>
      <c r="V1381">
        <v>4</v>
      </c>
      <c r="W1381">
        <f>COUNTIF($A$2:A1381,A1381)</f>
        <v>1</v>
      </c>
    </row>
    <row r="1382" spans="1:23" x14ac:dyDescent="0.35">
      <c r="A1382" t="s">
        <v>579</v>
      </c>
      <c r="B1382" s="2">
        <v>44650</v>
      </c>
      <c r="D1382" t="s">
        <v>23</v>
      </c>
      <c r="E1382">
        <v>32</v>
      </c>
      <c r="F1382" t="s">
        <v>24</v>
      </c>
      <c r="G1382" t="s">
        <v>42</v>
      </c>
      <c r="H1382" t="s">
        <v>26</v>
      </c>
      <c r="I1382" t="s">
        <v>55</v>
      </c>
      <c r="J1382" t="s">
        <v>80</v>
      </c>
      <c r="K1382">
        <v>1</v>
      </c>
      <c r="L1382" t="s">
        <v>50</v>
      </c>
      <c r="M1382">
        <v>33000</v>
      </c>
      <c r="N1382">
        <v>0.2</v>
      </c>
      <c r="O1382">
        <v>6.7</v>
      </c>
      <c r="P1382">
        <v>3.8</v>
      </c>
      <c r="Q1382">
        <v>1.1000000000000001</v>
      </c>
      <c r="R1382">
        <v>4</v>
      </c>
      <c r="S1382">
        <v>4</v>
      </c>
      <c r="T1382">
        <v>3</v>
      </c>
      <c r="U1382" t="s">
        <v>23</v>
      </c>
      <c r="V1382">
        <v>1</v>
      </c>
      <c r="W1382">
        <f>COUNTIF($A$2:A1382,A1382)</f>
        <v>1</v>
      </c>
    </row>
    <row r="1383" spans="1:23" x14ac:dyDescent="0.35">
      <c r="A1383" t="s">
        <v>1318</v>
      </c>
      <c r="B1383" s="2">
        <v>43776</v>
      </c>
      <c r="D1383" t="s">
        <v>23</v>
      </c>
      <c r="E1383">
        <v>38</v>
      </c>
      <c r="F1383" t="s">
        <v>24</v>
      </c>
      <c r="G1383" t="s">
        <v>37</v>
      </c>
      <c r="H1383" t="s">
        <v>26</v>
      </c>
      <c r="I1383" t="s">
        <v>48</v>
      </c>
      <c r="J1383" t="s">
        <v>49</v>
      </c>
      <c r="K1383">
        <v>1</v>
      </c>
      <c r="L1383" t="s">
        <v>34</v>
      </c>
      <c r="M1383">
        <v>40000</v>
      </c>
      <c r="N1383">
        <v>9.6999999999999993</v>
      </c>
      <c r="O1383">
        <v>11.4</v>
      </c>
      <c r="P1383">
        <v>6.1</v>
      </c>
      <c r="Q1383">
        <v>3.2</v>
      </c>
      <c r="R1383">
        <v>3</v>
      </c>
      <c r="S1383">
        <v>3</v>
      </c>
      <c r="T1383">
        <v>2</v>
      </c>
      <c r="U1383" t="s">
        <v>30</v>
      </c>
      <c r="V1383">
        <v>4</v>
      </c>
      <c r="W1383">
        <f>COUNTIF($A$2:A1383,A1383)</f>
        <v>1</v>
      </c>
    </row>
    <row r="1384" spans="1:23" x14ac:dyDescent="0.35">
      <c r="A1384" t="s">
        <v>1302</v>
      </c>
      <c r="B1384" s="2">
        <v>44035</v>
      </c>
      <c r="D1384" t="s">
        <v>23</v>
      </c>
      <c r="E1384">
        <v>30</v>
      </c>
      <c r="F1384" t="s">
        <v>36</v>
      </c>
      <c r="G1384" t="s">
        <v>37</v>
      </c>
      <c r="H1384" t="s">
        <v>32</v>
      </c>
      <c r="I1384" t="s">
        <v>68</v>
      </c>
      <c r="J1384" t="s">
        <v>69</v>
      </c>
      <c r="K1384">
        <v>5</v>
      </c>
      <c r="L1384" t="s">
        <v>66</v>
      </c>
      <c r="M1384">
        <v>161000</v>
      </c>
      <c r="N1384">
        <v>4.8</v>
      </c>
      <c r="O1384">
        <v>6</v>
      </c>
      <c r="P1384">
        <v>5.4</v>
      </c>
      <c r="Q1384">
        <v>1.6</v>
      </c>
      <c r="R1384">
        <v>4</v>
      </c>
      <c r="S1384">
        <v>4</v>
      </c>
      <c r="T1384">
        <v>3</v>
      </c>
      <c r="U1384" t="s">
        <v>23</v>
      </c>
      <c r="V1384">
        <v>4</v>
      </c>
      <c r="W1384">
        <f>COUNTIF($A$2:A1384,A1384)</f>
        <v>1</v>
      </c>
    </row>
    <row r="1385" spans="1:23" x14ac:dyDescent="0.35">
      <c r="A1385" t="s">
        <v>1469</v>
      </c>
      <c r="B1385" s="2">
        <v>42975</v>
      </c>
      <c r="D1385" t="s">
        <v>23</v>
      </c>
      <c r="E1385">
        <v>31</v>
      </c>
      <c r="F1385" t="s">
        <v>36</v>
      </c>
      <c r="G1385" t="s">
        <v>42</v>
      </c>
      <c r="H1385" t="s">
        <v>32</v>
      </c>
      <c r="I1385" t="s">
        <v>55</v>
      </c>
      <c r="J1385" t="s">
        <v>88</v>
      </c>
      <c r="K1385">
        <v>2</v>
      </c>
      <c r="L1385" t="s">
        <v>50</v>
      </c>
      <c r="M1385">
        <v>60000</v>
      </c>
      <c r="N1385">
        <v>9.5</v>
      </c>
      <c r="O1385">
        <v>11.9</v>
      </c>
      <c r="P1385">
        <v>8.3000000000000007</v>
      </c>
      <c r="Q1385">
        <v>3.3</v>
      </c>
      <c r="R1385">
        <v>3</v>
      </c>
      <c r="S1385">
        <v>4</v>
      </c>
      <c r="T1385">
        <v>4</v>
      </c>
      <c r="U1385" t="s">
        <v>23</v>
      </c>
      <c r="V1385">
        <v>3</v>
      </c>
      <c r="W1385">
        <f>COUNTIF($A$2:A1385,A1385)</f>
        <v>1</v>
      </c>
    </row>
    <row r="1386" spans="1:23" x14ac:dyDescent="0.35">
      <c r="A1386" t="s">
        <v>709</v>
      </c>
      <c r="B1386" s="2">
        <v>45298</v>
      </c>
      <c r="D1386" t="s">
        <v>23</v>
      </c>
      <c r="E1386">
        <v>37</v>
      </c>
      <c r="F1386" t="s">
        <v>62</v>
      </c>
      <c r="G1386" t="s">
        <v>37</v>
      </c>
      <c r="H1386" t="s">
        <v>58</v>
      </c>
      <c r="I1386" t="s">
        <v>48</v>
      </c>
      <c r="J1386" t="s">
        <v>201</v>
      </c>
      <c r="K1386">
        <v>3</v>
      </c>
      <c r="L1386" t="s">
        <v>66</v>
      </c>
      <c r="M1386">
        <v>82000</v>
      </c>
      <c r="N1386">
        <v>13.8</v>
      </c>
      <c r="O1386">
        <v>9.5</v>
      </c>
      <c r="P1386">
        <v>2</v>
      </c>
      <c r="Q1386">
        <v>0.4</v>
      </c>
      <c r="R1386">
        <v>4</v>
      </c>
      <c r="S1386">
        <v>3</v>
      </c>
      <c r="T1386">
        <v>4</v>
      </c>
      <c r="U1386" t="s">
        <v>23</v>
      </c>
      <c r="V1386">
        <v>3</v>
      </c>
      <c r="W1386">
        <f>COUNTIF($A$2:A1386,A1386)</f>
        <v>1</v>
      </c>
    </row>
    <row r="1387" spans="1:23" x14ac:dyDescent="0.35">
      <c r="A1387" t="s">
        <v>1341</v>
      </c>
      <c r="B1387" s="2">
        <v>44070</v>
      </c>
      <c r="C1387" s="2">
        <v>46001</v>
      </c>
      <c r="D1387" t="s">
        <v>30</v>
      </c>
      <c r="E1387">
        <v>37</v>
      </c>
      <c r="F1387" t="s">
        <v>62</v>
      </c>
      <c r="G1387" t="s">
        <v>25</v>
      </c>
      <c r="H1387" t="s">
        <v>32</v>
      </c>
      <c r="I1387" t="s">
        <v>55</v>
      </c>
      <c r="J1387" t="s">
        <v>179</v>
      </c>
      <c r="K1387">
        <v>4</v>
      </c>
      <c r="L1387" t="s">
        <v>40</v>
      </c>
      <c r="M1387">
        <v>134000</v>
      </c>
      <c r="N1387">
        <v>4</v>
      </c>
      <c r="O1387">
        <v>10.8</v>
      </c>
      <c r="P1387">
        <v>5.3</v>
      </c>
      <c r="Q1387">
        <v>4.2</v>
      </c>
      <c r="R1387">
        <v>3</v>
      </c>
      <c r="S1387">
        <v>3</v>
      </c>
      <c r="T1387">
        <v>4</v>
      </c>
      <c r="U1387" t="s">
        <v>23</v>
      </c>
      <c r="V1387">
        <v>5</v>
      </c>
      <c r="W1387">
        <f>COUNTIF($A$2:A1387,A1387)</f>
        <v>1</v>
      </c>
    </row>
    <row r="1388" spans="1:23" x14ac:dyDescent="0.35">
      <c r="A1388" t="s">
        <v>82</v>
      </c>
      <c r="B1388" s="2">
        <v>43726</v>
      </c>
      <c r="C1388" s="2">
        <v>45926</v>
      </c>
      <c r="D1388" t="s">
        <v>30</v>
      </c>
      <c r="E1388">
        <v>28</v>
      </c>
      <c r="F1388" t="s">
        <v>24</v>
      </c>
      <c r="G1388" t="s">
        <v>42</v>
      </c>
      <c r="H1388" t="s">
        <v>54</v>
      </c>
      <c r="I1388" t="s">
        <v>38</v>
      </c>
      <c r="J1388" t="s">
        <v>39</v>
      </c>
      <c r="K1388">
        <v>3</v>
      </c>
      <c r="L1388" t="s">
        <v>34</v>
      </c>
      <c r="M1388">
        <v>80000</v>
      </c>
      <c r="N1388">
        <v>12</v>
      </c>
      <c r="O1388">
        <v>13.6</v>
      </c>
      <c r="P1388">
        <v>6</v>
      </c>
      <c r="Q1388">
        <v>3.6</v>
      </c>
      <c r="R1388">
        <v>3</v>
      </c>
      <c r="S1388">
        <v>2</v>
      </c>
      <c r="T1388">
        <v>2</v>
      </c>
      <c r="U1388" t="s">
        <v>30</v>
      </c>
      <c r="V1388">
        <v>3</v>
      </c>
      <c r="W1388">
        <f>COUNTIF($A$2:A1388,A1388)</f>
        <v>1</v>
      </c>
    </row>
    <row r="1389" spans="1:23" x14ac:dyDescent="0.35">
      <c r="A1389" t="s">
        <v>593</v>
      </c>
      <c r="B1389" s="2">
        <v>45144</v>
      </c>
      <c r="D1389" t="s">
        <v>23</v>
      </c>
      <c r="E1389">
        <v>27</v>
      </c>
      <c r="F1389" t="s">
        <v>36</v>
      </c>
      <c r="G1389" t="s">
        <v>42</v>
      </c>
      <c r="H1389" t="s">
        <v>32</v>
      </c>
      <c r="I1389" t="s">
        <v>68</v>
      </c>
      <c r="J1389" t="s">
        <v>102</v>
      </c>
      <c r="K1389">
        <v>1</v>
      </c>
      <c r="L1389" t="s">
        <v>34</v>
      </c>
      <c r="M1389">
        <v>28000</v>
      </c>
      <c r="N1389">
        <v>13.5</v>
      </c>
      <c r="O1389">
        <v>2.9</v>
      </c>
      <c r="P1389">
        <v>2.4</v>
      </c>
      <c r="Q1389">
        <v>1.1000000000000001</v>
      </c>
      <c r="R1389">
        <v>4</v>
      </c>
      <c r="S1389">
        <v>3</v>
      </c>
      <c r="T1389">
        <v>3</v>
      </c>
      <c r="U1389" t="s">
        <v>23</v>
      </c>
      <c r="V1389">
        <v>4</v>
      </c>
      <c r="W1389">
        <f>COUNTIF($A$2:A1389,A1389)</f>
        <v>1</v>
      </c>
    </row>
    <row r="1390" spans="1:23" x14ac:dyDescent="0.35">
      <c r="A1390" t="s">
        <v>207</v>
      </c>
      <c r="B1390" s="2">
        <v>42226</v>
      </c>
      <c r="D1390" t="s">
        <v>23</v>
      </c>
      <c r="E1390">
        <v>32</v>
      </c>
      <c r="F1390" t="s">
        <v>62</v>
      </c>
      <c r="G1390" t="s">
        <v>37</v>
      </c>
      <c r="H1390" t="s">
        <v>32</v>
      </c>
      <c r="I1390" t="s">
        <v>59</v>
      </c>
      <c r="J1390" t="s">
        <v>75</v>
      </c>
      <c r="K1390">
        <v>3</v>
      </c>
      <c r="L1390" t="s">
        <v>50</v>
      </c>
      <c r="M1390">
        <v>74000</v>
      </c>
      <c r="N1390">
        <v>14.2</v>
      </c>
      <c r="O1390">
        <v>17.2</v>
      </c>
      <c r="P1390">
        <v>10.4</v>
      </c>
      <c r="Q1390">
        <v>2.9</v>
      </c>
      <c r="R1390">
        <v>4</v>
      </c>
      <c r="S1390">
        <v>4</v>
      </c>
      <c r="T1390">
        <v>3</v>
      </c>
      <c r="U1390" t="s">
        <v>30</v>
      </c>
      <c r="V1390">
        <v>2</v>
      </c>
      <c r="W1390">
        <f>COUNTIF($A$2:A1390,A1390)</f>
        <v>1</v>
      </c>
    </row>
    <row r="1391" spans="1:23" x14ac:dyDescent="0.35">
      <c r="A1391" t="s">
        <v>1241</v>
      </c>
      <c r="B1391" s="2">
        <v>43163</v>
      </c>
      <c r="C1391" s="2">
        <v>45895</v>
      </c>
      <c r="D1391" t="s">
        <v>30</v>
      </c>
      <c r="E1391">
        <v>42</v>
      </c>
      <c r="F1391" t="s">
        <v>24</v>
      </c>
      <c r="G1391" t="s">
        <v>42</v>
      </c>
      <c r="H1391" t="s">
        <v>32</v>
      </c>
      <c r="I1391" t="s">
        <v>45</v>
      </c>
      <c r="J1391" t="s">
        <v>97</v>
      </c>
      <c r="K1391">
        <v>2</v>
      </c>
      <c r="L1391" t="s">
        <v>50</v>
      </c>
      <c r="M1391">
        <v>51000</v>
      </c>
      <c r="N1391">
        <v>8.4</v>
      </c>
      <c r="O1391">
        <v>14.1</v>
      </c>
      <c r="P1391">
        <v>7.5</v>
      </c>
      <c r="Q1391">
        <v>3.9</v>
      </c>
      <c r="R1391">
        <v>2</v>
      </c>
      <c r="S1391">
        <v>3</v>
      </c>
      <c r="T1391">
        <v>3</v>
      </c>
      <c r="U1391" t="s">
        <v>23</v>
      </c>
      <c r="V1391">
        <v>5</v>
      </c>
      <c r="W1391">
        <f>COUNTIF($A$2:A1391,A1391)</f>
        <v>1</v>
      </c>
    </row>
    <row r="1392" spans="1:23" x14ac:dyDescent="0.35">
      <c r="A1392" t="s">
        <v>746</v>
      </c>
      <c r="B1392" s="2">
        <v>45585</v>
      </c>
      <c r="D1392" t="s">
        <v>23</v>
      </c>
      <c r="E1392">
        <v>26</v>
      </c>
      <c r="F1392" t="s">
        <v>24</v>
      </c>
      <c r="G1392" t="s">
        <v>42</v>
      </c>
      <c r="H1392" t="s">
        <v>26</v>
      </c>
      <c r="I1392" t="s">
        <v>59</v>
      </c>
      <c r="J1392" t="s">
        <v>150</v>
      </c>
      <c r="K1392">
        <v>1</v>
      </c>
      <c r="L1392" t="s">
        <v>40</v>
      </c>
      <c r="M1392">
        <v>30000</v>
      </c>
      <c r="N1392">
        <v>4.0999999999999996</v>
      </c>
      <c r="O1392">
        <v>7.9</v>
      </c>
      <c r="P1392">
        <v>1.2</v>
      </c>
      <c r="Q1392">
        <v>0.5</v>
      </c>
      <c r="R1392">
        <v>3</v>
      </c>
      <c r="S1392">
        <v>3</v>
      </c>
      <c r="T1392">
        <v>1</v>
      </c>
      <c r="U1392" t="s">
        <v>23</v>
      </c>
      <c r="V1392">
        <v>3</v>
      </c>
      <c r="W1392">
        <f>COUNTIF($A$2:A1392,A1392)</f>
        <v>1</v>
      </c>
    </row>
    <row r="1393" spans="1:23" x14ac:dyDescent="0.35">
      <c r="A1393" t="s">
        <v>1483</v>
      </c>
      <c r="B1393" s="2">
        <v>42073</v>
      </c>
      <c r="D1393" t="s">
        <v>23</v>
      </c>
      <c r="E1393">
        <v>45</v>
      </c>
      <c r="F1393" t="s">
        <v>36</v>
      </c>
      <c r="G1393" t="s">
        <v>42</v>
      </c>
      <c r="H1393" t="s">
        <v>54</v>
      </c>
      <c r="I1393" t="s">
        <v>27</v>
      </c>
      <c r="J1393" t="s">
        <v>95</v>
      </c>
      <c r="K1393">
        <v>2</v>
      </c>
      <c r="L1393" t="s">
        <v>50</v>
      </c>
      <c r="M1393">
        <v>66000</v>
      </c>
      <c r="N1393">
        <v>13.9</v>
      </c>
      <c r="O1393">
        <v>17.2</v>
      </c>
      <c r="P1393">
        <v>10.8</v>
      </c>
      <c r="Q1393">
        <v>0.1</v>
      </c>
      <c r="R1393">
        <v>4</v>
      </c>
      <c r="S1393">
        <v>4</v>
      </c>
      <c r="T1393">
        <v>4</v>
      </c>
      <c r="U1393" t="s">
        <v>23</v>
      </c>
      <c r="V1393">
        <v>3</v>
      </c>
      <c r="W1393">
        <f>COUNTIF($A$2:A1393,A1393)</f>
        <v>1</v>
      </c>
    </row>
    <row r="1394" spans="1:23" x14ac:dyDescent="0.35">
      <c r="A1394" t="s">
        <v>317</v>
      </c>
      <c r="B1394" s="2">
        <v>42836</v>
      </c>
      <c r="D1394" t="s">
        <v>23</v>
      </c>
      <c r="E1394">
        <v>30</v>
      </c>
      <c r="F1394" t="s">
        <v>24</v>
      </c>
      <c r="G1394" t="s">
        <v>42</v>
      </c>
      <c r="H1394" t="s">
        <v>26</v>
      </c>
      <c r="I1394" t="s">
        <v>38</v>
      </c>
      <c r="J1394" t="s">
        <v>52</v>
      </c>
      <c r="K1394">
        <v>3</v>
      </c>
      <c r="L1394" t="s">
        <v>50</v>
      </c>
      <c r="M1394">
        <v>71000</v>
      </c>
      <c r="N1394">
        <v>17.100000000000001</v>
      </c>
      <c r="O1394">
        <v>16.100000000000001</v>
      </c>
      <c r="P1394">
        <v>8.6999999999999993</v>
      </c>
      <c r="Q1394">
        <v>4.8</v>
      </c>
      <c r="R1394">
        <v>4</v>
      </c>
      <c r="S1394">
        <v>2</v>
      </c>
      <c r="T1394">
        <v>4</v>
      </c>
      <c r="U1394" t="s">
        <v>23</v>
      </c>
      <c r="V1394">
        <v>3</v>
      </c>
      <c r="W1394">
        <f>COUNTIF($A$2:A1394,A1394)</f>
        <v>1</v>
      </c>
    </row>
    <row r="1395" spans="1:23" x14ac:dyDescent="0.35">
      <c r="A1395" t="s">
        <v>1577</v>
      </c>
      <c r="B1395" s="2">
        <v>44449</v>
      </c>
      <c r="D1395" t="s">
        <v>23</v>
      </c>
      <c r="E1395">
        <v>30</v>
      </c>
      <c r="F1395" t="s">
        <v>36</v>
      </c>
      <c r="G1395" t="s">
        <v>42</v>
      </c>
      <c r="H1395" t="s">
        <v>32</v>
      </c>
      <c r="I1395" t="s">
        <v>68</v>
      </c>
      <c r="J1395" t="s">
        <v>109</v>
      </c>
      <c r="K1395">
        <v>2</v>
      </c>
      <c r="L1395" t="s">
        <v>66</v>
      </c>
      <c r="M1395">
        <v>65000</v>
      </c>
      <c r="N1395">
        <v>5.0999999999999996</v>
      </c>
      <c r="O1395">
        <v>8.9</v>
      </c>
      <c r="P1395">
        <v>4.3</v>
      </c>
      <c r="Q1395">
        <v>3.7</v>
      </c>
      <c r="R1395">
        <v>3</v>
      </c>
      <c r="S1395">
        <v>4</v>
      </c>
      <c r="T1395">
        <v>3</v>
      </c>
      <c r="U1395" t="s">
        <v>23</v>
      </c>
      <c r="V1395">
        <v>4</v>
      </c>
      <c r="W1395">
        <f>COUNTIF($A$2:A1395,A1395)</f>
        <v>1</v>
      </c>
    </row>
    <row r="1396" spans="1:23" x14ac:dyDescent="0.35">
      <c r="A1396" t="s">
        <v>1195</v>
      </c>
      <c r="B1396" s="2">
        <v>45774</v>
      </c>
      <c r="D1396" t="s">
        <v>23</v>
      </c>
      <c r="E1396">
        <v>32</v>
      </c>
      <c r="F1396" t="s">
        <v>24</v>
      </c>
      <c r="G1396" t="s">
        <v>25</v>
      </c>
      <c r="H1396" t="s">
        <v>32</v>
      </c>
      <c r="I1396" t="s">
        <v>38</v>
      </c>
      <c r="J1396" t="s">
        <v>139</v>
      </c>
      <c r="K1396">
        <v>5</v>
      </c>
      <c r="L1396" t="s">
        <v>29</v>
      </c>
      <c r="M1396">
        <v>179000</v>
      </c>
      <c r="N1396">
        <v>8.6999999999999993</v>
      </c>
      <c r="O1396">
        <v>1.9</v>
      </c>
      <c r="P1396">
        <v>0.7</v>
      </c>
      <c r="Q1396">
        <v>0</v>
      </c>
      <c r="R1396">
        <v>4</v>
      </c>
      <c r="S1396">
        <v>3</v>
      </c>
      <c r="T1396">
        <v>4</v>
      </c>
      <c r="U1396" t="s">
        <v>23</v>
      </c>
      <c r="V1396">
        <v>4</v>
      </c>
      <c r="W1396">
        <f>COUNTIF($A$2:A1396,A1396)</f>
        <v>1</v>
      </c>
    </row>
    <row r="1397" spans="1:23" x14ac:dyDescent="0.35">
      <c r="A1397" t="s">
        <v>1323</v>
      </c>
      <c r="B1397" s="2">
        <v>42918</v>
      </c>
      <c r="D1397" t="s">
        <v>23</v>
      </c>
      <c r="E1397">
        <v>34</v>
      </c>
      <c r="F1397" t="s">
        <v>24</v>
      </c>
      <c r="G1397" t="s">
        <v>42</v>
      </c>
      <c r="H1397" t="s">
        <v>54</v>
      </c>
      <c r="I1397" t="s">
        <v>27</v>
      </c>
      <c r="J1397" t="s">
        <v>95</v>
      </c>
      <c r="K1397">
        <v>2</v>
      </c>
      <c r="L1397" t="s">
        <v>50</v>
      </c>
      <c r="M1397">
        <v>60000</v>
      </c>
      <c r="N1397">
        <v>8.9</v>
      </c>
      <c r="O1397">
        <v>9.1999999999999993</v>
      </c>
      <c r="P1397">
        <v>8.5</v>
      </c>
      <c r="Q1397">
        <v>5.4</v>
      </c>
      <c r="R1397">
        <v>3</v>
      </c>
      <c r="S1397">
        <v>2</v>
      </c>
      <c r="T1397">
        <v>3</v>
      </c>
      <c r="U1397" t="s">
        <v>23</v>
      </c>
      <c r="V1397">
        <v>3</v>
      </c>
      <c r="W1397">
        <f>COUNTIF($A$2:A1397,A1397)</f>
        <v>1</v>
      </c>
    </row>
    <row r="1398" spans="1:23" x14ac:dyDescent="0.35">
      <c r="A1398" t="s">
        <v>548</v>
      </c>
      <c r="B1398" s="2">
        <v>44417</v>
      </c>
      <c r="D1398" t="s">
        <v>23</v>
      </c>
      <c r="E1398">
        <v>26</v>
      </c>
      <c r="F1398" t="s">
        <v>36</v>
      </c>
      <c r="G1398" t="s">
        <v>42</v>
      </c>
      <c r="H1398" t="s">
        <v>58</v>
      </c>
      <c r="I1398" t="s">
        <v>55</v>
      </c>
      <c r="J1398" t="s">
        <v>80</v>
      </c>
      <c r="K1398">
        <v>1</v>
      </c>
      <c r="L1398" t="s">
        <v>50</v>
      </c>
      <c r="M1398">
        <v>39000</v>
      </c>
      <c r="N1398">
        <v>6.5</v>
      </c>
      <c r="O1398">
        <v>8</v>
      </c>
      <c r="P1398">
        <v>4.4000000000000004</v>
      </c>
      <c r="Q1398">
        <v>0.7</v>
      </c>
      <c r="R1398">
        <v>3</v>
      </c>
      <c r="S1398">
        <v>3</v>
      </c>
      <c r="T1398">
        <v>3</v>
      </c>
      <c r="U1398" t="s">
        <v>23</v>
      </c>
      <c r="V1398">
        <v>3</v>
      </c>
      <c r="W1398">
        <f>COUNTIF($A$2:A1398,A1398)</f>
        <v>1</v>
      </c>
    </row>
    <row r="1399" spans="1:23" x14ac:dyDescent="0.35">
      <c r="A1399" t="s">
        <v>131</v>
      </c>
      <c r="B1399" s="2">
        <v>43579</v>
      </c>
      <c r="D1399" t="s">
        <v>23</v>
      </c>
      <c r="E1399">
        <v>33</v>
      </c>
      <c r="F1399" t="s">
        <v>24</v>
      </c>
      <c r="G1399" t="s">
        <v>25</v>
      </c>
      <c r="H1399" t="s">
        <v>26</v>
      </c>
      <c r="I1399" t="s">
        <v>48</v>
      </c>
      <c r="J1399" t="s">
        <v>63</v>
      </c>
      <c r="K1399">
        <v>3</v>
      </c>
      <c r="L1399" t="s">
        <v>66</v>
      </c>
      <c r="M1399">
        <v>86000</v>
      </c>
      <c r="N1399">
        <v>13.4</v>
      </c>
      <c r="O1399">
        <v>14.6</v>
      </c>
      <c r="P1399">
        <v>6.7</v>
      </c>
      <c r="Q1399">
        <v>4.5</v>
      </c>
      <c r="R1399">
        <v>1</v>
      </c>
      <c r="S1399">
        <v>4</v>
      </c>
      <c r="T1399">
        <v>1</v>
      </c>
      <c r="U1399" t="s">
        <v>23</v>
      </c>
      <c r="V1399">
        <v>1</v>
      </c>
      <c r="W1399">
        <f>COUNTIF($A$2:A1399,A1399)</f>
        <v>1</v>
      </c>
    </row>
    <row r="1400" spans="1:23" x14ac:dyDescent="0.35">
      <c r="A1400" t="s">
        <v>424</v>
      </c>
      <c r="B1400" s="2">
        <v>45204</v>
      </c>
      <c r="D1400" t="s">
        <v>23</v>
      </c>
      <c r="E1400">
        <v>35</v>
      </c>
      <c r="F1400" t="s">
        <v>62</v>
      </c>
      <c r="G1400" t="s">
        <v>37</v>
      </c>
      <c r="H1400" t="s">
        <v>32</v>
      </c>
      <c r="I1400" t="s">
        <v>59</v>
      </c>
      <c r="J1400" t="s">
        <v>86</v>
      </c>
      <c r="K1400">
        <v>3</v>
      </c>
      <c r="L1400" t="s">
        <v>40</v>
      </c>
      <c r="M1400">
        <v>66000</v>
      </c>
      <c r="N1400">
        <v>9</v>
      </c>
      <c r="O1400">
        <v>9.8000000000000007</v>
      </c>
      <c r="P1400">
        <v>2.2000000000000002</v>
      </c>
      <c r="Q1400">
        <v>1.9</v>
      </c>
      <c r="R1400">
        <v>4</v>
      </c>
      <c r="S1400">
        <v>2</v>
      </c>
      <c r="T1400">
        <v>1</v>
      </c>
      <c r="U1400" t="s">
        <v>23</v>
      </c>
      <c r="V1400">
        <v>3</v>
      </c>
      <c r="W1400">
        <f>COUNTIF($A$2:A1400,A1400)</f>
        <v>1</v>
      </c>
    </row>
    <row r="1401" spans="1:23" x14ac:dyDescent="0.35">
      <c r="A1401" t="s">
        <v>891</v>
      </c>
      <c r="B1401" s="2">
        <v>44947</v>
      </c>
      <c r="D1401" t="s">
        <v>23</v>
      </c>
      <c r="E1401">
        <v>31</v>
      </c>
      <c r="F1401" t="s">
        <v>24</v>
      </c>
      <c r="G1401" t="s">
        <v>37</v>
      </c>
      <c r="H1401" t="s">
        <v>32</v>
      </c>
      <c r="I1401" t="s">
        <v>55</v>
      </c>
      <c r="J1401" t="s">
        <v>88</v>
      </c>
      <c r="K1401">
        <v>5</v>
      </c>
      <c r="L1401" t="s">
        <v>84</v>
      </c>
      <c r="M1401">
        <v>176000</v>
      </c>
      <c r="N1401">
        <v>5.0999999999999996</v>
      </c>
      <c r="O1401">
        <v>3.5</v>
      </c>
      <c r="P1401">
        <v>2.9</v>
      </c>
      <c r="Q1401">
        <v>0.4</v>
      </c>
      <c r="R1401">
        <v>4</v>
      </c>
      <c r="S1401">
        <v>3</v>
      </c>
      <c r="T1401">
        <v>3</v>
      </c>
      <c r="U1401" t="s">
        <v>30</v>
      </c>
      <c r="V1401">
        <v>3</v>
      </c>
      <c r="W1401">
        <f>COUNTIF($A$2:A1401,A1401)</f>
        <v>1</v>
      </c>
    </row>
    <row r="1402" spans="1:23" x14ac:dyDescent="0.35">
      <c r="A1402" t="s">
        <v>1283</v>
      </c>
      <c r="B1402" s="2">
        <v>43992</v>
      </c>
      <c r="D1402" t="s">
        <v>23</v>
      </c>
      <c r="E1402">
        <v>28</v>
      </c>
      <c r="F1402" t="s">
        <v>24</v>
      </c>
      <c r="G1402" t="s">
        <v>37</v>
      </c>
      <c r="H1402" t="s">
        <v>32</v>
      </c>
      <c r="I1402" t="s">
        <v>68</v>
      </c>
      <c r="J1402" t="s">
        <v>69</v>
      </c>
      <c r="K1402">
        <v>3</v>
      </c>
      <c r="L1402" t="s">
        <v>84</v>
      </c>
      <c r="M1402">
        <v>79000</v>
      </c>
      <c r="N1402">
        <v>3.6</v>
      </c>
      <c r="O1402">
        <v>12.1</v>
      </c>
      <c r="P1402">
        <v>5.6</v>
      </c>
      <c r="Q1402">
        <v>4.5</v>
      </c>
      <c r="R1402">
        <v>4</v>
      </c>
      <c r="S1402">
        <v>3</v>
      </c>
      <c r="T1402">
        <v>4</v>
      </c>
      <c r="U1402" t="s">
        <v>30</v>
      </c>
      <c r="V1402">
        <v>4</v>
      </c>
      <c r="W1402">
        <f>COUNTIF($A$2:A1402,A1402)</f>
        <v>1</v>
      </c>
    </row>
    <row r="1403" spans="1:23" x14ac:dyDescent="0.35">
      <c r="A1403" t="s">
        <v>633</v>
      </c>
      <c r="B1403" s="2">
        <v>45215</v>
      </c>
      <c r="D1403" t="s">
        <v>23</v>
      </c>
      <c r="E1403">
        <v>46</v>
      </c>
      <c r="F1403" t="s">
        <v>36</v>
      </c>
      <c r="G1403" t="s">
        <v>42</v>
      </c>
      <c r="H1403" t="s">
        <v>26</v>
      </c>
      <c r="I1403" t="s">
        <v>59</v>
      </c>
      <c r="J1403" t="s">
        <v>86</v>
      </c>
      <c r="K1403">
        <v>2</v>
      </c>
      <c r="L1403" t="s">
        <v>40</v>
      </c>
      <c r="M1403">
        <v>61000</v>
      </c>
      <c r="N1403">
        <v>15.6</v>
      </c>
      <c r="O1403">
        <v>5</v>
      </c>
      <c r="P1403">
        <v>2.2000000000000002</v>
      </c>
      <c r="Q1403">
        <v>1.6</v>
      </c>
      <c r="R1403">
        <v>1</v>
      </c>
      <c r="S1403">
        <v>3</v>
      </c>
      <c r="T1403">
        <v>3</v>
      </c>
      <c r="U1403" t="s">
        <v>23</v>
      </c>
      <c r="V1403">
        <v>2</v>
      </c>
      <c r="W1403">
        <f>COUNTIF($A$2:A1403,A1403)</f>
        <v>1</v>
      </c>
    </row>
    <row r="1404" spans="1:23" x14ac:dyDescent="0.35">
      <c r="A1404" t="s">
        <v>848</v>
      </c>
      <c r="B1404" s="2">
        <v>44488</v>
      </c>
      <c r="D1404" t="s">
        <v>23</v>
      </c>
      <c r="E1404">
        <v>41</v>
      </c>
      <c r="F1404" t="s">
        <v>36</v>
      </c>
      <c r="G1404" t="s">
        <v>37</v>
      </c>
      <c r="H1404" t="s">
        <v>26</v>
      </c>
      <c r="I1404" t="s">
        <v>27</v>
      </c>
      <c r="J1404" t="s">
        <v>43</v>
      </c>
      <c r="K1404">
        <v>2</v>
      </c>
      <c r="L1404" t="s">
        <v>34</v>
      </c>
      <c r="M1404">
        <v>44000</v>
      </c>
      <c r="N1404">
        <v>6.4</v>
      </c>
      <c r="O1404">
        <v>9</v>
      </c>
      <c r="P1404">
        <v>4.2</v>
      </c>
      <c r="Q1404">
        <v>0.6</v>
      </c>
      <c r="R1404">
        <v>3</v>
      </c>
      <c r="S1404">
        <v>1</v>
      </c>
      <c r="T1404">
        <v>2</v>
      </c>
      <c r="U1404" t="s">
        <v>23</v>
      </c>
      <c r="V1404">
        <v>5</v>
      </c>
      <c r="W1404">
        <f>COUNTIF($A$2:A1404,A1404)</f>
        <v>1</v>
      </c>
    </row>
    <row r="1405" spans="1:23" x14ac:dyDescent="0.35">
      <c r="A1405" t="s">
        <v>1243</v>
      </c>
      <c r="B1405" s="2">
        <v>44726</v>
      </c>
      <c r="D1405" t="s">
        <v>23</v>
      </c>
      <c r="E1405">
        <v>41</v>
      </c>
      <c r="F1405" t="s">
        <v>62</v>
      </c>
      <c r="G1405" t="s">
        <v>37</v>
      </c>
      <c r="H1405" t="s">
        <v>32</v>
      </c>
      <c r="I1405" t="s">
        <v>48</v>
      </c>
      <c r="J1405" t="s">
        <v>129</v>
      </c>
      <c r="K1405">
        <v>3</v>
      </c>
      <c r="L1405" t="s">
        <v>40</v>
      </c>
      <c r="M1405">
        <v>94000</v>
      </c>
      <c r="N1405">
        <v>6.8</v>
      </c>
      <c r="O1405">
        <v>9.6999999999999993</v>
      </c>
      <c r="P1405">
        <v>3.5</v>
      </c>
      <c r="Q1405">
        <v>0.9</v>
      </c>
      <c r="R1405">
        <v>1</v>
      </c>
      <c r="S1405">
        <v>2</v>
      </c>
      <c r="T1405">
        <v>2</v>
      </c>
      <c r="U1405" t="s">
        <v>30</v>
      </c>
      <c r="V1405">
        <v>3</v>
      </c>
      <c r="W1405">
        <f>COUNTIF($A$2:A1405,A1405)</f>
        <v>1</v>
      </c>
    </row>
    <row r="1406" spans="1:23" x14ac:dyDescent="0.35">
      <c r="A1406" t="s">
        <v>1186</v>
      </c>
      <c r="B1406" s="2">
        <v>45269</v>
      </c>
      <c r="D1406" t="s">
        <v>23</v>
      </c>
      <c r="E1406">
        <v>28</v>
      </c>
      <c r="F1406" t="s">
        <v>62</v>
      </c>
      <c r="G1406" t="s">
        <v>25</v>
      </c>
      <c r="H1406" t="s">
        <v>54</v>
      </c>
      <c r="I1406" t="s">
        <v>48</v>
      </c>
      <c r="J1406" t="s">
        <v>201</v>
      </c>
      <c r="K1406">
        <v>1</v>
      </c>
      <c r="L1406" t="s">
        <v>84</v>
      </c>
      <c r="M1406">
        <v>38000</v>
      </c>
      <c r="N1406">
        <v>13.5</v>
      </c>
      <c r="O1406">
        <v>9.6</v>
      </c>
      <c r="P1406">
        <v>2.1</v>
      </c>
      <c r="Q1406">
        <v>1.8</v>
      </c>
      <c r="R1406">
        <v>2</v>
      </c>
      <c r="S1406">
        <v>3</v>
      </c>
      <c r="T1406">
        <v>3</v>
      </c>
      <c r="U1406" t="s">
        <v>23</v>
      </c>
      <c r="V1406">
        <v>4</v>
      </c>
      <c r="W1406">
        <f>COUNTIF($A$2:A1406,A1406)</f>
        <v>1</v>
      </c>
    </row>
    <row r="1407" spans="1:23" x14ac:dyDescent="0.35">
      <c r="A1407" t="s">
        <v>199</v>
      </c>
      <c r="B1407" s="2">
        <v>45307</v>
      </c>
      <c r="C1407" s="2">
        <v>45775</v>
      </c>
      <c r="D1407" t="s">
        <v>30</v>
      </c>
      <c r="E1407">
        <v>36</v>
      </c>
      <c r="F1407" t="s">
        <v>36</v>
      </c>
      <c r="G1407" t="s">
        <v>42</v>
      </c>
      <c r="H1407" t="s">
        <v>32</v>
      </c>
      <c r="I1407" t="s">
        <v>48</v>
      </c>
      <c r="J1407" t="s">
        <v>63</v>
      </c>
      <c r="K1407">
        <v>4</v>
      </c>
      <c r="L1407" t="s">
        <v>84</v>
      </c>
      <c r="M1407">
        <v>113000</v>
      </c>
      <c r="N1407">
        <v>9.5</v>
      </c>
      <c r="O1407">
        <v>1.5</v>
      </c>
      <c r="P1407">
        <v>1.3</v>
      </c>
      <c r="Q1407">
        <v>0.7</v>
      </c>
      <c r="R1407">
        <v>3</v>
      </c>
      <c r="S1407">
        <v>2</v>
      </c>
      <c r="T1407">
        <v>3</v>
      </c>
      <c r="U1407" t="s">
        <v>30</v>
      </c>
      <c r="V1407">
        <v>4</v>
      </c>
      <c r="W1407">
        <f>COUNTIF($A$2:A1407,A1407)</f>
        <v>1</v>
      </c>
    </row>
    <row r="1408" spans="1:23" x14ac:dyDescent="0.35">
      <c r="A1408" t="s">
        <v>1490</v>
      </c>
      <c r="B1408" s="2">
        <v>45460</v>
      </c>
      <c r="D1408" t="s">
        <v>23</v>
      </c>
      <c r="E1408">
        <v>32</v>
      </c>
      <c r="F1408" t="s">
        <v>62</v>
      </c>
      <c r="H1408" t="s">
        <v>58</v>
      </c>
      <c r="I1408" t="s">
        <v>38</v>
      </c>
      <c r="J1408" t="s">
        <v>139</v>
      </c>
      <c r="K1408">
        <v>2</v>
      </c>
      <c r="L1408" t="s">
        <v>40</v>
      </c>
      <c r="M1408">
        <v>58000</v>
      </c>
      <c r="N1408">
        <v>8.1</v>
      </c>
      <c r="O1408">
        <v>1.6</v>
      </c>
      <c r="P1408">
        <v>1.5</v>
      </c>
      <c r="Q1408">
        <v>0.1</v>
      </c>
      <c r="R1408">
        <v>2</v>
      </c>
      <c r="S1408">
        <v>2</v>
      </c>
      <c r="T1408">
        <v>4</v>
      </c>
      <c r="U1408" t="s">
        <v>23</v>
      </c>
      <c r="V1408">
        <v>2</v>
      </c>
      <c r="W1408">
        <f>COUNTIF($A$2:A1408,A1408)</f>
        <v>1</v>
      </c>
    </row>
    <row r="1409" spans="1:23" x14ac:dyDescent="0.35">
      <c r="A1409" t="s">
        <v>217</v>
      </c>
      <c r="B1409" s="2">
        <v>44026</v>
      </c>
      <c r="D1409" t="s">
        <v>23</v>
      </c>
      <c r="E1409">
        <v>36</v>
      </c>
      <c r="F1409" t="s">
        <v>24</v>
      </c>
      <c r="G1409" t="s">
        <v>37</v>
      </c>
      <c r="H1409" t="s">
        <v>32</v>
      </c>
      <c r="I1409" t="s">
        <v>45</v>
      </c>
      <c r="J1409" t="s">
        <v>164</v>
      </c>
      <c r="K1409">
        <v>3</v>
      </c>
      <c r="L1409" t="s">
        <v>29</v>
      </c>
      <c r="M1409">
        <v>74000</v>
      </c>
      <c r="N1409">
        <v>3.9</v>
      </c>
      <c r="O1409">
        <v>9.1999999999999993</v>
      </c>
      <c r="P1409">
        <v>5.5</v>
      </c>
      <c r="Q1409">
        <v>5.4</v>
      </c>
      <c r="R1409">
        <v>3</v>
      </c>
      <c r="S1409">
        <v>3</v>
      </c>
      <c r="T1409">
        <v>3</v>
      </c>
      <c r="U1409" t="s">
        <v>23</v>
      </c>
      <c r="V1409">
        <v>4</v>
      </c>
      <c r="W1409">
        <f>COUNTIF($A$2:A1409,A1409)</f>
        <v>1</v>
      </c>
    </row>
    <row r="1410" spans="1:23" x14ac:dyDescent="0.35">
      <c r="A1410" t="s">
        <v>884</v>
      </c>
      <c r="B1410" s="2">
        <v>43027</v>
      </c>
      <c r="C1410" s="2">
        <v>45750</v>
      </c>
      <c r="D1410" t="s">
        <v>30</v>
      </c>
      <c r="E1410">
        <v>39</v>
      </c>
      <c r="F1410" t="s">
        <v>36</v>
      </c>
      <c r="G1410" t="s">
        <v>42</v>
      </c>
      <c r="H1410" t="s">
        <v>54</v>
      </c>
      <c r="I1410" t="s">
        <v>59</v>
      </c>
      <c r="J1410" t="s">
        <v>150</v>
      </c>
      <c r="K1410">
        <v>3</v>
      </c>
      <c r="L1410" t="s">
        <v>66</v>
      </c>
      <c r="M1410">
        <v>76000</v>
      </c>
      <c r="N1410">
        <v>11.6</v>
      </c>
      <c r="O1410">
        <v>13.3</v>
      </c>
      <c r="P1410">
        <v>7.5</v>
      </c>
      <c r="Q1410">
        <v>5.8</v>
      </c>
      <c r="R1410">
        <v>3</v>
      </c>
      <c r="S1410">
        <v>3</v>
      </c>
      <c r="T1410">
        <v>3</v>
      </c>
      <c r="U1410" t="s">
        <v>23</v>
      </c>
      <c r="V1410">
        <v>3</v>
      </c>
      <c r="W1410">
        <f>COUNTIF($A$2:A1410,A1410)</f>
        <v>1</v>
      </c>
    </row>
    <row r="1411" spans="1:23" x14ac:dyDescent="0.35">
      <c r="A1411" t="s">
        <v>774</v>
      </c>
      <c r="B1411" s="2">
        <v>42676</v>
      </c>
      <c r="D1411" t="s">
        <v>23</v>
      </c>
      <c r="E1411">
        <v>40</v>
      </c>
      <c r="F1411" t="s">
        <v>62</v>
      </c>
      <c r="G1411" t="s">
        <v>25</v>
      </c>
      <c r="H1411" t="s">
        <v>58</v>
      </c>
      <c r="I1411" t="s">
        <v>55</v>
      </c>
      <c r="J1411" t="s">
        <v>179</v>
      </c>
      <c r="K1411">
        <v>4</v>
      </c>
      <c r="L1411" t="s">
        <v>34</v>
      </c>
      <c r="M1411">
        <v>130000</v>
      </c>
      <c r="N1411">
        <v>7</v>
      </c>
      <c r="O1411">
        <v>9.9</v>
      </c>
      <c r="P1411">
        <v>9.1999999999999993</v>
      </c>
      <c r="Q1411">
        <v>5.2</v>
      </c>
      <c r="R1411">
        <v>4</v>
      </c>
      <c r="S1411">
        <v>4</v>
      </c>
      <c r="T1411">
        <v>2</v>
      </c>
      <c r="U1411" t="s">
        <v>23</v>
      </c>
      <c r="V1411">
        <v>3</v>
      </c>
      <c r="W1411">
        <f>COUNTIF($A$2:A1411,A1411)</f>
        <v>1</v>
      </c>
    </row>
    <row r="1412" spans="1:23" x14ac:dyDescent="0.35">
      <c r="A1412" t="s">
        <v>772</v>
      </c>
      <c r="B1412" s="2">
        <v>44488</v>
      </c>
      <c r="D1412" t="s">
        <v>23</v>
      </c>
      <c r="E1412">
        <v>32</v>
      </c>
      <c r="F1412" t="s">
        <v>36</v>
      </c>
      <c r="G1412" t="s">
        <v>25</v>
      </c>
      <c r="H1412" t="s">
        <v>54</v>
      </c>
      <c r="I1412" t="s">
        <v>68</v>
      </c>
      <c r="J1412" t="s">
        <v>102</v>
      </c>
      <c r="K1412">
        <v>4</v>
      </c>
      <c r="L1412" t="s">
        <v>40</v>
      </c>
      <c r="M1412">
        <v>107000</v>
      </c>
      <c r="N1412">
        <v>10.6</v>
      </c>
      <c r="O1412">
        <v>8.4</v>
      </c>
      <c r="P1412">
        <v>4.2</v>
      </c>
      <c r="Q1412">
        <v>3.5</v>
      </c>
      <c r="R1412">
        <v>4</v>
      </c>
      <c r="S1412">
        <v>3</v>
      </c>
      <c r="T1412">
        <v>4</v>
      </c>
      <c r="U1412" t="s">
        <v>23</v>
      </c>
      <c r="V1412">
        <v>3</v>
      </c>
      <c r="W1412">
        <f>COUNTIF($A$2:A1412,A1412)</f>
        <v>1</v>
      </c>
    </row>
    <row r="1413" spans="1:23" x14ac:dyDescent="0.35">
      <c r="A1413" t="s">
        <v>1339</v>
      </c>
      <c r="B1413" s="2">
        <v>43928</v>
      </c>
      <c r="D1413" t="s">
        <v>23</v>
      </c>
      <c r="E1413">
        <v>31</v>
      </c>
      <c r="F1413" t="s">
        <v>62</v>
      </c>
      <c r="G1413" t="s">
        <v>42</v>
      </c>
      <c r="H1413" t="s">
        <v>26</v>
      </c>
      <c r="I1413" t="s">
        <v>48</v>
      </c>
      <c r="J1413" t="s">
        <v>49</v>
      </c>
      <c r="K1413">
        <v>1</v>
      </c>
      <c r="L1413" t="s">
        <v>66</v>
      </c>
      <c r="M1413">
        <v>22000</v>
      </c>
      <c r="N1413">
        <v>5.2</v>
      </c>
      <c r="O1413">
        <v>7.1</v>
      </c>
      <c r="P1413">
        <v>5.7</v>
      </c>
      <c r="Q1413">
        <v>1.7</v>
      </c>
      <c r="R1413">
        <v>2</v>
      </c>
      <c r="S1413">
        <v>2</v>
      </c>
      <c r="T1413">
        <v>4</v>
      </c>
      <c r="U1413" t="s">
        <v>23</v>
      </c>
      <c r="V1413">
        <v>5</v>
      </c>
      <c r="W1413">
        <f>COUNTIF($A$2:A1413,A1413)</f>
        <v>1</v>
      </c>
    </row>
    <row r="1414" spans="1:23" x14ac:dyDescent="0.35">
      <c r="A1414" t="s">
        <v>1076</v>
      </c>
      <c r="B1414" s="2">
        <v>45175</v>
      </c>
      <c r="C1414" s="2">
        <v>45751</v>
      </c>
      <c r="D1414" t="s">
        <v>30</v>
      </c>
      <c r="E1414">
        <v>45</v>
      </c>
      <c r="F1414" t="s">
        <v>36</v>
      </c>
      <c r="G1414" t="s">
        <v>42</v>
      </c>
      <c r="H1414" t="s">
        <v>32</v>
      </c>
      <c r="I1414" t="s">
        <v>48</v>
      </c>
      <c r="J1414" t="s">
        <v>49</v>
      </c>
      <c r="K1414">
        <v>3</v>
      </c>
      <c r="L1414" t="s">
        <v>66</v>
      </c>
      <c r="M1414">
        <v>79000</v>
      </c>
      <c r="N1414">
        <v>10.3</v>
      </c>
      <c r="O1414">
        <v>4.4000000000000004</v>
      </c>
      <c r="P1414">
        <v>1.6</v>
      </c>
      <c r="Q1414">
        <v>1.3</v>
      </c>
      <c r="R1414">
        <v>1</v>
      </c>
      <c r="S1414">
        <v>4</v>
      </c>
      <c r="T1414">
        <v>3</v>
      </c>
      <c r="U1414" t="s">
        <v>23</v>
      </c>
      <c r="V1414">
        <v>4</v>
      </c>
      <c r="W1414">
        <f>COUNTIF($A$2:A1414,A1414)</f>
        <v>1</v>
      </c>
    </row>
    <row r="1415" spans="1:23" x14ac:dyDescent="0.35">
      <c r="A1415" t="s">
        <v>1297</v>
      </c>
      <c r="B1415" s="2">
        <v>44472</v>
      </c>
      <c r="C1415" s="2">
        <v>45744</v>
      </c>
      <c r="D1415" t="s">
        <v>30</v>
      </c>
      <c r="E1415">
        <v>27</v>
      </c>
      <c r="F1415" t="s">
        <v>62</v>
      </c>
      <c r="G1415" t="s">
        <v>37</v>
      </c>
      <c r="H1415" t="s">
        <v>26</v>
      </c>
      <c r="I1415" t="s">
        <v>48</v>
      </c>
      <c r="J1415" t="s">
        <v>49</v>
      </c>
      <c r="K1415">
        <v>1</v>
      </c>
      <c r="L1415" t="s">
        <v>66</v>
      </c>
      <c r="M1415">
        <v>38000</v>
      </c>
      <c r="N1415">
        <v>6</v>
      </c>
      <c r="O1415">
        <v>9.8000000000000007</v>
      </c>
      <c r="P1415">
        <v>3.5</v>
      </c>
      <c r="Q1415">
        <v>0.9</v>
      </c>
      <c r="R1415">
        <v>2</v>
      </c>
      <c r="S1415">
        <v>3</v>
      </c>
      <c r="T1415">
        <v>3</v>
      </c>
      <c r="U1415" t="s">
        <v>30</v>
      </c>
      <c r="V1415">
        <v>4</v>
      </c>
      <c r="W1415">
        <f>COUNTIF($A$2:A1415,A1415)</f>
        <v>1</v>
      </c>
    </row>
    <row r="1416" spans="1:23" x14ac:dyDescent="0.35">
      <c r="A1416" t="s">
        <v>897</v>
      </c>
      <c r="B1416" s="2">
        <v>42360</v>
      </c>
      <c r="D1416" t="s">
        <v>23</v>
      </c>
      <c r="E1416">
        <v>34</v>
      </c>
      <c r="F1416" t="s">
        <v>36</v>
      </c>
      <c r="G1416" t="s">
        <v>42</v>
      </c>
      <c r="H1416" t="s">
        <v>32</v>
      </c>
      <c r="I1416" t="s">
        <v>45</v>
      </c>
      <c r="J1416" t="s">
        <v>46</v>
      </c>
      <c r="K1416">
        <v>2</v>
      </c>
      <c r="L1416" t="s">
        <v>40</v>
      </c>
      <c r="M1416">
        <v>52000</v>
      </c>
      <c r="N1416">
        <v>5.9</v>
      </c>
      <c r="O1416">
        <v>12.1</v>
      </c>
      <c r="P1416">
        <v>10</v>
      </c>
      <c r="Q1416">
        <v>5</v>
      </c>
      <c r="R1416">
        <v>2</v>
      </c>
      <c r="S1416">
        <v>3</v>
      </c>
      <c r="T1416">
        <v>4</v>
      </c>
      <c r="U1416" t="s">
        <v>23</v>
      </c>
      <c r="V1416">
        <v>5</v>
      </c>
      <c r="W1416">
        <f>COUNTIF($A$2:A1416,A1416)</f>
        <v>1</v>
      </c>
    </row>
    <row r="1417" spans="1:23" x14ac:dyDescent="0.35">
      <c r="A1417" t="s">
        <v>1585</v>
      </c>
      <c r="B1417" s="2">
        <v>43148</v>
      </c>
      <c r="C1417" s="2">
        <v>45701</v>
      </c>
      <c r="D1417" t="s">
        <v>30</v>
      </c>
      <c r="E1417">
        <v>48</v>
      </c>
      <c r="F1417" t="s">
        <v>24</v>
      </c>
      <c r="G1417" t="s">
        <v>42</v>
      </c>
      <c r="H1417" t="s">
        <v>54</v>
      </c>
      <c r="I1417" t="s">
        <v>38</v>
      </c>
      <c r="J1417" t="s">
        <v>52</v>
      </c>
      <c r="K1417">
        <v>4</v>
      </c>
      <c r="L1417" t="s">
        <v>50</v>
      </c>
      <c r="M1417">
        <v>115000</v>
      </c>
      <c r="N1417">
        <v>7.6</v>
      </c>
      <c r="O1417">
        <v>11.6</v>
      </c>
      <c r="P1417">
        <v>7</v>
      </c>
      <c r="Q1417">
        <v>1.5</v>
      </c>
      <c r="R1417">
        <v>2</v>
      </c>
      <c r="S1417">
        <v>4</v>
      </c>
      <c r="T1417">
        <v>3</v>
      </c>
      <c r="U1417" t="s">
        <v>30</v>
      </c>
      <c r="V1417">
        <v>3</v>
      </c>
      <c r="W1417">
        <f>COUNTIF($A$2:A1417,A1417)</f>
        <v>1</v>
      </c>
    </row>
    <row r="1418" spans="1:23" x14ac:dyDescent="0.35">
      <c r="A1418" t="s">
        <v>527</v>
      </c>
      <c r="B1418" s="2">
        <v>45888</v>
      </c>
      <c r="D1418" t="s">
        <v>23</v>
      </c>
      <c r="E1418">
        <v>39</v>
      </c>
      <c r="F1418" t="s">
        <v>62</v>
      </c>
      <c r="G1418" t="s">
        <v>25</v>
      </c>
      <c r="H1418" t="s">
        <v>54</v>
      </c>
      <c r="I1418" t="s">
        <v>38</v>
      </c>
      <c r="J1418" t="s">
        <v>139</v>
      </c>
      <c r="K1418">
        <v>2</v>
      </c>
      <c r="L1418" t="s">
        <v>50</v>
      </c>
      <c r="M1418">
        <v>54000</v>
      </c>
      <c r="N1418">
        <v>0</v>
      </c>
      <c r="O1418">
        <v>1.5</v>
      </c>
      <c r="P1418">
        <v>0.4</v>
      </c>
      <c r="Q1418">
        <v>0</v>
      </c>
      <c r="R1418">
        <v>4</v>
      </c>
      <c r="S1418">
        <v>1</v>
      </c>
      <c r="T1418">
        <v>3</v>
      </c>
      <c r="U1418" t="s">
        <v>30</v>
      </c>
      <c r="V1418">
        <v>3</v>
      </c>
      <c r="W1418">
        <f>COUNTIF($A$2:A1418,A1418)</f>
        <v>1</v>
      </c>
    </row>
    <row r="1419" spans="1:23" x14ac:dyDescent="0.35">
      <c r="A1419" t="s">
        <v>1306</v>
      </c>
      <c r="B1419" s="2">
        <v>44242</v>
      </c>
      <c r="D1419" t="s">
        <v>23</v>
      </c>
      <c r="E1419">
        <v>38</v>
      </c>
      <c r="F1419" t="s">
        <v>24</v>
      </c>
      <c r="G1419" t="s">
        <v>42</v>
      </c>
      <c r="H1419" t="s">
        <v>54</v>
      </c>
      <c r="I1419" t="s">
        <v>48</v>
      </c>
      <c r="J1419" t="s">
        <v>201</v>
      </c>
      <c r="K1419">
        <v>4</v>
      </c>
      <c r="L1419" t="s">
        <v>29</v>
      </c>
      <c r="M1419">
        <v>99000</v>
      </c>
      <c r="N1419">
        <v>6.6</v>
      </c>
      <c r="O1419">
        <v>5</v>
      </c>
      <c r="P1419">
        <v>4.9000000000000004</v>
      </c>
      <c r="Q1419">
        <v>2.8</v>
      </c>
      <c r="R1419">
        <v>3</v>
      </c>
      <c r="S1419">
        <v>2</v>
      </c>
      <c r="T1419">
        <v>2</v>
      </c>
      <c r="U1419" t="s">
        <v>30</v>
      </c>
      <c r="V1419">
        <v>3</v>
      </c>
      <c r="W1419">
        <f>COUNTIF($A$2:A1419,A1419)</f>
        <v>1</v>
      </c>
    </row>
    <row r="1420" spans="1:23" x14ac:dyDescent="0.35">
      <c r="A1420" t="s">
        <v>1493</v>
      </c>
      <c r="B1420" s="2">
        <v>45034</v>
      </c>
      <c r="D1420" t="s">
        <v>23</v>
      </c>
      <c r="E1420">
        <v>43</v>
      </c>
      <c r="F1420" t="s">
        <v>36</v>
      </c>
      <c r="G1420" t="s">
        <v>42</v>
      </c>
      <c r="H1420" t="s">
        <v>32</v>
      </c>
      <c r="I1420" t="s">
        <v>55</v>
      </c>
      <c r="J1420" t="s">
        <v>179</v>
      </c>
      <c r="K1420">
        <v>3</v>
      </c>
      <c r="M1420">
        <v>98000</v>
      </c>
      <c r="N1420">
        <v>8.3000000000000007</v>
      </c>
      <c r="O1420">
        <v>2.8</v>
      </c>
      <c r="P1420">
        <v>2.7</v>
      </c>
      <c r="Q1420">
        <v>2.5</v>
      </c>
      <c r="R1420">
        <v>2</v>
      </c>
      <c r="S1420">
        <v>3</v>
      </c>
      <c r="T1420">
        <v>3</v>
      </c>
      <c r="U1420" t="s">
        <v>23</v>
      </c>
      <c r="V1420">
        <v>2</v>
      </c>
      <c r="W1420">
        <f>COUNTIF($A$2:A1420,A1420)</f>
        <v>1</v>
      </c>
    </row>
    <row r="1421" spans="1:23" x14ac:dyDescent="0.35">
      <c r="A1421" t="s">
        <v>647</v>
      </c>
      <c r="B1421" s="2">
        <v>44733</v>
      </c>
      <c r="D1421" t="s">
        <v>23</v>
      </c>
      <c r="E1421">
        <v>32</v>
      </c>
      <c r="F1421" t="s">
        <v>36</v>
      </c>
      <c r="G1421" t="s">
        <v>37</v>
      </c>
      <c r="H1421" t="s">
        <v>54</v>
      </c>
      <c r="I1421" t="s">
        <v>45</v>
      </c>
      <c r="J1421" t="s">
        <v>164</v>
      </c>
      <c r="K1421">
        <v>2</v>
      </c>
      <c r="L1421" t="s">
        <v>29</v>
      </c>
      <c r="M1421">
        <v>60000</v>
      </c>
      <c r="N1421">
        <v>5.5</v>
      </c>
      <c r="O1421">
        <v>7.2</v>
      </c>
      <c r="P1421">
        <v>3.5</v>
      </c>
      <c r="Q1421">
        <v>1.6</v>
      </c>
      <c r="R1421">
        <v>2</v>
      </c>
      <c r="S1421">
        <v>3</v>
      </c>
      <c r="T1421">
        <v>3</v>
      </c>
      <c r="U1421" t="s">
        <v>23</v>
      </c>
      <c r="V1421">
        <v>3</v>
      </c>
      <c r="W1421">
        <f>COUNTIF($A$2:A1421,A1421)</f>
        <v>1</v>
      </c>
    </row>
    <row r="1422" spans="1:23" x14ac:dyDescent="0.35">
      <c r="A1422" t="s">
        <v>565</v>
      </c>
      <c r="B1422" s="2">
        <v>45143</v>
      </c>
      <c r="D1422" t="s">
        <v>23</v>
      </c>
      <c r="E1422">
        <v>40</v>
      </c>
      <c r="F1422" t="s">
        <v>24</v>
      </c>
      <c r="G1422" t="s">
        <v>37</v>
      </c>
      <c r="H1422" t="s">
        <v>54</v>
      </c>
      <c r="I1422" t="s">
        <v>55</v>
      </c>
      <c r="J1422" t="s">
        <v>88</v>
      </c>
      <c r="K1422">
        <v>3</v>
      </c>
      <c r="L1422" t="s">
        <v>66</v>
      </c>
      <c r="M1422">
        <v>89000</v>
      </c>
      <c r="N1422">
        <v>14.5</v>
      </c>
      <c r="O1422">
        <v>8.9</v>
      </c>
      <c r="P1422">
        <v>2.4</v>
      </c>
      <c r="Q1422">
        <v>1.1000000000000001</v>
      </c>
      <c r="R1422">
        <v>4</v>
      </c>
      <c r="S1422">
        <v>4</v>
      </c>
      <c r="T1422">
        <v>2</v>
      </c>
      <c r="U1422" t="s">
        <v>23</v>
      </c>
      <c r="V1422">
        <v>4</v>
      </c>
      <c r="W1422">
        <f>COUNTIF($A$2:A1422,A1422)</f>
        <v>1</v>
      </c>
    </row>
    <row r="1423" spans="1:23" x14ac:dyDescent="0.35">
      <c r="A1423" t="s">
        <v>198</v>
      </c>
      <c r="B1423" s="2">
        <v>42933</v>
      </c>
      <c r="D1423" t="s">
        <v>23</v>
      </c>
      <c r="E1423">
        <v>33</v>
      </c>
      <c r="F1423" t="s">
        <v>36</v>
      </c>
      <c r="G1423" t="s">
        <v>42</v>
      </c>
      <c r="H1423" t="s">
        <v>54</v>
      </c>
      <c r="I1423" t="s">
        <v>27</v>
      </c>
      <c r="J1423" t="s">
        <v>95</v>
      </c>
      <c r="K1423">
        <v>2</v>
      </c>
      <c r="L1423" t="s">
        <v>84</v>
      </c>
      <c r="M1423">
        <v>42000</v>
      </c>
      <c r="N1423">
        <v>9</v>
      </c>
      <c r="O1423">
        <v>12</v>
      </c>
      <c r="P1423">
        <v>8.5</v>
      </c>
      <c r="Q1423">
        <v>1.6</v>
      </c>
      <c r="R1423">
        <v>2</v>
      </c>
      <c r="S1423">
        <v>3</v>
      </c>
      <c r="T1423">
        <v>4</v>
      </c>
      <c r="U1423" t="s">
        <v>30</v>
      </c>
      <c r="V1423">
        <v>2</v>
      </c>
      <c r="W1423">
        <f>COUNTIF($A$2:A1423,A1423)</f>
        <v>1</v>
      </c>
    </row>
    <row r="1424" spans="1:23" x14ac:dyDescent="0.35">
      <c r="A1424" t="s">
        <v>1116</v>
      </c>
      <c r="B1424" s="2">
        <v>44536</v>
      </c>
      <c r="D1424" t="s">
        <v>23</v>
      </c>
      <c r="E1424">
        <v>30</v>
      </c>
      <c r="F1424" t="s">
        <v>24</v>
      </c>
      <c r="G1424" t="s">
        <v>42</v>
      </c>
      <c r="H1424" t="s">
        <v>26</v>
      </c>
      <c r="I1424" t="s">
        <v>59</v>
      </c>
      <c r="J1424" t="s">
        <v>86</v>
      </c>
      <c r="K1424">
        <v>3</v>
      </c>
      <c r="L1424" t="s">
        <v>84</v>
      </c>
      <c r="M1424">
        <v>62000</v>
      </c>
      <c r="N1424">
        <v>11.8</v>
      </c>
      <c r="O1424">
        <v>5.4</v>
      </c>
      <c r="P1424">
        <v>4.0999999999999996</v>
      </c>
      <c r="Q1424">
        <v>3.6</v>
      </c>
      <c r="R1424">
        <v>3</v>
      </c>
      <c r="S1424">
        <v>4</v>
      </c>
      <c r="T1424">
        <v>3</v>
      </c>
      <c r="U1424" t="s">
        <v>30</v>
      </c>
      <c r="V1424">
        <v>3</v>
      </c>
      <c r="W1424">
        <f>COUNTIF($A$2:A1424,A1424)</f>
        <v>1</v>
      </c>
    </row>
    <row r="1425" spans="1:23" x14ac:dyDescent="0.35">
      <c r="A1425" t="s">
        <v>1368</v>
      </c>
      <c r="B1425" s="2">
        <v>45869</v>
      </c>
      <c r="D1425" t="s">
        <v>23</v>
      </c>
      <c r="E1425">
        <v>21</v>
      </c>
      <c r="F1425" t="s">
        <v>36</v>
      </c>
      <c r="G1425" t="s">
        <v>25</v>
      </c>
      <c r="H1425" t="s">
        <v>58</v>
      </c>
      <c r="I1425" t="s">
        <v>45</v>
      </c>
      <c r="J1425" t="s">
        <v>46</v>
      </c>
      <c r="K1425">
        <v>1</v>
      </c>
      <c r="L1425" t="s">
        <v>34</v>
      </c>
      <c r="M1425">
        <v>44000</v>
      </c>
      <c r="N1425">
        <v>19</v>
      </c>
      <c r="O1425">
        <v>5.6</v>
      </c>
      <c r="P1425">
        <v>0.4</v>
      </c>
      <c r="Q1425">
        <v>0</v>
      </c>
      <c r="R1425">
        <v>4</v>
      </c>
      <c r="S1425">
        <v>1</v>
      </c>
      <c r="T1425">
        <v>3</v>
      </c>
      <c r="U1425" t="s">
        <v>23</v>
      </c>
      <c r="V1425">
        <v>3</v>
      </c>
      <c r="W1425">
        <f>COUNTIF($A$2:A1425,A1425)</f>
        <v>1</v>
      </c>
    </row>
    <row r="1426" spans="1:23" x14ac:dyDescent="0.35">
      <c r="A1426" t="s">
        <v>987</v>
      </c>
      <c r="B1426" s="2">
        <v>44671</v>
      </c>
      <c r="D1426" t="s">
        <v>23</v>
      </c>
      <c r="E1426">
        <v>29</v>
      </c>
      <c r="F1426" t="s">
        <v>36</v>
      </c>
      <c r="G1426" t="s">
        <v>25</v>
      </c>
      <c r="H1426" t="s">
        <v>54</v>
      </c>
      <c r="I1426" t="s">
        <v>45</v>
      </c>
      <c r="J1426" t="s">
        <v>77</v>
      </c>
      <c r="K1426">
        <v>2</v>
      </c>
      <c r="L1426" t="s">
        <v>50</v>
      </c>
      <c r="M1426">
        <v>75000</v>
      </c>
      <c r="N1426">
        <v>3.7</v>
      </c>
      <c r="O1426">
        <v>3.8</v>
      </c>
      <c r="P1426">
        <v>3.7</v>
      </c>
      <c r="Q1426">
        <v>3</v>
      </c>
      <c r="R1426">
        <v>3</v>
      </c>
      <c r="S1426">
        <v>3</v>
      </c>
      <c r="T1426">
        <v>2</v>
      </c>
      <c r="U1426" t="s">
        <v>30</v>
      </c>
      <c r="V1426">
        <v>4</v>
      </c>
      <c r="W1426">
        <f>COUNTIF($A$2:A1426,A1426)</f>
        <v>1</v>
      </c>
    </row>
    <row r="1427" spans="1:23" x14ac:dyDescent="0.35">
      <c r="A1427" t="s">
        <v>960</v>
      </c>
      <c r="B1427" s="2">
        <v>43199</v>
      </c>
      <c r="D1427" t="s">
        <v>23</v>
      </c>
      <c r="E1427">
        <v>34</v>
      </c>
      <c r="F1427" t="s">
        <v>36</v>
      </c>
      <c r="G1427" t="s">
        <v>37</v>
      </c>
      <c r="H1427" t="s">
        <v>54</v>
      </c>
      <c r="I1427" t="s">
        <v>68</v>
      </c>
      <c r="J1427" t="s">
        <v>121</v>
      </c>
      <c r="K1427">
        <v>4</v>
      </c>
      <c r="L1427" t="s">
        <v>29</v>
      </c>
      <c r="M1427">
        <v>123000</v>
      </c>
      <c r="N1427">
        <v>10.4</v>
      </c>
      <c r="O1427">
        <v>15.4</v>
      </c>
      <c r="P1427">
        <v>7.7</v>
      </c>
      <c r="Q1427">
        <v>3.1</v>
      </c>
      <c r="R1427">
        <v>3</v>
      </c>
      <c r="S1427">
        <v>3</v>
      </c>
      <c r="T1427">
        <v>3</v>
      </c>
      <c r="U1427" t="s">
        <v>23</v>
      </c>
      <c r="V1427">
        <v>3</v>
      </c>
      <c r="W1427">
        <f>COUNTIF($A$2:A1427,A1427)</f>
        <v>1</v>
      </c>
    </row>
    <row r="1428" spans="1:23" x14ac:dyDescent="0.35">
      <c r="A1428" t="s">
        <v>862</v>
      </c>
      <c r="B1428" s="2">
        <v>44084</v>
      </c>
      <c r="D1428" t="s">
        <v>23</v>
      </c>
      <c r="E1428">
        <v>26</v>
      </c>
      <c r="F1428" t="s">
        <v>24</v>
      </c>
      <c r="G1428" t="s">
        <v>42</v>
      </c>
      <c r="H1428" t="s">
        <v>58</v>
      </c>
      <c r="I1428" t="s">
        <v>59</v>
      </c>
      <c r="J1428" t="s">
        <v>150</v>
      </c>
      <c r="K1428">
        <v>1</v>
      </c>
      <c r="L1428" t="s">
        <v>29</v>
      </c>
      <c r="M1428">
        <v>30000</v>
      </c>
      <c r="N1428">
        <v>5</v>
      </c>
      <c r="O1428">
        <v>10.7</v>
      </c>
      <c r="P1428">
        <v>5.3</v>
      </c>
      <c r="Q1428">
        <v>2.1</v>
      </c>
      <c r="R1428">
        <v>3</v>
      </c>
      <c r="S1428">
        <v>2</v>
      </c>
      <c r="T1428">
        <v>3</v>
      </c>
      <c r="U1428" t="s">
        <v>30</v>
      </c>
      <c r="V1428">
        <v>4</v>
      </c>
      <c r="W1428">
        <f>COUNTIF($A$2:A1428,A1428)</f>
        <v>1</v>
      </c>
    </row>
    <row r="1429" spans="1:23" x14ac:dyDescent="0.35">
      <c r="A1429" t="s">
        <v>172</v>
      </c>
      <c r="B1429" s="2">
        <v>43541</v>
      </c>
      <c r="D1429" t="s">
        <v>23</v>
      </c>
      <c r="E1429">
        <v>29</v>
      </c>
      <c r="F1429" t="s">
        <v>36</v>
      </c>
      <c r="G1429" t="s">
        <v>42</v>
      </c>
      <c r="H1429" t="s">
        <v>26</v>
      </c>
      <c r="I1429" t="s">
        <v>38</v>
      </c>
      <c r="J1429" t="s">
        <v>39</v>
      </c>
      <c r="K1429">
        <v>4</v>
      </c>
      <c r="L1429" t="s">
        <v>29</v>
      </c>
      <c r="M1429">
        <v>111000</v>
      </c>
      <c r="N1429">
        <v>14</v>
      </c>
      <c r="O1429">
        <v>10.6</v>
      </c>
      <c r="P1429">
        <v>6.8</v>
      </c>
      <c r="Q1429">
        <v>4.2</v>
      </c>
      <c r="R1429">
        <v>4</v>
      </c>
      <c r="S1429">
        <v>3</v>
      </c>
      <c r="T1429">
        <v>2</v>
      </c>
      <c r="U1429" t="s">
        <v>23</v>
      </c>
      <c r="V1429">
        <v>4</v>
      </c>
      <c r="W1429">
        <f>COUNTIF($A$2:A1429,A1429)</f>
        <v>1</v>
      </c>
    </row>
    <row r="1430" spans="1:23" x14ac:dyDescent="0.35">
      <c r="A1430" t="s">
        <v>386</v>
      </c>
      <c r="B1430" s="2">
        <v>45885</v>
      </c>
      <c r="D1430" t="s">
        <v>23</v>
      </c>
      <c r="E1430">
        <v>24</v>
      </c>
      <c r="F1430" t="s">
        <v>36</v>
      </c>
      <c r="G1430" t="s">
        <v>25</v>
      </c>
      <c r="H1430" t="s">
        <v>32</v>
      </c>
      <c r="I1430" t="s">
        <v>48</v>
      </c>
      <c r="J1430" t="s">
        <v>201</v>
      </c>
      <c r="K1430">
        <v>1</v>
      </c>
      <c r="L1430" t="s">
        <v>40</v>
      </c>
      <c r="M1430">
        <v>33000</v>
      </c>
      <c r="N1430">
        <v>9.3000000000000007</v>
      </c>
      <c r="O1430">
        <v>3.8</v>
      </c>
      <c r="P1430">
        <v>0.4</v>
      </c>
      <c r="Q1430">
        <v>0</v>
      </c>
      <c r="R1430">
        <v>3</v>
      </c>
      <c r="S1430">
        <v>1</v>
      </c>
      <c r="T1430">
        <v>3</v>
      </c>
      <c r="U1430" t="s">
        <v>23</v>
      </c>
      <c r="V1430">
        <v>3</v>
      </c>
      <c r="W1430">
        <f>COUNTIF($A$2:A1430,A1430)</f>
        <v>1</v>
      </c>
    </row>
    <row r="1431" spans="1:23" x14ac:dyDescent="0.35">
      <c r="A1431" t="s">
        <v>1263</v>
      </c>
      <c r="B1431" s="2">
        <v>44032</v>
      </c>
      <c r="D1431" t="s">
        <v>23</v>
      </c>
      <c r="E1431">
        <v>35</v>
      </c>
      <c r="F1431" t="s">
        <v>36</v>
      </c>
      <c r="G1431" t="s">
        <v>42</v>
      </c>
      <c r="H1431" t="s">
        <v>54</v>
      </c>
      <c r="I1431" t="s">
        <v>38</v>
      </c>
      <c r="J1431" t="s">
        <v>52</v>
      </c>
      <c r="K1431">
        <v>3</v>
      </c>
      <c r="L1431" t="s">
        <v>66</v>
      </c>
      <c r="M1431">
        <v>77000</v>
      </c>
      <c r="N1431">
        <v>15.8</v>
      </c>
      <c r="O1431">
        <v>11.8</v>
      </c>
      <c r="P1431">
        <v>5.4</v>
      </c>
      <c r="Q1431">
        <v>4.9000000000000004</v>
      </c>
      <c r="R1431">
        <v>4</v>
      </c>
      <c r="S1431">
        <v>3</v>
      </c>
      <c r="T1431">
        <v>2</v>
      </c>
      <c r="U1431" t="s">
        <v>30</v>
      </c>
      <c r="V1431">
        <v>4</v>
      </c>
      <c r="W1431">
        <f>COUNTIF($A$2:A1431,A1431)</f>
        <v>1</v>
      </c>
    </row>
    <row r="1432" spans="1:23" x14ac:dyDescent="0.35">
      <c r="A1432" t="s">
        <v>582</v>
      </c>
      <c r="B1432" s="2">
        <v>43736</v>
      </c>
      <c r="D1432" t="s">
        <v>23</v>
      </c>
      <c r="E1432">
        <v>30</v>
      </c>
      <c r="F1432" t="s">
        <v>24</v>
      </c>
      <c r="G1432" t="s">
        <v>42</v>
      </c>
      <c r="H1432" t="s">
        <v>54</v>
      </c>
      <c r="I1432" t="s">
        <v>45</v>
      </c>
      <c r="J1432" t="s">
        <v>77</v>
      </c>
      <c r="K1432">
        <v>3</v>
      </c>
      <c r="L1432" t="s">
        <v>40</v>
      </c>
      <c r="M1432">
        <v>65000</v>
      </c>
      <c r="N1432">
        <v>8.6</v>
      </c>
      <c r="O1432">
        <v>9.6999999999999993</v>
      </c>
      <c r="P1432">
        <v>6.3</v>
      </c>
      <c r="Q1432">
        <v>1.3</v>
      </c>
      <c r="R1432">
        <v>3</v>
      </c>
      <c r="S1432">
        <v>4</v>
      </c>
      <c r="T1432">
        <v>3</v>
      </c>
      <c r="U1432" t="s">
        <v>23</v>
      </c>
      <c r="V1432">
        <v>4</v>
      </c>
      <c r="W1432">
        <f>COUNTIF($A$2:A1432,A1432)</f>
        <v>1</v>
      </c>
    </row>
    <row r="1433" spans="1:23" x14ac:dyDescent="0.35">
      <c r="A1433" t="s">
        <v>1346</v>
      </c>
      <c r="B1433" s="2">
        <v>43008</v>
      </c>
      <c r="D1433" t="s">
        <v>23</v>
      </c>
      <c r="E1433">
        <v>33</v>
      </c>
      <c r="F1433" t="s">
        <v>62</v>
      </c>
      <c r="G1433" t="s">
        <v>42</v>
      </c>
      <c r="H1433" t="s">
        <v>26</v>
      </c>
      <c r="I1433" t="s">
        <v>27</v>
      </c>
      <c r="J1433" t="s">
        <v>33</v>
      </c>
      <c r="K1433">
        <v>2</v>
      </c>
      <c r="L1433" t="s">
        <v>29</v>
      </c>
      <c r="M1433">
        <v>49000</v>
      </c>
      <c r="N1433">
        <v>9.1999999999999993</v>
      </c>
      <c r="O1433">
        <v>15</v>
      </c>
      <c r="P1433">
        <v>8.3000000000000007</v>
      </c>
      <c r="Q1433">
        <v>4.5</v>
      </c>
      <c r="R1433">
        <v>3</v>
      </c>
      <c r="S1433">
        <v>4</v>
      </c>
      <c r="T1433">
        <v>1</v>
      </c>
      <c r="U1433" t="s">
        <v>30</v>
      </c>
      <c r="V1433">
        <v>4</v>
      </c>
      <c r="W1433">
        <f>COUNTIF($A$2:A1433,A1433)</f>
        <v>1</v>
      </c>
    </row>
    <row r="1434" spans="1:23" x14ac:dyDescent="0.35">
      <c r="A1434" t="s">
        <v>247</v>
      </c>
      <c r="B1434" s="2">
        <v>45370</v>
      </c>
      <c r="D1434" t="s">
        <v>23</v>
      </c>
      <c r="E1434">
        <v>31</v>
      </c>
      <c r="F1434" t="s">
        <v>62</v>
      </c>
      <c r="G1434" t="s">
        <v>25</v>
      </c>
      <c r="H1434" t="s">
        <v>54</v>
      </c>
      <c r="I1434" t="s">
        <v>45</v>
      </c>
      <c r="J1434" t="s">
        <v>77</v>
      </c>
      <c r="K1434">
        <v>3</v>
      </c>
      <c r="L1434" t="s">
        <v>50</v>
      </c>
      <c r="M1434">
        <v>53000</v>
      </c>
      <c r="N1434">
        <v>12.9</v>
      </c>
      <c r="O1434">
        <v>8.6</v>
      </c>
      <c r="P1434">
        <v>1.8</v>
      </c>
      <c r="Q1434">
        <v>0.8</v>
      </c>
      <c r="R1434">
        <v>3</v>
      </c>
      <c r="S1434">
        <v>3</v>
      </c>
      <c r="T1434">
        <v>2</v>
      </c>
      <c r="U1434" t="s">
        <v>30</v>
      </c>
      <c r="V1434">
        <v>4</v>
      </c>
      <c r="W1434">
        <f>COUNTIF($A$2:A1434,A1434)</f>
        <v>1</v>
      </c>
    </row>
    <row r="1435" spans="1:23" x14ac:dyDescent="0.35">
      <c r="A1435" t="s">
        <v>1011</v>
      </c>
      <c r="B1435" s="2">
        <v>43553</v>
      </c>
      <c r="D1435" t="s">
        <v>23</v>
      </c>
      <c r="E1435">
        <v>28</v>
      </c>
      <c r="F1435" t="s">
        <v>62</v>
      </c>
      <c r="G1435" t="s">
        <v>25</v>
      </c>
      <c r="H1435" t="s">
        <v>32</v>
      </c>
      <c r="I1435" t="s">
        <v>48</v>
      </c>
      <c r="J1435" t="s">
        <v>201</v>
      </c>
      <c r="K1435">
        <v>2</v>
      </c>
      <c r="L1435" t="s">
        <v>66</v>
      </c>
      <c r="M1435">
        <v>72000</v>
      </c>
      <c r="N1435">
        <v>9.3000000000000007</v>
      </c>
      <c r="O1435">
        <v>14.2</v>
      </c>
      <c r="P1435">
        <v>6.8</v>
      </c>
      <c r="Q1435">
        <v>4.0999999999999996</v>
      </c>
      <c r="R1435">
        <v>3</v>
      </c>
      <c r="S1435">
        <v>4</v>
      </c>
      <c r="T1435">
        <v>3</v>
      </c>
      <c r="U1435" t="s">
        <v>23</v>
      </c>
      <c r="V1435">
        <v>5</v>
      </c>
      <c r="W1435">
        <f>COUNTIF($A$2:A1435,A1435)</f>
        <v>1</v>
      </c>
    </row>
    <row r="1436" spans="1:23" x14ac:dyDescent="0.35">
      <c r="A1436" t="s">
        <v>1193</v>
      </c>
      <c r="B1436" s="2">
        <v>43491</v>
      </c>
      <c r="C1436" s="2">
        <v>45736</v>
      </c>
      <c r="D1436" t="s">
        <v>30</v>
      </c>
      <c r="E1436">
        <v>39</v>
      </c>
      <c r="F1436" t="s">
        <v>36</v>
      </c>
      <c r="G1436" t="s">
        <v>37</v>
      </c>
      <c r="H1436" t="s">
        <v>54</v>
      </c>
      <c r="I1436" t="s">
        <v>59</v>
      </c>
      <c r="J1436" t="s">
        <v>75</v>
      </c>
      <c r="K1436">
        <v>3</v>
      </c>
      <c r="L1436" t="s">
        <v>29</v>
      </c>
      <c r="M1436">
        <v>79000</v>
      </c>
      <c r="N1436">
        <v>10.6</v>
      </c>
      <c r="O1436">
        <v>9.5</v>
      </c>
      <c r="P1436">
        <v>6.1</v>
      </c>
      <c r="Q1436">
        <v>1.9</v>
      </c>
      <c r="R1436">
        <v>2</v>
      </c>
      <c r="S1436">
        <v>4</v>
      </c>
      <c r="T1436">
        <v>2</v>
      </c>
      <c r="U1436" t="s">
        <v>23</v>
      </c>
      <c r="V1436">
        <v>4</v>
      </c>
      <c r="W1436">
        <f>COUNTIF($A$2:A1436,A1436)</f>
        <v>1</v>
      </c>
    </row>
    <row r="1437" spans="1:23" x14ac:dyDescent="0.35">
      <c r="A1437" t="s">
        <v>1480</v>
      </c>
      <c r="B1437" s="2">
        <v>44597</v>
      </c>
      <c r="D1437" t="s">
        <v>23</v>
      </c>
      <c r="E1437">
        <v>36</v>
      </c>
      <c r="F1437" t="s">
        <v>24</v>
      </c>
      <c r="G1437" t="s">
        <v>25</v>
      </c>
      <c r="H1437" t="s">
        <v>32</v>
      </c>
      <c r="I1437" t="s">
        <v>38</v>
      </c>
      <c r="J1437" t="s">
        <v>52</v>
      </c>
      <c r="K1437">
        <v>4</v>
      </c>
      <c r="L1437" t="s">
        <v>84</v>
      </c>
      <c r="M1437">
        <v>122000</v>
      </c>
      <c r="N1437">
        <v>11.2</v>
      </c>
      <c r="O1437">
        <v>4.0999999999999996</v>
      </c>
      <c r="P1437">
        <v>3.9</v>
      </c>
      <c r="Q1437">
        <v>2.8</v>
      </c>
      <c r="R1437">
        <v>3</v>
      </c>
      <c r="S1437">
        <v>3</v>
      </c>
      <c r="T1437">
        <v>3</v>
      </c>
      <c r="U1437" t="s">
        <v>30</v>
      </c>
      <c r="V1437">
        <v>4</v>
      </c>
      <c r="W1437">
        <f>COUNTIF($A$2:A1437,A1437)</f>
        <v>1</v>
      </c>
    </row>
    <row r="1438" spans="1:23" x14ac:dyDescent="0.35">
      <c r="A1438" t="s">
        <v>506</v>
      </c>
      <c r="B1438" s="2">
        <v>44642</v>
      </c>
      <c r="D1438" t="s">
        <v>23</v>
      </c>
      <c r="E1438">
        <v>30</v>
      </c>
      <c r="F1438" t="s">
        <v>24</v>
      </c>
      <c r="G1438" t="s">
        <v>37</v>
      </c>
      <c r="H1438" t="s">
        <v>58</v>
      </c>
      <c r="I1438" t="s">
        <v>68</v>
      </c>
      <c r="J1438" t="s">
        <v>102</v>
      </c>
      <c r="K1438">
        <v>2</v>
      </c>
      <c r="L1438" t="s">
        <v>84</v>
      </c>
      <c r="M1438">
        <v>68000</v>
      </c>
      <c r="N1438">
        <v>5.9</v>
      </c>
      <c r="O1438">
        <v>11.7</v>
      </c>
      <c r="P1438">
        <v>3.8</v>
      </c>
      <c r="Q1438">
        <v>2.2999999999999998</v>
      </c>
      <c r="R1438">
        <v>4</v>
      </c>
      <c r="S1438">
        <v>1</v>
      </c>
      <c r="T1438">
        <v>3</v>
      </c>
      <c r="U1438" t="s">
        <v>23</v>
      </c>
      <c r="V1438">
        <v>4</v>
      </c>
      <c r="W1438">
        <f>COUNTIF($A$2:A1438,A1438)</f>
        <v>1</v>
      </c>
    </row>
    <row r="1439" spans="1:23" x14ac:dyDescent="0.35">
      <c r="A1439" t="s">
        <v>769</v>
      </c>
      <c r="B1439" s="2">
        <v>44951</v>
      </c>
      <c r="D1439" t="s">
        <v>23</v>
      </c>
      <c r="E1439">
        <v>30</v>
      </c>
      <c r="F1439" t="s">
        <v>62</v>
      </c>
      <c r="G1439" t="s">
        <v>25</v>
      </c>
      <c r="H1439" t="s">
        <v>26</v>
      </c>
      <c r="I1439" t="s">
        <v>27</v>
      </c>
      <c r="J1439" t="s">
        <v>95</v>
      </c>
      <c r="K1439">
        <v>5</v>
      </c>
      <c r="L1439" t="s">
        <v>34</v>
      </c>
      <c r="M1439">
        <v>136000</v>
      </c>
      <c r="N1439">
        <v>0.2</v>
      </c>
      <c r="O1439">
        <v>8.1999999999999993</v>
      </c>
      <c r="P1439">
        <v>2.9</v>
      </c>
      <c r="Q1439">
        <v>0.7</v>
      </c>
      <c r="R1439">
        <v>3</v>
      </c>
      <c r="S1439">
        <v>1</v>
      </c>
      <c r="T1439">
        <v>2</v>
      </c>
      <c r="U1439" t="s">
        <v>23</v>
      </c>
      <c r="V1439">
        <v>5</v>
      </c>
      <c r="W1439">
        <f>COUNTIF($A$2:A1439,A1439)</f>
        <v>1</v>
      </c>
    </row>
    <row r="1440" spans="1:23" x14ac:dyDescent="0.35">
      <c r="A1440" t="s">
        <v>188</v>
      </c>
      <c r="B1440" s="2">
        <v>43768</v>
      </c>
      <c r="D1440" t="s">
        <v>23</v>
      </c>
      <c r="E1440">
        <v>34</v>
      </c>
      <c r="F1440" t="s">
        <v>62</v>
      </c>
      <c r="G1440" t="s">
        <v>37</v>
      </c>
      <c r="H1440" t="s">
        <v>26</v>
      </c>
      <c r="I1440" t="s">
        <v>45</v>
      </c>
      <c r="J1440" t="s">
        <v>164</v>
      </c>
      <c r="K1440">
        <v>2</v>
      </c>
      <c r="L1440" t="s">
        <v>34</v>
      </c>
      <c r="M1440">
        <v>49000</v>
      </c>
      <c r="N1440">
        <v>8.4</v>
      </c>
      <c r="O1440">
        <v>11.3</v>
      </c>
      <c r="P1440">
        <v>6.2</v>
      </c>
      <c r="Q1440">
        <v>4</v>
      </c>
      <c r="R1440">
        <v>3</v>
      </c>
      <c r="S1440">
        <v>3</v>
      </c>
      <c r="T1440">
        <v>3</v>
      </c>
      <c r="U1440" t="s">
        <v>23</v>
      </c>
      <c r="V1440">
        <v>4</v>
      </c>
      <c r="W1440">
        <f>COUNTIF($A$2:A1440,A1440)</f>
        <v>1</v>
      </c>
    </row>
    <row r="1441" spans="1:23" x14ac:dyDescent="0.35">
      <c r="A1441" t="s">
        <v>1231</v>
      </c>
      <c r="B1441" s="2">
        <v>43430</v>
      </c>
      <c r="D1441" t="s">
        <v>23</v>
      </c>
      <c r="E1441">
        <v>40</v>
      </c>
      <c r="F1441" t="s">
        <v>36</v>
      </c>
      <c r="G1441" t="s">
        <v>37</v>
      </c>
      <c r="H1441" t="s">
        <v>32</v>
      </c>
      <c r="I1441" t="s">
        <v>45</v>
      </c>
      <c r="J1441" t="s">
        <v>77</v>
      </c>
      <c r="K1441">
        <v>4</v>
      </c>
      <c r="L1441" t="s">
        <v>34</v>
      </c>
      <c r="M1441">
        <v>102000</v>
      </c>
      <c r="N1441">
        <v>6.7</v>
      </c>
      <c r="O1441">
        <v>11.2</v>
      </c>
      <c r="P1441">
        <v>7.1</v>
      </c>
      <c r="Q1441">
        <v>2</v>
      </c>
      <c r="R1441">
        <v>2</v>
      </c>
      <c r="S1441">
        <v>2</v>
      </c>
      <c r="T1441">
        <v>3</v>
      </c>
      <c r="U1441" t="s">
        <v>23</v>
      </c>
      <c r="V1441">
        <v>1</v>
      </c>
      <c r="W1441">
        <f>COUNTIF($A$2:A1441,A1441)</f>
        <v>1</v>
      </c>
    </row>
    <row r="1442" spans="1:23" x14ac:dyDescent="0.35">
      <c r="A1442" t="s">
        <v>473</v>
      </c>
      <c r="B1442" s="2">
        <v>42153</v>
      </c>
      <c r="D1442" t="s">
        <v>23</v>
      </c>
      <c r="E1442">
        <v>37</v>
      </c>
      <c r="F1442" t="s">
        <v>24</v>
      </c>
      <c r="G1442" t="s">
        <v>25</v>
      </c>
      <c r="H1442" t="s">
        <v>32</v>
      </c>
      <c r="I1442" t="s">
        <v>45</v>
      </c>
      <c r="J1442" t="s">
        <v>77</v>
      </c>
      <c r="K1442">
        <v>1</v>
      </c>
      <c r="L1442" t="s">
        <v>66</v>
      </c>
      <c r="M1442">
        <v>44000</v>
      </c>
      <c r="N1442">
        <v>6.5</v>
      </c>
      <c r="O1442">
        <v>14.7</v>
      </c>
      <c r="P1442">
        <v>10.6</v>
      </c>
      <c r="Q1442">
        <v>5.4</v>
      </c>
      <c r="R1442">
        <v>3</v>
      </c>
      <c r="S1442">
        <v>4</v>
      </c>
      <c r="T1442">
        <v>2</v>
      </c>
      <c r="U1442" t="s">
        <v>30</v>
      </c>
      <c r="V1442">
        <v>2</v>
      </c>
      <c r="W1442">
        <f>COUNTIF($A$2:A1442,A1442)</f>
        <v>1</v>
      </c>
    </row>
    <row r="1443" spans="1:23" x14ac:dyDescent="0.35">
      <c r="A1443" t="s">
        <v>730</v>
      </c>
      <c r="B1443" s="2">
        <v>42621</v>
      </c>
      <c r="D1443" t="s">
        <v>23</v>
      </c>
      <c r="E1443">
        <v>35</v>
      </c>
      <c r="F1443" t="s">
        <v>62</v>
      </c>
      <c r="G1443" t="s">
        <v>42</v>
      </c>
      <c r="H1443" t="s">
        <v>32</v>
      </c>
      <c r="I1443" t="s">
        <v>48</v>
      </c>
      <c r="J1443" t="s">
        <v>49</v>
      </c>
      <c r="K1443">
        <v>3</v>
      </c>
      <c r="L1443" t="s">
        <v>29</v>
      </c>
      <c r="M1443">
        <v>71000</v>
      </c>
      <c r="N1443">
        <v>9.1</v>
      </c>
      <c r="O1443">
        <v>16.899999999999999</v>
      </c>
      <c r="P1443">
        <v>9.3000000000000007</v>
      </c>
      <c r="Q1443">
        <v>4</v>
      </c>
      <c r="R1443">
        <v>4</v>
      </c>
      <c r="S1443">
        <v>1</v>
      </c>
      <c r="T1443">
        <v>2</v>
      </c>
      <c r="U1443" t="s">
        <v>23</v>
      </c>
      <c r="V1443">
        <v>3</v>
      </c>
      <c r="W1443">
        <f>COUNTIF($A$2:A1443,A1443)</f>
        <v>1</v>
      </c>
    </row>
    <row r="1444" spans="1:23" x14ac:dyDescent="0.35">
      <c r="A1444" t="s">
        <v>1230</v>
      </c>
      <c r="B1444" s="2">
        <v>45752</v>
      </c>
      <c r="C1444" s="2">
        <v>45963</v>
      </c>
      <c r="D1444" t="s">
        <v>30</v>
      </c>
      <c r="E1444">
        <v>21</v>
      </c>
      <c r="F1444" t="s">
        <v>36</v>
      </c>
      <c r="G1444" t="s">
        <v>42</v>
      </c>
      <c r="H1444" t="s">
        <v>54</v>
      </c>
      <c r="I1444" t="s">
        <v>45</v>
      </c>
      <c r="J1444" t="s">
        <v>46</v>
      </c>
      <c r="K1444">
        <v>1</v>
      </c>
      <c r="L1444" t="s">
        <v>40</v>
      </c>
      <c r="M1444">
        <v>35000</v>
      </c>
      <c r="N1444">
        <v>7.5</v>
      </c>
      <c r="O1444">
        <v>6.1</v>
      </c>
      <c r="P1444">
        <v>0.6</v>
      </c>
      <c r="Q1444">
        <v>0</v>
      </c>
      <c r="R1444">
        <v>3</v>
      </c>
      <c r="S1444">
        <v>4</v>
      </c>
      <c r="T1444">
        <v>3</v>
      </c>
      <c r="U1444" t="s">
        <v>30</v>
      </c>
      <c r="V1444">
        <v>2</v>
      </c>
      <c r="W1444">
        <f>COUNTIF($A$2:A1444,A1444)</f>
        <v>1</v>
      </c>
    </row>
    <row r="1445" spans="1:23" x14ac:dyDescent="0.35">
      <c r="A1445" t="s">
        <v>1397</v>
      </c>
      <c r="B1445" s="2">
        <v>42320</v>
      </c>
      <c r="C1445" s="2">
        <v>45747</v>
      </c>
      <c r="D1445" t="s">
        <v>30</v>
      </c>
      <c r="E1445">
        <v>33</v>
      </c>
      <c r="F1445" t="s">
        <v>24</v>
      </c>
      <c r="G1445" t="s">
        <v>42</v>
      </c>
      <c r="H1445" t="s">
        <v>54</v>
      </c>
      <c r="I1445" t="s">
        <v>38</v>
      </c>
      <c r="J1445" t="s">
        <v>118</v>
      </c>
      <c r="K1445">
        <v>3</v>
      </c>
      <c r="L1445" t="s">
        <v>29</v>
      </c>
      <c r="M1445">
        <v>78000</v>
      </c>
      <c r="N1445">
        <v>8.8000000000000007</v>
      </c>
      <c r="O1445">
        <v>17.3</v>
      </c>
      <c r="P1445">
        <v>9.4</v>
      </c>
      <c r="Q1445">
        <v>2.5</v>
      </c>
      <c r="R1445">
        <v>2</v>
      </c>
      <c r="S1445">
        <v>3</v>
      </c>
      <c r="T1445">
        <v>4</v>
      </c>
      <c r="U1445" t="s">
        <v>30</v>
      </c>
      <c r="V1445">
        <v>3</v>
      </c>
      <c r="W1445">
        <f>COUNTIF($A$2:A1445,A1445)</f>
        <v>1</v>
      </c>
    </row>
    <row r="1446" spans="1:23" x14ac:dyDescent="0.35">
      <c r="A1446" t="s">
        <v>1107</v>
      </c>
      <c r="B1446" s="2">
        <v>44486</v>
      </c>
      <c r="D1446" t="s">
        <v>23</v>
      </c>
      <c r="E1446">
        <v>43</v>
      </c>
      <c r="F1446" t="s">
        <v>62</v>
      </c>
      <c r="G1446" t="s">
        <v>37</v>
      </c>
      <c r="H1446" t="s">
        <v>58</v>
      </c>
      <c r="I1446" t="s">
        <v>45</v>
      </c>
      <c r="J1446" t="s">
        <v>97</v>
      </c>
      <c r="K1446">
        <v>3</v>
      </c>
      <c r="L1446" t="s">
        <v>40</v>
      </c>
      <c r="M1446">
        <v>60000</v>
      </c>
      <c r="N1446">
        <v>8.1999999999999993</v>
      </c>
      <c r="O1446">
        <v>4.3</v>
      </c>
      <c r="P1446">
        <v>4.2</v>
      </c>
      <c r="Q1446">
        <v>0.8</v>
      </c>
      <c r="R1446">
        <v>4</v>
      </c>
      <c r="S1446">
        <v>3</v>
      </c>
      <c r="T1446">
        <v>3</v>
      </c>
      <c r="U1446" t="s">
        <v>23</v>
      </c>
      <c r="V1446">
        <v>4</v>
      </c>
      <c r="W1446">
        <f>COUNTIF($A$2:A1446,A1446)</f>
        <v>1</v>
      </c>
    </row>
    <row r="1447" spans="1:23" x14ac:dyDescent="0.35">
      <c r="A1447" t="s">
        <v>632</v>
      </c>
      <c r="B1447" s="2">
        <v>43363</v>
      </c>
      <c r="D1447" t="s">
        <v>23</v>
      </c>
      <c r="E1447">
        <v>37</v>
      </c>
      <c r="F1447" t="s">
        <v>36</v>
      </c>
      <c r="G1447" t="s">
        <v>42</v>
      </c>
      <c r="H1447" t="s">
        <v>26</v>
      </c>
      <c r="I1447" t="s">
        <v>45</v>
      </c>
      <c r="J1447" t="s">
        <v>77</v>
      </c>
      <c r="K1447">
        <v>2</v>
      </c>
      <c r="L1447" t="s">
        <v>40</v>
      </c>
      <c r="M1447">
        <v>47000</v>
      </c>
      <c r="N1447">
        <v>6.9</v>
      </c>
      <c r="O1447">
        <v>9.1</v>
      </c>
      <c r="P1447">
        <v>7.3</v>
      </c>
      <c r="Q1447">
        <v>2.2000000000000002</v>
      </c>
      <c r="R1447">
        <v>4</v>
      </c>
      <c r="S1447">
        <v>1</v>
      </c>
      <c r="T1447">
        <v>3</v>
      </c>
      <c r="U1447" t="s">
        <v>23</v>
      </c>
      <c r="V1447">
        <v>3</v>
      </c>
      <c r="W1447">
        <f>COUNTIF($A$2:A1447,A1447)</f>
        <v>1</v>
      </c>
    </row>
    <row r="1448" spans="1:23" x14ac:dyDescent="0.35">
      <c r="A1448" t="s">
        <v>240</v>
      </c>
      <c r="B1448" s="2">
        <v>43995</v>
      </c>
      <c r="D1448" t="s">
        <v>23</v>
      </c>
      <c r="E1448">
        <v>33</v>
      </c>
      <c r="F1448" t="s">
        <v>24</v>
      </c>
      <c r="G1448" t="s">
        <v>25</v>
      </c>
      <c r="H1448" t="s">
        <v>54</v>
      </c>
      <c r="I1448" t="s">
        <v>27</v>
      </c>
      <c r="J1448" t="s">
        <v>33</v>
      </c>
      <c r="K1448">
        <v>3</v>
      </c>
      <c r="L1448" t="s">
        <v>84</v>
      </c>
      <c r="M1448">
        <v>78000</v>
      </c>
      <c r="N1448">
        <v>5.0999999999999996</v>
      </c>
      <c r="O1448">
        <v>8.1</v>
      </c>
      <c r="P1448">
        <v>5.5</v>
      </c>
      <c r="Q1448">
        <v>4.5999999999999996</v>
      </c>
      <c r="R1448">
        <v>4</v>
      </c>
      <c r="S1448">
        <v>4</v>
      </c>
      <c r="T1448">
        <v>3</v>
      </c>
      <c r="U1448" t="s">
        <v>30</v>
      </c>
      <c r="V1448">
        <v>3</v>
      </c>
      <c r="W1448">
        <f>COUNTIF($A$2:A1448,A1448)</f>
        <v>1</v>
      </c>
    </row>
    <row r="1449" spans="1:23" x14ac:dyDescent="0.35">
      <c r="A1449" t="s">
        <v>421</v>
      </c>
      <c r="B1449" s="2">
        <v>42429</v>
      </c>
      <c r="D1449" t="s">
        <v>23</v>
      </c>
      <c r="E1449">
        <v>34</v>
      </c>
      <c r="F1449" t="s">
        <v>62</v>
      </c>
      <c r="G1449" t="s">
        <v>25</v>
      </c>
      <c r="H1449" t="s">
        <v>32</v>
      </c>
      <c r="I1449" t="s">
        <v>27</v>
      </c>
      <c r="J1449" t="s">
        <v>43</v>
      </c>
      <c r="K1449">
        <v>3</v>
      </c>
      <c r="L1449" t="s">
        <v>50</v>
      </c>
      <c r="M1449">
        <v>71000</v>
      </c>
      <c r="N1449">
        <v>11.5</v>
      </c>
      <c r="O1449">
        <v>10</v>
      </c>
      <c r="P1449">
        <v>9.8000000000000007</v>
      </c>
      <c r="Q1449">
        <v>1.5</v>
      </c>
      <c r="R1449">
        <v>4</v>
      </c>
      <c r="S1449">
        <v>3</v>
      </c>
      <c r="T1449">
        <v>3</v>
      </c>
      <c r="U1449" t="s">
        <v>23</v>
      </c>
      <c r="V1449">
        <v>4</v>
      </c>
      <c r="W1449">
        <f>COUNTIF($A$2:A1449,A1449)</f>
        <v>1</v>
      </c>
    </row>
    <row r="1450" spans="1:23" x14ac:dyDescent="0.35">
      <c r="A1450" t="s">
        <v>1066</v>
      </c>
      <c r="B1450" s="2">
        <v>44850</v>
      </c>
      <c r="D1450" t="s">
        <v>23</v>
      </c>
      <c r="E1450">
        <v>34</v>
      </c>
      <c r="F1450" t="s">
        <v>36</v>
      </c>
      <c r="G1450" t="s">
        <v>25</v>
      </c>
      <c r="H1450" t="s">
        <v>54</v>
      </c>
      <c r="I1450" t="s">
        <v>68</v>
      </c>
      <c r="J1450" t="s">
        <v>121</v>
      </c>
      <c r="K1450">
        <v>5</v>
      </c>
      <c r="L1450" t="s">
        <v>84</v>
      </c>
      <c r="M1450">
        <v>139000</v>
      </c>
      <c r="N1450">
        <v>16.600000000000001</v>
      </c>
      <c r="O1450">
        <v>4.4000000000000004</v>
      </c>
      <c r="P1450">
        <v>3.2</v>
      </c>
      <c r="Q1450">
        <v>0.6</v>
      </c>
      <c r="R1450">
        <v>4</v>
      </c>
      <c r="S1450">
        <v>2</v>
      </c>
      <c r="T1450">
        <v>3</v>
      </c>
      <c r="U1450" t="s">
        <v>23</v>
      </c>
      <c r="V1450">
        <v>3</v>
      </c>
      <c r="W1450">
        <f>COUNTIF($A$2:A1450,A1450)</f>
        <v>1</v>
      </c>
    </row>
    <row r="1451" spans="1:23" x14ac:dyDescent="0.35">
      <c r="A1451" t="s">
        <v>70</v>
      </c>
      <c r="B1451" s="2">
        <v>43428</v>
      </c>
      <c r="D1451" t="s">
        <v>23</v>
      </c>
      <c r="E1451">
        <v>38</v>
      </c>
      <c r="F1451" t="s">
        <v>62</v>
      </c>
      <c r="G1451" t="s">
        <v>25</v>
      </c>
      <c r="H1451" t="s">
        <v>54</v>
      </c>
      <c r="I1451" t="s">
        <v>27</v>
      </c>
      <c r="J1451" t="s">
        <v>43</v>
      </c>
      <c r="K1451">
        <v>2</v>
      </c>
      <c r="L1451" t="s">
        <v>40</v>
      </c>
      <c r="M1451">
        <v>43000</v>
      </c>
      <c r="N1451">
        <v>10.199999999999999</v>
      </c>
      <c r="O1451">
        <v>14.2</v>
      </c>
      <c r="P1451">
        <v>7.1</v>
      </c>
      <c r="Q1451">
        <v>5.4</v>
      </c>
      <c r="R1451">
        <v>3</v>
      </c>
      <c r="S1451">
        <v>2</v>
      </c>
      <c r="T1451">
        <v>1</v>
      </c>
      <c r="U1451" t="s">
        <v>23</v>
      </c>
      <c r="V1451">
        <v>3</v>
      </c>
      <c r="W1451">
        <f>COUNTIF($A$2:A1451,A1451)</f>
        <v>1</v>
      </c>
    </row>
    <row r="1452" spans="1:23" x14ac:dyDescent="0.35">
      <c r="A1452" t="s">
        <v>132</v>
      </c>
      <c r="B1452" s="2">
        <v>45362</v>
      </c>
      <c r="D1452" t="s">
        <v>23</v>
      </c>
      <c r="E1452">
        <v>36</v>
      </c>
      <c r="F1452" t="s">
        <v>62</v>
      </c>
      <c r="G1452" t="s">
        <v>25</v>
      </c>
      <c r="H1452" t="s">
        <v>32</v>
      </c>
      <c r="I1452" t="s">
        <v>55</v>
      </c>
      <c r="J1452" t="s">
        <v>80</v>
      </c>
      <c r="K1452">
        <v>3</v>
      </c>
      <c r="L1452" t="s">
        <v>66</v>
      </c>
      <c r="M1452">
        <v>86000</v>
      </c>
      <c r="N1452">
        <v>9.1</v>
      </c>
      <c r="O1452">
        <v>9.4</v>
      </c>
      <c r="P1452">
        <v>1.8</v>
      </c>
      <c r="Q1452">
        <v>1</v>
      </c>
      <c r="R1452">
        <v>3</v>
      </c>
      <c r="S1452">
        <v>3</v>
      </c>
      <c r="T1452">
        <v>2</v>
      </c>
      <c r="U1452" t="s">
        <v>23</v>
      </c>
      <c r="V1452">
        <v>3</v>
      </c>
      <c r="W1452">
        <f>COUNTIF($A$2:A1452,A1452)</f>
        <v>1</v>
      </c>
    </row>
    <row r="1453" spans="1:23" x14ac:dyDescent="0.35">
      <c r="A1453" t="s">
        <v>927</v>
      </c>
      <c r="B1453" s="2">
        <v>45622</v>
      </c>
      <c r="D1453" t="s">
        <v>23</v>
      </c>
      <c r="E1453">
        <v>24</v>
      </c>
      <c r="F1453" t="s">
        <v>36</v>
      </c>
      <c r="G1453" t="s">
        <v>37</v>
      </c>
      <c r="H1453" t="s">
        <v>58</v>
      </c>
      <c r="I1453" t="s">
        <v>45</v>
      </c>
      <c r="J1453" t="s">
        <v>97</v>
      </c>
      <c r="K1453">
        <v>1</v>
      </c>
      <c r="L1453" t="s">
        <v>50</v>
      </c>
      <c r="M1453">
        <v>25000</v>
      </c>
      <c r="N1453">
        <v>10.8</v>
      </c>
      <c r="O1453">
        <v>4.3</v>
      </c>
      <c r="P1453">
        <v>1.1000000000000001</v>
      </c>
      <c r="Q1453">
        <v>0.6</v>
      </c>
      <c r="R1453">
        <v>4</v>
      </c>
      <c r="S1453">
        <v>3</v>
      </c>
      <c r="T1453">
        <v>3</v>
      </c>
      <c r="U1453" t="s">
        <v>23</v>
      </c>
      <c r="V1453">
        <v>3</v>
      </c>
      <c r="W1453">
        <f>COUNTIF($A$2:A1453,A1453)</f>
        <v>1</v>
      </c>
    </row>
    <row r="1454" spans="1:23" x14ac:dyDescent="0.35">
      <c r="A1454" t="s">
        <v>777</v>
      </c>
      <c r="B1454" s="2">
        <v>45704</v>
      </c>
      <c r="D1454" t="s">
        <v>23</v>
      </c>
      <c r="E1454">
        <v>32</v>
      </c>
      <c r="F1454" t="s">
        <v>62</v>
      </c>
      <c r="G1454" t="s">
        <v>37</v>
      </c>
      <c r="H1454" t="s">
        <v>32</v>
      </c>
      <c r="I1454" t="s">
        <v>55</v>
      </c>
      <c r="J1454" t="s">
        <v>88</v>
      </c>
      <c r="K1454">
        <v>3</v>
      </c>
      <c r="L1454" t="s">
        <v>40</v>
      </c>
      <c r="M1454">
        <v>95000</v>
      </c>
      <c r="N1454">
        <v>8.6</v>
      </c>
      <c r="O1454">
        <v>7.4</v>
      </c>
      <c r="P1454">
        <v>0.9</v>
      </c>
      <c r="Q1454">
        <v>0</v>
      </c>
      <c r="R1454">
        <v>4</v>
      </c>
      <c r="S1454">
        <v>2</v>
      </c>
      <c r="T1454">
        <v>3</v>
      </c>
      <c r="U1454" t="s">
        <v>23</v>
      </c>
      <c r="V1454">
        <v>3</v>
      </c>
      <c r="W1454">
        <f>COUNTIF($A$2:A1454,A1454)</f>
        <v>1</v>
      </c>
    </row>
    <row r="1455" spans="1:23" x14ac:dyDescent="0.35">
      <c r="A1455" t="s">
        <v>1510</v>
      </c>
      <c r="B1455" s="2">
        <v>45905</v>
      </c>
      <c r="C1455" s="2">
        <v>46007</v>
      </c>
      <c r="D1455" t="s">
        <v>30</v>
      </c>
      <c r="E1455">
        <v>21</v>
      </c>
      <c r="F1455" t="s">
        <v>24</v>
      </c>
      <c r="G1455" t="s">
        <v>42</v>
      </c>
      <c r="H1455" t="s">
        <v>32</v>
      </c>
      <c r="I1455" t="s">
        <v>48</v>
      </c>
      <c r="J1455" t="s">
        <v>63</v>
      </c>
      <c r="K1455">
        <v>1</v>
      </c>
      <c r="L1455" t="s">
        <v>50</v>
      </c>
      <c r="M1455">
        <v>36000</v>
      </c>
      <c r="N1455">
        <v>2.5</v>
      </c>
      <c r="O1455">
        <v>5.9</v>
      </c>
      <c r="P1455">
        <v>0.3</v>
      </c>
      <c r="Q1455">
        <v>0</v>
      </c>
      <c r="R1455">
        <v>3</v>
      </c>
      <c r="S1455">
        <v>2</v>
      </c>
      <c r="T1455">
        <v>3</v>
      </c>
      <c r="U1455" t="s">
        <v>23</v>
      </c>
      <c r="V1455">
        <v>4</v>
      </c>
      <c r="W1455">
        <f>COUNTIF($A$2:A1455,A1455)</f>
        <v>1</v>
      </c>
    </row>
    <row r="1456" spans="1:23" x14ac:dyDescent="0.35">
      <c r="A1456" t="s">
        <v>1572</v>
      </c>
      <c r="B1456" s="2">
        <v>43503</v>
      </c>
      <c r="D1456" t="s">
        <v>23</v>
      </c>
      <c r="E1456">
        <v>35</v>
      </c>
      <c r="F1456" t="s">
        <v>24</v>
      </c>
      <c r="G1456" t="s">
        <v>37</v>
      </c>
      <c r="H1456" t="s">
        <v>54</v>
      </c>
      <c r="I1456" t="s">
        <v>59</v>
      </c>
      <c r="J1456" t="s">
        <v>150</v>
      </c>
      <c r="K1456">
        <v>3</v>
      </c>
      <c r="L1456" t="s">
        <v>29</v>
      </c>
      <c r="M1456">
        <v>76000</v>
      </c>
      <c r="N1456">
        <v>7.9</v>
      </c>
      <c r="O1456">
        <v>13.4</v>
      </c>
      <c r="P1456">
        <v>6.9</v>
      </c>
      <c r="Q1456">
        <v>3</v>
      </c>
      <c r="R1456">
        <v>2</v>
      </c>
      <c r="S1456">
        <v>2</v>
      </c>
      <c r="T1456">
        <v>3</v>
      </c>
      <c r="U1456" t="s">
        <v>30</v>
      </c>
      <c r="V1456">
        <v>4</v>
      </c>
      <c r="W1456">
        <f>COUNTIF($A$2:A1456,A1456)</f>
        <v>1</v>
      </c>
    </row>
    <row r="1457" spans="1:23" x14ac:dyDescent="0.35">
      <c r="A1457" t="s">
        <v>325</v>
      </c>
      <c r="B1457" s="2">
        <v>42741</v>
      </c>
      <c r="D1457" t="s">
        <v>23</v>
      </c>
      <c r="E1457">
        <v>55</v>
      </c>
      <c r="F1457" t="s">
        <v>24</v>
      </c>
      <c r="G1457" t="s">
        <v>42</v>
      </c>
      <c r="H1457" t="s">
        <v>32</v>
      </c>
      <c r="I1457" t="s">
        <v>68</v>
      </c>
      <c r="J1457" t="s">
        <v>121</v>
      </c>
      <c r="K1457">
        <v>2</v>
      </c>
      <c r="L1457" t="s">
        <v>50</v>
      </c>
      <c r="M1457">
        <v>50000</v>
      </c>
      <c r="N1457">
        <v>11</v>
      </c>
      <c r="O1457">
        <v>9.1</v>
      </c>
      <c r="P1457">
        <v>9</v>
      </c>
      <c r="Q1457">
        <v>3.7</v>
      </c>
      <c r="R1457">
        <v>3</v>
      </c>
      <c r="S1457">
        <v>3</v>
      </c>
      <c r="T1457">
        <v>2</v>
      </c>
      <c r="U1457" t="s">
        <v>23</v>
      </c>
      <c r="V1457">
        <v>3</v>
      </c>
      <c r="W1457">
        <f>COUNTIF($A$2:A1457,A1457)</f>
        <v>1</v>
      </c>
    </row>
    <row r="1458" spans="1:23" x14ac:dyDescent="0.35">
      <c r="A1458" t="s">
        <v>237</v>
      </c>
      <c r="B1458" s="2">
        <v>44083</v>
      </c>
      <c r="D1458" t="s">
        <v>23</v>
      </c>
      <c r="E1458">
        <v>35</v>
      </c>
      <c r="F1458" t="s">
        <v>62</v>
      </c>
      <c r="G1458" t="s">
        <v>37</v>
      </c>
      <c r="H1458" t="s">
        <v>58</v>
      </c>
      <c r="I1458" t="s">
        <v>27</v>
      </c>
      <c r="J1458" t="s">
        <v>33</v>
      </c>
      <c r="K1458">
        <v>5</v>
      </c>
      <c r="L1458" t="s">
        <v>34</v>
      </c>
      <c r="M1458">
        <v>145000</v>
      </c>
      <c r="N1458">
        <v>7.4</v>
      </c>
      <c r="O1458">
        <v>9.8000000000000007</v>
      </c>
      <c r="P1458">
        <v>5.3</v>
      </c>
      <c r="Q1458">
        <v>3.3</v>
      </c>
      <c r="R1458">
        <v>2</v>
      </c>
      <c r="S1458">
        <v>2</v>
      </c>
      <c r="T1458">
        <v>4</v>
      </c>
      <c r="U1458" t="s">
        <v>23</v>
      </c>
      <c r="V1458">
        <v>5</v>
      </c>
      <c r="W1458">
        <f>COUNTIF($A$2:A1458,A1458)</f>
        <v>1</v>
      </c>
    </row>
    <row r="1459" spans="1:23" x14ac:dyDescent="0.35">
      <c r="A1459" t="s">
        <v>969</v>
      </c>
      <c r="B1459" s="2">
        <v>45549</v>
      </c>
      <c r="D1459" t="s">
        <v>23</v>
      </c>
      <c r="E1459">
        <v>41</v>
      </c>
      <c r="F1459" t="s">
        <v>36</v>
      </c>
      <c r="G1459" t="s">
        <v>37</v>
      </c>
      <c r="H1459" t="s">
        <v>58</v>
      </c>
      <c r="I1459" t="s">
        <v>27</v>
      </c>
      <c r="J1459" t="s">
        <v>95</v>
      </c>
      <c r="K1459">
        <v>4</v>
      </c>
      <c r="L1459" t="s">
        <v>50</v>
      </c>
      <c r="M1459">
        <v>107000</v>
      </c>
      <c r="N1459">
        <v>0</v>
      </c>
      <c r="O1459">
        <v>4.9000000000000004</v>
      </c>
      <c r="P1459">
        <v>1.3</v>
      </c>
      <c r="Q1459">
        <v>0.5</v>
      </c>
      <c r="R1459">
        <v>2</v>
      </c>
      <c r="S1459">
        <v>2</v>
      </c>
      <c r="T1459">
        <v>3</v>
      </c>
      <c r="U1459" t="s">
        <v>23</v>
      </c>
      <c r="V1459">
        <v>4</v>
      </c>
      <c r="W1459">
        <f>COUNTIF($A$2:A1459,A1459)</f>
        <v>1</v>
      </c>
    </row>
    <row r="1460" spans="1:23" x14ac:dyDescent="0.35">
      <c r="A1460" t="s">
        <v>1545</v>
      </c>
      <c r="B1460" s="2">
        <v>44599</v>
      </c>
      <c r="D1460" t="s">
        <v>23</v>
      </c>
      <c r="E1460">
        <v>52</v>
      </c>
      <c r="F1460" t="s">
        <v>24</v>
      </c>
      <c r="G1460" t="s">
        <v>37</v>
      </c>
      <c r="H1460" t="s">
        <v>26</v>
      </c>
      <c r="I1460" t="s">
        <v>68</v>
      </c>
      <c r="J1460" t="s">
        <v>109</v>
      </c>
      <c r="K1460">
        <v>3</v>
      </c>
      <c r="L1460" t="s">
        <v>34</v>
      </c>
      <c r="M1460">
        <v>75000</v>
      </c>
      <c r="N1460">
        <v>13.4</v>
      </c>
      <c r="O1460">
        <v>11.6</v>
      </c>
      <c r="P1460">
        <v>3.9</v>
      </c>
      <c r="Q1460">
        <v>2.6</v>
      </c>
      <c r="R1460">
        <v>3</v>
      </c>
      <c r="S1460">
        <v>3</v>
      </c>
      <c r="T1460">
        <v>3</v>
      </c>
      <c r="U1460" t="s">
        <v>30</v>
      </c>
      <c r="V1460">
        <v>4</v>
      </c>
      <c r="W1460">
        <f>COUNTIF($A$2:A1460,A1460)</f>
        <v>1</v>
      </c>
    </row>
    <row r="1461" spans="1:23" x14ac:dyDescent="0.35">
      <c r="A1461" t="s">
        <v>1272</v>
      </c>
      <c r="B1461" s="2">
        <v>45188</v>
      </c>
      <c r="C1461" s="2">
        <v>45872</v>
      </c>
      <c r="D1461" t="s">
        <v>30</v>
      </c>
      <c r="E1461">
        <v>35</v>
      </c>
      <c r="F1461" t="s">
        <v>36</v>
      </c>
      <c r="G1461" t="s">
        <v>25</v>
      </c>
      <c r="H1461" t="s">
        <v>26</v>
      </c>
      <c r="I1461" t="s">
        <v>48</v>
      </c>
      <c r="J1461" t="s">
        <v>201</v>
      </c>
      <c r="K1461">
        <v>2</v>
      </c>
      <c r="L1461" t="s">
        <v>66</v>
      </c>
      <c r="M1461">
        <v>47000</v>
      </c>
      <c r="N1461">
        <v>0</v>
      </c>
      <c r="O1461">
        <v>2.6</v>
      </c>
      <c r="P1461">
        <v>1.9</v>
      </c>
      <c r="Q1461">
        <v>1.1000000000000001</v>
      </c>
      <c r="R1461">
        <v>4</v>
      </c>
      <c r="S1461">
        <v>3</v>
      </c>
      <c r="T1461">
        <v>4</v>
      </c>
      <c r="U1461" t="s">
        <v>23</v>
      </c>
      <c r="V1461">
        <v>2</v>
      </c>
      <c r="W1461">
        <f>COUNTIF($A$2:A1461,A1461)</f>
        <v>1</v>
      </c>
    </row>
    <row r="1462" spans="1:23" x14ac:dyDescent="0.35">
      <c r="A1462" t="s">
        <v>79</v>
      </c>
      <c r="B1462" s="2">
        <v>45440</v>
      </c>
      <c r="D1462" t="s">
        <v>23</v>
      </c>
      <c r="E1462">
        <v>27</v>
      </c>
      <c r="F1462" t="s">
        <v>62</v>
      </c>
      <c r="G1462" t="s">
        <v>37</v>
      </c>
      <c r="H1462" t="s">
        <v>58</v>
      </c>
      <c r="I1462" t="s">
        <v>55</v>
      </c>
      <c r="J1462" t="s">
        <v>80</v>
      </c>
      <c r="K1462">
        <v>1</v>
      </c>
      <c r="L1462" t="s">
        <v>34</v>
      </c>
      <c r="M1462">
        <v>41000</v>
      </c>
      <c r="N1462">
        <v>4</v>
      </c>
      <c r="O1462">
        <v>8.1</v>
      </c>
      <c r="P1462">
        <v>1.6</v>
      </c>
      <c r="Q1462">
        <v>1.4</v>
      </c>
      <c r="R1462">
        <v>2</v>
      </c>
      <c r="S1462">
        <v>3</v>
      </c>
      <c r="T1462">
        <v>4</v>
      </c>
      <c r="U1462" t="s">
        <v>23</v>
      </c>
      <c r="V1462">
        <v>3</v>
      </c>
      <c r="W1462">
        <f>COUNTIF($A$2:A1462,A1462)</f>
        <v>1</v>
      </c>
    </row>
    <row r="1463" spans="1:23" x14ac:dyDescent="0.35">
      <c r="A1463" t="s">
        <v>618</v>
      </c>
      <c r="B1463" s="2">
        <v>41816</v>
      </c>
      <c r="D1463" t="s">
        <v>23</v>
      </c>
      <c r="E1463">
        <v>33</v>
      </c>
      <c r="F1463" t="s">
        <v>36</v>
      </c>
      <c r="G1463" t="s">
        <v>37</v>
      </c>
      <c r="H1463" t="s">
        <v>26</v>
      </c>
      <c r="I1463" t="s">
        <v>48</v>
      </c>
      <c r="J1463" t="s">
        <v>63</v>
      </c>
      <c r="K1463">
        <v>2</v>
      </c>
      <c r="L1463" t="s">
        <v>34</v>
      </c>
      <c r="M1463">
        <v>57000</v>
      </c>
      <c r="N1463">
        <v>4.5</v>
      </c>
      <c r="O1463">
        <v>19.399999999999999</v>
      </c>
      <c r="P1463">
        <v>11.5</v>
      </c>
      <c r="Q1463">
        <v>5.5</v>
      </c>
      <c r="R1463">
        <v>2</v>
      </c>
      <c r="S1463">
        <v>4</v>
      </c>
      <c r="T1463">
        <v>3</v>
      </c>
      <c r="U1463" t="s">
        <v>23</v>
      </c>
      <c r="V1463">
        <v>3</v>
      </c>
      <c r="W1463">
        <f>COUNTIF($A$2:A1463,A1463)</f>
        <v>1</v>
      </c>
    </row>
    <row r="1464" spans="1:23" x14ac:dyDescent="0.35">
      <c r="A1464" t="s">
        <v>939</v>
      </c>
      <c r="B1464" s="2">
        <v>43726</v>
      </c>
      <c r="C1464" s="2">
        <v>46013</v>
      </c>
      <c r="D1464" t="s">
        <v>30</v>
      </c>
      <c r="E1464">
        <v>29</v>
      </c>
      <c r="F1464" t="s">
        <v>36</v>
      </c>
      <c r="G1464" t="s">
        <v>42</v>
      </c>
      <c r="H1464" t="s">
        <v>32</v>
      </c>
      <c r="I1464" t="s">
        <v>45</v>
      </c>
      <c r="J1464" t="s">
        <v>164</v>
      </c>
      <c r="K1464">
        <v>5</v>
      </c>
      <c r="L1464" t="s">
        <v>84</v>
      </c>
      <c r="M1464">
        <v>129000</v>
      </c>
      <c r="N1464">
        <v>8.6</v>
      </c>
      <c r="O1464">
        <v>8.1999999999999993</v>
      </c>
      <c r="P1464">
        <v>6.3</v>
      </c>
      <c r="Q1464">
        <v>3.9</v>
      </c>
      <c r="R1464">
        <v>4</v>
      </c>
      <c r="S1464">
        <v>4</v>
      </c>
      <c r="T1464">
        <v>3</v>
      </c>
      <c r="U1464" t="s">
        <v>23</v>
      </c>
      <c r="V1464">
        <v>2</v>
      </c>
      <c r="W1464">
        <f>COUNTIF($A$2:A1464,A1464)</f>
        <v>1</v>
      </c>
    </row>
    <row r="1465" spans="1:23" x14ac:dyDescent="0.35">
      <c r="A1465" t="s">
        <v>1529</v>
      </c>
      <c r="B1465" s="2">
        <v>44400</v>
      </c>
      <c r="D1465" t="s">
        <v>23</v>
      </c>
      <c r="E1465">
        <v>34</v>
      </c>
      <c r="F1465" t="s">
        <v>62</v>
      </c>
      <c r="G1465" t="s">
        <v>25</v>
      </c>
      <c r="H1465" t="s">
        <v>54</v>
      </c>
      <c r="I1465" t="s">
        <v>38</v>
      </c>
      <c r="J1465" t="s">
        <v>118</v>
      </c>
      <c r="K1465">
        <v>3</v>
      </c>
      <c r="L1465" t="s">
        <v>29</v>
      </c>
      <c r="M1465">
        <v>99000</v>
      </c>
      <c r="N1465">
        <v>8.1</v>
      </c>
      <c r="O1465">
        <v>10.3</v>
      </c>
      <c r="P1465">
        <v>4.4000000000000004</v>
      </c>
      <c r="Q1465">
        <v>3.6</v>
      </c>
      <c r="R1465">
        <v>3</v>
      </c>
      <c r="S1465">
        <v>3</v>
      </c>
      <c r="T1465">
        <v>4</v>
      </c>
      <c r="U1465" t="s">
        <v>30</v>
      </c>
      <c r="V1465">
        <v>3</v>
      </c>
      <c r="W1465">
        <f>COUNTIF($A$2:A1465,A1465)</f>
        <v>1</v>
      </c>
    </row>
    <row r="1466" spans="1:23" x14ac:dyDescent="0.35">
      <c r="A1466" t="s">
        <v>576</v>
      </c>
      <c r="B1466" s="2">
        <v>44879</v>
      </c>
      <c r="D1466" t="s">
        <v>23</v>
      </c>
      <c r="E1466">
        <v>25</v>
      </c>
      <c r="F1466" t="s">
        <v>24</v>
      </c>
      <c r="G1466" t="s">
        <v>25</v>
      </c>
      <c r="H1466" t="s">
        <v>58</v>
      </c>
      <c r="I1466" t="s">
        <v>68</v>
      </c>
      <c r="J1466" t="s">
        <v>109</v>
      </c>
      <c r="K1466">
        <v>1</v>
      </c>
      <c r="L1466" t="s">
        <v>84</v>
      </c>
      <c r="M1466">
        <v>41000</v>
      </c>
      <c r="N1466">
        <v>9.6999999999999993</v>
      </c>
      <c r="O1466">
        <v>9.6999999999999993</v>
      </c>
      <c r="P1466">
        <v>3.1</v>
      </c>
      <c r="Q1466">
        <v>0</v>
      </c>
      <c r="R1466">
        <v>3</v>
      </c>
      <c r="S1466">
        <v>3</v>
      </c>
      <c r="T1466">
        <v>3</v>
      </c>
      <c r="U1466" t="s">
        <v>30</v>
      </c>
      <c r="V1466">
        <v>5</v>
      </c>
      <c r="W1466">
        <f>COUNTIF($A$2:A1466,A1466)</f>
        <v>1</v>
      </c>
    </row>
    <row r="1467" spans="1:23" x14ac:dyDescent="0.35">
      <c r="A1467" t="s">
        <v>1514</v>
      </c>
      <c r="B1467" s="2">
        <v>45775</v>
      </c>
      <c r="C1467" s="2">
        <v>46017</v>
      </c>
      <c r="D1467" t="s">
        <v>30</v>
      </c>
      <c r="E1467">
        <v>21</v>
      </c>
      <c r="F1467" t="s">
        <v>36</v>
      </c>
      <c r="G1467" t="s">
        <v>42</v>
      </c>
      <c r="H1467" t="s">
        <v>32</v>
      </c>
      <c r="I1467" t="s">
        <v>68</v>
      </c>
      <c r="J1467" t="s">
        <v>102</v>
      </c>
      <c r="K1467">
        <v>1</v>
      </c>
      <c r="L1467" t="s">
        <v>29</v>
      </c>
      <c r="M1467">
        <v>47000</v>
      </c>
      <c r="N1467">
        <v>4.0999999999999996</v>
      </c>
      <c r="O1467">
        <v>5</v>
      </c>
      <c r="P1467">
        <v>0.7</v>
      </c>
      <c r="Q1467">
        <v>0</v>
      </c>
      <c r="R1467">
        <v>4</v>
      </c>
      <c r="S1467">
        <v>4</v>
      </c>
      <c r="T1467">
        <v>1</v>
      </c>
      <c r="U1467" t="s">
        <v>23</v>
      </c>
      <c r="V1467">
        <v>3</v>
      </c>
      <c r="W1467">
        <f>COUNTIF($A$2:A1467,A1467)</f>
        <v>1</v>
      </c>
    </row>
    <row r="1468" spans="1:23" x14ac:dyDescent="0.35">
      <c r="A1468" t="s">
        <v>874</v>
      </c>
      <c r="B1468" s="2">
        <v>44324</v>
      </c>
      <c r="D1468" t="s">
        <v>23</v>
      </c>
      <c r="E1468">
        <v>36</v>
      </c>
      <c r="F1468" t="s">
        <v>24</v>
      </c>
      <c r="G1468" t="s">
        <v>37</v>
      </c>
      <c r="H1468" t="s">
        <v>54</v>
      </c>
      <c r="I1468" t="s">
        <v>45</v>
      </c>
      <c r="J1468" t="s">
        <v>164</v>
      </c>
      <c r="K1468">
        <v>2</v>
      </c>
      <c r="L1468" t="s">
        <v>84</v>
      </c>
      <c r="M1468">
        <v>39000</v>
      </c>
      <c r="N1468">
        <v>3</v>
      </c>
      <c r="O1468">
        <v>6.9</v>
      </c>
      <c r="P1468">
        <v>4.5999999999999996</v>
      </c>
      <c r="Q1468">
        <v>4.5</v>
      </c>
      <c r="R1468">
        <v>3</v>
      </c>
      <c r="S1468">
        <v>4</v>
      </c>
      <c r="T1468">
        <v>3</v>
      </c>
      <c r="U1468" t="s">
        <v>23</v>
      </c>
      <c r="V1468">
        <v>4</v>
      </c>
      <c r="W1468">
        <f>COUNTIF($A$2:A1468,A1468)</f>
        <v>1</v>
      </c>
    </row>
    <row r="1469" spans="1:23" x14ac:dyDescent="0.35">
      <c r="A1469" t="s">
        <v>302</v>
      </c>
      <c r="B1469" s="2">
        <v>42061</v>
      </c>
      <c r="D1469" t="s">
        <v>23</v>
      </c>
      <c r="E1469">
        <v>38</v>
      </c>
      <c r="F1469" t="s">
        <v>24</v>
      </c>
      <c r="G1469" t="s">
        <v>25</v>
      </c>
      <c r="H1469" t="s">
        <v>54</v>
      </c>
      <c r="I1469" t="s">
        <v>55</v>
      </c>
      <c r="J1469" t="s">
        <v>88</v>
      </c>
      <c r="K1469">
        <v>1</v>
      </c>
      <c r="L1469" t="s">
        <v>84</v>
      </c>
      <c r="M1469">
        <v>34000</v>
      </c>
      <c r="N1469">
        <v>20.7</v>
      </c>
      <c r="O1469">
        <v>17.8</v>
      </c>
      <c r="P1469">
        <v>10.8</v>
      </c>
      <c r="Q1469">
        <v>4.3</v>
      </c>
      <c r="R1469">
        <v>3</v>
      </c>
      <c r="S1469">
        <v>3</v>
      </c>
      <c r="T1469">
        <v>3</v>
      </c>
      <c r="U1469" t="s">
        <v>23</v>
      </c>
      <c r="V1469">
        <v>3</v>
      </c>
      <c r="W1469">
        <f>COUNTIF($A$2:A1469,A1469)</f>
        <v>1</v>
      </c>
    </row>
    <row r="1470" spans="1:23" x14ac:dyDescent="0.35">
      <c r="A1470" t="s">
        <v>1401</v>
      </c>
      <c r="B1470" s="2">
        <v>44682</v>
      </c>
      <c r="D1470" t="s">
        <v>23</v>
      </c>
      <c r="E1470">
        <v>27</v>
      </c>
      <c r="F1470" t="s">
        <v>24</v>
      </c>
      <c r="G1470" t="s">
        <v>25</v>
      </c>
      <c r="H1470" t="s">
        <v>32</v>
      </c>
      <c r="I1470" t="s">
        <v>68</v>
      </c>
      <c r="J1470" t="s">
        <v>102</v>
      </c>
      <c r="K1470">
        <v>1</v>
      </c>
      <c r="L1470" t="s">
        <v>50</v>
      </c>
      <c r="M1470">
        <v>29000</v>
      </c>
      <c r="N1470">
        <v>10</v>
      </c>
      <c r="O1470">
        <v>7.1</v>
      </c>
      <c r="P1470">
        <v>3.7</v>
      </c>
      <c r="Q1470">
        <v>0.2</v>
      </c>
      <c r="R1470">
        <v>1</v>
      </c>
      <c r="S1470">
        <v>3</v>
      </c>
      <c r="T1470">
        <v>3</v>
      </c>
      <c r="U1470" t="s">
        <v>23</v>
      </c>
      <c r="V1470">
        <v>3</v>
      </c>
      <c r="W1470">
        <f>COUNTIF($A$2:A1470,A1470)</f>
        <v>1</v>
      </c>
    </row>
    <row r="1471" spans="1:23" x14ac:dyDescent="0.35">
      <c r="A1471" t="s">
        <v>1177</v>
      </c>
      <c r="B1471" s="2">
        <v>43284</v>
      </c>
      <c r="D1471" t="s">
        <v>23</v>
      </c>
      <c r="E1471">
        <v>37</v>
      </c>
      <c r="F1471" t="s">
        <v>24</v>
      </c>
      <c r="G1471" t="s">
        <v>42</v>
      </c>
      <c r="H1471" t="s">
        <v>54</v>
      </c>
      <c r="I1471" t="s">
        <v>45</v>
      </c>
      <c r="J1471" t="s">
        <v>164</v>
      </c>
      <c r="K1471">
        <v>3</v>
      </c>
      <c r="L1471" t="s">
        <v>50</v>
      </c>
      <c r="M1471">
        <v>63000</v>
      </c>
      <c r="N1471">
        <v>3.5</v>
      </c>
      <c r="O1471">
        <v>14.6</v>
      </c>
      <c r="P1471">
        <v>7.5</v>
      </c>
      <c r="Q1471">
        <v>1.7</v>
      </c>
      <c r="R1471">
        <v>3</v>
      </c>
      <c r="S1471">
        <v>2</v>
      </c>
      <c r="T1471">
        <v>2</v>
      </c>
      <c r="U1471" t="s">
        <v>23</v>
      </c>
      <c r="V1471">
        <v>4</v>
      </c>
      <c r="W1471">
        <f>COUNTIF($A$2:A1471,A1471)</f>
        <v>1</v>
      </c>
    </row>
    <row r="1472" spans="1:23" x14ac:dyDescent="0.35">
      <c r="A1472" t="s">
        <v>154</v>
      </c>
      <c r="B1472" s="2">
        <v>45776</v>
      </c>
      <c r="D1472" t="s">
        <v>23</v>
      </c>
      <c r="E1472">
        <v>21</v>
      </c>
      <c r="F1472" t="s">
        <v>24</v>
      </c>
      <c r="G1472" t="s">
        <v>42</v>
      </c>
      <c r="H1472" t="s">
        <v>54</v>
      </c>
      <c r="I1472" t="s">
        <v>38</v>
      </c>
      <c r="J1472" t="s">
        <v>39</v>
      </c>
      <c r="K1472">
        <v>1</v>
      </c>
      <c r="L1472" t="s">
        <v>29</v>
      </c>
      <c r="M1472">
        <v>33000</v>
      </c>
      <c r="N1472">
        <v>7.8</v>
      </c>
      <c r="O1472">
        <v>7.1</v>
      </c>
      <c r="P1472">
        <v>0.7</v>
      </c>
      <c r="Q1472">
        <v>0</v>
      </c>
      <c r="R1472">
        <v>3</v>
      </c>
      <c r="S1472">
        <v>3</v>
      </c>
      <c r="T1472">
        <v>2</v>
      </c>
      <c r="U1472" t="s">
        <v>23</v>
      </c>
      <c r="V1472">
        <v>4</v>
      </c>
      <c r="W1472">
        <f>COUNTIF($A$2:A1472,A1472)</f>
        <v>1</v>
      </c>
    </row>
    <row r="1473" spans="1:23" x14ac:dyDescent="0.35">
      <c r="A1473" t="s">
        <v>824</v>
      </c>
      <c r="B1473" s="2">
        <v>44573</v>
      </c>
      <c r="C1473" s="2">
        <v>45902</v>
      </c>
      <c r="D1473" t="s">
        <v>30</v>
      </c>
      <c r="E1473">
        <v>42</v>
      </c>
      <c r="F1473" t="s">
        <v>24</v>
      </c>
      <c r="G1473" t="s">
        <v>25</v>
      </c>
      <c r="H1473" t="s">
        <v>32</v>
      </c>
      <c r="I1473" t="s">
        <v>45</v>
      </c>
      <c r="J1473" t="s">
        <v>97</v>
      </c>
      <c r="K1473">
        <v>2</v>
      </c>
      <c r="L1473" t="s">
        <v>29</v>
      </c>
      <c r="M1473">
        <v>61000</v>
      </c>
      <c r="N1473">
        <v>7.7</v>
      </c>
      <c r="O1473">
        <v>11.3</v>
      </c>
      <c r="P1473">
        <v>3.6</v>
      </c>
      <c r="Q1473">
        <v>1.3</v>
      </c>
      <c r="R1473">
        <v>3</v>
      </c>
      <c r="S1473">
        <v>3</v>
      </c>
      <c r="T1473">
        <v>3</v>
      </c>
      <c r="U1473" t="s">
        <v>23</v>
      </c>
      <c r="V1473">
        <v>4</v>
      </c>
      <c r="W1473">
        <f>COUNTIF($A$2:A1473,A1473)</f>
        <v>1</v>
      </c>
    </row>
    <row r="1474" spans="1:23" x14ac:dyDescent="0.35">
      <c r="A1474" t="s">
        <v>1235</v>
      </c>
      <c r="B1474" s="2">
        <v>45711</v>
      </c>
      <c r="D1474" t="s">
        <v>23</v>
      </c>
      <c r="E1474">
        <v>29</v>
      </c>
      <c r="F1474" t="s">
        <v>36</v>
      </c>
      <c r="G1474" t="s">
        <v>42</v>
      </c>
      <c r="H1474" t="s">
        <v>32</v>
      </c>
      <c r="I1474" t="s">
        <v>55</v>
      </c>
      <c r="J1474" t="s">
        <v>56</v>
      </c>
      <c r="K1474">
        <v>2</v>
      </c>
      <c r="L1474" t="s">
        <v>34</v>
      </c>
      <c r="M1474">
        <v>56000</v>
      </c>
      <c r="N1474">
        <v>6.4</v>
      </c>
      <c r="O1474">
        <v>3.6</v>
      </c>
      <c r="P1474">
        <v>0.9</v>
      </c>
      <c r="Q1474">
        <v>0</v>
      </c>
      <c r="R1474">
        <v>1</v>
      </c>
      <c r="S1474">
        <v>3</v>
      </c>
      <c r="T1474">
        <v>4</v>
      </c>
      <c r="U1474" t="s">
        <v>23</v>
      </c>
      <c r="V1474">
        <v>3</v>
      </c>
      <c r="W1474">
        <f>COUNTIF($A$2:A1474,A1474)</f>
        <v>1</v>
      </c>
    </row>
    <row r="1475" spans="1:23" x14ac:dyDescent="0.35">
      <c r="A1475" t="s">
        <v>1200</v>
      </c>
      <c r="B1475" s="2">
        <v>43778</v>
      </c>
      <c r="D1475" t="s">
        <v>23</v>
      </c>
      <c r="E1475">
        <v>28</v>
      </c>
      <c r="F1475" t="s">
        <v>36</v>
      </c>
      <c r="G1475" t="s">
        <v>42</v>
      </c>
      <c r="H1475" t="s">
        <v>54</v>
      </c>
      <c r="I1475" t="s">
        <v>55</v>
      </c>
      <c r="J1475" t="s">
        <v>179</v>
      </c>
      <c r="K1475">
        <v>2</v>
      </c>
      <c r="L1475" t="s">
        <v>50</v>
      </c>
      <c r="M1475">
        <v>58000</v>
      </c>
      <c r="N1475">
        <v>6.5</v>
      </c>
      <c r="O1475">
        <v>6.3</v>
      </c>
      <c r="P1475">
        <v>6.1</v>
      </c>
      <c r="Q1475">
        <v>4.5</v>
      </c>
      <c r="R1475">
        <v>1</v>
      </c>
      <c r="S1475">
        <v>2</v>
      </c>
      <c r="T1475">
        <v>3</v>
      </c>
      <c r="U1475" t="s">
        <v>23</v>
      </c>
      <c r="V1475">
        <v>1</v>
      </c>
      <c r="W1475">
        <f>COUNTIF($A$2:A1475,A1475)</f>
        <v>1</v>
      </c>
    </row>
    <row r="1476" spans="1:23" x14ac:dyDescent="0.35">
      <c r="A1476" t="s">
        <v>1078</v>
      </c>
      <c r="B1476" s="2">
        <v>45706</v>
      </c>
      <c r="D1476" t="s">
        <v>23</v>
      </c>
      <c r="E1476">
        <v>36</v>
      </c>
      <c r="F1476" t="s">
        <v>62</v>
      </c>
      <c r="G1476" t="s">
        <v>25</v>
      </c>
      <c r="H1476" t="s">
        <v>26</v>
      </c>
      <c r="I1476" t="s">
        <v>55</v>
      </c>
      <c r="J1476" t="s">
        <v>80</v>
      </c>
      <c r="K1476">
        <v>3</v>
      </c>
      <c r="L1476" t="s">
        <v>29</v>
      </c>
      <c r="M1476">
        <v>81000</v>
      </c>
      <c r="N1476">
        <v>14.1</v>
      </c>
      <c r="O1476">
        <v>4</v>
      </c>
      <c r="P1476">
        <v>0.9</v>
      </c>
      <c r="Q1476">
        <v>0</v>
      </c>
      <c r="R1476">
        <v>1</v>
      </c>
      <c r="S1476">
        <v>4</v>
      </c>
      <c r="T1476">
        <v>3</v>
      </c>
      <c r="U1476" t="s">
        <v>23</v>
      </c>
      <c r="V1476">
        <v>2</v>
      </c>
      <c r="W1476">
        <f>COUNTIF($A$2:A1476,A1476)</f>
        <v>1</v>
      </c>
    </row>
    <row r="1477" spans="1:23" x14ac:dyDescent="0.35">
      <c r="A1477" t="s">
        <v>917</v>
      </c>
      <c r="B1477" s="2">
        <v>45748</v>
      </c>
      <c r="C1477" s="2">
        <v>45863</v>
      </c>
      <c r="D1477" t="s">
        <v>30</v>
      </c>
      <c r="E1477">
        <v>22</v>
      </c>
      <c r="F1477" t="s">
        <v>62</v>
      </c>
      <c r="G1477" t="s">
        <v>37</v>
      </c>
      <c r="H1477" t="s">
        <v>32</v>
      </c>
      <c r="I1477" t="s">
        <v>45</v>
      </c>
      <c r="J1477" t="s">
        <v>46</v>
      </c>
      <c r="K1477">
        <v>1</v>
      </c>
      <c r="L1477" t="s">
        <v>84</v>
      </c>
      <c r="M1477">
        <v>35000</v>
      </c>
      <c r="N1477">
        <v>5.7</v>
      </c>
      <c r="O1477">
        <v>5</v>
      </c>
      <c r="P1477">
        <v>0.3</v>
      </c>
      <c r="Q1477">
        <v>0</v>
      </c>
      <c r="R1477">
        <v>3</v>
      </c>
      <c r="S1477">
        <v>4</v>
      </c>
      <c r="T1477">
        <v>1</v>
      </c>
      <c r="U1477" t="s">
        <v>30</v>
      </c>
      <c r="V1477">
        <v>4</v>
      </c>
      <c r="W1477">
        <f>COUNTIF($A$2:A1477,A1477)</f>
        <v>1</v>
      </c>
    </row>
    <row r="1478" spans="1:23" x14ac:dyDescent="0.35">
      <c r="A1478" t="s">
        <v>142</v>
      </c>
      <c r="B1478" s="2">
        <v>45757</v>
      </c>
      <c r="D1478" t="s">
        <v>23</v>
      </c>
      <c r="E1478">
        <v>21</v>
      </c>
      <c r="F1478" t="s">
        <v>24</v>
      </c>
      <c r="G1478" t="s">
        <v>25</v>
      </c>
      <c r="H1478" t="s">
        <v>32</v>
      </c>
      <c r="I1478" t="s">
        <v>55</v>
      </c>
      <c r="J1478" t="s">
        <v>56</v>
      </c>
      <c r="K1478">
        <v>1</v>
      </c>
      <c r="L1478" t="s">
        <v>34</v>
      </c>
      <c r="M1478">
        <v>52000</v>
      </c>
      <c r="N1478">
        <v>11.7</v>
      </c>
      <c r="O1478">
        <v>4.4000000000000004</v>
      </c>
      <c r="P1478">
        <v>0.7</v>
      </c>
      <c r="Q1478">
        <v>0</v>
      </c>
      <c r="R1478">
        <v>3</v>
      </c>
      <c r="S1478">
        <v>3</v>
      </c>
      <c r="T1478">
        <v>3</v>
      </c>
      <c r="U1478" t="s">
        <v>23</v>
      </c>
      <c r="V1478">
        <v>3</v>
      </c>
      <c r="W1478">
        <f>COUNTIF($A$2:A1478,A1478)</f>
        <v>1</v>
      </c>
    </row>
    <row r="1479" spans="1:23" x14ac:dyDescent="0.35">
      <c r="A1479" t="s">
        <v>1501</v>
      </c>
      <c r="B1479" s="2">
        <v>45298</v>
      </c>
      <c r="D1479" t="s">
        <v>23</v>
      </c>
      <c r="E1479">
        <v>23</v>
      </c>
      <c r="F1479" t="s">
        <v>36</v>
      </c>
      <c r="G1479" t="s">
        <v>42</v>
      </c>
      <c r="H1479" t="s">
        <v>32</v>
      </c>
      <c r="I1479" t="s">
        <v>38</v>
      </c>
      <c r="J1479" t="s">
        <v>118</v>
      </c>
      <c r="K1479">
        <v>1</v>
      </c>
      <c r="L1479" t="s">
        <v>50</v>
      </c>
      <c r="M1479">
        <v>53000</v>
      </c>
      <c r="N1479">
        <v>6.1</v>
      </c>
      <c r="O1479">
        <v>5.7</v>
      </c>
      <c r="P1479">
        <v>2</v>
      </c>
      <c r="Q1479">
        <v>1.8</v>
      </c>
      <c r="R1479">
        <v>1</v>
      </c>
      <c r="S1479">
        <v>4</v>
      </c>
      <c r="T1479">
        <v>4</v>
      </c>
      <c r="U1479" t="s">
        <v>23</v>
      </c>
      <c r="V1479">
        <v>4</v>
      </c>
      <c r="W1479">
        <f>COUNTIF($A$2:A1479,A1479)</f>
        <v>1</v>
      </c>
    </row>
    <row r="1480" spans="1:23" x14ac:dyDescent="0.35">
      <c r="A1480" t="s">
        <v>1343</v>
      </c>
      <c r="B1480" s="2">
        <v>45722</v>
      </c>
      <c r="C1480" s="2">
        <v>45866</v>
      </c>
      <c r="D1480" t="s">
        <v>30</v>
      </c>
      <c r="E1480">
        <v>21</v>
      </c>
      <c r="F1480" t="s">
        <v>62</v>
      </c>
      <c r="G1480" t="s">
        <v>25</v>
      </c>
      <c r="H1480" t="s">
        <v>54</v>
      </c>
      <c r="I1480" t="s">
        <v>68</v>
      </c>
      <c r="J1480" t="s">
        <v>69</v>
      </c>
      <c r="K1480">
        <v>1</v>
      </c>
      <c r="L1480" t="s">
        <v>84</v>
      </c>
      <c r="M1480">
        <v>30000</v>
      </c>
      <c r="N1480">
        <v>8.1</v>
      </c>
      <c r="O1480">
        <v>2.2000000000000002</v>
      </c>
      <c r="P1480">
        <v>0.4</v>
      </c>
      <c r="Q1480">
        <v>0</v>
      </c>
      <c r="R1480">
        <v>3</v>
      </c>
      <c r="S1480">
        <v>3</v>
      </c>
      <c r="T1480">
        <v>3</v>
      </c>
      <c r="U1480" t="s">
        <v>23</v>
      </c>
      <c r="V1480">
        <v>2</v>
      </c>
      <c r="W1480">
        <f>COUNTIF($A$2:A1480,A1480)</f>
        <v>1</v>
      </c>
    </row>
    <row r="1481" spans="1:23" x14ac:dyDescent="0.35">
      <c r="A1481" t="s">
        <v>622</v>
      </c>
      <c r="B1481" s="2">
        <v>45391</v>
      </c>
      <c r="D1481" t="s">
        <v>23</v>
      </c>
      <c r="E1481">
        <v>23</v>
      </c>
      <c r="F1481" t="s">
        <v>36</v>
      </c>
      <c r="G1481" t="s">
        <v>37</v>
      </c>
      <c r="H1481" t="s">
        <v>26</v>
      </c>
      <c r="I1481" t="s">
        <v>45</v>
      </c>
      <c r="J1481" t="s">
        <v>77</v>
      </c>
      <c r="K1481">
        <v>1</v>
      </c>
      <c r="L1481" t="s">
        <v>34</v>
      </c>
      <c r="M1481">
        <v>22000</v>
      </c>
      <c r="N1481">
        <v>10.8</v>
      </c>
      <c r="O1481">
        <v>4.4000000000000004</v>
      </c>
      <c r="P1481">
        <v>1.7</v>
      </c>
      <c r="Q1481">
        <v>1.7</v>
      </c>
      <c r="R1481">
        <v>4</v>
      </c>
      <c r="S1481">
        <v>2</v>
      </c>
      <c r="T1481">
        <v>2</v>
      </c>
      <c r="U1481" t="s">
        <v>23</v>
      </c>
      <c r="V1481">
        <v>4</v>
      </c>
      <c r="W1481">
        <f>COUNTIF($A$2:A1481,A1481)</f>
        <v>1</v>
      </c>
    </row>
    <row r="1482" spans="1:23" x14ac:dyDescent="0.35">
      <c r="A1482" t="s">
        <v>835</v>
      </c>
      <c r="B1482" s="2">
        <v>45880</v>
      </c>
      <c r="C1482" s="2">
        <v>45992</v>
      </c>
      <c r="D1482" t="s">
        <v>30</v>
      </c>
      <c r="E1482">
        <v>22</v>
      </c>
      <c r="F1482" t="s">
        <v>24</v>
      </c>
      <c r="G1482" t="s">
        <v>42</v>
      </c>
      <c r="H1482" t="s">
        <v>54</v>
      </c>
      <c r="I1482" t="s">
        <v>27</v>
      </c>
      <c r="J1482" t="s">
        <v>33</v>
      </c>
      <c r="K1482">
        <v>1</v>
      </c>
      <c r="L1482" t="s">
        <v>29</v>
      </c>
      <c r="M1482">
        <v>42000</v>
      </c>
      <c r="N1482">
        <v>9.1999999999999993</v>
      </c>
      <c r="O1482">
        <v>1.1000000000000001</v>
      </c>
      <c r="P1482">
        <v>0.3</v>
      </c>
      <c r="Q1482">
        <v>0</v>
      </c>
      <c r="R1482">
        <v>3</v>
      </c>
      <c r="S1482">
        <v>2</v>
      </c>
      <c r="T1482">
        <v>3</v>
      </c>
      <c r="U1482" t="s">
        <v>23</v>
      </c>
      <c r="V1482">
        <v>1</v>
      </c>
      <c r="W1482">
        <f>COUNTIF($A$2:A1482,A1482)</f>
        <v>1</v>
      </c>
    </row>
    <row r="1483" spans="1:23" x14ac:dyDescent="0.35">
      <c r="A1483" t="s">
        <v>1515</v>
      </c>
      <c r="B1483" s="2">
        <v>44177</v>
      </c>
      <c r="D1483" t="s">
        <v>23</v>
      </c>
      <c r="E1483">
        <v>33</v>
      </c>
      <c r="F1483" t="s">
        <v>24</v>
      </c>
      <c r="G1483" t="s">
        <v>42</v>
      </c>
      <c r="H1483" t="s">
        <v>32</v>
      </c>
      <c r="I1483" t="s">
        <v>55</v>
      </c>
      <c r="J1483" t="s">
        <v>80</v>
      </c>
      <c r="K1483">
        <v>4</v>
      </c>
      <c r="L1483" t="s">
        <v>29</v>
      </c>
      <c r="M1483">
        <v>106000</v>
      </c>
      <c r="N1483">
        <v>8.4</v>
      </c>
      <c r="O1483">
        <v>8</v>
      </c>
      <c r="P1483">
        <v>5.0999999999999996</v>
      </c>
      <c r="Q1483">
        <v>1.9</v>
      </c>
      <c r="R1483">
        <v>3</v>
      </c>
      <c r="S1483">
        <v>2</v>
      </c>
      <c r="T1483">
        <v>4</v>
      </c>
      <c r="U1483" t="s">
        <v>30</v>
      </c>
      <c r="V1483">
        <v>4</v>
      </c>
      <c r="W1483">
        <f>COUNTIF($A$2:A1483,A1483)</f>
        <v>1</v>
      </c>
    </row>
    <row r="1484" spans="1:23" x14ac:dyDescent="0.35">
      <c r="A1484" t="s">
        <v>1402</v>
      </c>
      <c r="B1484" s="2">
        <v>44877</v>
      </c>
      <c r="C1484" s="2">
        <v>45927</v>
      </c>
      <c r="D1484" t="s">
        <v>30</v>
      </c>
      <c r="E1484">
        <v>27</v>
      </c>
      <c r="F1484" t="s">
        <v>24</v>
      </c>
      <c r="G1484" t="s">
        <v>25</v>
      </c>
      <c r="H1484" t="s">
        <v>58</v>
      </c>
      <c r="I1484" t="s">
        <v>45</v>
      </c>
      <c r="J1484" t="s">
        <v>164</v>
      </c>
      <c r="K1484">
        <v>1</v>
      </c>
      <c r="L1484" t="s">
        <v>84</v>
      </c>
      <c r="M1484">
        <v>28000</v>
      </c>
      <c r="N1484">
        <v>8.3000000000000007</v>
      </c>
      <c r="O1484">
        <v>6.4</v>
      </c>
      <c r="P1484">
        <v>2.9</v>
      </c>
      <c r="Q1484">
        <v>0.2</v>
      </c>
      <c r="R1484">
        <v>3</v>
      </c>
      <c r="S1484">
        <v>2</v>
      </c>
      <c r="T1484">
        <v>2</v>
      </c>
      <c r="U1484" t="s">
        <v>23</v>
      </c>
      <c r="V1484">
        <v>2</v>
      </c>
      <c r="W1484">
        <f>COUNTIF($A$2:A1484,A1484)</f>
        <v>1</v>
      </c>
    </row>
    <row r="1485" spans="1:23" x14ac:dyDescent="0.35">
      <c r="A1485" t="s">
        <v>573</v>
      </c>
      <c r="B1485" s="2">
        <v>44309</v>
      </c>
      <c r="D1485" t="s">
        <v>23</v>
      </c>
      <c r="E1485">
        <v>45</v>
      </c>
      <c r="F1485" t="s">
        <v>36</v>
      </c>
      <c r="G1485" t="s">
        <v>25</v>
      </c>
      <c r="H1485" t="s">
        <v>54</v>
      </c>
      <c r="I1485" t="s">
        <v>48</v>
      </c>
      <c r="J1485" t="s">
        <v>129</v>
      </c>
      <c r="K1485">
        <v>1</v>
      </c>
      <c r="L1485" t="s">
        <v>50</v>
      </c>
      <c r="M1485">
        <v>27000</v>
      </c>
      <c r="N1485">
        <v>11</v>
      </c>
      <c r="O1485">
        <v>10.1</v>
      </c>
      <c r="P1485">
        <v>4.7</v>
      </c>
      <c r="Q1485">
        <v>1.5</v>
      </c>
      <c r="R1485">
        <v>4</v>
      </c>
      <c r="S1485">
        <v>4</v>
      </c>
      <c r="T1485">
        <v>4</v>
      </c>
      <c r="U1485" t="s">
        <v>30</v>
      </c>
      <c r="V1485">
        <v>4</v>
      </c>
      <c r="W1485">
        <f>COUNTIF($A$2:A1485,A1485)</f>
        <v>1</v>
      </c>
    </row>
    <row r="1486" spans="1:23" x14ac:dyDescent="0.35">
      <c r="A1486" t="s">
        <v>1126</v>
      </c>
      <c r="B1486" s="2">
        <v>41928</v>
      </c>
      <c r="D1486" t="s">
        <v>23</v>
      </c>
      <c r="E1486">
        <v>42</v>
      </c>
      <c r="F1486" t="s">
        <v>36</v>
      </c>
      <c r="G1486" t="s">
        <v>37</v>
      </c>
      <c r="H1486" t="s">
        <v>32</v>
      </c>
      <c r="I1486" t="s">
        <v>27</v>
      </c>
      <c r="J1486" t="s">
        <v>43</v>
      </c>
      <c r="K1486">
        <v>3</v>
      </c>
      <c r="L1486" t="s">
        <v>40</v>
      </c>
      <c r="M1486">
        <v>77000</v>
      </c>
      <c r="N1486">
        <v>8.1</v>
      </c>
      <c r="O1486">
        <v>17.2</v>
      </c>
      <c r="P1486">
        <v>11.2</v>
      </c>
      <c r="Q1486">
        <v>1.8</v>
      </c>
      <c r="R1486">
        <v>3</v>
      </c>
      <c r="S1486">
        <v>3</v>
      </c>
      <c r="T1486">
        <v>3</v>
      </c>
      <c r="U1486" t="s">
        <v>23</v>
      </c>
      <c r="V1486">
        <v>3</v>
      </c>
      <c r="W1486">
        <f>COUNTIF($A$2:A1486,A1486)</f>
        <v>1</v>
      </c>
    </row>
    <row r="1487" spans="1:23" x14ac:dyDescent="0.35">
      <c r="A1487" t="s">
        <v>1217</v>
      </c>
      <c r="B1487" s="2">
        <v>43047</v>
      </c>
      <c r="C1487" s="2">
        <v>46009</v>
      </c>
      <c r="D1487" t="s">
        <v>30</v>
      </c>
      <c r="E1487">
        <v>39</v>
      </c>
      <c r="F1487" t="s">
        <v>36</v>
      </c>
      <c r="G1487" t="s">
        <v>25</v>
      </c>
      <c r="H1487" t="s">
        <v>26</v>
      </c>
      <c r="I1487" t="s">
        <v>68</v>
      </c>
      <c r="J1487" t="s">
        <v>121</v>
      </c>
      <c r="K1487">
        <v>2</v>
      </c>
      <c r="L1487" t="s">
        <v>66</v>
      </c>
      <c r="M1487">
        <v>36000</v>
      </c>
      <c r="N1487">
        <v>11.6</v>
      </c>
      <c r="O1487">
        <v>11.9</v>
      </c>
      <c r="P1487">
        <v>8.1</v>
      </c>
      <c r="Q1487">
        <v>4.5999999999999996</v>
      </c>
      <c r="R1487">
        <v>3</v>
      </c>
      <c r="S1487">
        <v>4</v>
      </c>
      <c r="T1487">
        <v>4</v>
      </c>
      <c r="U1487" t="s">
        <v>23</v>
      </c>
      <c r="V1487">
        <v>4</v>
      </c>
      <c r="W1487">
        <f>COUNTIF($A$2:A1487,A1487)</f>
        <v>1</v>
      </c>
    </row>
    <row r="1488" spans="1:23" x14ac:dyDescent="0.35">
      <c r="A1488" t="s">
        <v>108</v>
      </c>
      <c r="B1488" s="2">
        <v>42470</v>
      </c>
      <c r="C1488" s="2">
        <v>45842</v>
      </c>
      <c r="D1488" t="s">
        <v>30</v>
      </c>
      <c r="E1488">
        <v>42</v>
      </c>
      <c r="F1488" t="s">
        <v>62</v>
      </c>
      <c r="G1488" t="s">
        <v>25</v>
      </c>
      <c r="H1488" t="s">
        <v>54</v>
      </c>
      <c r="I1488" t="s">
        <v>68</v>
      </c>
      <c r="J1488" t="s">
        <v>109</v>
      </c>
      <c r="K1488">
        <v>4</v>
      </c>
      <c r="L1488" t="s">
        <v>40</v>
      </c>
      <c r="M1488">
        <v>112000</v>
      </c>
      <c r="N1488">
        <v>11.6</v>
      </c>
      <c r="O1488">
        <v>12.7</v>
      </c>
      <c r="P1488">
        <v>9.1999999999999993</v>
      </c>
      <c r="Q1488">
        <v>1.5</v>
      </c>
      <c r="R1488">
        <v>2</v>
      </c>
      <c r="S1488">
        <v>2</v>
      </c>
      <c r="T1488">
        <v>4</v>
      </c>
      <c r="U1488" t="s">
        <v>30</v>
      </c>
      <c r="V1488">
        <v>4</v>
      </c>
      <c r="W1488">
        <f>COUNTIF($A$2:A1488,A1488)</f>
        <v>1</v>
      </c>
    </row>
    <row r="1489" spans="1:23" x14ac:dyDescent="0.35">
      <c r="A1489" t="s">
        <v>973</v>
      </c>
      <c r="B1489" s="2">
        <v>45859</v>
      </c>
      <c r="D1489" t="s">
        <v>23</v>
      </c>
      <c r="E1489">
        <v>21</v>
      </c>
      <c r="F1489" t="s">
        <v>36</v>
      </c>
      <c r="G1489" t="s">
        <v>42</v>
      </c>
      <c r="H1489" t="s">
        <v>54</v>
      </c>
      <c r="I1489" t="s">
        <v>59</v>
      </c>
      <c r="J1489" t="s">
        <v>86</v>
      </c>
      <c r="K1489">
        <v>1</v>
      </c>
      <c r="L1489" t="s">
        <v>66</v>
      </c>
      <c r="M1489">
        <v>25000</v>
      </c>
      <c r="N1489">
        <v>11.7</v>
      </c>
      <c r="O1489">
        <v>1.9</v>
      </c>
      <c r="P1489">
        <v>0.4</v>
      </c>
      <c r="Q1489">
        <v>0</v>
      </c>
      <c r="R1489">
        <v>3</v>
      </c>
      <c r="S1489">
        <v>2</v>
      </c>
      <c r="T1489">
        <v>2</v>
      </c>
      <c r="U1489" t="s">
        <v>23</v>
      </c>
      <c r="V1489">
        <v>2</v>
      </c>
      <c r="W1489">
        <f>COUNTIF($A$2:A1489,A1489)</f>
        <v>1</v>
      </c>
    </row>
    <row r="1490" spans="1:23" x14ac:dyDescent="0.35">
      <c r="A1490" t="s">
        <v>85</v>
      </c>
      <c r="B1490" s="2">
        <v>44036</v>
      </c>
      <c r="D1490" t="s">
        <v>23</v>
      </c>
      <c r="E1490">
        <v>41</v>
      </c>
      <c r="F1490" t="s">
        <v>62</v>
      </c>
      <c r="G1490" t="s">
        <v>37</v>
      </c>
      <c r="H1490" t="s">
        <v>26</v>
      </c>
      <c r="I1490" t="s">
        <v>59</v>
      </c>
      <c r="J1490" t="s">
        <v>86</v>
      </c>
      <c r="K1490">
        <v>2</v>
      </c>
      <c r="L1490" t="s">
        <v>66</v>
      </c>
      <c r="M1490">
        <v>55000</v>
      </c>
      <c r="N1490">
        <v>5.0999999999999996</v>
      </c>
      <c r="O1490">
        <v>7.2</v>
      </c>
      <c r="P1490">
        <v>5.4</v>
      </c>
      <c r="Q1490">
        <v>2.9</v>
      </c>
      <c r="R1490">
        <v>3</v>
      </c>
      <c r="S1490">
        <v>3</v>
      </c>
      <c r="T1490">
        <v>2</v>
      </c>
      <c r="U1490" t="s">
        <v>23</v>
      </c>
      <c r="V1490">
        <v>2</v>
      </c>
      <c r="W1490">
        <f>COUNTIF($A$2:A1490,A1490)</f>
        <v>1</v>
      </c>
    </row>
    <row r="1491" spans="1:23" x14ac:dyDescent="0.35">
      <c r="A1491" t="s">
        <v>335</v>
      </c>
      <c r="B1491" s="2">
        <v>45912</v>
      </c>
      <c r="D1491" t="s">
        <v>23</v>
      </c>
      <c r="E1491">
        <v>34</v>
      </c>
      <c r="F1491" t="s">
        <v>24</v>
      </c>
      <c r="G1491" t="s">
        <v>25</v>
      </c>
      <c r="H1491" t="s">
        <v>32</v>
      </c>
      <c r="I1491" t="s">
        <v>38</v>
      </c>
      <c r="J1491" t="s">
        <v>39</v>
      </c>
      <c r="K1491">
        <v>3</v>
      </c>
      <c r="L1491" t="s">
        <v>66</v>
      </c>
      <c r="M1491">
        <v>66000</v>
      </c>
      <c r="N1491">
        <v>15.7</v>
      </c>
      <c r="O1491">
        <v>1.7</v>
      </c>
      <c r="P1491">
        <v>0.3</v>
      </c>
      <c r="Q1491">
        <v>0</v>
      </c>
      <c r="R1491">
        <v>2</v>
      </c>
      <c r="S1491">
        <v>2</v>
      </c>
      <c r="T1491">
        <v>4</v>
      </c>
      <c r="U1491" t="s">
        <v>23</v>
      </c>
      <c r="V1491">
        <v>3</v>
      </c>
      <c r="W1491">
        <f>COUNTIF($A$2:A1491,A1491)</f>
        <v>1</v>
      </c>
    </row>
    <row r="1492" spans="1:23" x14ac:dyDescent="0.35">
      <c r="A1492" t="s">
        <v>1422</v>
      </c>
      <c r="B1492" s="2">
        <v>44541</v>
      </c>
      <c r="D1492" t="s">
        <v>23</v>
      </c>
      <c r="E1492">
        <v>42</v>
      </c>
      <c r="F1492" t="s">
        <v>62</v>
      </c>
      <c r="G1492" t="s">
        <v>25</v>
      </c>
      <c r="H1492" t="s">
        <v>26</v>
      </c>
      <c r="I1492" t="s">
        <v>38</v>
      </c>
      <c r="J1492" t="s">
        <v>52</v>
      </c>
      <c r="K1492">
        <v>2</v>
      </c>
      <c r="L1492" t="s">
        <v>40</v>
      </c>
      <c r="M1492">
        <v>45000</v>
      </c>
      <c r="N1492">
        <v>14</v>
      </c>
      <c r="O1492">
        <v>5.0999999999999996</v>
      </c>
      <c r="P1492">
        <v>4.0999999999999996</v>
      </c>
      <c r="Q1492">
        <v>1.6</v>
      </c>
      <c r="R1492">
        <v>4</v>
      </c>
      <c r="S1492">
        <v>4</v>
      </c>
      <c r="T1492">
        <v>3</v>
      </c>
      <c r="U1492" t="s">
        <v>30</v>
      </c>
      <c r="V1492">
        <v>3</v>
      </c>
      <c r="W1492">
        <f>COUNTIF($A$2:A1492,A1492)</f>
        <v>1</v>
      </c>
    </row>
    <row r="1493" spans="1:23" x14ac:dyDescent="0.35">
      <c r="A1493" t="s">
        <v>168</v>
      </c>
      <c r="B1493" s="2">
        <v>45745</v>
      </c>
      <c r="D1493" t="s">
        <v>23</v>
      </c>
      <c r="E1493">
        <v>24</v>
      </c>
      <c r="F1493" t="s">
        <v>62</v>
      </c>
      <c r="G1493" t="s">
        <v>25</v>
      </c>
      <c r="H1493" t="s">
        <v>32</v>
      </c>
      <c r="I1493" t="s">
        <v>27</v>
      </c>
      <c r="J1493" t="s">
        <v>95</v>
      </c>
      <c r="K1493">
        <v>1</v>
      </c>
      <c r="L1493" t="s">
        <v>40</v>
      </c>
      <c r="M1493">
        <v>39000</v>
      </c>
      <c r="N1493">
        <v>9</v>
      </c>
      <c r="O1493">
        <v>8.6</v>
      </c>
      <c r="P1493">
        <v>0.8</v>
      </c>
      <c r="Q1493">
        <v>0</v>
      </c>
      <c r="R1493">
        <v>4</v>
      </c>
      <c r="S1493">
        <v>2</v>
      </c>
      <c r="T1493">
        <v>4</v>
      </c>
      <c r="U1493" t="s">
        <v>30</v>
      </c>
      <c r="V1493">
        <v>3</v>
      </c>
      <c r="W1493">
        <f>COUNTIF($A$2:A1493,A1493)</f>
        <v>1</v>
      </c>
    </row>
    <row r="1494" spans="1:23" x14ac:dyDescent="0.35">
      <c r="A1494" t="s">
        <v>840</v>
      </c>
      <c r="B1494" s="2">
        <v>44980</v>
      </c>
      <c r="D1494" t="s">
        <v>23</v>
      </c>
      <c r="E1494">
        <v>36</v>
      </c>
      <c r="F1494" t="s">
        <v>24</v>
      </c>
      <c r="G1494" t="s">
        <v>42</v>
      </c>
      <c r="H1494" t="s">
        <v>26</v>
      </c>
      <c r="I1494" t="s">
        <v>48</v>
      </c>
      <c r="J1494" t="s">
        <v>201</v>
      </c>
      <c r="K1494">
        <v>3</v>
      </c>
      <c r="L1494" t="s">
        <v>40</v>
      </c>
      <c r="M1494">
        <v>88000</v>
      </c>
      <c r="N1494">
        <v>6.6</v>
      </c>
      <c r="O1494">
        <v>8.5</v>
      </c>
      <c r="P1494">
        <v>2.9</v>
      </c>
      <c r="Q1494">
        <v>0.1</v>
      </c>
      <c r="R1494">
        <v>3</v>
      </c>
      <c r="S1494">
        <v>3</v>
      </c>
      <c r="T1494">
        <v>4</v>
      </c>
      <c r="U1494" t="s">
        <v>23</v>
      </c>
      <c r="V1494">
        <v>4</v>
      </c>
      <c r="W1494">
        <f>COUNTIF($A$2:A1494,A1494)</f>
        <v>1</v>
      </c>
    </row>
    <row r="1495" spans="1:23" x14ac:dyDescent="0.35">
      <c r="A1495" t="s">
        <v>1548</v>
      </c>
      <c r="B1495" s="2">
        <v>45900</v>
      </c>
      <c r="D1495" t="s">
        <v>23</v>
      </c>
      <c r="E1495">
        <v>21</v>
      </c>
      <c r="F1495" t="s">
        <v>24</v>
      </c>
      <c r="G1495" t="s">
        <v>25</v>
      </c>
      <c r="H1495" t="s">
        <v>54</v>
      </c>
      <c r="I1495" t="s">
        <v>27</v>
      </c>
      <c r="J1495" t="s">
        <v>28</v>
      </c>
      <c r="K1495">
        <v>1</v>
      </c>
      <c r="L1495" t="s">
        <v>29</v>
      </c>
      <c r="M1495">
        <v>22000</v>
      </c>
      <c r="N1495">
        <v>9.5</v>
      </c>
      <c r="O1495">
        <v>1.7</v>
      </c>
      <c r="P1495">
        <v>0.3</v>
      </c>
      <c r="Q1495">
        <v>0</v>
      </c>
      <c r="R1495">
        <v>1</v>
      </c>
      <c r="S1495">
        <v>3</v>
      </c>
      <c r="T1495">
        <v>3</v>
      </c>
      <c r="U1495" t="s">
        <v>23</v>
      </c>
      <c r="V1495">
        <v>2</v>
      </c>
      <c r="W1495">
        <f>COUNTIF($A$2:A1495,A1495)</f>
        <v>1</v>
      </c>
    </row>
    <row r="1496" spans="1:23" x14ac:dyDescent="0.35">
      <c r="A1496" t="s">
        <v>779</v>
      </c>
      <c r="B1496" s="2">
        <v>44518</v>
      </c>
      <c r="D1496" t="s">
        <v>23</v>
      </c>
      <c r="E1496">
        <v>28</v>
      </c>
      <c r="F1496" t="s">
        <v>62</v>
      </c>
      <c r="G1496" t="s">
        <v>37</v>
      </c>
      <c r="H1496" t="s">
        <v>54</v>
      </c>
      <c r="I1496" t="s">
        <v>68</v>
      </c>
      <c r="J1496" t="s">
        <v>102</v>
      </c>
      <c r="K1496">
        <v>2</v>
      </c>
      <c r="L1496" t="s">
        <v>40</v>
      </c>
      <c r="M1496">
        <v>60000</v>
      </c>
      <c r="N1496">
        <v>11.1</v>
      </c>
      <c r="O1496">
        <v>10.4</v>
      </c>
      <c r="P1496">
        <v>4.0999999999999996</v>
      </c>
      <c r="Q1496">
        <v>1.5</v>
      </c>
      <c r="R1496">
        <v>3</v>
      </c>
      <c r="S1496">
        <v>2</v>
      </c>
      <c r="T1496">
        <v>3</v>
      </c>
      <c r="U1496" t="s">
        <v>30</v>
      </c>
      <c r="V1496">
        <v>2</v>
      </c>
      <c r="W1496">
        <f>COUNTIF($A$2:A1496,A1496)</f>
        <v>1</v>
      </c>
    </row>
    <row r="1497" spans="1:23" x14ac:dyDescent="0.35">
      <c r="A1497" t="s">
        <v>1173</v>
      </c>
      <c r="B1497" s="2">
        <v>44183</v>
      </c>
      <c r="D1497" t="s">
        <v>23</v>
      </c>
      <c r="E1497">
        <v>32</v>
      </c>
      <c r="F1497" t="s">
        <v>36</v>
      </c>
      <c r="G1497" t="s">
        <v>25</v>
      </c>
      <c r="H1497" t="s">
        <v>26</v>
      </c>
      <c r="I1497" t="s">
        <v>38</v>
      </c>
      <c r="J1497" t="s">
        <v>118</v>
      </c>
      <c r="K1497">
        <v>2</v>
      </c>
      <c r="L1497" t="s">
        <v>84</v>
      </c>
      <c r="M1497">
        <v>65000</v>
      </c>
      <c r="N1497">
        <v>7.2</v>
      </c>
      <c r="O1497">
        <v>11.8</v>
      </c>
      <c r="P1497">
        <v>5</v>
      </c>
      <c r="Q1497">
        <v>4</v>
      </c>
      <c r="R1497">
        <v>3</v>
      </c>
      <c r="S1497">
        <v>3</v>
      </c>
      <c r="T1497">
        <v>4</v>
      </c>
      <c r="U1497" t="s">
        <v>23</v>
      </c>
      <c r="V1497">
        <v>3</v>
      </c>
      <c r="W1497">
        <f>COUNTIF($A$2:A1497,A1497)</f>
        <v>1</v>
      </c>
    </row>
    <row r="1498" spans="1:23" x14ac:dyDescent="0.35">
      <c r="A1498" t="s">
        <v>929</v>
      </c>
      <c r="B1498" s="2">
        <v>45259</v>
      </c>
      <c r="D1498" t="s">
        <v>23</v>
      </c>
      <c r="E1498">
        <v>27</v>
      </c>
      <c r="F1498" t="s">
        <v>62</v>
      </c>
      <c r="G1498" t="s">
        <v>25</v>
      </c>
      <c r="H1498" t="s">
        <v>58</v>
      </c>
      <c r="I1498" t="s">
        <v>27</v>
      </c>
      <c r="J1498" t="s">
        <v>33</v>
      </c>
      <c r="K1498">
        <v>1</v>
      </c>
      <c r="L1498" t="s">
        <v>66</v>
      </c>
      <c r="M1498">
        <v>51000</v>
      </c>
      <c r="N1498">
        <v>9.1</v>
      </c>
      <c r="O1498">
        <v>6.3</v>
      </c>
      <c r="P1498">
        <v>2.1</v>
      </c>
      <c r="Q1498">
        <v>0.5</v>
      </c>
      <c r="R1498">
        <v>3</v>
      </c>
      <c r="S1498">
        <v>3</v>
      </c>
      <c r="T1498">
        <v>4</v>
      </c>
      <c r="U1498" t="s">
        <v>23</v>
      </c>
      <c r="V1498">
        <v>4</v>
      </c>
      <c r="W1498">
        <f>COUNTIF($A$2:A1498,A1498)</f>
        <v>1</v>
      </c>
    </row>
    <row r="1499" spans="1:23" x14ac:dyDescent="0.35">
      <c r="A1499" t="s">
        <v>289</v>
      </c>
      <c r="B1499" s="2">
        <v>42007</v>
      </c>
      <c r="D1499" t="s">
        <v>23</v>
      </c>
      <c r="E1499">
        <v>43</v>
      </c>
      <c r="F1499" t="s">
        <v>62</v>
      </c>
      <c r="G1499" t="s">
        <v>37</v>
      </c>
      <c r="H1499" t="s">
        <v>32</v>
      </c>
      <c r="I1499" t="s">
        <v>59</v>
      </c>
      <c r="J1499" t="s">
        <v>75</v>
      </c>
      <c r="K1499">
        <v>2</v>
      </c>
      <c r="M1499">
        <v>53000</v>
      </c>
      <c r="N1499">
        <v>12.4</v>
      </c>
      <c r="O1499">
        <v>18.100000000000001</v>
      </c>
      <c r="P1499">
        <v>11</v>
      </c>
      <c r="Q1499">
        <v>4.9000000000000004</v>
      </c>
      <c r="R1499">
        <v>1</v>
      </c>
      <c r="S1499">
        <v>1</v>
      </c>
      <c r="T1499">
        <v>3</v>
      </c>
      <c r="U1499" t="s">
        <v>23</v>
      </c>
      <c r="V1499">
        <v>4</v>
      </c>
      <c r="W1499">
        <f>COUNTIF($A$2:A1499,A1499)</f>
        <v>1</v>
      </c>
    </row>
    <row r="1500" spans="1:23" x14ac:dyDescent="0.35">
      <c r="A1500" t="s">
        <v>1178</v>
      </c>
      <c r="B1500" s="2">
        <v>45368</v>
      </c>
      <c r="D1500" t="s">
        <v>23</v>
      </c>
      <c r="E1500">
        <v>35</v>
      </c>
      <c r="F1500" t="s">
        <v>62</v>
      </c>
      <c r="G1500" t="s">
        <v>25</v>
      </c>
      <c r="H1500" t="s">
        <v>26</v>
      </c>
      <c r="I1500" t="s">
        <v>59</v>
      </c>
      <c r="J1500" t="s">
        <v>60</v>
      </c>
      <c r="K1500">
        <v>2</v>
      </c>
      <c r="L1500" t="s">
        <v>29</v>
      </c>
      <c r="M1500">
        <v>46000</v>
      </c>
      <c r="N1500">
        <v>12.9</v>
      </c>
      <c r="O1500">
        <v>4.8</v>
      </c>
      <c r="P1500">
        <v>1.8</v>
      </c>
      <c r="Q1500">
        <v>0.2</v>
      </c>
      <c r="R1500">
        <v>4</v>
      </c>
      <c r="S1500">
        <v>2</v>
      </c>
      <c r="T1500">
        <v>3</v>
      </c>
      <c r="U1500" t="s">
        <v>23</v>
      </c>
      <c r="V1500">
        <v>4</v>
      </c>
      <c r="W1500">
        <f>COUNTIF($A$2:A1500,A1500)</f>
        <v>1</v>
      </c>
    </row>
    <row r="1501" spans="1:23" x14ac:dyDescent="0.35">
      <c r="A1501" t="s">
        <v>501</v>
      </c>
      <c r="B1501" s="2">
        <v>44681</v>
      </c>
      <c r="C1501" s="2">
        <v>46016</v>
      </c>
      <c r="D1501" t="s">
        <v>30</v>
      </c>
      <c r="E1501">
        <v>38</v>
      </c>
      <c r="F1501" t="s">
        <v>24</v>
      </c>
      <c r="G1501" t="s">
        <v>37</v>
      </c>
      <c r="H1501" t="s">
        <v>32</v>
      </c>
      <c r="I1501" t="s">
        <v>59</v>
      </c>
      <c r="J1501" t="s">
        <v>75</v>
      </c>
      <c r="K1501">
        <v>2</v>
      </c>
      <c r="L1501" t="s">
        <v>66</v>
      </c>
      <c r="M1501">
        <v>32000</v>
      </c>
      <c r="N1501">
        <v>10.8</v>
      </c>
      <c r="O1501">
        <v>4.2</v>
      </c>
      <c r="P1501">
        <v>3.7</v>
      </c>
      <c r="Q1501">
        <v>2.5</v>
      </c>
      <c r="R1501">
        <v>2</v>
      </c>
      <c r="S1501">
        <v>3</v>
      </c>
      <c r="T1501">
        <v>3</v>
      </c>
      <c r="U1501" t="s">
        <v>23</v>
      </c>
      <c r="V1501">
        <v>5</v>
      </c>
      <c r="W1501">
        <f>COUNTIF($A$2:A1501,A1501)</f>
        <v>1</v>
      </c>
    </row>
    <row r="1502" spans="1:23" x14ac:dyDescent="0.35">
      <c r="A1502" t="s">
        <v>468</v>
      </c>
      <c r="B1502" s="2">
        <v>44630</v>
      </c>
      <c r="D1502" t="s">
        <v>23</v>
      </c>
      <c r="E1502">
        <v>45</v>
      </c>
      <c r="F1502" t="s">
        <v>62</v>
      </c>
      <c r="G1502" t="s">
        <v>25</v>
      </c>
      <c r="H1502" t="s">
        <v>32</v>
      </c>
      <c r="I1502" t="s">
        <v>27</v>
      </c>
      <c r="J1502" t="s">
        <v>28</v>
      </c>
      <c r="K1502">
        <v>4</v>
      </c>
      <c r="L1502" t="s">
        <v>40</v>
      </c>
      <c r="M1502">
        <v>111000</v>
      </c>
      <c r="N1502">
        <v>10</v>
      </c>
      <c r="O1502">
        <v>7</v>
      </c>
      <c r="P1502">
        <v>3.8</v>
      </c>
      <c r="Q1502">
        <v>1.8</v>
      </c>
      <c r="R1502">
        <v>4</v>
      </c>
      <c r="S1502">
        <v>3</v>
      </c>
      <c r="T1502">
        <v>3</v>
      </c>
      <c r="U1502" t="s">
        <v>23</v>
      </c>
      <c r="V1502">
        <v>4</v>
      </c>
      <c r="W1502">
        <f>COUNTIF($A$2:A1502,A1502)</f>
        <v>1</v>
      </c>
    </row>
    <row r="1503" spans="1:23" x14ac:dyDescent="0.35">
      <c r="A1503" t="s">
        <v>329</v>
      </c>
      <c r="B1503" s="2">
        <v>44818</v>
      </c>
      <c r="D1503" t="s">
        <v>23</v>
      </c>
      <c r="E1503">
        <v>26</v>
      </c>
      <c r="F1503" t="s">
        <v>24</v>
      </c>
      <c r="G1503" t="s">
        <v>25</v>
      </c>
      <c r="H1503" t="s">
        <v>32</v>
      </c>
      <c r="I1503" t="s">
        <v>55</v>
      </c>
      <c r="J1503" t="s">
        <v>80</v>
      </c>
      <c r="K1503">
        <v>1</v>
      </c>
      <c r="L1503" t="s">
        <v>29</v>
      </c>
      <c r="M1503">
        <v>54000</v>
      </c>
      <c r="N1503">
        <v>17</v>
      </c>
      <c r="O1503">
        <v>7.7</v>
      </c>
      <c r="P1503">
        <v>3.3</v>
      </c>
      <c r="Q1503">
        <v>2.8</v>
      </c>
      <c r="R1503">
        <v>3</v>
      </c>
      <c r="S1503">
        <v>1</v>
      </c>
      <c r="T1503">
        <v>3</v>
      </c>
      <c r="U1503" t="s">
        <v>23</v>
      </c>
      <c r="V1503">
        <v>3</v>
      </c>
      <c r="W1503">
        <f>COUNTIF($A$2:A1503,A1503)</f>
        <v>1</v>
      </c>
    </row>
    <row r="1504" spans="1:23" x14ac:dyDescent="0.35">
      <c r="A1504" t="s">
        <v>1158</v>
      </c>
      <c r="B1504" s="2">
        <v>44331</v>
      </c>
      <c r="D1504" t="s">
        <v>23</v>
      </c>
      <c r="E1504">
        <v>44</v>
      </c>
      <c r="F1504" t="s">
        <v>62</v>
      </c>
      <c r="G1504" t="s">
        <v>42</v>
      </c>
      <c r="H1504" t="s">
        <v>54</v>
      </c>
      <c r="I1504" t="s">
        <v>45</v>
      </c>
      <c r="J1504" t="s">
        <v>77</v>
      </c>
      <c r="K1504">
        <v>3</v>
      </c>
      <c r="L1504" t="s">
        <v>66</v>
      </c>
      <c r="M1504">
        <v>67000</v>
      </c>
      <c r="N1504">
        <v>5.8</v>
      </c>
      <c r="O1504">
        <v>8.9</v>
      </c>
      <c r="P1504">
        <v>4.5999999999999996</v>
      </c>
      <c r="Q1504">
        <v>4</v>
      </c>
      <c r="R1504">
        <v>4</v>
      </c>
      <c r="S1504">
        <v>3</v>
      </c>
      <c r="T1504">
        <v>1</v>
      </c>
      <c r="U1504" t="s">
        <v>23</v>
      </c>
      <c r="V1504">
        <v>4</v>
      </c>
      <c r="W1504">
        <f>COUNTIF($A$2:A1504,A1504)</f>
        <v>1</v>
      </c>
    </row>
    <row r="1505" spans="1:23" x14ac:dyDescent="0.35">
      <c r="A1505" t="s">
        <v>1462</v>
      </c>
      <c r="B1505" s="2">
        <v>43014</v>
      </c>
      <c r="D1505" t="s">
        <v>23</v>
      </c>
      <c r="E1505">
        <v>36</v>
      </c>
      <c r="F1505" t="s">
        <v>24</v>
      </c>
      <c r="G1505" t="s">
        <v>25</v>
      </c>
      <c r="H1505" t="s">
        <v>32</v>
      </c>
      <c r="I1505" t="s">
        <v>68</v>
      </c>
      <c r="J1505" t="s">
        <v>121</v>
      </c>
      <c r="K1505">
        <v>2</v>
      </c>
      <c r="L1505" t="s">
        <v>34</v>
      </c>
      <c r="M1505">
        <v>49000</v>
      </c>
      <c r="N1505">
        <v>11.2</v>
      </c>
      <c r="O1505">
        <v>15.6</v>
      </c>
      <c r="P1505">
        <v>8.1999999999999993</v>
      </c>
      <c r="Q1505">
        <v>0.9</v>
      </c>
      <c r="R1505">
        <v>1</v>
      </c>
      <c r="S1505">
        <v>3</v>
      </c>
      <c r="T1505">
        <v>2</v>
      </c>
      <c r="U1505" t="s">
        <v>30</v>
      </c>
      <c r="V1505">
        <v>4</v>
      </c>
      <c r="W1505">
        <f>COUNTIF($A$2:A1505,A1505)</f>
        <v>1</v>
      </c>
    </row>
    <row r="1506" spans="1:23" x14ac:dyDescent="0.35">
      <c r="A1506" t="s">
        <v>569</v>
      </c>
      <c r="B1506" s="2">
        <v>45079</v>
      </c>
      <c r="D1506" t="s">
        <v>23</v>
      </c>
      <c r="E1506">
        <v>26</v>
      </c>
      <c r="F1506" t="s">
        <v>62</v>
      </c>
      <c r="G1506" t="s">
        <v>25</v>
      </c>
      <c r="H1506" t="s">
        <v>54</v>
      </c>
      <c r="I1506" t="s">
        <v>38</v>
      </c>
      <c r="J1506" t="s">
        <v>52</v>
      </c>
      <c r="K1506">
        <v>1</v>
      </c>
      <c r="L1506" t="s">
        <v>84</v>
      </c>
      <c r="M1506">
        <v>42000</v>
      </c>
      <c r="N1506">
        <v>12.5</v>
      </c>
      <c r="O1506">
        <v>5.0999999999999996</v>
      </c>
      <c r="P1506">
        <v>2.6</v>
      </c>
      <c r="Q1506">
        <v>1.2</v>
      </c>
      <c r="R1506">
        <v>3</v>
      </c>
      <c r="S1506">
        <v>3</v>
      </c>
      <c r="T1506">
        <v>4</v>
      </c>
      <c r="U1506" t="s">
        <v>30</v>
      </c>
      <c r="V1506">
        <v>3</v>
      </c>
      <c r="W1506">
        <f>COUNTIF($A$2:A1506,A1506)</f>
        <v>1</v>
      </c>
    </row>
    <row r="1507" spans="1:23" x14ac:dyDescent="0.35">
      <c r="A1507" t="s">
        <v>113</v>
      </c>
      <c r="B1507" s="2">
        <v>44408</v>
      </c>
      <c r="D1507" t="s">
        <v>23</v>
      </c>
      <c r="E1507">
        <v>41</v>
      </c>
      <c r="F1507" t="s">
        <v>36</v>
      </c>
      <c r="G1507" t="s">
        <v>25</v>
      </c>
      <c r="H1507" t="s">
        <v>32</v>
      </c>
      <c r="I1507" t="s">
        <v>68</v>
      </c>
      <c r="J1507" t="s">
        <v>69</v>
      </c>
      <c r="K1507">
        <v>4</v>
      </c>
      <c r="L1507" t="s">
        <v>84</v>
      </c>
      <c r="M1507">
        <v>99000</v>
      </c>
      <c r="N1507">
        <v>10.9</v>
      </c>
      <c r="O1507">
        <v>6.6</v>
      </c>
      <c r="P1507">
        <v>4.4000000000000004</v>
      </c>
      <c r="Q1507">
        <v>0</v>
      </c>
      <c r="R1507">
        <v>2</v>
      </c>
      <c r="S1507">
        <v>3</v>
      </c>
      <c r="T1507">
        <v>3</v>
      </c>
      <c r="U1507" t="s">
        <v>23</v>
      </c>
      <c r="V1507">
        <v>4</v>
      </c>
      <c r="W1507">
        <f>COUNTIF($A$2:A1507,A1507)</f>
        <v>1</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topLeftCell="A16" zoomScale="161" workbookViewId="0"/>
  </sheetViews>
  <sheetFormatPr defaultRowHeight="14.5" x14ac:dyDescent="0.35"/>
  <cols>
    <col min="1" max="1" width="25" bestFit="1" customWidth="1"/>
    <col min="2" max="2" width="52.81640625" bestFit="1" customWidth="1"/>
  </cols>
  <sheetData>
    <row r="1" spans="1:2" x14ac:dyDescent="0.35">
      <c r="A1" s="1" t="s">
        <v>1592</v>
      </c>
      <c r="B1" s="1" t="s">
        <v>1593</v>
      </c>
    </row>
    <row r="2" spans="1:2" x14ac:dyDescent="0.35">
      <c r="A2" t="s">
        <v>0</v>
      </c>
      <c r="B2" t="s">
        <v>1594</v>
      </c>
    </row>
    <row r="3" spans="1:2" x14ac:dyDescent="0.35">
      <c r="A3" t="s">
        <v>1</v>
      </c>
      <c r="B3" t="s">
        <v>1595</v>
      </c>
    </row>
    <row r="4" spans="1:2" x14ac:dyDescent="0.35">
      <c r="A4" t="s">
        <v>2</v>
      </c>
      <c r="B4" t="s">
        <v>1596</v>
      </c>
    </row>
    <row r="5" spans="1:2" x14ac:dyDescent="0.35">
      <c r="A5" t="s">
        <v>3</v>
      </c>
      <c r="B5" t="s">
        <v>1597</v>
      </c>
    </row>
    <row r="6" spans="1:2" x14ac:dyDescent="0.35">
      <c r="A6" t="s">
        <v>4</v>
      </c>
      <c r="B6" t="s">
        <v>1598</v>
      </c>
    </row>
    <row r="7" spans="1:2" x14ac:dyDescent="0.35">
      <c r="A7" t="s">
        <v>5</v>
      </c>
      <c r="B7" t="s">
        <v>1599</v>
      </c>
    </row>
    <row r="8" spans="1:2" x14ac:dyDescent="0.35">
      <c r="A8" t="s">
        <v>6</v>
      </c>
      <c r="B8" t="s">
        <v>1600</v>
      </c>
    </row>
    <row r="9" spans="1:2" x14ac:dyDescent="0.35">
      <c r="A9" t="s">
        <v>7</v>
      </c>
      <c r="B9" t="s">
        <v>1601</v>
      </c>
    </row>
    <row r="10" spans="1:2" x14ac:dyDescent="0.35">
      <c r="A10" t="s">
        <v>8</v>
      </c>
      <c r="B10" t="s">
        <v>1602</v>
      </c>
    </row>
    <row r="11" spans="1:2" x14ac:dyDescent="0.35">
      <c r="A11" t="s">
        <v>9</v>
      </c>
      <c r="B11" t="s">
        <v>1603</v>
      </c>
    </row>
    <row r="12" spans="1:2" x14ac:dyDescent="0.35">
      <c r="A12" t="s">
        <v>10</v>
      </c>
      <c r="B12" t="s">
        <v>1604</v>
      </c>
    </row>
    <row r="13" spans="1:2" x14ac:dyDescent="0.35">
      <c r="A13" t="s">
        <v>11</v>
      </c>
      <c r="B13" t="s">
        <v>1605</v>
      </c>
    </row>
    <row r="14" spans="1:2" x14ac:dyDescent="0.35">
      <c r="A14" t="s">
        <v>12</v>
      </c>
      <c r="B14" t="s">
        <v>1606</v>
      </c>
    </row>
    <row r="15" spans="1:2" x14ac:dyDescent="0.35">
      <c r="A15" t="s">
        <v>13</v>
      </c>
      <c r="B15" t="s">
        <v>1607</v>
      </c>
    </row>
    <row r="16" spans="1:2" x14ac:dyDescent="0.35">
      <c r="A16" t="s">
        <v>14</v>
      </c>
      <c r="B16" t="s">
        <v>1608</v>
      </c>
    </row>
    <row r="17" spans="1:2" x14ac:dyDescent="0.35">
      <c r="A17" t="s">
        <v>15</v>
      </c>
      <c r="B17" t="s">
        <v>1609</v>
      </c>
    </row>
    <row r="18" spans="1:2" x14ac:dyDescent="0.35">
      <c r="A18" t="s">
        <v>16</v>
      </c>
      <c r="B18" t="s">
        <v>1610</v>
      </c>
    </row>
    <row r="19" spans="1:2" x14ac:dyDescent="0.35">
      <c r="A19" t="s">
        <v>17</v>
      </c>
      <c r="B19" t="s">
        <v>1611</v>
      </c>
    </row>
    <row r="20" spans="1:2" x14ac:dyDescent="0.35">
      <c r="A20" t="s">
        <v>18</v>
      </c>
      <c r="B20" t="s">
        <v>1612</v>
      </c>
    </row>
    <row r="21" spans="1:2" x14ac:dyDescent="0.35">
      <c r="A21" t="s">
        <v>19</v>
      </c>
      <c r="B21" t="s">
        <v>1613</v>
      </c>
    </row>
    <row r="22" spans="1:2" x14ac:dyDescent="0.35">
      <c r="A22" t="s">
        <v>20</v>
      </c>
      <c r="B22" t="s">
        <v>1614</v>
      </c>
    </row>
    <row r="23" spans="1:2" x14ac:dyDescent="0.35">
      <c r="A23" t="s">
        <v>21</v>
      </c>
      <c r="B23" t="s">
        <v>1615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507"/>
  <sheetViews>
    <sheetView topLeftCell="A4" workbookViewId="0">
      <selection sqref="A1:X1507"/>
    </sheetView>
  </sheetViews>
  <sheetFormatPr defaultRowHeight="14.5" x14ac:dyDescent="0.35"/>
  <cols>
    <col min="1" max="1" width="14.08984375" bestFit="1" customWidth="1"/>
    <col min="2" max="2" width="13.81640625" bestFit="1" customWidth="1"/>
    <col min="3" max="3" width="11.1796875" bestFit="1" customWidth="1"/>
    <col min="4" max="4" width="10.26953125" bestFit="1" customWidth="1"/>
    <col min="5" max="5" width="6.1796875" bestFit="1" customWidth="1"/>
    <col min="6" max="6" width="10.1796875" bestFit="1" customWidth="1"/>
    <col min="7" max="7" width="15.54296875" bestFit="1" customWidth="1"/>
    <col min="8" max="8" width="11.453125" bestFit="1" customWidth="1"/>
    <col min="9" max="9" width="16.81640625" bestFit="1" customWidth="1"/>
    <col min="10" max="10" width="28.26953125" bestFit="1" customWidth="1"/>
    <col min="11" max="11" width="11.08984375" bestFit="1" customWidth="1"/>
    <col min="12" max="12" width="10.1796875" bestFit="1" customWidth="1"/>
    <col min="13" max="13" width="16.26953125" bestFit="1" customWidth="1"/>
    <col min="14" max="14" width="16.54296875" bestFit="1" customWidth="1"/>
    <col min="15" max="15" width="23.36328125" bestFit="1" customWidth="1"/>
    <col min="16" max="16" width="19.453125" bestFit="1" customWidth="1"/>
    <col min="17" max="17" width="27.6328125" bestFit="1" customWidth="1"/>
    <col min="18" max="18" width="16.7265625" bestFit="1" customWidth="1"/>
    <col min="19" max="19" width="24.90625" bestFit="1" customWidth="1"/>
    <col min="20" max="20" width="19.26953125" bestFit="1" customWidth="1"/>
    <col min="21" max="21" width="10.90625" bestFit="1" customWidth="1"/>
    <col min="22" max="22" width="20.36328125" bestFit="1" customWidth="1"/>
    <col min="23" max="24" width="10.5429687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1628</v>
      </c>
      <c r="X1" t="s">
        <v>1629</v>
      </c>
    </row>
    <row r="2" spans="1:24" x14ac:dyDescent="0.35">
      <c r="A2" t="s">
        <v>1008</v>
      </c>
      <c r="B2" s="6">
        <v>44738</v>
      </c>
      <c r="D2" t="s">
        <v>23</v>
      </c>
      <c r="E2">
        <v>36</v>
      </c>
      <c r="F2" t="s">
        <v>62</v>
      </c>
      <c r="G2" t="s">
        <v>25</v>
      </c>
      <c r="H2" t="s">
        <v>26</v>
      </c>
      <c r="I2" t="s">
        <v>45</v>
      </c>
      <c r="J2" t="s">
        <v>164</v>
      </c>
      <c r="K2">
        <v>1</v>
      </c>
      <c r="L2" t="s">
        <v>66</v>
      </c>
      <c r="M2">
        <v>30000</v>
      </c>
      <c r="N2">
        <v>11.6</v>
      </c>
      <c r="O2">
        <v>10.7</v>
      </c>
      <c r="P2">
        <v>3.5</v>
      </c>
      <c r="Q2">
        <v>0.3</v>
      </c>
      <c r="R2">
        <v>4</v>
      </c>
      <c r="S2">
        <v>3</v>
      </c>
      <c r="T2">
        <v>1</v>
      </c>
      <c r="U2" t="s">
        <v>30</v>
      </c>
      <c r="V2">
        <v>3</v>
      </c>
      <c r="W2">
        <v>1</v>
      </c>
    </row>
    <row r="3" spans="1:24" x14ac:dyDescent="0.35">
      <c r="A3" t="s">
        <v>1020</v>
      </c>
      <c r="B3" s="6">
        <v>43610</v>
      </c>
      <c r="D3" t="s">
        <v>23</v>
      </c>
      <c r="E3">
        <v>31</v>
      </c>
      <c r="F3" t="s">
        <v>24</v>
      </c>
      <c r="G3" t="s">
        <v>42</v>
      </c>
      <c r="H3" t="s">
        <v>26</v>
      </c>
      <c r="I3" t="s">
        <v>55</v>
      </c>
      <c r="J3" t="s">
        <v>80</v>
      </c>
      <c r="K3">
        <v>2</v>
      </c>
      <c r="L3" t="s">
        <v>84</v>
      </c>
      <c r="M3">
        <v>59000</v>
      </c>
      <c r="N3">
        <v>15.3</v>
      </c>
      <c r="O3">
        <v>12.2</v>
      </c>
      <c r="P3">
        <v>6.6</v>
      </c>
      <c r="Q3">
        <v>2</v>
      </c>
      <c r="R3">
        <v>1</v>
      </c>
      <c r="S3">
        <v>2</v>
      </c>
      <c r="T3">
        <v>4</v>
      </c>
      <c r="U3" t="s">
        <v>23</v>
      </c>
      <c r="V3">
        <v>3</v>
      </c>
      <c r="W3">
        <v>1</v>
      </c>
    </row>
    <row r="4" spans="1:24" x14ac:dyDescent="0.35">
      <c r="A4" t="s">
        <v>314</v>
      </c>
      <c r="B4" s="6">
        <v>43053</v>
      </c>
      <c r="D4" t="s">
        <v>23</v>
      </c>
      <c r="E4">
        <v>30</v>
      </c>
      <c r="F4" t="s">
        <v>62</v>
      </c>
      <c r="G4" t="s">
        <v>37</v>
      </c>
      <c r="H4" t="s">
        <v>26</v>
      </c>
      <c r="I4" t="s">
        <v>59</v>
      </c>
      <c r="J4" t="s">
        <v>150</v>
      </c>
      <c r="K4">
        <v>3</v>
      </c>
      <c r="L4" t="s">
        <v>50</v>
      </c>
      <c r="M4">
        <v>80000</v>
      </c>
      <c r="N4">
        <v>7.1</v>
      </c>
      <c r="O4">
        <v>11.2</v>
      </c>
      <c r="P4">
        <v>8.1</v>
      </c>
      <c r="Q4">
        <v>3.3</v>
      </c>
      <c r="R4">
        <v>3</v>
      </c>
      <c r="S4">
        <v>4</v>
      </c>
      <c r="T4">
        <v>3</v>
      </c>
      <c r="U4" t="s">
        <v>23</v>
      </c>
      <c r="V4">
        <v>4</v>
      </c>
      <c r="W4">
        <v>1</v>
      </c>
    </row>
    <row r="5" spans="1:24" x14ac:dyDescent="0.35">
      <c r="A5" t="s">
        <v>533</v>
      </c>
      <c r="B5" s="6">
        <v>41703</v>
      </c>
      <c r="D5" t="s">
        <v>23</v>
      </c>
      <c r="E5">
        <v>35</v>
      </c>
      <c r="F5" t="s">
        <v>62</v>
      </c>
      <c r="G5" t="s">
        <v>25</v>
      </c>
      <c r="H5" t="s">
        <v>26</v>
      </c>
      <c r="I5" t="s">
        <v>45</v>
      </c>
      <c r="J5" t="s">
        <v>97</v>
      </c>
      <c r="K5">
        <v>3</v>
      </c>
      <c r="L5" t="s">
        <v>66</v>
      </c>
      <c r="M5">
        <v>55000</v>
      </c>
      <c r="N5">
        <v>2.1</v>
      </c>
      <c r="O5">
        <v>15.5</v>
      </c>
      <c r="P5">
        <v>11.8</v>
      </c>
      <c r="Q5">
        <v>5</v>
      </c>
      <c r="R5">
        <v>4</v>
      </c>
      <c r="S5">
        <v>2</v>
      </c>
      <c r="T5">
        <v>3</v>
      </c>
      <c r="U5" t="s">
        <v>23</v>
      </c>
      <c r="V5">
        <v>4</v>
      </c>
      <c r="W5">
        <v>1</v>
      </c>
    </row>
    <row r="6" spans="1:24" x14ac:dyDescent="0.35">
      <c r="A6" t="s">
        <v>615</v>
      </c>
      <c r="B6" s="6">
        <v>44801</v>
      </c>
      <c r="D6" t="s">
        <v>23</v>
      </c>
      <c r="E6">
        <v>26</v>
      </c>
      <c r="F6" t="s">
        <v>24</v>
      </c>
      <c r="G6" t="s">
        <v>37</v>
      </c>
      <c r="H6" t="s">
        <v>26</v>
      </c>
      <c r="I6" t="s">
        <v>45</v>
      </c>
      <c r="J6" t="s">
        <v>97</v>
      </c>
      <c r="K6">
        <v>1</v>
      </c>
      <c r="L6" t="s">
        <v>84</v>
      </c>
      <c r="M6">
        <v>34000</v>
      </c>
      <c r="N6">
        <v>5.4</v>
      </c>
      <c r="O6">
        <v>10.7</v>
      </c>
      <c r="P6">
        <v>3.3</v>
      </c>
      <c r="Q6">
        <v>2.2999999999999998</v>
      </c>
      <c r="R6">
        <v>3</v>
      </c>
      <c r="S6">
        <v>2</v>
      </c>
      <c r="T6">
        <v>3</v>
      </c>
      <c r="U6" t="s">
        <v>30</v>
      </c>
      <c r="V6">
        <v>4</v>
      </c>
      <c r="W6">
        <v>1</v>
      </c>
    </row>
    <row r="7" spans="1:24" x14ac:dyDescent="0.35">
      <c r="A7" t="s">
        <v>594</v>
      </c>
      <c r="B7" s="6">
        <v>42011</v>
      </c>
      <c r="D7" t="s">
        <v>23</v>
      </c>
      <c r="E7">
        <v>43</v>
      </c>
      <c r="F7" t="s">
        <v>62</v>
      </c>
      <c r="G7" t="s">
        <v>25</v>
      </c>
      <c r="H7" t="s">
        <v>58</v>
      </c>
      <c r="I7" t="s">
        <v>48</v>
      </c>
      <c r="J7" t="s">
        <v>129</v>
      </c>
      <c r="K7">
        <v>1</v>
      </c>
      <c r="L7" t="s">
        <v>29</v>
      </c>
      <c r="M7">
        <v>33000</v>
      </c>
      <c r="N7">
        <v>9.3000000000000007</v>
      </c>
      <c r="O7">
        <v>15</v>
      </c>
      <c r="P7">
        <v>11</v>
      </c>
      <c r="Q7">
        <v>5.3</v>
      </c>
      <c r="R7">
        <v>3</v>
      </c>
      <c r="S7">
        <v>3</v>
      </c>
      <c r="T7">
        <v>2</v>
      </c>
      <c r="U7" t="s">
        <v>23</v>
      </c>
      <c r="V7">
        <v>2</v>
      </c>
      <c r="W7">
        <v>1</v>
      </c>
    </row>
    <row r="8" spans="1:24" x14ac:dyDescent="0.35">
      <c r="A8" t="s">
        <v>261</v>
      </c>
      <c r="B8" s="6">
        <v>44644</v>
      </c>
      <c r="D8" t="s">
        <v>23</v>
      </c>
      <c r="E8">
        <v>29</v>
      </c>
      <c r="F8" t="s">
        <v>36</v>
      </c>
      <c r="G8" t="s">
        <v>25</v>
      </c>
      <c r="H8" t="s">
        <v>26</v>
      </c>
      <c r="I8" t="s">
        <v>27</v>
      </c>
      <c r="J8" t="s">
        <v>33</v>
      </c>
      <c r="K8">
        <v>4</v>
      </c>
      <c r="L8" t="s">
        <v>34</v>
      </c>
      <c r="M8">
        <v>107000</v>
      </c>
      <c r="N8">
        <v>4.4000000000000004</v>
      </c>
      <c r="O8">
        <v>4.5</v>
      </c>
      <c r="P8">
        <v>3.8</v>
      </c>
      <c r="Q8">
        <v>0.2</v>
      </c>
      <c r="R8">
        <v>4</v>
      </c>
      <c r="S8">
        <v>2</v>
      </c>
      <c r="T8">
        <v>3</v>
      </c>
      <c r="U8" t="s">
        <v>30</v>
      </c>
      <c r="V8">
        <v>4</v>
      </c>
      <c r="W8">
        <v>1</v>
      </c>
    </row>
    <row r="9" spans="1:24" x14ac:dyDescent="0.35">
      <c r="A9" t="s">
        <v>650</v>
      </c>
      <c r="B9" s="6">
        <v>42827</v>
      </c>
      <c r="D9" t="s">
        <v>23</v>
      </c>
      <c r="E9">
        <v>29</v>
      </c>
      <c r="F9" t="s">
        <v>36</v>
      </c>
      <c r="G9" t="s">
        <v>37</v>
      </c>
      <c r="H9" t="s">
        <v>54</v>
      </c>
      <c r="I9" t="s">
        <v>48</v>
      </c>
      <c r="J9" t="s">
        <v>201</v>
      </c>
      <c r="K9">
        <v>3</v>
      </c>
      <c r="L9" t="s">
        <v>50</v>
      </c>
      <c r="M9">
        <v>77000</v>
      </c>
      <c r="N9">
        <v>6.6</v>
      </c>
      <c r="O9">
        <v>14.2</v>
      </c>
      <c r="P9">
        <v>8.6999999999999993</v>
      </c>
      <c r="Q9">
        <v>3.2</v>
      </c>
      <c r="R9">
        <v>1</v>
      </c>
      <c r="S9">
        <v>3</v>
      </c>
      <c r="T9">
        <v>3</v>
      </c>
      <c r="U9" t="s">
        <v>23</v>
      </c>
      <c r="V9">
        <v>2</v>
      </c>
      <c r="W9">
        <v>1</v>
      </c>
    </row>
    <row r="10" spans="1:24" x14ac:dyDescent="0.35">
      <c r="A10" t="s">
        <v>1247</v>
      </c>
      <c r="B10" s="6">
        <v>42657</v>
      </c>
      <c r="D10" t="s">
        <v>23</v>
      </c>
      <c r="E10">
        <v>33</v>
      </c>
      <c r="F10" t="s">
        <v>62</v>
      </c>
      <c r="G10" t="s">
        <v>37</v>
      </c>
      <c r="H10" t="s">
        <v>58</v>
      </c>
      <c r="I10" t="s">
        <v>45</v>
      </c>
      <c r="J10" t="s">
        <v>77</v>
      </c>
      <c r="K10">
        <v>5</v>
      </c>
      <c r="L10" t="s">
        <v>34</v>
      </c>
      <c r="M10">
        <v>134000</v>
      </c>
      <c r="N10">
        <v>12.3</v>
      </c>
      <c r="O10">
        <v>15.9</v>
      </c>
      <c r="P10">
        <v>9.1999999999999993</v>
      </c>
      <c r="Q10">
        <v>3</v>
      </c>
      <c r="R10">
        <v>2</v>
      </c>
      <c r="S10">
        <v>2</v>
      </c>
      <c r="T10">
        <v>3</v>
      </c>
      <c r="U10" t="s">
        <v>23</v>
      </c>
      <c r="V10">
        <v>2</v>
      </c>
      <c r="W10">
        <v>1</v>
      </c>
    </row>
    <row r="11" spans="1:24" x14ac:dyDescent="0.35">
      <c r="A11" t="s">
        <v>971</v>
      </c>
      <c r="B11" s="6">
        <v>42158</v>
      </c>
      <c r="C11">
        <v>45948</v>
      </c>
      <c r="D11" t="s">
        <v>30</v>
      </c>
      <c r="E11">
        <v>34</v>
      </c>
      <c r="F11" t="s">
        <v>24</v>
      </c>
      <c r="G11" t="s">
        <v>37</v>
      </c>
      <c r="H11" t="s">
        <v>54</v>
      </c>
      <c r="I11" t="s">
        <v>38</v>
      </c>
      <c r="J11" t="s">
        <v>118</v>
      </c>
      <c r="K11">
        <v>4</v>
      </c>
      <c r="L11" t="s">
        <v>66</v>
      </c>
      <c r="M11">
        <v>107000</v>
      </c>
      <c r="N11">
        <v>3.7</v>
      </c>
      <c r="O11">
        <v>18</v>
      </c>
      <c r="P11">
        <v>10.4</v>
      </c>
      <c r="Q11">
        <v>0.5</v>
      </c>
      <c r="R11">
        <v>3</v>
      </c>
      <c r="S11">
        <v>3</v>
      </c>
      <c r="T11">
        <v>2</v>
      </c>
      <c r="U11" t="s">
        <v>23</v>
      </c>
      <c r="V11">
        <v>4</v>
      </c>
      <c r="W11">
        <v>1</v>
      </c>
    </row>
    <row r="12" spans="1:24" x14ac:dyDescent="0.35">
      <c r="A12" t="s">
        <v>972</v>
      </c>
      <c r="B12" s="6">
        <v>43321</v>
      </c>
      <c r="D12" t="s">
        <v>23</v>
      </c>
      <c r="E12">
        <v>38</v>
      </c>
      <c r="F12" t="s">
        <v>62</v>
      </c>
      <c r="G12" t="s">
        <v>42</v>
      </c>
      <c r="H12" t="s">
        <v>26</v>
      </c>
      <c r="I12" t="s">
        <v>55</v>
      </c>
      <c r="J12" t="s">
        <v>88</v>
      </c>
      <c r="K12">
        <v>3</v>
      </c>
      <c r="L12" t="s">
        <v>40</v>
      </c>
      <c r="M12">
        <v>91000</v>
      </c>
      <c r="N12">
        <v>8.5</v>
      </c>
      <c r="O12">
        <v>12.9</v>
      </c>
      <c r="P12">
        <v>7.4</v>
      </c>
      <c r="Q12">
        <v>4.3</v>
      </c>
      <c r="R12">
        <v>4</v>
      </c>
      <c r="S12">
        <v>3</v>
      </c>
      <c r="T12">
        <v>3</v>
      </c>
      <c r="U12" t="s">
        <v>23</v>
      </c>
      <c r="V12">
        <v>3</v>
      </c>
      <c r="W12">
        <v>1</v>
      </c>
    </row>
    <row r="13" spans="1:24" x14ac:dyDescent="0.35">
      <c r="A13" t="s">
        <v>1542</v>
      </c>
      <c r="B13" s="6">
        <v>45580</v>
      </c>
      <c r="C13">
        <v>45694</v>
      </c>
      <c r="D13" t="s">
        <v>30</v>
      </c>
      <c r="E13">
        <v>23</v>
      </c>
      <c r="F13" t="s">
        <v>62</v>
      </c>
      <c r="G13" t="s">
        <v>37</v>
      </c>
      <c r="H13" t="s">
        <v>58</v>
      </c>
      <c r="I13" t="s">
        <v>55</v>
      </c>
      <c r="J13" t="s">
        <v>56</v>
      </c>
      <c r="K13">
        <v>1</v>
      </c>
      <c r="L13" t="s">
        <v>29</v>
      </c>
      <c r="M13">
        <v>33000</v>
      </c>
      <c r="N13">
        <v>7.2</v>
      </c>
      <c r="O13">
        <v>6</v>
      </c>
      <c r="P13">
        <v>0.3</v>
      </c>
      <c r="Q13">
        <v>0</v>
      </c>
      <c r="R13">
        <v>2</v>
      </c>
      <c r="S13">
        <v>1</v>
      </c>
      <c r="T13">
        <v>1</v>
      </c>
      <c r="U13" t="s">
        <v>23</v>
      </c>
      <c r="V13">
        <v>3</v>
      </c>
      <c r="W13">
        <v>1</v>
      </c>
    </row>
    <row r="14" spans="1:24" x14ac:dyDescent="0.35">
      <c r="A14" t="s">
        <v>272</v>
      </c>
      <c r="B14" s="6">
        <v>42822</v>
      </c>
      <c r="D14" t="s">
        <v>23</v>
      </c>
      <c r="E14">
        <v>35</v>
      </c>
      <c r="F14" t="s">
        <v>36</v>
      </c>
      <c r="G14" t="s">
        <v>42</v>
      </c>
      <c r="H14" t="s">
        <v>26</v>
      </c>
      <c r="I14" t="s">
        <v>48</v>
      </c>
      <c r="J14" t="s">
        <v>49</v>
      </c>
      <c r="K14">
        <v>3</v>
      </c>
      <c r="L14" t="s">
        <v>29</v>
      </c>
      <c r="M14">
        <v>64000</v>
      </c>
      <c r="N14">
        <v>10.3</v>
      </c>
      <c r="O14">
        <v>12.5</v>
      </c>
      <c r="P14">
        <v>8.8000000000000007</v>
      </c>
      <c r="Q14">
        <v>2.4</v>
      </c>
      <c r="R14">
        <v>3</v>
      </c>
      <c r="S14">
        <v>2</v>
      </c>
      <c r="T14">
        <v>3</v>
      </c>
      <c r="U14" t="s">
        <v>23</v>
      </c>
      <c r="V14">
        <v>3</v>
      </c>
      <c r="W14">
        <v>1</v>
      </c>
    </row>
    <row r="15" spans="1:24" x14ac:dyDescent="0.35">
      <c r="A15" t="s">
        <v>1478</v>
      </c>
      <c r="B15" s="6">
        <v>43865</v>
      </c>
      <c r="D15" t="s">
        <v>23</v>
      </c>
      <c r="E15">
        <v>28</v>
      </c>
      <c r="F15" t="s">
        <v>24</v>
      </c>
      <c r="G15" t="s">
        <v>42</v>
      </c>
      <c r="H15" t="s">
        <v>26</v>
      </c>
      <c r="I15" t="s">
        <v>45</v>
      </c>
      <c r="J15" t="s">
        <v>164</v>
      </c>
      <c r="K15">
        <v>1</v>
      </c>
      <c r="L15" t="s">
        <v>50</v>
      </c>
      <c r="M15">
        <v>37000</v>
      </c>
      <c r="N15">
        <v>13.1</v>
      </c>
      <c r="O15">
        <v>10.199999999999999</v>
      </c>
      <c r="P15">
        <v>5.9</v>
      </c>
      <c r="Q15">
        <v>0.8</v>
      </c>
      <c r="R15">
        <v>2</v>
      </c>
      <c r="S15">
        <v>2</v>
      </c>
      <c r="T15">
        <v>3</v>
      </c>
      <c r="U15" t="s">
        <v>23</v>
      </c>
      <c r="V15">
        <v>5</v>
      </c>
      <c r="W15">
        <v>1</v>
      </c>
    </row>
    <row r="16" spans="1:24" x14ac:dyDescent="0.35">
      <c r="A16" t="s">
        <v>211</v>
      </c>
      <c r="B16" s="6">
        <v>43542</v>
      </c>
      <c r="D16" t="s">
        <v>23</v>
      </c>
      <c r="E16">
        <v>27</v>
      </c>
      <c r="F16" t="s">
        <v>36</v>
      </c>
      <c r="G16" t="s">
        <v>42</v>
      </c>
      <c r="H16" t="s">
        <v>54</v>
      </c>
      <c r="I16" t="s">
        <v>45</v>
      </c>
      <c r="J16" t="s">
        <v>164</v>
      </c>
      <c r="K16">
        <v>1</v>
      </c>
      <c r="L16" t="s">
        <v>84</v>
      </c>
      <c r="M16">
        <v>29000</v>
      </c>
      <c r="N16">
        <v>10.3</v>
      </c>
      <c r="O16">
        <v>10.7</v>
      </c>
      <c r="P16">
        <v>6.8</v>
      </c>
      <c r="Q16">
        <v>1.3</v>
      </c>
      <c r="R16">
        <v>4</v>
      </c>
      <c r="S16">
        <v>3</v>
      </c>
      <c r="T16">
        <v>1</v>
      </c>
      <c r="U16" t="s">
        <v>23</v>
      </c>
      <c r="V16">
        <v>3</v>
      </c>
      <c r="W16">
        <v>1</v>
      </c>
    </row>
    <row r="17" spans="1:23" x14ac:dyDescent="0.35">
      <c r="A17" t="s">
        <v>389</v>
      </c>
      <c r="B17" s="6">
        <v>44862</v>
      </c>
      <c r="D17" t="s">
        <v>23</v>
      </c>
      <c r="E17">
        <v>30</v>
      </c>
      <c r="F17" t="s">
        <v>24</v>
      </c>
      <c r="G17" t="s">
        <v>37</v>
      </c>
      <c r="H17" t="s">
        <v>26</v>
      </c>
      <c r="I17" t="s">
        <v>48</v>
      </c>
      <c r="J17" t="s">
        <v>201</v>
      </c>
      <c r="K17">
        <v>2</v>
      </c>
      <c r="L17" t="s">
        <v>40</v>
      </c>
      <c r="M17">
        <v>53000</v>
      </c>
      <c r="N17">
        <v>4.5999999999999996</v>
      </c>
      <c r="O17">
        <v>9.1999999999999993</v>
      </c>
      <c r="P17">
        <v>3.2</v>
      </c>
      <c r="Q17">
        <v>0.2</v>
      </c>
      <c r="R17">
        <v>3</v>
      </c>
      <c r="S17">
        <v>3</v>
      </c>
      <c r="T17">
        <v>3</v>
      </c>
      <c r="U17" t="s">
        <v>23</v>
      </c>
      <c r="V17">
        <v>4</v>
      </c>
      <c r="W17">
        <v>1</v>
      </c>
    </row>
    <row r="18" spans="1:23" x14ac:dyDescent="0.35">
      <c r="A18" t="s">
        <v>559</v>
      </c>
      <c r="B18" s="6">
        <v>44908</v>
      </c>
      <c r="D18" t="s">
        <v>23</v>
      </c>
      <c r="E18">
        <v>39</v>
      </c>
      <c r="F18" t="s">
        <v>36</v>
      </c>
      <c r="G18" t="s">
        <v>37</v>
      </c>
      <c r="H18" t="s">
        <v>58</v>
      </c>
      <c r="I18" t="s">
        <v>38</v>
      </c>
      <c r="J18" t="s">
        <v>118</v>
      </c>
      <c r="K18">
        <v>3</v>
      </c>
      <c r="L18" t="s">
        <v>40</v>
      </c>
      <c r="M18">
        <v>99000</v>
      </c>
      <c r="N18">
        <v>8.6999999999999993</v>
      </c>
      <c r="O18">
        <v>7.8</v>
      </c>
      <c r="P18">
        <v>3</v>
      </c>
      <c r="Q18">
        <v>1.9</v>
      </c>
      <c r="R18">
        <v>4</v>
      </c>
      <c r="S18">
        <v>3</v>
      </c>
      <c r="T18">
        <v>3</v>
      </c>
      <c r="U18" t="s">
        <v>30</v>
      </c>
      <c r="V18">
        <v>4</v>
      </c>
      <c r="W18">
        <v>1</v>
      </c>
    </row>
    <row r="19" spans="1:23" x14ac:dyDescent="0.35">
      <c r="A19" t="s">
        <v>409</v>
      </c>
      <c r="B19" s="6">
        <v>43154</v>
      </c>
      <c r="D19" t="s">
        <v>23</v>
      </c>
      <c r="E19">
        <v>36</v>
      </c>
      <c r="F19" t="s">
        <v>62</v>
      </c>
      <c r="G19" t="s">
        <v>42</v>
      </c>
      <c r="H19" t="s">
        <v>32</v>
      </c>
      <c r="I19" t="s">
        <v>68</v>
      </c>
      <c r="J19" t="s">
        <v>121</v>
      </c>
      <c r="K19">
        <v>2</v>
      </c>
      <c r="L19" t="s">
        <v>84</v>
      </c>
      <c r="M19">
        <v>47000</v>
      </c>
      <c r="N19">
        <v>10.4</v>
      </c>
      <c r="O19">
        <v>7.9</v>
      </c>
      <c r="P19">
        <v>7.9</v>
      </c>
      <c r="Q19">
        <v>3.7</v>
      </c>
      <c r="R19">
        <v>4</v>
      </c>
      <c r="S19">
        <v>3</v>
      </c>
      <c r="T19">
        <v>2</v>
      </c>
      <c r="U19" t="s">
        <v>23</v>
      </c>
      <c r="V19">
        <v>4</v>
      </c>
      <c r="W19">
        <v>1</v>
      </c>
    </row>
    <row r="20" spans="1:23" x14ac:dyDescent="0.35">
      <c r="A20" t="s">
        <v>581</v>
      </c>
      <c r="B20" s="6">
        <v>45239</v>
      </c>
      <c r="D20" t="s">
        <v>23</v>
      </c>
      <c r="E20">
        <v>33</v>
      </c>
      <c r="F20" t="s">
        <v>62</v>
      </c>
      <c r="G20" t="s">
        <v>37</v>
      </c>
      <c r="H20" t="s">
        <v>32</v>
      </c>
      <c r="I20" t="s">
        <v>38</v>
      </c>
      <c r="J20" t="s">
        <v>139</v>
      </c>
      <c r="K20">
        <v>2</v>
      </c>
      <c r="L20" t="s">
        <v>84</v>
      </c>
      <c r="M20">
        <v>73000</v>
      </c>
      <c r="N20">
        <v>0</v>
      </c>
      <c r="O20">
        <v>10</v>
      </c>
      <c r="P20">
        <v>2.1</v>
      </c>
      <c r="Q20">
        <v>1.4</v>
      </c>
      <c r="R20">
        <v>3</v>
      </c>
      <c r="S20">
        <v>1</v>
      </c>
      <c r="T20">
        <v>4</v>
      </c>
      <c r="U20" t="s">
        <v>23</v>
      </c>
      <c r="V20">
        <v>3</v>
      </c>
      <c r="W20">
        <v>1</v>
      </c>
    </row>
    <row r="21" spans="1:23" x14ac:dyDescent="0.35">
      <c r="A21" t="s">
        <v>1300</v>
      </c>
      <c r="B21" s="6">
        <v>45249</v>
      </c>
      <c r="D21" t="s">
        <v>23</v>
      </c>
      <c r="E21">
        <v>34</v>
      </c>
      <c r="F21" t="s">
        <v>24</v>
      </c>
      <c r="G21" t="s">
        <v>37</v>
      </c>
      <c r="H21" t="s">
        <v>54</v>
      </c>
      <c r="I21" t="s">
        <v>38</v>
      </c>
      <c r="J21" t="s">
        <v>118</v>
      </c>
      <c r="K21">
        <v>3</v>
      </c>
      <c r="L21" t="s">
        <v>84</v>
      </c>
      <c r="M21">
        <v>84000</v>
      </c>
      <c r="N21">
        <v>9.4</v>
      </c>
      <c r="O21">
        <v>7.6</v>
      </c>
      <c r="P21">
        <v>2.1</v>
      </c>
      <c r="Q21">
        <v>1.8</v>
      </c>
      <c r="R21">
        <v>2</v>
      </c>
      <c r="S21">
        <v>3</v>
      </c>
      <c r="T21">
        <v>2</v>
      </c>
      <c r="U21" t="s">
        <v>23</v>
      </c>
      <c r="V21">
        <v>5</v>
      </c>
      <c r="W21">
        <v>1</v>
      </c>
    </row>
    <row r="22" spans="1:23" x14ac:dyDescent="0.35">
      <c r="A22" t="s">
        <v>492</v>
      </c>
      <c r="B22" s="6">
        <v>45402</v>
      </c>
      <c r="D22" t="s">
        <v>23</v>
      </c>
      <c r="E22">
        <v>31</v>
      </c>
      <c r="F22" t="s">
        <v>24</v>
      </c>
      <c r="G22" t="s">
        <v>25</v>
      </c>
      <c r="H22" t="s">
        <v>26</v>
      </c>
      <c r="I22" t="s">
        <v>38</v>
      </c>
      <c r="J22" t="s">
        <v>118</v>
      </c>
      <c r="K22">
        <v>2</v>
      </c>
      <c r="L22" t="s">
        <v>84</v>
      </c>
      <c r="M22">
        <v>63000</v>
      </c>
      <c r="N22">
        <v>14.9</v>
      </c>
      <c r="O22">
        <v>7.3</v>
      </c>
      <c r="P22">
        <v>1.7</v>
      </c>
      <c r="Q22">
        <v>1</v>
      </c>
      <c r="R22">
        <v>2</v>
      </c>
      <c r="S22">
        <v>2</v>
      </c>
      <c r="T22">
        <v>4</v>
      </c>
      <c r="U22" t="s">
        <v>23</v>
      </c>
      <c r="V22">
        <v>4</v>
      </c>
      <c r="W22">
        <v>1</v>
      </c>
    </row>
    <row r="23" spans="1:23" x14ac:dyDescent="0.35">
      <c r="A23" t="s">
        <v>1438</v>
      </c>
      <c r="B23" s="6">
        <v>44861</v>
      </c>
      <c r="D23" t="s">
        <v>23</v>
      </c>
      <c r="E23">
        <v>27</v>
      </c>
      <c r="F23" t="s">
        <v>36</v>
      </c>
      <c r="G23" t="s">
        <v>25</v>
      </c>
      <c r="H23" t="s">
        <v>54</v>
      </c>
      <c r="I23" t="s">
        <v>27</v>
      </c>
      <c r="J23" t="s">
        <v>95</v>
      </c>
      <c r="K23">
        <v>1</v>
      </c>
      <c r="L23" t="s">
        <v>66</v>
      </c>
      <c r="M23">
        <v>28000</v>
      </c>
      <c r="N23">
        <v>12.7</v>
      </c>
      <c r="O23">
        <v>11</v>
      </c>
      <c r="P23">
        <v>3.2</v>
      </c>
      <c r="Q23">
        <v>0.1</v>
      </c>
      <c r="R23">
        <v>3</v>
      </c>
      <c r="S23">
        <v>3</v>
      </c>
      <c r="T23">
        <v>3</v>
      </c>
      <c r="U23" t="s">
        <v>30</v>
      </c>
      <c r="V23">
        <v>4</v>
      </c>
      <c r="W23">
        <v>1</v>
      </c>
    </row>
    <row r="24" spans="1:23" x14ac:dyDescent="0.35">
      <c r="A24" t="s">
        <v>493</v>
      </c>
      <c r="B24" s="6">
        <v>45161</v>
      </c>
      <c r="D24" t="s">
        <v>23</v>
      </c>
      <c r="E24">
        <v>29</v>
      </c>
      <c r="F24" t="s">
        <v>62</v>
      </c>
      <c r="G24" t="s">
        <v>25</v>
      </c>
      <c r="H24" t="s">
        <v>32</v>
      </c>
      <c r="I24" t="s">
        <v>45</v>
      </c>
      <c r="J24" t="s">
        <v>97</v>
      </c>
      <c r="K24">
        <v>4</v>
      </c>
      <c r="L24" t="s">
        <v>84</v>
      </c>
      <c r="M24">
        <v>108000</v>
      </c>
      <c r="N24">
        <v>9.4</v>
      </c>
      <c r="O24">
        <v>5.7</v>
      </c>
      <c r="P24">
        <v>2.4</v>
      </c>
      <c r="Q24">
        <v>0.4</v>
      </c>
      <c r="R24">
        <v>4</v>
      </c>
      <c r="S24">
        <v>4</v>
      </c>
      <c r="T24">
        <v>4</v>
      </c>
      <c r="U24" t="s">
        <v>30</v>
      </c>
      <c r="V24">
        <v>3</v>
      </c>
      <c r="W24">
        <v>1</v>
      </c>
    </row>
    <row r="25" spans="1:23" x14ac:dyDescent="0.35">
      <c r="A25" t="s">
        <v>448</v>
      </c>
      <c r="B25" s="6">
        <v>45804</v>
      </c>
      <c r="D25" t="s">
        <v>23</v>
      </c>
      <c r="E25">
        <v>28</v>
      </c>
      <c r="F25" t="s">
        <v>36</v>
      </c>
      <c r="G25" t="s">
        <v>42</v>
      </c>
      <c r="H25" t="s">
        <v>58</v>
      </c>
      <c r="I25" t="s">
        <v>55</v>
      </c>
      <c r="J25" t="s">
        <v>56</v>
      </c>
      <c r="K25">
        <v>2</v>
      </c>
      <c r="L25" t="s">
        <v>50</v>
      </c>
      <c r="M25">
        <v>59000</v>
      </c>
      <c r="N25">
        <v>7.4</v>
      </c>
      <c r="O25">
        <v>3.4</v>
      </c>
      <c r="P25">
        <v>0.6</v>
      </c>
      <c r="Q25">
        <v>0</v>
      </c>
      <c r="R25">
        <v>2</v>
      </c>
      <c r="S25">
        <v>4</v>
      </c>
      <c r="T25">
        <v>2</v>
      </c>
      <c r="U25" t="s">
        <v>23</v>
      </c>
      <c r="V25">
        <v>4</v>
      </c>
      <c r="W25">
        <v>1</v>
      </c>
    </row>
    <row r="26" spans="1:23" x14ac:dyDescent="0.35">
      <c r="A26" t="s">
        <v>1257</v>
      </c>
      <c r="B26" s="6">
        <v>43736</v>
      </c>
      <c r="D26" t="s">
        <v>23</v>
      </c>
      <c r="E26">
        <v>35</v>
      </c>
      <c r="F26" t="s">
        <v>24</v>
      </c>
      <c r="G26" t="s">
        <v>37</v>
      </c>
      <c r="H26" t="s">
        <v>54</v>
      </c>
      <c r="I26" t="s">
        <v>59</v>
      </c>
      <c r="J26" t="s">
        <v>150</v>
      </c>
      <c r="K26">
        <v>2</v>
      </c>
      <c r="L26" t="s">
        <v>84</v>
      </c>
      <c r="M26">
        <v>54000</v>
      </c>
      <c r="N26">
        <v>9</v>
      </c>
      <c r="O26">
        <v>6.5</v>
      </c>
      <c r="P26">
        <v>6.3</v>
      </c>
      <c r="Q26">
        <v>5.3</v>
      </c>
      <c r="R26">
        <v>4</v>
      </c>
      <c r="S26">
        <v>3</v>
      </c>
      <c r="T26">
        <v>3</v>
      </c>
      <c r="U26" t="s">
        <v>23</v>
      </c>
      <c r="V26">
        <v>5</v>
      </c>
      <c r="W26">
        <v>1</v>
      </c>
    </row>
    <row r="27" spans="1:23" x14ac:dyDescent="0.35">
      <c r="A27" t="s">
        <v>403</v>
      </c>
      <c r="B27" s="6">
        <v>45483</v>
      </c>
      <c r="D27" t="s">
        <v>23</v>
      </c>
      <c r="E27">
        <v>23</v>
      </c>
      <c r="F27" t="s">
        <v>62</v>
      </c>
      <c r="G27" t="s">
        <v>25</v>
      </c>
      <c r="H27" t="s">
        <v>32</v>
      </c>
      <c r="I27" t="s">
        <v>45</v>
      </c>
      <c r="J27" t="s">
        <v>77</v>
      </c>
      <c r="K27">
        <v>1</v>
      </c>
      <c r="L27" t="s">
        <v>84</v>
      </c>
      <c r="M27">
        <v>28000</v>
      </c>
      <c r="N27">
        <v>7.6</v>
      </c>
      <c r="O27">
        <v>3</v>
      </c>
      <c r="P27">
        <v>1.5</v>
      </c>
      <c r="Q27">
        <v>0.1</v>
      </c>
      <c r="R27">
        <v>2</v>
      </c>
      <c r="S27">
        <v>3</v>
      </c>
      <c r="T27">
        <v>3</v>
      </c>
      <c r="U27" t="s">
        <v>23</v>
      </c>
      <c r="V27">
        <v>4</v>
      </c>
      <c r="W27">
        <v>1</v>
      </c>
    </row>
    <row r="28" spans="1:23" x14ac:dyDescent="0.35">
      <c r="A28" t="s">
        <v>765</v>
      </c>
      <c r="B28" s="6">
        <v>41978</v>
      </c>
      <c r="D28" t="s">
        <v>23</v>
      </c>
      <c r="E28">
        <v>32</v>
      </c>
      <c r="F28" t="s">
        <v>62</v>
      </c>
      <c r="G28" t="s">
        <v>37</v>
      </c>
      <c r="H28" t="s">
        <v>32</v>
      </c>
      <c r="I28" t="s">
        <v>48</v>
      </c>
      <c r="J28" t="s">
        <v>63</v>
      </c>
      <c r="K28">
        <v>4</v>
      </c>
      <c r="L28" t="s">
        <v>34</v>
      </c>
      <c r="M28">
        <v>119000</v>
      </c>
      <c r="N28">
        <v>16.5</v>
      </c>
      <c r="O28">
        <v>18.3</v>
      </c>
      <c r="P28">
        <v>11.1</v>
      </c>
      <c r="Q28">
        <v>3</v>
      </c>
      <c r="R28">
        <v>3</v>
      </c>
      <c r="S28">
        <v>3</v>
      </c>
      <c r="T28">
        <v>3</v>
      </c>
      <c r="U28" t="s">
        <v>23</v>
      </c>
      <c r="V28">
        <v>4</v>
      </c>
      <c r="W28">
        <v>1</v>
      </c>
    </row>
    <row r="29" spans="1:23" x14ac:dyDescent="0.35">
      <c r="A29" t="s">
        <v>660</v>
      </c>
      <c r="B29" s="6">
        <v>42055</v>
      </c>
      <c r="D29" t="s">
        <v>23</v>
      </c>
      <c r="E29">
        <v>35</v>
      </c>
      <c r="F29" t="s">
        <v>36</v>
      </c>
      <c r="G29" t="s">
        <v>42</v>
      </c>
      <c r="H29" t="s">
        <v>54</v>
      </c>
      <c r="I29" t="s">
        <v>45</v>
      </c>
      <c r="J29" t="s">
        <v>46</v>
      </c>
      <c r="K29">
        <v>3</v>
      </c>
      <c r="L29" t="s">
        <v>29</v>
      </c>
      <c r="M29">
        <v>71000</v>
      </c>
      <c r="N29">
        <v>1.3</v>
      </c>
      <c r="O29">
        <v>10.9</v>
      </c>
      <c r="P29">
        <v>10.9</v>
      </c>
      <c r="Q29">
        <v>1.7</v>
      </c>
      <c r="R29">
        <v>3</v>
      </c>
      <c r="S29">
        <v>3</v>
      </c>
      <c r="T29">
        <v>3</v>
      </c>
      <c r="U29" t="s">
        <v>23</v>
      </c>
      <c r="V29">
        <v>4</v>
      </c>
      <c r="W29">
        <v>1</v>
      </c>
    </row>
    <row r="30" spans="1:23" x14ac:dyDescent="0.35">
      <c r="A30" t="s">
        <v>245</v>
      </c>
      <c r="B30" s="6">
        <v>41811</v>
      </c>
      <c r="D30" t="s">
        <v>23</v>
      </c>
      <c r="E30">
        <v>33</v>
      </c>
      <c r="F30" t="s">
        <v>36</v>
      </c>
      <c r="G30" t="s">
        <v>37</v>
      </c>
      <c r="H30" t="s">
        <v>32</v>
      </c>
      <c r="I30" t="s">
        <v>55</v>
      </c>
      <c r="J30" t="s">
        <v>80</v>
      </c>
      <c r="K30">
        <v>3</v>
      </c>
      <c r="L30" t="s">
        <v>40</v>
      </c>
      <c r="M30">
        <v>112000</v>
      </c>
      <c r="N30">
        <v>8.1999999999999993</v>
      </c>
      <c r="O30">
        <v>16.8</v>
      </c>
      <c r="P30">
        <v>11.5</v>
      </c>
      <c r="Q30">
        <v>3.7</v>
      </c>
      <c r="R30">
        <v>3</v>
      </c>
      <c r="S30">
        <v>2</v>
      </c>
      <c r="T30">
        <v>4</v>
      </c>
      <c r="U30" t="s">
        <v>23</v>
      </c>
      <c r="V30">
        <v>3</v>
      </c>
      <c r="W30">
        <v>1</v>
      </c>
    </row>
    <row r="31" spans="1:23" x14ac:dyDescent="0.35">
      <c r="A31" t="s">
        <v>1517</v>
      </c>
      <c r="B31" s="6">
        <v>43882</v>
      </c>
      <c r="D31" t="s">
        <v>23</v>
      </c>
      <c r="E31">
        <v>33</v>
      </c>
      <c r="F31" t="s">
        <v>62</v>
      </c>
      <c r="G31" t="s">
        <v>25</v>
      </c>
      <c r="H31" t="s">
        <v>26</v>
      </c>
      <c r="I31" t="s">
        <v>38</v>
      </c>
      <c r="J31" t="s">
        <v>118</v>
      </c>
      <c r="K31">
        <v>2</v>
      </c>
      <c r="L31" t="s">
        <v>50</v>
      </c>
      <c r="M31">
        <v>49000</v>
      </c>
      <c r="N31">
        <v>13.6</v>
      </c>
      <c r="O31">
        <v>10.9</v>
      </c>
      <c r="P31">
        <v>5.9</v>
      </c>
      <c r="Q31">
        <v>1.1000000000000001</v>
      </c>
      <c r="R31">
        <v>1</v>
      </c>
      <c r="S31">
        <v>3</v>
      </c>
      <c r="T31">
        <v>3</v>
      </c>
      <c r="U31" t="s">
        <v>23</v>
      </c>
      <c r="V31">
        <v>3</v>
      </c>
      <c r="W31">
        <v>1</v>
      </c>
    </row>
    <row r="32" spans="1:23" x14ac:dyDescent="0.35">
      <c r="A32" t="s">
        <v>532</v>
      </c>
      <c r="B32" s="6">
        <v>42477</v>
      </c>
      <c r="D32" t="s">
        <v>23</v>
      </c>
      <c r="E32">
        <v>39</v>
      </c>
      <c r="F32" t="s">
        <v>62</v>
      </c>
      <c r="G32" t="s">
        <v>25</v>
      </c>
      <c r="H32" t="s">
        <v>58</v>
      </c>
      <c r="I32" t="s">
        <v>59</v>
      </c>
      <c r="J32" t="s">
        <v>60</v>
      </c>
      <c r="K32">
        <v>2</v>
      </c>
      <c r="L32" t="s">
        <v>34</v>
      </c>
      <c r="M32">
        <v>44000</v>
      </c>
      <c r="N32">
        <v>14.6</v>
      </c>
      <c r="O32">
        <v>17</v>
      </c>
      <c r="P32">
        <v>9.6999999999999993</v>
      </c>
      <c r="Q32">
        <v>0.7</v>
      </c>
      <c r="R32">
        <v>3</v>
      </c>
      <c r="S32">
        <v>2</v>
      </c>
      <c r="T32">
        <v>3</v>
      </c>
      <c r="U32" t="s">
        <v>23</v>
      </c>
      <c r="V32">
        <v>4</v>
      </c>
      <c r="W32">
        <v>1</v>
      </c>
    </row>
    <row r="33" spans="1:23" x14ac:dyDescent="0.35">
      <c r="A33" t="s">
        <v>1414</v>
      </c>
      <c r="B33" s="6">
        <v>43572</v>
      </c>
      <c r="D33" t="s">
        <v>23</v>
      </c>
      <c r="E33">
        <v>37</v>
      </c>
      <c r="F33" t="s">
        <v>62</v>
      </c>
      <c r="G33" t="s">
        <v>37</v>
      </c>
      <c r="H33" t="s">
        <v>58</v>
      </c>
      <c r="I33" t="s">
        <v>27</v>
      </c>
      <c r="J33" t="s">
        <v>33</v>
      </c>
      <c r="K33">
        <v>4</v>
      </c>
      <c r="L33" t="s">
        <v>34</v>
      </c>
      <c r="M33">
        <v>126000</v>
      </c>
      <c r="N33">
        <v>5</v>
      </c>
      <c r="O33">
        <v>8.8000000000000007</v>
      </c>
      <c r="P33">
        <v>6.7</v>
      </c>
      <c r="Q33">
        <v>1.5</v>
      </c>
      <c r="R33">
        <v>4</v>
      </c>
      <c r="S33">
        <v>3</v>
      </c>
      <c r="T33">
        <v>4</v>
      </c>
      <c r="U33" t="s">
        <v>23</v>
      </c>
      <c r="V33">
        <v>4</v>
      </c>
      <c r="W33">
        <v>1</v>
      </c>
    </row>
    <row r="34" spans="1:23" x14ac:dyDescent="0.35">
      <c r="A34" t="s">
        <v>175</v>
      </c>
      <c r="B34" s="6">
        <v>44478</v>
      </c>
      <c r="C34">
        <v>45854</v>
      </c>
      <c r="D34" t="s">
        <v>30</v>
      </c>
      <c r="E34">
        <v>34</v>
      </c>
      <c r="F34" t="s">
        <v>36</v>
      </c>
      <c r="G34" t="s">
        <v>37</v>
      </c>
      <c r="H34" t="s">
        <v>32</v>
      </c>
      <c r="I34" t="s">
        <v>38</v>
      </c>
      <c r="J34" t="s">
        <v>39</v>
      </c>
      <c r="K34">
        <v>2</v>
      </c>
      <c r="L34" t="s">
        <v>34</v>
      </c>
      <c r="M34">
        <v>55000</v>
      </c>
      <c r="N34">
        <v>2.8</v>
      </c>
      <c r="O34">
        <v>9.3000000000000007</v>
      </c>
      <c r="P34">
        <v>3.8</v>
      </c>
      <c r="Q34">
        <v>2.7</v>
      </c>
      <c r="R34">
        <v>2</v>
      </c>
      <c r="S34">
        <v>1</v>
      </c>
      <c r="T34">
        <v>3</v>
      </c>
      <c r="U34" t="s">
        <v>23</v>
      </c>
      <c r="V34">
        <v>4</v>
      </c>
      <c r="W34">
        <v>1</v>
      </c>
    </row>
    <row r="35" spans="1:23" x14ac:dyDescent="0.35">
      <c r="A35" t="s">
        <v>907</v>
      </c>
      <c r="B35" s="6">
        <v>44129</v>
      </c>
      <c r="C35">
        <v>45838</v>
      </c>
      <c r="D35" t="s">
        <v>30</v>
      </c>
      <c r="E35">
        <v>26</v>
      </c>
      <c r="F35" t="s">
        <v>62</v>
      </c>
      <c r="G35" t="s">
        <v>25</v>
      </c>
      <c r="H35" t="s">
        <v>32</v>
      </c>
      <c r="I35" t="s">
        <v>48</v>
      </c>
      <c r="J35" t="s">
        <v>63</v>
      </c>
      <c r="K35">
        <v>1</v>
      </c>
      <c r="L35" t="s">
        <v>34</v>
      </c>
      <c r="M35">
        <v>39000</v>
      </c>
      <c r="N35">
        <v>5.3</v>
      </c>
      <c r="O35">
        <v>7.1</v>
      </c>
      <c r="P35">
        <v>4.7</v>
      </c>
      <c r="Q35">
        <v>1.8</v>
      </c>
      <c r="R35">
        <v>3</v>
      </c>
      <c r="S35">
        <v>4</v>
      </c>
      <c r="T35">
        <v>4</v>
      </c>
      <c r="U35" t="s">
        <v>23</v>
      </c>
      <c r="V35">
        <v>4</v>
      </c>
      <c r="W35">
        <v>1</v>
      </c>
    </row>
    <row r="36" spans="1:23" x14ac:dyDescent="0.35">
      <c r="A36" t="s">
        <v>1187</v>
      </c>
      <c r="B36" s="6">
        <v>45831</v>
      </c>
      <c r="D36" t="s">
        <v>23</v>
      </c>
      <c r="E36">
        <v>28</v>
      </c>
      <c r="F36" t="s">
        <v>36</v>
      </c>
      <c r="G36" t="s">
        <v>25</v>
      </c>
      <c r="H36" t="s">
        <v>26</v>
      </c>
      <c r="I36" t="s">
        <v>55</v>
      </c>
      <c r="J36" t="s">
        <v>88</v>
      </c>
      <c r="K36">
        <v>2</v>
      </c>
      <c r="L36" t="s">
        <v>50</v>
      </c>
      <c r="M36">
        <v>59000</v>
      </c>
      <c r="N36">
        <v>12.3</v>
      </c>
      <c r="O36">
        <v>1.8</v>
      </c>
      <c r="P36">
        <v>0.5</v>
      </c>
      <c r="Q36">
        <v>0</v>
      </c>
      <c r="R36">
        <v>3</v>
      </c>
      <c r="S36">
        <v>2</v>
      </c>
      <c r="T36">
        <v>3</v>
      </c>
      <c r="U36" t="s">
        <v>23</v>
      </c>
      <c r="V36">
        <v>1</v>
      </c>
      <c r="W36">
        <v>1</v>
      </c>
    </row>
    <row r="37" spans="1:23" x14ac:dyDescent="0.35">
      <c r="A37" t="s">
        <v>1166</v>
      </c>
      <c r="B37" s="6">
        <v>43940</v>
      </c>
      <c r="D37" t="s">
        <v>23</v>
      </c>
      <c r="E37">
        <v>35</v>
      </c>
      <c r="F37" t="s">
        <v>36</v>
      </c>
      <c r="G37" t="s">
        <v>37</v>
      </c>
      <c r="H37" t="s">
        <v>54</v>
      </c>
      <c r="I37" t="s">
        <v>45</v>
      </c>
      <c r="J37" t="s">
        <v>46</v>
      </c>
      <c r="K37">
        <v>2</v>
      </c>
      <c r="L37" t="s">
        <v>50</v>
      </c>
      <c r="M37">
        <v>61000</v>
      </c>
      <c r="N37">
        <v>2.6</v>
      </c>
      <c r="O37">
        <v>8.3000000000000007</v>
      </c>
      <c r="P37">
        <v>5.7</v>
      </c>
      <c r="Q37">
        <v>4.3</v>
      </c>
      <c r="R37">
        <v>3</v>
      </c>
      <c r="S37">
        <v>3</v>
      </c>
      <c r="T37">
        <v>3</v>
      </c>
      <c r="U37" t="s">
        <v>30</v>
      </c>
      <c r="V37">
        <v>4</v>
      </c>
      <c r="W37">
        <v>1</v>
      </c>
    </row>
    <row r="38" spans="1:23" x14ac:dyDescent="0.35">
      <c r="A38" t="s">
        <v>1041</v>
      </c>
      <c r="B38" s="6">
        <v>44417</v>
      </c>
      <c r="D38" t="s">
        <v>23</v>
      </c>
      <c r="E38">
        <v>35</v>
      </c>
      <c r="F38" t="s">
        <v>24</v>
      </c>
      <c r="G38" t="s">
        <v>42</v>
      </c>
      <c r="H38" t="s">
        <v>26</v>
      </c>
      <c r="I38" t="s">
        <v>45</v>
      </c>
      <c r="J38" t="s">
        <v>164</v>
      </c>
      <c r="K38">
        <v>5</v>
      </c>
      <c r="L38" t="s">
        <v>66</v>
      </c>
      <c r="M38">
        <v>151000</v>
      </c>
      <c r="N38">
        <v>4.0999999999999996</v>
      </c>
      <c r="O38">
        <v>10.4</v>
      </c>
      <c r="P38">
        <v>4.4000000000000004</v>
      </c>
      <c r="Q38">
        <v>4.2</v>
      </c>
      <c r="R38">
        <v>4</v>
      </c>
      <c r="S38">
        <v>2</v>
      </c>
      <c r="T38">
        <v>1</v>
      </c>
      <c r="U38" t="s">
        <v>23</v>
      </c>
      <c r="V38">
        <v>2</v>
      </c>
      <c r="W38">
        <v>1</v>
      </c>
    </row>
    <row r="39" spans="1:23" x14ac:dyDescent="0.35">
      <c r="A39" t="s">
        <v>803</v>
      </c>
      <c r="B39" s="6">
        <v>42636</v>
      </c>
      <c r="D39" t="s">
        <v>23</v>
      </c>
      <c r="E39">
        <v>37</v>
      </c>
      <c r="F39" t="s">
        <v>36</v>
      </c>
      <c r="G39" t="s">
        <v>25</v>
      </c>
      <c r="H39" t="s">
        <v>54</v>
      </c>
      <c r="I39" t="s">
        <v>55</v>
      </c>
      <c r="J39" t="s">
        <v>80</v>
      </c>
      <c r="K39">
        <v>3</v>
      </c>
      <c r="L39" t="s">
        <v>34</v>
      </c>
      <c r="M39">
        <v>92000</v>
      </c>
      <c r="N39">
        <v>10</v>
      </c>
      <c r="O39">
        <v>10.199999999999999</v>
      </c>
      <c r="P39">
        <v>9.3000000000000007</v>
      </c>
      <c r="Q39">
        <v>4.9000000000000004</v>
      </c>
      <c r="R39">
        <v>3</v>
      </c>
      <c r="S39">
        <v>4</v>
      </c>
      <c r="T39">
        <v>2</v>
      </c>
      <c r="U39" t="s">
        <v>30</v>
      </c>
      <c r="V39">
        <v>1</v>
      </c>
      <c r="W39">
        <v>1</v>
      </c>
    </row>
    <row r="40" spans="1:23" x14ac:dyDescent="0.35">
      <c r="A40" t="s">
        <v>1024</v>
      </c>
      <c r="B40" s="6">
        <v>43971</v>
      </c>
      <c r="D40" t="s">
        <v>23</v>
      </c>
      <c r="E40">
        <v>28</v>
      </c>
      <c r="F40" t="s">
        <v>36</v>
      </c>
      <c r="G40" t="s">
        <v>25</v>
      </c>
      <c r="H40" t="s">
        <v>54</v>
      </c>
      <c r="I40" t="s">
        <v>1025</v>
      </c>
      <c r="J40" t="s">
        <v>97</v>
      </c>
      <c r="K40">
        <v>1</v>
      </c>
      <c r="L40" t="s">
        <v>29</v>
      </c>
      <c r="M40">
        <v>34000</v>
      </c>
      <c r="N40">
        <v>10.199999999999999</v>
      </c>
      <c r="O40">
        <v>12.4</v>
      </c>
      <c r="P40">
        <v>5.6</v>
      </c>
      <c r="Q40">
        <v>3.4</v>
      </c>
      <c r="R40">
        <v>2</v>
      </c>
      <c r="S40">
        <v>2</v>
      </c>
      <c r="T40">
        <v>4</v>
      </c>
      <c r="U40" t="s">
        <v>23</v>
      </c>
      <c r="V40">
        <v>4</v>
      </c>
      <c r="W40">
        <v>1</v>
      </c>
    </row>
    <row r="41" spans="1:23" x14ac:dyDescent="0.35">
      <c r="A41" t="s">
        <v>1435</v>
      </c>
      <c r="B41" s="6">
        <v>44455</v>
      </c>
      <c r="C41">
        <v>45843</v>
      </c>
      <c r="D41" t="s">
        <v>30</v>
      </c>
      <c r="E41">
        <v>46</v>
      </c>
      <c r="F41" t="s">
        <v>62</v>
      </c>
      <c r="G41" t="s">
        <v>42</v>
      </c>
      <c r="H41" t="s">
        <v>54</v>
      </c>
      <c r="I41" t="s">
        <v>68</v>
      </c>
      <c r="J41" t="s">
        <v>102</v>
      </c>
      <c r="K41">
        <v>3</v>
      </c>
      <c r="L41" t="s">
        <v>34</v>
      </c>
      <c r="M41">
        <v>81000</v>
      </c>
      <c r="N41">
        <v>4.2</v>
      </c>
      <c r="O41">
        <v>8.9</v>
      </c>
      <c r="P41">
        <v>3.8</v>
      </c>
      <c r="Q41">
        <v>3.1</v>
      </c>
      <c r="R41">
        <v>4</v>
      </c>
      <c r="S41">
        <v>3</v>
      </c>
      <c r="T41">
        <v>3</v>
      </c>
      <c r="U41" t="s">
        <v>23</v>
      </c>
      <c r="V41">
        <v>4</v>
      </c>
      <c r="W41">
        <v>1</v>
      </c>
    </row>
    <row r="42" spans="1:23" x14ac:dyDescent="0.35">
      <c r="A42" t="s">
        <v>347</v>
      </c>
      <c r="B42" s="6">
        <v>45242</v>
      </c>
      <c r="D42" t="s">
        <v>23</v>
      </c>
      <c r="E42">
        <v>26</v>
      </c>
      <c r="F42" t="s">
        <v>36</v>
      </c>
      <c r="G42" t="s">
        <v>42</v>
      </c>
      <c r="H42" t="s">
        <v>32</v>
      </c>
      <c r="I42" t="s">
        <v>48</v>
      </c>
      <c r="J42" t="s">
        <v>129</v>
      </c>
      <c r="K42">
        <v>1</v>
      </c>
      <c r="L42" t="s">
        <v>34</v>
      </c>
      <c r="M42">
        <v>42000</v>
      </c>
      <c r="N42">
        <v>13.6</v>
      </c>
      <c r="O42">
        <v>5.7</v>
      </c>
      <c r="P42">
        <v>2.1</v>
      </c>
      <c r="Q42">
        <v>1.6</v>
      </c>
      <c r="R42">
        <v>4</v>
      </c>
      <c r="S42">
        <v>3</v>
      </c>
      <c r="T42">
        <v>3</v>
      </c>
      <c r="U42" t="s">
        <v>30</v>
      </c>
      <c r="V42">
        <v>3</v>
      </c>
      <c r="W42">
        <v>1</v>
      </c>
    </row>
    <row r="43" spans="1:23" x14ac:dyDescent="0.35">
      <c r="A43" t="s">
        <v>1507</v>
      </c>
      <c r="B43" s="6">
        <v>44459</v>
      </c>
      <c r="D43" t="s">
        <v>23</v>
      </c>
      <c r="E43">
        <v>40</v>
      </c>
      <c r="F43" t="s">
        <v>24</v>
      </c>
      <c r="G43" t="s">
        <v>25</v>
      </c>
      <c r="H43" t="s">
        <v>54</v>
      </c>
      <c r="I43" t="s">
        <v>55</v>
      </c>
      <c r="J43" t="s">
        <v>88</v>
      </c>
      <c r="K43">
        <v>3</v>
      </c>
      <c r="L43" t="s">
        <v>29</v>
      </c>
      <c r="M43">
        <v>93000</v>
      </c>
      <c r="N43">
        <v>12.3</v>
      </c>
      <c r="O43">
        <v>4.4000000000000004</v>
      </c>
      <c r="P43">
        <v>4.3</v>
      </c>
      <c r="Q43">
        <v>4.0999999999999996</v>
      </c>
      <c r="R43">
        <v>3</v>
      </c>
      <c r="S43">
        <v>2</v>
      </c>
      <c r="T43">
        <v>3</v>
      </c>
      <c r="U43" t="s">
        <v>23</v>
      </c>
      <c r="V43">
        <v>3</v>
      </c>
      <c r="W43">
        <v>1</v>
      </c>
    </row>
    <row r="44" spans="1:23" x14ac:dyDescent="0.35">
      <c r="A44" t="s">
        <v>72</v>
      </c>
      <c r="B44" s="6">
        <v>45846</v>
      </c>
      <c r="D44" t="s">
        <v>23</v>
      </c>
      <c r="E44">
        <v>31</v>
      </c>
      <c r="F44" t="s">
        <v>62</v>
      </c>
      <c r="G44" t="s">
        <v>42</v>
      </c>
      <c r="H44" t="s">
        <v>58</v>
      </c>
      <c r="I44" t="s">
        <v>45</v>
      </c>
      <c r="J44" t="s">
        <v>46</v>
      </c>
      <c r="K44">
        <v>2</v>
      </c>
      <c r="L44" t="s">
        <v>29</v>
      </c>
      <c r="M44">
        <v>43000</v>
      </c>
      <c r="N44">
        <v>5.4</v>
      </c>
      <c r="O44">
        <v>5.8</v>
      </c>
      <c r="P44">
        <v>0.5</v>
      </c>
      <c r="Q44">
        <v>0</v>
      </c>
      <c r="R44">
        <v>3</v>
      </c>
      <c r="S44">
        <v>3</v>
      </c>
      <c r="T44">
        <v>3</v>
      </c>
      <c r="U44" t="s">
        <v>23</v>
      </c>
      <c r="V44">
        <v>5</v>
      </c>
      <c r="W44">
        <v>1</v>
      </c>
    </row>
    <row r="45" spans="1:23" x14ac:dyDescent="0.35">
      <c r="A45" t="s">
        <v>580</v>
      </c>
      <c r="B45" s="6">
        <v>44928</v>
      </c>
      <c r="D45" t="s">
        <v>23</v>
      </c>
      <c r="E45">
        <v>32</v>
      </c>
      <c r="F45" t="s">
        <v>62</v>
      </c>
      <c r="G45" t="s">
        <v>25</v>
      </c>
      <c r="H45" t="s">
        <v>58</v>
      </c>
      <c r="I45" t="s">
        <v>48</v>
      </c>
      <c r="J45" t="s">
        <v>129</v>
      </c>
      <c r="K45">
        <v>2</v>
      </c>
      <c r="L45" t="s">
        <v>50</v>
      </c>
      <c r="M45">
        <v>58000</v>
      </c>
      <c r="N45">
        <v>10.1</v>
      </c>
      <c r="O45">
        <v>10.6</v>
      </c>
      <c r="P45">
        <v>3</v>
      </c>
      <c r="Q45">
        <v>2.1</v>
      </c>
      <c r="R45">
        <v>3</v>
      </c>
      <c r="S45">
        <v>2</v>
      </c>
      <c r="T45">
        <v>3</v>
      </c>
      <c r="U45" t="s">
        <v>23</v>
      </c>
      <c r="V45">
        <v>3</v>
      </c>
      <c r="W45">
        <v>1</v>
      </c>
    </row>
    <row r="46" spans="1:23" x14ac:dyDescent="0.35">
      <c r="A46" t="s">
        <v>239</v>
      </c>
      <c r="B46" s="6">
        <v>44371</v>
      </c>
      <c r="D46" t="s">
        <v>23</v>
      </c>
      <c r="E46">
        <v>33</v>
      </c>
      <c r="F46" t="s">
        <v>36</v>
      </c>
      <c r="G46" t="s">
        <v>37</v>
      </c>
      <c r="H46" t="s">
        <v>26</v>
      </c>
      <c r="I46" t="s">
        <v>59</v>
      </c>
      <c r="J46" t="s">
        <v>86</v>
      </c>
      <c r="K46">
        <v>2</v>
      </c>
      <c r="L46" t="s">
        <v>66</v>
      </c>
      <c r="M46">
        <v>65000</v>
      </c>
      <c r="N46">
        <v>7.9</v>
      </c>
      <c r="O46">
        <v>4.9000000000000004</v>
      </c>
      <c r="P46">
        <v>4.5</v>
      </c>
      <c r="Q46">
        <v>0.2</v>
      </c>
      <c r="R46">
        <v>3</v>
      </c>
      <c r="S46">
        <v>3</v>
      </c>
      <c r="T46">
        <v>4</v>
      </c>
      <c r="U46" t="s">
        <v>23</v>
      </c>
      <c r="V46">
        <v>4</v>
      </c>
      <c r="W46">
        <v>1</v>
      </c>
    </row>
    <row r="47" spans="1:23" x14ac:dyDescent="0.35">
      <c r="A47" t="s">
        <v>1513</v>
      </c>
      <c r="B47" s="6">
        <v>44457</v>
      </c>
      <c r="D47" t="s">
        <v>23</v>
      </c>
      <c r="E47">
        <v>37</v>
      </c>
      <c r="F47" t="s">
        <v>24</v>
      </c>
      <c r="G47" t="s">
        <v>37</v>
      </c>
      <c r="H47" t="s">
        <v>58</v>
      </c>
      <c r="I47" t="s">
        <v>68</v>
      </c>
      <c r="J47" t="s">
        <v>121</v>
      </c>
      <c r="K47">
        <v>3</v>
      </c>
      <c r="L47" t="s">
        <v>50</v>
      </c>
      <c r="M47">
        <v>69000</v>
      </c>
      <c r="N47">
        <v>4.7</v>
      </c>
      <c r="O47">
        <v>5.2</v>
      </c>
      <c r="P47">
        <v>4.3</v>
      </c>
      <c r="Q47">
        <v>0.3</v>
      </c>
      <c r="R47">
        <v>3</v>
      </c>
      <c r="S47">
        <v>3</v>
      </c>
      <c r="T47">
        <v>3</v>
      </c>
      <c r="U47" t="s">
        <v>23</v>
      </c>
      <c r="V47">
        <v>4</v>
      </c>
      <c r="W47">
        <v>1</v>
      </c>
    </row>
    <row r="48" spans="1:23" x14ac:dyDescent="0.35">
      <c r="A48" t="s">
        <v>608</v>
      </c>
      <c r="B48" s="6">
        <v>44286</v>
      </c>
      <c r="D48" t="s">
        <v>23</v>
      </c>
      <c r="E48">
        <v>31</v>
      </c>
      <c r="F48" t="s">
        <v>62</v>
      </c>
      <c r="G48" t="s">
        <v>25</v>
      </c>
      <c r="H48" t="s">
        <v>26</v>
      </c>
      <c r="I48" t="s">
        <v>55</v>
      </c>
      <c r="J48" t="s">
        <v>56</v>
      </c>
      <c r="K48">
        <v>3</v>
      </c>
      <c r="L48" t="s">
        <v>66</v>
      </c>
      <c r="M48">
        <v>96000</v>
      </c>
      <c r="N48">
        <v>10.9</v>
      </c>
      <c r="O48">
        <v>7.8</v>
      </c>
      <c r="P48">
        <v>4.8</v>
      </c>
      <c r="Q48">
        <v>4.4000000000000004</v>
      </c>
      <c r="R48">
        <v>3</v>
      </c>
      <c r="S48">
        <v>3</v>
      </c>
      <c r="T48">
        <v>3</v>
      </c>
      <c r="U48" t="s">
        <v>23</v>
      </c>
      <c r="V48">
        <v>3</v>
      </c>
      <c r="W48">
        <v>1</v>
      </c>
    </row>
    <row r="49" spans="1:23" x14ac:dyDescent="0.35">
      <c r="A49" t="s">
        <v>1565</v>
      </c>
      <c r="B49" s="6">
        <v>43594</v>
      </c>
      <c r="D49" t="s">
        <v>23</v>
      </c>
      <c r="E49">
        <v>27</v>
      </c>
      <c r="F49" t="s">
        <v>62</v>
      </c>
      <c r="G49" t="s">
        <v>42</v>
      </c>
      <c r="H49" t="s">
        <v>58</v>
      </c>
      <c r="I49" t="s">
        <v>45</v>
      </c>
      <c r="J49" t="s">
        <v>164</v>
      </c>
      <c r="K49">
        <v>1</v>
      </c>
      <c r="L49" t="s">
        <v>50</v>
      </c>
      <c r="M49">
        <v>22000</v>
      </c>
      <c r="N49">
        <v>7.2</v>
      </c>
      <c r="O49">
        <v>7.9</v>
      </c>
      <c r="P49">
        <v>6.6</v>
      </c>
      <c r="Q49">
        <v>1</v>
      </c>
      <c r="R49">
        <v>2</v>
      </c>
      <c r="S49">
        <v>2</v>
      </c>
      <c r="T49">
        <v>1</v>
      </c>
      <c r="U49" t="s">
        <v>30</v>
      </c>
      <c r="V49">
        <v>3</v>
      </c>
      <c r="W49">
        <v>1</v>
      </c>
    </row>
    <row r="50" spans="1:23" x14ac:dyDescent="0.35">
      <c r="A50" t="s">
        <v>517</v>
      </c>
      <c r="B50" s="6">
        <v>42909</v>
      </c>
      <c r="D50" t="s">
        <v>23</v>
      </c>
      <c r="E50">
        <v>34</v>
      </c>
      <c r="F50" t="s">
        <v>62</v>
      </c>
      <c r="G50" t="s">
        <v>37</v>
      </c>
      <c r="H50" t="s">
        <v>32</v>
      </c>
      <c r="I50" t="s">
        <v>55</v>
      </c>
      <c r="J50" t="s">
        <v>88</v>
      </c>
      <c r="K50">
        <v>3</v>
      </c>
      <c r="L50" t="s">
        <v>84</v>
      </c>
      <c r="M50">
        <v>78000</v>
      </c>
      <c r="N50">
        <v>9.6999999999999993</v>
      </c>
      <c r="O50">
        <v>14.8</v>
      </c>
      <c r="P50">
        <v>8.5</v>
      </c>
      <c r="Q50">
        <v>3.8</v>
      </c>
      <c r="R50">
        <v>3</v>
      </c>
      <c r="S50">
        <v>3</v>
      </c>
      <c r="T50">
        <v>4</v>
      </c>
      <c r="U50" t="s">
        <v>23</v>
      </c>
      <c r="V50">
        <v>3</v>
      </c>
      <c r="W50">
        <v>1</v>
      </c>
    </row>
    <row r="51" spans="1:23" x14ac:dyDescent="0.35">
      <c r="A51" t="s">
        <v>892</v>
      </c>
      <c r="B51" s="6">
        <v>45738</v>
      </c>
      <c r="D51" t="s">
        <v>23</v>
      </c>
      <c r="E51">
        <v>27</v>
      </c>
      <c r="F51" t="s">
        <v>36</v>
      </c>
      <c r="G51" t="s">
        <v>25</v>
      </c>
      <c r="H51" t="s">
        <v>54</v>
      </c>
      <c r="I51" t="s">
        <v>59</v>
      </c>
      <c r="J51" t="s">
        <v>86</v>
      </c>
      <c r="K51">
        <v>1</v>
      </c>
      <c r="L51" t="s">
        <v>34</v>
      </c>
      <c r="M51">
        <v>34000</v>
      </c>
      <c r="N51">
        <v>9.1999999999999993</v>
      </c>
      <c r="O51">
        <v>5.3</v>
      </c>
      <c r="P51">
        <v>0.8</v>
      </c>
      <c r="Q51">
        <v>0</v>
      </c>
      <c r="R51">
        <v>3</v>
      </c>
      <c r="S51">
        <v>2</v>
      </c>
      <c r="T51">
        <v>3</v>
      </c>
      <c r="U51" t="s">
        <v>30</v>
      </c>
      <c r="V51">
        <v>4</v>
      </c>
      <c r="W51">
        <v>1</v>
      </c>
    </row>
    <row r="52" spans="1:23" x14ac:dyDescent="0.35">
      <c r="A52" t="s">
        <v>612</v>
      </c>
      <c r="B52" s="6">
        <v>42774</v>
      </c>
      <c r="D52" t="s">
        <v>23</v>
      </c>
      <c r="E52">
        <v>36</v>
      </c>
      <c r="F52" t="s">
        <v>36</v>
      </c>
      <c r="G52" t="s">
        <v>25</v>
      </c>
      <c r="H52" t="s">
        <v>26</v>
      </c>
      <c r="I52" t="s">
        <v>38</v>
      </c>
      <c r="J52" t="s">
        <v>118</v>
      </c>
      <c r="K52">
        <v>4</v>
      </c>
      <c r="L52" t="s">
        <v>40</v>
      </c>
      <c r="M52">
        <v>129000</v>
      </c>
      <c r="N52">
        <v>13.3</v>
      </c>
      <c r="O52">
        <v>14.3</v>
      </c>
      <c r="P52">
        <v>8.9</v>
      </c>
      <c r="Q52">
        <v>5.2</v>
      </c>
      <c r="R52">
        <v>1</v>
      </c>
      <c r="S52">
        <v>3</v>
      </c>
      <c r="T52">
        <v>1</v>
      </c>
      <c r="U52" t="s">
        <v>23</v>
      </c>
      <c r="V52">
        <v>4</v>
      </c>
      <c r="W52">
        <v>1</v>
      </c>
    </row>
    <row r="53" spans="1:23" x14ac:dyDescent="0.35">
      <c r="A53" t="s">
        <v>886</v>
      </c>
      <c r="B53" s="6">
        <v>45010</v>
      </c>
      <c r="D53" t="s">
        <v>23</v>
      </c>
      <c r="E53">
        <v>23</v>
      </c>
      <c r="F53" t="s">
        <v>24</v>
      </c>
      <c r="G53" t="s">
        <v>42</v>
      </c>
      <c r="H53" t="s">
        <v>54</v>
      </c>
      <c r="I53" t="s">
        <v>48</v>
      </c>
      <c r="J53" t="s">
        <v>201</v>
      </c>
      <c r="K53">
        <v>1</v>
      </c>
      <c r="L53" t="s">
        <v>29</v>
      </c>
      <c r="M53">
        <v>27000</v>
      </c>
      <c r="N53">
        <v>11.1</v>
      </c>
      <c r="O53">
        <v>6.7</v>
      </c>
      <c r="P53">
        <v>2.8</v>
      </c>
      <c r="Q53">
        <v>0.3</v>
      </c>
      <c r="R53">
        <v>3</v>
      </c>
      <c r="S53">
        <v>3</v>
      </c>
      <c r="T53">
        <v>3</v>
      </c>
      <c r="U53" t="s">
        <v>30</v>
      </c>
      <c r="V53">
        <v>4</v>
      </c>
      <c r="W53">
        <v>1</v>
      </c>
    </row>
    <row r="54" spans="1:23" x14ac:dyDescent="0.35">
      <c r="A54" t="s">
        <v>664</v>
      </c>
      <c r="B54" s="6">
        <v>44202</v>
      </c>
      <c r="C54">
        <v>45787</v>
      </c>
      <c r="D54" t="s">
        <v>30</v>
      </c>
      <c r="E54">
        <v>37</v>
      </c>
      <c r="F54" t="s">
        <v>62</v>
      </c>
      <c r="G54" t="s">
        <v>25</v>
      </c>
      <c r="H54" t="s">
        <v>54</v>
      </c>
      <c r="I54" t="s">
        <v>48</v>
      </c>
      <c r="J54" t="s">
        <v>129</v>
      </c>
      <c r="K54">
        <v>3</v>
      </c>
      <c r="L54" t="s">
        <v>34</v>
      </c>
      <c r="M54">
        <v>115000</v>
      </c>
      <c r="N54">
        <v>11.3</v>
      </c>
      <c r="O54">
        <v>6.9</v>
      </c>
      <c r="P54">
        <v>4.3</v>
      </c>
      <c r="Q54">
        <v>4.2</v>
      </c>
      <c r="R54">
        <v>1</v>
      </c>
      <c r="S54">
        <v>3</v>
      </c>
      <c r="T54">
        <v>3</v>
      </c>
      <c r="U54" t="s">
        <v>23</v>
      </c>
      <c r="V54">
        <v>5</v>
      </c>
      <c r="W54">
        <v>1</v>
      </c>
    </row>
    <row r="55" spans="1:23" x14ac:dyDescent="0.35">
      <c r="A55" t="s">
        <v>402</v>
      </c>
      <c r="B55" s="6">
        <v>43252</v>
      </c>
      <c r="C55">
        <v>45794</v>
      </c>
      <c r="D55" t="s">
        <v>30</v>
      </c>
      <c r="E55">
        <v>40</v>
      </c>
      <c r="F55" t="s">
        <v>62</v>
      </c>
      <c r="G55" t="s">
        <v>25</v>
      </c>
      <c r="H55" t="s">
        <v>32</v>
      </c>
      <c r="I55" t="s">
        <v>38</v>
      </c>
      <c r="J55" t="s">
        <v>139</v>
      </c>
      <c r="K55">
        <v>3</v>
      </c>
      <c r="L55" t="s">
        <v>29</v>
      </c>
      <c r="M55">
        <v>92000</v>
      </c>
      <c r="N55">
        <v>7.7</v>
      </c>
      <c r="O55">
        <v>11.4</v>
      </c>
      <c r="P55">
        <v>7</v>
      </c>
      <c r="Q55">
        <v>5.6</v>
      </c>
      <c r="R55">
        <v>3</v>
      </c>
      <c r="S55">
        <v>3</v>
      </c>
      <c r="T55">
        <v>3</v>
      </c>
      <c r="U55" t="s">
        <v>23</v>
      </c>
      <c r="V55">
        <v>2</v>
      </c>
      <c r="W55">
        <v>1</v>
      </c>
    </row>
    <row r="56" spans="1:23" x14ac:dyDescent="0.35">
      <c r="A56" t="s">
        <v>1303</v>
      </c>
      <c r="B56" s="6">
        <v>44360</v>
      </c>
      <c r="D56" t="s">
        <v>23</v>
      </c>
      <c r="E56">
        <v>28</v>
      </c>
      <c r="F56" t="s">
        <v>62</v>
      </c>
      <c r="G56" t="s">
        <v>25</v>
      </c>
      <c r="H56" t="s">
        <v>58</v>
      </c>
      <c r="I56" t="s">
        <v>55</v>
      </c>
      <c r="J56" t="s">
        <v>88</v>
      </c>
      <c r="K56">
        <v>3</v>
      </c>
      <c r="L56" t="s">
        <v>34</v>
      </c>
      <c r="M56">
        <v>87000</v>
      </c>
      <c r="N56">
        <v>7.1</v>
      </c>
      <c r="O56">
        <v>8.1999999999999993</v>
      </c>
      <c r="P56">
        <v>4.5999999999999996</v>
      </c>
      <c r="Q56">
        <v>0.5</v>
      </c>
      <c r="R56">
        <v>4</v>
      </c>
      <c r="S56">
        <v>4</v>
      </c>
      <c r="T56">
        <v>3</v>
      </c>
      <c r="U56" t="s">
        <v>30</v>
      </c>
      <c r="V56">
        <v>4</v>
      </c>
      <c r="W56">
        <v>1</v>
      </c>
    </row>
    <row r="57" spans="1:23" x14ac:dyDescent="0.35">
      <c r="A57" t="s">
        <v>1582</v>
      </c>
      <c r="B57" s="6">
        <v>44871</v>
      </c>
      <c r="D57" t="s">
        <v>23</v>
      </c>
      <c r="E57">
        <v>49</v>
      </c>
      <c r="F57" t="s">
        <v>36</v>
      </c>
      <c r="G57" t="s">
        <v>42</v>
      </c>
      <c r="H57" t="s">
        <v>58</v>
      </c>
      <c r="I57" t="s">
        <v>59</v>
      </c>
      <c r="J57" t="s">
        <v>60</v>
      </c>
      <c r="K57">
        <v>5</v>
      </c>
      <c r="L57" t="s">
        <v>50</v>
      </c>
      <c r="M57">
        <v>134000</v>
      </c>
      <c r="N57">
        <v>11.7</v>
      </c>
      <c r="O57">
        <v>7.2</v>
      </c>
      <c r="P57">
        <v>3.2</v>
      </c>
      <c r="Q57">
        <v>2.8</v>
      </c>
      <c r="R57">
        <v>3</v>
      </c>
      <c r="S57">
        <v>4</v>
      </c>
      <c r="T57">
        <v>3</v>
      </c>
      <c r="U57" t="s">
        <v>23</v>
      </c>
      <c r="V57">
        <v>4</v>
      </c>
      <c r="W57">
        <v>1</v>
      </c>
    </row>
    <row r="58" spans="1:23" x14ac:dyDescent="0.35">
      <c r="A58" t="s">
        <v>1351</v>
      </c>
      <c r="B58" s="6">
        <v>43858</v>
      </c>
      <c r="D58" t="s">
        <v>23</v>
      </c>
      <c r="E58">
        <v>30</v>
      </c>
      <c r="F58" t="s">
        <v>24</v>
      </c>
      <c r="G58" t="s">
        <v>25</v>
      </c>
      <c r="H58" t="s">
        <v>32</v>
      </c>
      <c r="I58" t="s">
        <v>68</v>
      </c>
      <c r="J58" t="s">
        <v>69</v>
      </c>
      <c r="K58">
        <v>4</v>
      </c>
      <c r="L58" t="s">
        <v>66</v>
      </c>
      <c r="M58">
        <v>120000</v>
      </c>
      <c r="N58">
        <v>9.3000000000000007</v>
      </c>
      <c r="O58">
        <v>9.8000000000000007</v>
      </c>
      <c r="P58">
        <v>5.9</v>
      </c>
      <c r="Q58">
        <v>2</v>
      </c>
      <c r="R58">
        <v>4</v>
      </c>
      <c r="S58">
        <v>4</v>
      </c>
      <c r="T58">
        <v>3</v>
      </c>
      <c r="U58" t="s">
        <v>23</v>
      </c>
      <c r="V58">
        <v>5</v>
      </c>
      <c r="W58">
        <v>1</v>
      </c>
    </row>
    <row r="59" spans="1:23" x14ac:dyDescent="0.35">
      <c r="A59" t="s">
        <v>127</v>
      </c>
      <c r="B59" s="6">
        <v>44758</v>
      </c>
      <c r="D59" t="s">
        <v>23</v>
      </c>
      <c r="E59">
        <v>28</v>
      </c>
      <c r="F59" t="s">
        <v>24</v>
      </c>
      <c r="G59" t="s">
        <v>37</v>
      </c>
      <c r="H59" t="s">
        <v>58</v>
      </c>
      <c r="I59" t="s">
        <v>48</v>
      </c>
      <c r="J59" t="s">
        <v>49</v>
      </c>
      <c r="K59">
        <v>4</v>
      </c>
      <c r="L59" t="s">
        <v>50</v>
      </c>
      <c r="M59">
        <v>121000</v>
      </c>
      <c r="N59">
        <v>6.1</v>
      </c>
      <c r="O59">
        <v>6.5</v>
      </c>
      <c r="P59">
        <v>3.5</v>
      </c>
      <c r="Q59">
        <v>3.5</v>
      </c>
      <c r="R59">
        <v>3</v>
      </c>
      <c r="S59">
        <v>4</v>
      </c>
      <c r="T59">
        <v>3</v>
      </c>
      <c r="U59" t="s">
        <v>23</v>
      </c>
      <c r="V59">
        <v>2</v>
      </c>
      <c r="W59">
        <v>1</v>
      </c>
    </row>
    <row r="60" spans="1:23" x14ac:dyDescent="0.35">
      <c r="A60" t="s">
        <v>399</v>
      </c>
      <c r="B60" s="6">
        <v>42022</v>
      </c>
      <c r="D60" t="s">
        <v>23</v>
      </c>
      <c r="E60">
        <v>33</v>
      </c>
      <c r="F60" t="s">
        <v>36</v>
      </c>
      <c r="G60" t="s">
        <v>25</v>
      </c>
      <c r="H60" t="s">
        <v>26</v>
      </c>
      <c r="I60" t="s">
        <v>59</v>
      </c>
      <c r="J60" t="s">
        <v>60</v>
      </c>
      <c r="K60">
        <v>1</v>
      </c>
      <c r="L60" t="s">
        <v>84</v>
      </c>
      <c r="M60">
        <v>27000</v>
      </c>
      <c r="N60">
        <v>17.600000000000001</v>
      </c>
      <c r="O60">
        <v>18.7</v>
      </c>
      <c r="P60">
        <v>11</v>
      </c>
      <c r="Q60">
        <v>0.4</v>
      </c>
      <c r="R60">
        <v>2</v>
      </c>
      <c r="S60">
        <v>4</v>
      </c>
      <c r="T60">
        <v>3</v>
      </c>
      <c r="U60" t="s">
        <v>30</v>
      </c>
      <c r="V60">
        <v>4</v>
      </c>
      <c r="W60">
        <v>1</v>
      </c>
    </row>
    <row r="61" spans="1:23" x14ac:dyDescent="0.35">
      <c r="A61" t="s">
        <v>1578</v>
      </c>
      <c r="B61" s="6">
        <v>45669</v>
      </c>
      <c r="D61" t="s">
        <v>23</v>
      </c>
      <c r="E61">
        <v>21</v>
      </c>
      <c r="F61" t="s">
        <v>24</v>
      </c>
      <c r="G61" t="s">
        <v>25</v>
      </c>
      <c r="H61" t="s">
        <v>26</v>
      </c>
      <c r="I61" t="s">
        <v>59</v>
      </c>
      <c r="J61" t="s">
        <v>60</v>
      </c>
      <c r="K61">
        <v>1</v>
      </c>
      <c r="L61" t="s">
        <v>34</v>
      </c>
      <c r="M61">
        <v>35000</v>
      </c>
      <c r="N61">
        <v>6.4</v>
      </c>
      <c r="O61">
        <v>5.3</v>
      </c>
      <c r="P61">
        <v>1</v>
      </c>
      <c r="Q61">
        <v>0.6</v>
      </c>
      <c r="R61">
        <v>4</v>
      </c>
      <c r="S61">
        <v>2</v>
      </c>
      <c r="T61">
        <v>3</v>
      </c>
      <c r="U61" t="s">
        <v>23</v>
      </c>
      <c r="V61">
        <v>3</v>
      </c>
      <c r="W61">
        <v>1</v>
      </c>
    </row>
    <row r="62" spans="1:23" x14ac:dyDescent="0.35">
      <c r="A62" t="s">
        <v>1522</v>
      </c>
      <c r="B62" s="6">
        <v>44827</v>
      </c>
      <c r="C62">
        <v>45686</v>
      </c>
      <c r="D62" t="s">
        <v>30</v>
      </c>
      <c r="E62">
        <v>27</v>
      </c>
      <c r="F62" t="s">
        <v>24</v>
      </c>
      <c r="G62" t="s">
        <v>37</v>
      </c>
      <c r="H62" t="s">
        <v>32</v>
      </c>
      <c r="I62" t="s">
        <v>38</v>
      </c>
      <c r="J62" t="s">
        <v>118</v>
      </c>
      <c r="K62">
        <v>1</v>
      </c>
      <c r="L62" t="s">
        <v>50</v>
      </c>
      <c r="M62">
        <v>37000</v>
      </c>
      <c r="N62">
        <v>11</v>
      </c>
      <c r="O62">
        <v>4.7</v>
      </c>
      <c r="P62">
        <v>2.4</v>
      </c>
      <c r="Q62">
        <v>0.9</v>
      </c>
      <c r="R62">
        <v>4</v>
      </c>
      <c r="S62">
        <v>2</v>
      </c>
      <c r="T62">
        <v>3</v>
      </c>
      <c r="U62" t="s">
        <v>23</v>
      </c>
      <c r="V62">
        <v>4</v>
      </c>
      <c r="W62">
        <v>1</v>
      </c>
    </row>
    <row r="63" spans="1:23" x14ac:dyDescent="0.35">
      <c r="A63" t="s">
        <v>935</v>
      </c>
      <c r="B63" s="6">
        <v>44849</v>
      </c>
      <c r="C63">
        <v>45894</v>
      </c>
      <c r="D63" t="s">
        <v>30</v>
      </c>
      <c r="E63">
        <v>25</v>
      </c>
      <c r="F63" t="s">
        <v>36</v>
      </c>
      <c r="G63" t="s">
        <v>25</v>
      </c>
      <c r="H63" t="s">
        <v>32</v>
      </c>
      <c r="I63" t="s">
        <v>27</v>
      </c>
      <c r="J63" t="s">
        <v>33</v>
      </c>
      <c r="K63">
        <v>1</v>
      </c>
      <c r="L63" t="s">
        <v>50</v>
      </c>
      <c r="M63">
        <v>29000</v>
      </c>
      <c r="N63">
        <v>7.1</v>
      </c>
      <c r="O63">
        <v>8</v>
      </c>
      <c r="P63">
        <v>2.9</v>
      </c>
      <c r="Q63">
        <v>1.3</v>
      </c>
      <c r="R63">
        <v>4</v>
      </c>
      <c r="S63">
        <v>3</v>
      </c>
      <c r="T63">
        <v>4</v>
      </c>
      <c r="U63" t="s">
        <v>30</v>
      </c>
      <c r="V63">
        <v>3</v>
      </c>
      <c r="W63">
        <v>1</v>
      </c>
    </row>
    <row r="64" spans="1:23" x14ac:dyDescent="0.35">
      <c r="A64" t="s">
        <v>234</v>
      </c>
      <c r="B64" s="6">
        <v>44635</v>
      </c>
      <c r="D64" t="s">
        <v>23</v>
      </c>
      <c r="E64">
        <v>45</v>
      </c>
      <c r="F64" t="s">
        <v>36</v>
      </c>
      <c r="G64" t="s">
        <v>25</v>
      </c>
      <c r="H64" t="s">
        <v>58</v>
      </c>
      <c r="I64" t="s">
        <v>48</v>
      </c>
      <c r="J64" t="s">
        <v>129</v>
      </c>
      <c r="K64">
        <v>5</v>
      </c>
      <c r="L64" t="s">
        <v>29</v>
      </c>
      <c r="M64">
        <v>164000</v>
      </c>
      <c r="N64">
        <v>4</v>
      </c>
      <c r="O64">
        <v>6.2</v>
      </c>
      <c r="P64">
        <v>3.8</v>
      </c>
      <c r="Q64">
        <v>3.8</v>
      </c>
      <c r="R64">
        <v>3</v>
      </c>
      <c r="S64">
        <v>4</v>
      </c>
      <c r="T64">
        <v>2</v>
      </c>
      <c r="U64" t="s">
        <v>23</v>
      </c>
      <c r="V64">
        <v>3</v>
      </c>
      <c r="W64">
        <v>1</v>
      </c>
    </row>
    <row r="65" spans="1:23" x14ac:dyDescent="0.35">
      <c r="A65" t="s">
        <v>280</v>
      </c>
      <c r="B65" s="6">
        <v>43100</v>
      </c>
      <c r="D65" t="s">
        <v>23</v>
      </c>
      <c r="E65">
        <v>48</v>
      </c>
      <c r="F65" t="s">
        <v>36</v>
      </c>
      <c r="G65" t="s">
        <v>37</v>
      </c>
      <c r="H65" t="s">
        <v>58</v>
      </c>
      <c r="I65" t="s">
        <v>68</v>
      </c>
      <c r="J65" t="s">
        <v>102</v>
      </c>
      <c r="K65">
        <v>5</v>
      </c>
      <c r="L65" t="s">
        <v>40</v>
      </c>
      <c r="M65">
        <v>163000</v>
      </c>
      <c r="N65">
        <v>2.9</v>
      </c>
      <c r="O65">
        <v>14</v>
      </c>
      <c r="P65">
        <v>8</v>
      </c>
      <c r="Q65">
        <v>0.3</v>
      </c>
      <c r="R65">
        <v>3</v>
      </c>
      <c r="S65">
        <v>3</v>
      </c>
      <c r="T65">
        <v>3</v>
      </c>
      <c r="U65" t="s">
        <v>30</v>
      </c>
      <c r="V65">
        <v>5</v>
      </c>
      <c r="W65">
        <v>1</v>
      </c>
    </row>
    <row r="66" spans="1:23" x14ac:dyDescent="0.35">
      <c r="A66" t="s">
        <v>673</v>
      </c>
      <c r="B66" s="6">
        <v>43017</v>
      </c>
      <c r="D66" t="s">
        <v>23</v>
      </c>
      <c r="E66">
        <v>42</v>
      </c>
      <c r="F66" t="s">
        <v>62</v>
      </c>
      <c r="G66" t="s">
        <v>42</v>
      </c>
      <c r="H66" t="s">
        <v>32</v>
      </c>
      <c r="I66" t="s">
        <v>45</v>
      </c>
      <c r="J66" t="s">
        <v>97</v>
      </c>
      <c r="K66">
        <v>3</v>
      </c>
      <c r="L66" t="s">
        <v>50</v>
      </c>
      <c r="M66">
        <v>66000</v>
      </c>
      <c r="N66">
        <v>10.8</v>
      </c>
      <c r="O66">
        <v>13.3</v>
      </c>
      <c r="P66">
        <v>8.1999999999999993</v>
      </c>
      <c r="Q66">
        <v>5.4</v>
      </c>
      <c r="R66">
        <v>3</v>
      </c>
      <c r="S66">
        <v>3</v>
      </c>
      <c r="T66">
        <v>3</v>
      </c>
      <c r="U66" t="s">
        <v>23</v>
      </c>
      <c r="V66">
        <v>3</v>
      </c>
      <c r="W66">
        <v>1</v>
      </c>
    </row>
    <row r="67" spans="1:23" x14ac:dyDescent="0.35">
      <c r="A67" t="s">
        <v>394</v>
      </c>
      <c r="B67" s="6">
        <v>44084</v>
      </c>
      <c r="D67" t="s">
        <v>23</v>
      </c>
      <c r="E67">
        <v>27</v>
      </c>
      <c r="F67" t="s">
        <v>36</v>
      </c>
      <c r="G67" t="s">
        <v>42</v>
      </c>
      <c r="H67" t="s">
        <v>58</v>
      </c>
      <c r="I67" t="s">
        <v>68</v>
      </c>
      <c r="J67" t="s">
        <v>69</v>
      </c>
      <c r="K67">
        <v>1</v>
      </c>
      <c r="L67" t="s">
        <v>50</v>
      </c>
      <c r="M67">
        <v>33000</v>
      </c>
      <c r="N67">
        <v>0</v>
      </c>
      <c r="O67">
        <v>13.1</v>
      </c>
      <c r="P67">
        <v>5.3</v>
      </c>
      <c r="Q67">
        <v>2.8</v>
      </c>
      <c r="R67">
        <v>2</v>
      </c>
      <c r="S67">
        <v>4</v>
      </c>
      <c r="T67">
        <v>4</v>
      </c>
      <c r="U67" t="s">
        <v>30</v>
      </c>
      <c r="V67">
        <v>3</v>
      </c>
      <c r="W67">
        <v>1</v>
      </c>
    </row>
    <row r="68" spans="1:23" x14ac:dyDescent="0.35">
      <c r="A68" t="s">
        <v>1396</v>
      </c>
      <c r="B68" s="6">
        <v>42136</v>
      </c>
      <c r="D68" t="s">
        <v>23</v>
      </c>
      <c r="E68">
        <v>31</v>
      </c>
      <c r="F68" t="s">
        <v>62</v>
      </c>
      <c r="G68" t="s">
        <v>37</v>
      </c>
      <c r="H68" t="s">
        <v>54</v>
      </c>
      <c r="I68" t="s">
        <v>48</v>
      </c>
      <c r="J68" t="s">
        <v>63</v>
      </c>
      <c r="K68">
        <v>2</v>
      </c>
      <c r="L68" t="s">
        <v>84</v>
      </c>
      <c r="M68">
        <v>44000</v>
      </c>
      <c r="N68">
        <v>15.5</v>
      </c>
      <c r="O68">
        <v>18.399999999999999</v>
      </c>
      <c r="P68">
        <v>10.6</v>
      </c>
      <c r="Q68">
        <v>4.8</v>
      </c>
      <c r="R68">
        <v>3</v>
      </c>
      <c r="S68">
        <v>3</v>
      </c>
      <c r="T68">
        <v>4</v>
      </c>
      <c r="U68" t="s">
        <v>23</v>
      </c>
      <c r="V68">
        <v>1</v>
      </c>
      <c r="W68">
        <v>1</v>
      </c>
    </row>
    <row r="69" spans="1:23" x14ac:dyDescent="0.35">
      <c r="A69" t="s">
        <v>1299</v>
      </c>
      <c r="B69" s="6">
        <v>42999</v>
      </c>
      <c r="D69" t="s">
        <v>23</v>
      </c>
      <c r="E69">
        <v>30</v>
      </c>
      <c r="F69" t="s">
        <v>24</v>
      </c>
      <c r="G69" t="s">
        <v>25</v>
      </c>
      <c r="H69" t="s">
        <v>54</v>
      </c>
      <c r="I69" t="s">
        <v>45</v>
      </c>
      <c r="J69" t="s">
        <v>77</v>
      </c>
      <c r="K69">
        <v>3</v>
      </c>
      <c r="L69" t="s">
        <v>29</v>
      </c>
      <c r="M69">
        <v>73000</v>
      </c>
      <c r="N69">
        <v>14.8</v>
      </c>
      <c r="O69">
        <v>8.5</v>
      </c>
      <c r="P69">
        <v>8.3000000000000007</v>
      </c>
      <c r="Q69">
        <v>5.3</v>
      </c>
      <c r="R69">
        <v>2</v>
      </c>
      <c r="S69">
        <v>3</v>
      </c>
      <c r="T69">
        <v>4</v>
      </c>
      <c r="U69" t="s">
        <v>23</v>
      </c>
      <c r="V69">
        <v>3</v>
      </c>
      <c r="W69">
        <v>1</v>
      </c>
    </row>
    <row r="70" spans="1:23" x14ac:dyDescent="0.35">
      <c r="A70" t="s">
        <v>1251</v>
      </c>
      <c r="B70" s="6">
        <v>45719</v>
      </c>
      <c r="C70">
        <v>45839</v>
      </c>
      <c r="D70" t="s">
        <v>30</v>
      </c>
      <c r="E70">
        <v>41</v>
      </c>
      <c r="F70" t="s">
        <v>62</v>
      </c>
      <c r="G70" t="s">
        <v>42</v>
      </c>
      <c r="H70" t="s">
        <v>32</v>
      </c>
      <c r="I70" t="s">
        <v>68</v>
      </c>
      <c r="J70" t="s">
        <v>121</v>
      </c>
      <c r="K70">
        <v>2</v>
      </c>
      <c r="L70" t="s">
        <v>34</v>
      </c>
      <c r="M70">
        <v>53000</v>
      </c>
      <c r="N70">
        <v>5.0999999999999996</v>
      </c>
      <c r="O70">
        <v>7.4</v>
      </c>
      <c r="P70">
        <v>0.3</v>
      </c>
      <c r="Q70">
        <v>0</v>
      </c>
      <c r="R70">
        <v>4</v>
      </c>
      <c r="S70">
        <v>3</v>
      </c>
      <c r="T70">
        <v>3</v>
      </c>
      <c r="U70" t="s">
        <v>30</v>
      </c>
      <c r="V70">
        <v>4</v>
      </c>
      <c r="W70">
        <v>1</v>
      </c>
    </row>
    <row r="71" spans="1:23" x14ac:dyDescent="0.35">
      <c r="A71" t="s">
        <v>675</v>
      </c>
      <c r="B71" s="6">
        <v>43282</v>
      </c>
      <c r="D71" t="s">
        <v>23</v>
      </c>
      <c r="E71">
        <v>34</v>
      </c>
      <c r="F71" t="s">
        <v>36</v>
      </c>
      <c r="G71" t="s">
        <v>25</v>
      </c>
      <c r="H71" t="s">
        <v>58</v>
      </c>
      <c r="I71" t="s">
        <v>45</v>
      </c>
      <c r="J71" t="s">
        <v>164</v>
      </c>
      <c r="K71">
        <v>4</v>
      </c>
      <c r="L71" t="s">
        <v>50</v>
      </c>
      <c r="M71">
        <v>98000</v>
      </c>
      <c r="N71">
        <v>9.3000000000000007</v>
      </c>
      <c r="O71">
        <v>9.1999999999999993</v>
      </c>
      <c r="P71">
        <v>7.5</v>
      </c>
      <c r="Q71">
        <v>2.7</v>
      </c>
      <c r="R71">
        <v>3</v>
      </c>
      <c r="S71">
        <v>2</v>
      </c>
      <c r="T71">
        <v>3</v>
      </c>
      <c r="U71" t="s">
        <v>23</v>
      </c>
      <c r="V71">
        <v>5</v>
      </c>
      <c r="W71">
        <v>1</v>
      </c>
    </row>
    <row r="72" spans="1:23" x14ac:dyDescent="0.35">
      <c r="A72" t="s">
        <v>606</v>
      </c>
      <c r="B72" s="6">
        <v>45391</v>
      </c>
      <c r="D72" t="s">
        <v>23</v>
      </c>
      <c r="E72">
        <v>34</v>
      </c>
      <c r="F72" t="s">
        <v>24</v>
      </c>
      <c r="G72" t="s">
        <v>25</v>
      </c>
      <c r="H72" t="s">
        <v>32</v>
      </c>
      <c r="I72" t="s">
        <v>48</v>
      </c>
      <c r="J72" t="s">
        <v>129</v>
      </c>
      <c r="K72">
        <v>2</v>
      </c>
      <c r="L72" t="s">
        <v>50</v>
      </c>
      <c r="M72">
        <v>61000</v>
      </c>
      <c r="N72">
        <v>15.3</v>
      </c>
      <c r="O72">
        <v>6.9</v>
      </c>
      <c r="P72">
        <v>1.7</v>
      </c>
      <c r="Q72">
        <v>1</v>
      </c>
      <c r="R72">
        <v>3</v>
      </c>
      <c r="S72">
        <v>1</v>
      </c>
      <c r="T72">
        <v>4</v>
      </c>
      <c r="U72" t="s">
        <v>23</v>
      </c>
      <c r="V72">
        <v>3</v>
      </c>
      <c r="W72">
        <v>1</v>
      </c>
    </row>
    <row r="73" spans="1:23" x14ac:dyDescent="0.35">
      <c r="A73" t="s">
        <v>1068</v>
      </c>
      <c r="B73" s="6">
        <v>42438</v>
      </c>
      <c r="D73" t="s">
        <v>23</v>
      </c>
      <c r="E73">
        <v>48</v>
      </c>
      <c r="F73" t="s">
        <v>24</v>
      </c>
      <c r="G73" t="s">
        <v>37</v>
      </c>
      <c r="H73" t="s">
        <v>26</v>
      </c>
      <c r="I73" t="s">
        <v>59</v>
      </c>
      <c r="J73" t="s">
        <v>86</v>
      </c>
      <c r="K73">
        <v>3</v>
      </c>
      <c r="L73" t="s">
        <v>40</v>
      </c>
      <c r="M73">
        <v>58000</v>
      </c>
      <c r="N73">
        <v>8.4</v>
      </c>
      <c r="O73">
        <v>14.6</v>
      </c>
      <c r="P73">
        <v>9.8000000000000007</v>
      </c>
      <c r="Q73">
        <v>1.7</v>
      </c>
      <c r="R73">
        <v>4</v>
      </c>
      <c r="S73">
        <v>4</v>
      </c>
      <c r="T73">
        <v>4</v>
      </c>
      <c r="U73" t="s">
        <v>30</v>
      </c>
      <c r="V73">
        <v>4</v>
      </c>
      <c r="W73">
        <v>1</v>
      </c>
    </row>
    <row r="74" spans="1:23" x14ac:dyDescent="0.35">
      <c r="A74" t="s">
        <v>714</v>
      </c>
      <c r="B74" s="6">
        <v>44896</v>
      </c>
      <c r="C74">
        <v>45873</v>
      </c>
      <c r="D74" t="s">
        <v>30</v>
      </c>
      <c r="E74">
        <v>35</v>
      </c>
      <c r="F74" t="s">
        <v>24</v>
      </c>
      <c r="G74" t="s">
        <v>42</v>
      </c>
      <c r="H74" t="s">
        <v>32</v>
      </c>
      <c r="I74" t="s">
        <v>38</v>
      </c>
      <c r="J74" t="s">
        <v>39</v>
      </c>
      <c r="K74">
        <v>3</v>
      </c>
      <c r="L74" t="s">
        <v>66</v>
      </c>
      <c r="M74">
        <v>81000</v>
      </c>
      <c r="N74">
        <v>8.1999999999999993</v>
      </c>
      <c r="O74">
        <v>6.9</v>
      </c>
      <c r="P74">
        <v>2.7</v>
      </c>
      <c r="Q74">
        <v>2</v>
      </c>
      <c r="R74">
        <v>2</v>
      </c>
      <c r="S74">
        <v>3</v>
      </c>
      <c r="T74">
        <v>4</v>
      </c>
      <c r="U74" t="s">
        <v>23</v>
      </c>
      <c r="V74">
        <v>3</v>
      </c>
      <c r="W74">
        <v>1</v>
      </c>
    </row>
    <row r="75" spans="1:23" x14ac:dyDescent="0.35">
      <c r="A75" t="s">
        <v>1558</v>
      </c>
      <c r="B75" s="6">
        <v>42850</v>
      </c>
      <c r="D75" t="s">
        <v>23</v>
      </c>
      <c r="E75">
        <v>29</v>
      </c>
      <c r="F75" t="s">
        <v>62</v>
      </c>
      <c r="G75" t="s">
        <v>37</v>
      </c>
      <c r="H75" t="s">
        <v>26</v>
      </c>
      <c r="I75" t="s">
        <v>38</v>
      </c>
      <c r="J75" t="s">
        <v>39</v>
      </c>
      <c r="K75">
        <v>3</v>
      </c>
      <c r="L75" t="s">
        <v>40</v>
      </c>
      <c r="M75">
        <v>94000</v>
      </c>
      <c r="N75">
        <v>10.4</v>
      </c>
      <c r="O75">
        <v>14.2</v>
      </c>
      <c r="P75">
        <v>8.6999999999999993</v>
      </c>
      <c r="Q75">
        <v>2.9</v>
      </c>
      <c r="R75">
        <v>3</v>
      </c>
      <c r="S75">
        <v>4</v>
      </c>
      <c r="T75">
        <v>2</v>
      </c>
      <c r="U75" t="s">
        <v>30</v>
      </c>
      <c r="V75">
        <v>2</v>
      </c>
      <c r="W75">
        <v>1</v>
      </c>
    </row>
    <row r="76" spans="1:23" x14ac:dyDescent="0.35">
      <c r="A76" t="s">
        <v>67</v>
      </c>
      <c r="B76" s="6">
        <v>43360</v>
      </c>
      <c r="D76" t="s">
        <v>23</v>
      </c>
      <c r="E76">
        <v>39</v>
      </c>
      <c r="F76" t="s">
        <v>24</v>
      </c>
      <c r="G76" t="s">
        <v>42</v>
      </c>
      <c r="H76" t="s">
        <v>54</v>
      </c>
      <c r="I76" t="s">
        <v>68</v>
      </c>
      <c r="J76" t="s">
        <v>69</v>
      </c>
      <c r="K76">
        <v>2</v>
      </c>
      <c r="L76" t="s">
        <v>40</v>
      </c>
      <c r="M76">
        <v>56000</v>
      </c>
      <c r="N76">
        <v>12.3</v>
      </c>
      <c r="O76">
        <v>13.6</v>
      </c>
      <c r="P76">
        <v>7.3</v>
      </c>
      <c r="Q76">
        <v>0.7</v>
      </c>
      <c r="R76">
        <v>3</v>
      </c>
      <c r="S76">
        <v>3</v>
      </c>
      <c r="T76">
        <v>4</v>
      </c>
      <c r="U76" t="s">
        <v>23</v>
      </c>
      <c r="V76">
        <v>4</v>
      </c>
      <c r="W76">
        <v>1</v>
      </c>
    </row>
    <row r="77" spans="1:23" x14ac:dyDescent="0.35">
      <c r="A77" t="s">
        <v>1188</v>
      </c>
      <c r="B77" s="6">
        <v>43888</v>
      </c>
      <c r="D77" t="s">
        <v>23</v>
      </c>
      <c r="E77">
        <v>27</v>
      </c>
      <c r="F77" t="s">
        <v>24</v>
      </c>
      <c r="G77" t="s">
        <v>37</v>
      </c>
      <c r="H77" t="s">
        <v>26</v>
      </c>
      <c r="I77" t="s">
        <v>48</v>
      </c>
      <c r="J77" t="s">
        <v>129</v>
      </c>
      <c r="K77">
        <v>1</v>
      </c>
      <c r="L77" t="s">
        <v>34</v>
      </c>
      <c r="M77">
        <v>30000</v>
      </c>
      <c r="N77">
        <v>12</v>
      </c>
      <c r="O77">
        <v>8.3000000000000007</v>
      </c>
      <c r="P77">
        <v>5.8</v>
      </c>
      <c r="Q77">
        <v>1.5</v>
      </c>
      <c r="R77">
        <v>3</v>
      </c>
      <c r="S77">
        <v>4</v>
      </c>
      <c r="T77">
        <v>3</v>
      </c>
      <c r="U77" t="s">
        <v>23</v>
      </c>
      <c r="V77">
        <v>3</v>
      </c>
      <c r="W77">
        <v>1</v>
      </c>
    </row>
    <row r="78" spans="1:23" x14ac:dyDescent="0.35">
      <c r="A78" t="s">
        <v>294</v>
      </c>
      <c r="B78" s="6">
        <v>43535</v>
      </c>
      <c r="D78" t="s">
        <v>23</v>
      </c>
      <c r="E78">
        <v>33</v>
      </c>
      <c r="F78" t="s">
        <v>62</v>
      </c>
      <c r="G78" t="s">
        <v>37</v>
      </c>
      <c r="H78" t="s">
        <v>58</v>
      </c>
      <c r="I78" t="s">
        <v>38</v>
      </c>
      <c r="J78" t="s">
        <v>39</v>
      </c>
      <c r="K78">
        <v>4</v>
      </c>
      <c r="L78" t="s">
        <v>66</v>
      </c>
      <c r="M78">
        <v>125000</v>
      </c>
      <c r="N78">
        <v>14.1</v>
      </c>
      <c r="O78">
        <v>7.8</v>
      </c>
      <c r="P78">
        <v>6.8</v>
      </c>
      <c r="Q78">
        <v>2.1</v>
      </c>
      <c r="R78">
        <v>3</v>
      </c>
      <c r="S78">
        <v>3</v>
      </c>
      <c r="T78">
        <v>3</v>
      </c>
      <c r="U78" t="s">
        <v>23</v>
      </c>
      <c r="V78">
        <v>4</v>
      </c>
      <c r="W78">
        <v>1</v>
      </c>
    </row>
    <row r="79" spans="1:23" x14ac:dyDescent="0.35">
      <c r="A79" t="s">
        <v>545</v>
      </c>
      <c r="B79" s="6">
        <v>43745</v>
      </c>
      <c r="D79" t="s">
        <v>23</v>
      </c>
      <c r="E79">
        <v>37</v>
      </c>
      <c r="F79" t="s">
        <v>36</v>
      </c>
      <c r="G79" t="s">
        <v>25</v>
      </c>
      <c r="H79" t="s">
        <v>26</v>
      </c>
      <c r="I79" t="s">
        <v>68</v>
      </c>
      <c r="J79" t="s">
        <v>69</v>
      </c>
      <c r="K79">
        <v>2</v>
      </c>
      <c r="L79" t="s">
        <v>66</v>
      </c>
      <c r="M79">
        <v>51000</v>
      </c>
      <c r="N79">
        <v>8.1</v>
      </c>
      <c r="O79">
        <v>9</v>
      </c>
      <c r="P79">
        <v>6.2</v>
      </c>
      <c r="Q79">
        <v>3.3</v>
      </c>
      <c r="R79">
        <v>3</v>
      </c>
      <c r="S79">
        <v>2</v>
      </c>
      <c r="T79">
        <v>3</v>
      </c>
      <c r="U79" t="s">
        <v>30</v>
      </c>
      <c r="V79">
        <v>3</v>
      </c>
      <c r="W79">
        <v>1</v>
      </c>
    </row>
    <row r="80" spans="1:23" x14ac:dyDescent="0.35">
      <c r="A80" t="s">
        <v>789</v>
      </c>
      <c r="B80" s="6">
        <v>44745</v>
      </c>
      <c r="D80" t="s">
        <v>23</v>
      </c>
      <c r="E80">
        <v>39</v>
      </c>
      <c r="F80" t="s">
        <v>24</v>
      </c>
      <c r="G80" t="s">
        <v>37</v>
      </c>
      <c r="H80" t="s">
        <v>32</v>
      </c>
      <c r="I80" t="s">
        <v>45</v>
      </c>
      <c r="J80" t="s">
        <v>77</v>
      </c>
      <c r="K80">
        <v>1</v>
      </c>
      <c r="L80" t="s">
        <v>34</v>
      </c>
      <c r="M80">
        <v>39000</v>
      </c>
      <c r="N80">
        <v>14.2</v>
      </c>
      <c r="O80">
        <v>4.9000000000000004</v>
      </c>
      <c r="P80">
        <v>3.5</v>
      </c>
      <c r="Q80">
        <v>0.5</v>
      </c>
      <c r="R80">
        <v>4</v>
      </c>
      <c r="S80">
        <v>3</v>
      </c>
      <c r="T80">
        <v>2</v>
      </c>
      <c r="U80" t="s">
        <v>23</v>
      </c>
      <c r="V80">
        <v>4</v>
      </c>
      <c r="W80">
        <v>1</v>
      </c>
    </row>
    <row r="81" spans="1:23" x14ac:dyDescent="0.35">
      <c r="A81" t="s">
        <v>864</v>
      </c>
      <c r="B81" s="6">
        <v>44332</v>
      </c>
      <c r="D81" t="s">
        <v>23</v>
      </c>
      <c r="E81">
        <v>38</v>
      </c>
      <c r="F81" t="s">
        <v>36</v>
      </c>
      <c r="G81" t="s">
        <v>42</v>
      </c>
      <c r="H81" t="s">
        <v>54</v>
      </c>
      <c r="I81" t="s">
        <v>48</v>
      </c>
      <c r="J81" t="s">
        <v>201</v>
      </c>
      <c r="K81">
        <v>2</v>
      </c>
      <c r="L81" t="s">
        <v>34</v>
      </c>
      <c r="M81">
        <v>52000</v>
      </c>
      <c r="N81">
        <v>10.3</v>
      </c>
      <c r="O81">
        <v>5.3</v>
      </c>
      <c r="P81">
        <v>4.5999999999999996</v>
      </c>
      <c r="Q81">
        <v>0.2</v>
      </c>
      <c r="R81">
        <v>4</v>
      </c>
      <c r="S81">
        <v>2</v>
      </c>
      <c r="T81">
        <v>3</v>
      </c>
      <c r="U81" t="s">
        <v>23</v>
      </c>
      <c r="V81">
        <v>4</v>
      </c>
      <c r="W81">
        <v>1</v>
      </c>
    </row>
    <row r="82" spans="1:23" x14ac:dyDescent="0.35">
      <c r="A82" t="s">
        <v>387</v>
      </c>
      <c r="B82" s="6">
        <v>44992</v>
      </c>
      <c r="D82" t="s">
        <v>23</v>
      </c>
      <c r="E82">
        <v>34</v>
      </c>
      <c r="F82" t="s">
        <v>62</v>
      </c>
      <c r="G82" t="s">
        <v>37</v>
      </c>
      <c r="H82" t="s">
        <v>26</v>
      </c>
      <c r="I82" t="s">
        <v>27</v>
      </c>
      <c r="J82" t="s">
        <v>33</v>
      </c>
      <c r="K82">
        <v>2</v>
      </c>
      <c r="L82" t="s">
        <v>40</v>
      </c>
      <c r="M82">
        <v>56000</v>
      </c>
      <c r="N82">
        <v>5.7</v>
      </c>
      <c r="O82">
        <v>8.1999999999999993</v>
      </c>
      <c r="P82">
        <v>2.8</v>
      </c>
      <c r="Q82">
        <v>1.7</v>
      </c>
      <c r="R82">
        <v>3</v>
      </c>
      <c r="S82">
        <v>3</v>
      </c>
      <c r="T82">
        <v>3</v>
      </c>
      <c r="U82" t="s">
        <v>23</v>
      </c>
      <c r="V82">
        <v>3</v>
      </c>
      <c r="W82">
        <v>1</v>
      </c>
    </row>
    <row r="83" spans="1:23" x14ac:dyDescent="0.35">
      <c r="A83" t="s">
        <v>557</v>
      </c>
      <c r="B83" s="6">
        <v>44315</v>
      </c>
      <c r="C83">
        <v>45912</v>
      </c>
      <c r="D83" t="s">
        <v>30</v>
      </c>
      <c r="E83">
        <v>26</v>
      </c>
      <c r="F83" t="s">
        <v>62</v>
      </c>
      <c r="G83" t="s">
        <v>42</v>
      </c>
      <c r="H83" t="s">
        <v>26</v>
      </c>
      <c r="I83" t="s">
        <v>68</v>
      </c>
      <c r="J83" t="s">
        <v>109</v>
      </c>
      <c r="K83">
        <v>1</v>
      </c>
      <c r="L83" t="s">
        <v>34</v>
      </c>
      <c r="M83">
        <v>23000</v>
      </c>
      <c r="N83">
        <v>13.6</v>
      </c>
      <c r="O83">
        <v>10.3</v>
      </c>
      <c r="P83">
        <v>4.4000000000000004</v>
      </c>
      <c r="Q83">
        <v>0.8</v>
      </c>
      <c r="R83">
        <v>3</v>
      </c>
      <c r="S83">
        <v>3</v>
      </c>
      <c r="T83">
        <v>3</v>
      </c>
      <c r="U83" t="s">
        <v>23</v>
      </c>
      <c r="V83">
        <v>3</v>
      </c>
      <c r="W83">
        <v>1</v>
      </c>
    </row>
    <row r="84" spans="1:23" x14ac:dyDescent="0.35">
      <c r="A84" t="s">
        <v>946</v>
      </c>
      <c r="B84" s="6">
        <v>43948</v>
      </c>
      <c r="D84" t="s">
        <v>23</v>
      </c>
      <c r="E84">
        <v>37</v>
      </c>
      <c r="F84" t="s">
        <v>24</v>
      </c>
      <c r="G84" t="s">
        <v>25</v>
      </c>
      <c r="H84" t="s">
        <v>54</v>
      </c>
      <c r="I84" t="s">
        <v>59</v>
      </c>
      <c r="J84" t="s">
        <v>75</v>
      </c>
      <c r="K84">
        <v>2</v>
      </c>
      <c r="L84" t="s">
        <v>29</v>
      </c>
      <c r="M84">
        <v>57000</v>
      </c>
      <c r="N84">
        <v>9</v>
      </c>
      <c r="O84">
        <v>8.9</v>
      </c>
      <c r="P84">
        <v>5.7</v>
      </c>
      <c r="Q84">
        <v>3.6</v>
      </c>
      <c r="R84">
        <v>3</v>
      </c>
      <c r="S84">
        <v>3</v>
      </c>
      <c r="T84">
        <v>3</v>
      </c>
      <c r="U84" t="s">
        <v>30</v>
      </c>
      <c r="V84">
        <v>5</v>
      </c>
      <c r="W84">
        <v>1</v>
      </c>
    </row>
    <row r="85" spans="1:23" x14ac:dyDescent="0.35">
      <c r="A85" t="s">
        <v>1119</v>
      </c>
      <c r="B85" s="6">
        <v>45461</v>
      </c>
      <c r="C85">
        <v>45816</v>
      </c>
      <c r="D85" t="s">
        <v>30</v>
      </c>
      <c r="E85">
        <v>34</v>
      </c>
      <c r="F85" t="s">
        <v>62</v>
      </c>
      <c r="G85" t="s">
        <v>25</v>
      </c>
      <c r="H85" t="s">
        <v>32</v>
      </c>
      <c r="I85" t="s">
        <v>68</v>
      </c>
      <c r="J85" t="s">
        <v>102</v>
      </c>
      <c r="K85">
        <v>2</v>
      </c>
      <c r="L85" t="s">
        <v>84</v>
      </c>
      <c r="M85">
        <v>47000</v>
      </c>
      <c r="N85">
        <v>12.9</v>
      </c>
      <c r="O85">
        <v>6.9</v>
      </c>
      <c r="P85">
        <v>1</v>
      </c>
      <c r="Q85">
        <v>0.2</v>
      </c>
      <c r="R85">
        <v>3</v>
      </c>
      <c r="S85">
        <v>4</v>
      </c>
      <c r="T85">
        <v>2</v>
      </c>
      <c r="U85" t="s">
        <v>23</v>
      </c>
      <c r="V85">
        <v>4</v>
      </c>
      <c r="W85">
        <v>1</v>
      </c>
    </row>
    <row r="86" spans="1:23" x14ac:dyDescent="0.35">
      <c r="A86" t="s">
        <v>716</v>
      </c>
      <c r="B86" s="6">
        <v>45335</v>
      </c>
      <c r="D86" t="s">
        <v>23</v>
      </c>
      <c r="E86">
        <v>27</v>
      </c>
      <c r="F86" t="s">
        <v>62</v>
      </c>
      <c r="G86" t="s">
        <v>25</v>
      </c>
      <c r="H86" t="s">
        <v>54</v>
      </c>
      <c r="I86" t="s">
        <v>68</v>
      </c>
      <c r="J86" t="s">
        <v>109</v>
      </c>
      <c r="K86">
        <v>1</v>
      </c>
      <c r="L86" t="s">
        <v>29</v>
      </c>
      <c r="M86">
        <v>31000</v>
      </c>
      <c r="N86">
        <v>10.7</v>
      </c>
      <c r="O86">
        <v>8</v>
      </c>
      <c r="P86">
        <v>1.9</v>
      </c>
      <c r="Q86">
        <v>1.2</v>
      </c>
      <c r="R86">
        <v>2</v>
      </c>
      <c r="S86">
        <v>2</v>
      </c>
      <c r="T86">
        <v>4</v>
      </c>
      <c r="U86" t="s">
        <v>30</v>
      </c>
      <c r="V86">
        <v>3</v>
      </c>
      <c r="W86">
        <v>1</v>
      </c>
    </row>
    <row r="87" spans="1:23" x14ac:dyDescent="0.35">
      <c r="A87" t="s">
        <v>1118</v>
      </c>
      <c r="B87" s="6">
        <v>43798</v>
      </c>
      <c r="C87">
        <v>45884</v>
      </c>
      <c r="D87" t="s">
        <v>30</v>
      </c>
      <c r="E87">
        <v>27</v>
      </c>
      <c r="F87" t="s">
        <v>36</v>
      </c>
      <c r="G87" t="s">
        <v>42</v>
      </c>
      <c r="H87" t="s">
        <v>26</v>
      </c>
      <c r="I87" t="s">
        <v>27</v>
      </c>
      <c r="J87" t="s">
        <v>28</v>
      </c>
      <c r="K87">
        <v>1</v>
      </c>
      <c r="L87" t="s">
        <v>50</v>
      </c>
      <c r="M87">
        <v>34000</v>
      </c>
      <c r="N87">
        <v>10</v>
      </c>
      <c r="O87">
        <v>10.8</v>
      </c>
      <c r="P87">
        <v>5.7</v>
      </c>
      <c r="Q87">
        <v>4.5</v>
      </c>
      <c r="R87">
        <v>2</v>
      </c>
      <c r="S87">
        <v>3</v>
      </c>
      <c r="T87">
        <v>3</v>
      </c>
      <c r="U87" t="s">
        <v>23</v>
      </c>
      <c r="V87">
        <v>2</v>
      </c>
      <c r="W87">
        <v>1</v>
      </c>
    </row>
    <row r="88" spans="1:23" x14ac:dyDescent="0.35">
      <c r="A88" t="s">
        <v>148</v>
      </c>
      <c r="B88" s="6">
        <v>42851</v>
      </c>
      <c r="D88" t="s">
        <v>23</v>
      </c>
      <c r="E88">
        <v>30</v>
      </c>
      <c r="F88" t="s">
        <v>62</v>
      </c>
      <c r="G88" t="s">
        <v>25</v>
      </c>
      <c r="H88" t="s">
        <v>32</v>
      </c>
      <c r="I88" t="s">
        <v>68</v>
      </c>
      <c r="J88" t="s">
        <v>69</v>
      </c>
      <c r="K88">
        <v>1</v>
      </c>
      <c r="L88" t="s">
        <v>84</v>
      </c>
      <c r="M88">
        <v>36000</v>
      </c>
      <c r="N88">
        <v>3.2</v>
      </c>
      <c r="O88">
        <v>12.4</v>
      </c>
      <c r="P88">
        <v>8.6999999999999993</v>
      </c>
      <c r="Q88">
        <v>3.3</v>
      </c>
      <c r="R88">
        <v>3</v>
      </c>
      <c r="S88">
        <v>4</v>
      </c>
      <c r="T88">
        <v>4</v>
      </c>
      <c r="U88" t="s">
        <v>23</v>
      </c>
      <c r="V88">
        <v>3</v>
      </c>
      <c r="W88">
        <v>1</v>
      </c>
    </row>
    <row r="89" spans="1:23" x14ac:dyDescent="0.35">
      <c r="A89" t="s">
        <v>1151</v>
      </c>
      <c r="B89" s="6">
        <v>43219</v>
      </c>
      <c r="D89" t="s">
        <v>23</v>
      </c>
      <c r="E89">
        <v>28</v>
      </c>
      <c r="F89" t="s">
        <v>36</v>
      </c>
      <c r="G89" t="s">
        <v>25</v>
      </c>
      <c r="H89" t="s">
        <v>32</v>
      </c>
      <c r="I89" t="s">
        <v>27</v>
      </c>
      <c r="J89" t="s">
        <v>33</v>
      </c>
      <c r="K89">
        <v>3</v>
      </c>
      <c r="L89" t="s">
        <v>84</v>
      </c>
      <c r="M89">
        <v>72000</v>
      </c>
      <c r="N89">
        <v>10.199999999999999</v>
      </c>
      <c r="O89">
        <v>15.5</v>
      </c>
      <c r="P89">
        <v>7.7</v>
      </c>
      <c r="Q89">
        <v>0.5</v>
      </c>
      <c r="R89">
        <v>4</v>
      </c>
      <c r="S89">
        <v>3</v>
      </c>
      <c r="T89">
        <v>1</v>
      </c>
      <c r="U89" t="s">
        <v>23</v>
      </c>
      <c r="V89">
        <v>4</v>
      </c>
      <c r="W89">
        <v>1</v>
      </c>
    </row>
    <row r="90" spans="1:23" x14ac:dyDescent="0.35">
      <c r="A90" t="s">
        <v>401</v>
      </c>
      <c r="B90" s="6">
        <v>42603</v>
      </c>
      <c r="D90" t="s">
        <v>23</v>
      </c>
      <c r="E90">
        <v>39</v>
      </c>
      <c r="F90" t="s">
        <v>62</v>
      </c>
      <c r="G90" t="s">
        <v>25</v>
      </c>
      <c r="H90" t="s">
        <v>32</v>
      </c>
      <c r="I90" t="s">
        <v>68</v>
      </c>
      <c r="J90" t="s">
        <v>69</v>
      </c>
      <c r="K90">
        <v>2</v>
      </c>
      <c r="L90" t="s">
        <v>84</v>
      </c>
      <c r="M90">
        <v>51000</v>
      </c>
      <c r="N90">
        <v>8.9</v>
      </c>
      <c r="O90">
        <v>12</v>
      </c>
      <c r="P90">
        <v>9.4</v>
      </c>
      <c r="Q90">
        <v>2</v>
      </c>
      <c r="R90">
        <v>1</v>
      </c>
      <c r="S90">
        <v>3</v>
      </c>
      <c r="T90">
        <v>3</v>
      </c>
      <c r="U90" t="s">
        <v>23</v>
      </c>
      <c r="V90">
        <v>3</v>
      </c>
      <c r="W90">
        <v>1</v>
      </c>
    </row>
    <row r="91" spans="1:23" x14ac:dyDescent="0.35">
      <c r="A91" t="s">
        <v>1071</v>
      </c>
      <c r="B91" s="6">
        <v>44587</v>
      </c>
      <c r="D91" t="s">
        <v>23</v>
      </c>
      <c r="E91">
        <v>33</v>
      </c>
      <c r="F91" t="s">
        <v>24</v>
      </c>
      <c r="G91" t="s">
        <v>25</v>
      </c>
      <c r="H91" t="s">
        <v>26</v>
      </c>
      <c r="I91" t="s">
        <v>38</v>
      </c>
      <c r="J91" t="s">
        <v>139</v>
      </c>
      <c r="K91">
        <v>4</v>
      </c>
      <c r="L91" t="s">
        <v>29</v>
      </c>
      <c r="M91">
        <v>122000</v>
      </c>
      <c r="N91">
        <v>10.3</v>
      </c>
      <c r="O91">
        <v>9.6</v>
      </c>
      <c r="P91">
        <v>3.9</v>
      </c>
      <c r="Q91">
        <v>0.3</v>
      </c>
      <c r="R91">
        <v>3</v>
      </c>
      <c r="S91">
        <v>3</v>
      </c>
      <c r="T91">
        <v>3</v>
      </c>
      <c r="U91" t="s">
        <v>23</v>
      </c>
      <c r="V91">
        <v>3</v>
      </c>
      <c r="W91">
        <v>1</v>
      </c>
    </row>
    <row r="92" spans="1:23" x14ac:dyDescent="0.35">
      <c r="A92" t="s">
        <v>1347</v>
      </c>
      <c r="B92" s="6">
        <v>45835</v>
      </c>
      <c r="D92" t="s">
        <v>23</v>
      </c>
      <c r="E92">
        <v>37</v>
      </c>
      <c r="F92" t="s">
        <v>24</v>
      </c>
      <c r="G92" t="s">
        <v>25</v>
      </c>
      <c r="H92" t="s">
        <v>26</v>
      </c>
      <c r="I92" t="s">
        <v>45</v>
      </c>
      <c r="J92" t="s">
        <v>46</v>
      </c>
      <c r="K92">
        <v>3</v>
      </c>
      <c r="L92" t="s">
        <v>29</v>
      </c>
      <c r="M92">
        <v>86000</v>
      </c>
      <c r="N92">
        <v>8.6</v>
      </c>
      <c r="O92">
        <v>6.6</v>
      </c>
      <c r="P92">
        <v>0.5</v>
      </c>
      <c r="Q92">
        <v>0</v>
      </c>
      <c r="R92">
        <v>4</v>
      </c>
      <c r="S92">
        <v>4</v>
      </c>
      <c r="T92">
        <v>2</v>
      </c>
      <c r="U92" t="s">
        <v>23</v>
      </c>
      <c r="V92">
        <v>3</v>
      </c>
      <c r="W92">
        <v>1</v>
      </c>
    </row>
    <row r="93" spans="1:23" x14ac:dyDescent="0.35">
      <c r="A93" t="s">
        <v>737</v>
      </c>
      <c r="B93" s="6">
        <v>45254</v>
      </c>
      <c r="D93" t="s">
        <v>23</v>
      </c>
      <c r="E93">
        <v>38</v>
      </c>
      <c r="F93" t="s">
        <v>36</v>
      </c>
      <c r="G93" t="s">
        <v>25</v>
      </c>
      <c r="H93" t="s">
        <v>58</v>
      </c>
      <c r="I93" t="s">
        <v>68</v>
      </c>
      <c r="J93" t="s">
        <v>109</v>
      </c>
      <c r="K93">
        <v>3</v>
      </c>
      <c r="L93" t="s">
        <v>29</v>
      </c>
      <c r="M93">
        <v>73000</v>
      </c>
      <c r="N93">
        <v>9.9</v>
      </c>
      <c r="O93">
        <v>9.3000000000000007</v>
      </c>
      <c r="P93">
        <v>2.1</v>
      </c>
      <c r="Q93">
        <v>1.5</v>
      </c>
      <c r="R93">
        <v>3</v>
      </c>
      <c r="S93">
        <v>1</v>
      </c>
      <c r="T93">
        <v>3</v>
      </c>
      <c r="U93" t="s">
        <v>30</v>
      </c>
      <c r="V93">
        <v>4</v>
      </c>
      <c r="W93">
        <v>1</v>
      </c>
    </row>
    <row r="94" spans="1:23" x14ac:dyDescent="0.35">
      <c r="A94" t="s">
        <v>1232</v>
      </c>
      <c r="B94" s="6">
        <v>44891</v>
      </c>
      <c r="D94" t="s">
        <v>23</v>
      </c>
      <c r="E94">
        <v>34</v>
      </c>
      <c r="F94" t="s">
        <v>36</v>
      </c>
      <c r="G94" t="s">
        <v>25</v>
      </c>
      <c r="H94" t="s">
        <v>54</v>
      </c>
      <c r="I94" t="s">
        <v>59</v>
      </c>
      <c r="J94" t="s">
        <v>60</v>
      </c>
      <c r="K94">
        <v>2</v>
      </c>
      <c r="L94" t="s">
        <v>40</v>
      </c>
      <c r="M94">
        <v>45000</v>
      </c>
      <c r="N94">
        <v>9.1</v>
      </c>
      <c r="O94">
        <v>4.5999999999999996</v>
      </c>
      <c r="P94">
        <v>3.1</v>
      </c>
      <c r="Q94">
        <v>2.1</v>
      </c>
      <c r="S94">
        <v>3</v>
      </c>
      <c r="T94">
        <v>3</v>
      </c>
      <c r="U94" t="s">
        <v>23</v>
      </c>
      <c r="V94">
        <v>4</v>
      </c>
      <c r="W94">
        <v>1</v>
      </c>
    </row>
    <row r="95" spans="1:23" x14ac:dyDescent="0.35">
      <c r="A95" t="s">
        <v>875</v>
      </c>
      <c r="B95" s="6">
        <v>45321</v>
      </c>
      <c r="D95" t="s">
        <v>23</v>
      </c>
      <c r="E95">
        <v>43</v>
      </c>
      <c r="F95" t="s">
        <v>24</v>
      </c>
      <c r="G95" t="s">
        <v>42</v>
      </c>
      <c r="H95" t="s">
        <v>54</v>
      </c>
      <c r="I95" t="s">
        <v>59</v>
      </c>
      <c r="J95" t="s">
        <v>86</v>
      </c>
      <c r="K95">
        <v>4</v>
      </c>
      <c r="L95" t="s">
        <v>66</v>
      </c>
      <c r="M95">
        <v>117000</v>
      </c>
      <c r="N95">
        <v>17.600000000000001</v>
      </c>
      <c r="O95">
        <v>6.4</v>
      </c>
      <c r="P95">
        <v>1.9</v>
      </c>
      <c r="Q95">
        <v>0.2</v>
      </c>
      <c r="R95">
        <v>3</v>
      </c>
      <c r="S95">
        <v>4</v>
      </c>
      <c r="T95">
        <v>4</v>
      </c>
      <c r="U95" t="s">
        <v>30</v>
      </c>
      <c r="V95">
        <v>3</v>
      </c>
      <c r="W95">
        <v>1</v>
      </c>
    </row>
    <row r="96" spans="1:23" x14ac:dyDescent="0.35">
      <c r="A96" t="s">
        <v>759</v>
      </c>
      <c r="B96" s="6">
        <v>42022</v>
      </c>
      <c r="D96" t="s">
        <v>23</v>
      </c>
      <c r="E96">
        <v>39</v>
      </c>
      <c r="F96" t="s">
        <v>24</v>
      </c>
      <c r="G96" t="s">
        <v>37</v>
      </c>
      <c r="H96" t="s">
        <v>58</v>
      </c>
      <c r="I96" t="s">
        <v>55</v>
      </c>
      <c r="J96" t="s">
        <v>80</v>
      </c>
      <c r="K96">
        <v>1</v>
      </c>
      <c r="L96" t="s">
        <v>50</v>
      </c>
      <c r="M96">
        <v>41000</v>
      </c>
      <c r="N96">
        <v>17.8</v>
      </c>
      <c r="O96">
        <v>14.3</v>
      </c>
      <c r="P96">
        <v>11</v>
      </c>
      <c r="Q96">
        <v>2.4</v>
      </c>
      <c r="R96">
        <v>4</v>
      </c>
      <c r="S96">
        <v>3</v>
      </c>
      <c r="T96">
        <v>3</v>
      </c>
      <c r="U96" t="s">
        <v>23</v>
      </c>
      <c r="V96">
        <v>2</v>
      </c>
      <c r="W96">
        <v>1</v>
      </c>
    </row>
    <row r="97" spans="1:23" x14ac:dyDescent="0.35">
      <c r="A97" t="s">
        <v>1400</v>
      </c>
      <c r="B97" s="6">
        <v>43976</v>
      </c>
      <c r="D97" t="s">
        <v>23</v>
      </c>
      <c r="E97">
        <v>27</v>
      </c>
      <c r="F97" t="s">
        <v>24</v>
      </c>
      <c r="G97" t="s">
        <v>37</v>
      </c>
      <c r="H97" t="s">
        <v>58</v>
      </c>
      <c r="I97" t="s">
        <v>59</v>
      </c>
      <c r="J97" t="s">
        <v>150</v>
      </c>
      <c r="K97">
        <v>1</v>
      </c>
      <c r="L97" t="s">
        <v>40</v>
      </c>
      <c r="M97">
        <v>28000</v>
      </c>
      <c r="N97">
        <v>0.5</v>
      </c>
      <c r="O97">
        <v>11.2</v>
      </c>
      <c r="P97">
        <v>5.6</v>
      </c>
      <c r="Q97">
        <v>0.8</v>
      </c>
      <c r="R97">
        <v>3</v>
      </c>
      <c r="S97">
        <v>3</v>
      </c>
      <c r="T97">
        <v>3</v>
      </c>
      <c r="U97" t="s">
        <v>30</v>
      </c>
      <c r="V97">
        <v>1</v>
      </c>
      <c r="W97">
        <v>1</v>
      </c>
    </row>
    <row r="98" spans="1:23" x14ac:dyDescent="0.35">
      <c r="A98" t="s">
        <v>418</v>
      </c>
      <c r="B98" s="6">
        <v>43868</v>
      </c>
      <c r="D98" t="s">
        <v>23</v>
      </c>
      <c r="E98">
        <v>28</v>
      </c>
      <c r="F98" t="s">
        <v>24</v>
      </c>
      <c r="G98" t="s">
        <v>42</v>
      </c>
      <c r="H98" t="s">
        <v>26</v>
      </c>
      <c r="I98" t="s">
        <v>59</v>
      </c>
      <c r="J98" t="s">
        <v>86</v>
      </c>
      <c r="K98">
        <v>3</v>
      </c>
      <c r="L98" t="s">
        <v>29</v>
      </c>
      <c r="M98">
        <v>77000</v>
      </c>
      <c r="N98">
        <v>10.4</v>
      </c>
      <c r="O98">
        <v>8.3000000000000007</v>
      </c>
      <c r="P98">
        <v>5.9</v>
      </c>
      <c r="Q98">
        <v>0.3</v>
      </c>
      <c r="R98">
        <v>2</v>
      </c>
      <c r="S98">
        <v>3</v>
      </c>
      <c r="T98">
        <v>4</v>
      </c>
      <c r="U98" t="s">
        <v>23</v>
      </c>
      <c r="V98">
        <v>3</v>
      </c>
      <c r="W98">
        <v>1</v>
      </c>
    </row>
    <row r="99" spans="1:23" x14ac:dyDescent="0.35">
      <c r="A99" t="s">
        <v>1356</v>
      </c>
      <c r="B99" s="6">
        <v>44668</v>
      </c>
      <c r="D99" t="s">
        <v>23</v>
      </c>
      <c r="E99">
        <v>40</v>
      </c>
      <c r="F99" t="s">
        <v>62</v>
      </c>
      <c r="G99" t="s">
        <v>25</v>
      </c>
      <c r="H99" t="s">
        <v>26</v>
      </c>
      <c r="I99" t="s">
        <v>27</v>
      </c>
      <c r="J99" t="s">
        <v>95</v>
      </c>
      <c r="K99">
        <v>3</v>
      </c>
      <c r="L99" t="s">
        <v>34</v>
      </c>
      <c r="M99">
        <v>68000</v>
      </c>
      <c r="N99">
        <v>5.4</v>
      </c>
      <c r="O99">
        <v>5.2</v>
      </c>
      <c r="P99">
        <v>3.7</v>
      </c>
      <c r="Q99">
        <v>2.5</v>
      </c>
      <c r="R99">
        <v>3</v>
      </c>
      <c r="S99">
        <v>3</v>
      </c>
      <c r="T99">
        <v>3</v>
      </c>
      <c r="U99" t="s">
        <v>30</v>
      </c>
      <c r="V99">
        <v>5</v>
      </c>
      <c r="W99">
        <v>1</v>
      </c>
    </row>
    <row r="100" spans="1:23" x14ac:dyDescent="0.35">
      <c r="A100" t="s">
        <v>1364</v>
      </c>
      <c r="B100" s="6">
        <v>45854</v>
      </c>
      <c r="D100" t="s">
        <v>23</v>
      </c>
      <c r="E100">
        <v>24</v>
      </c>
      <c r="F100" t="s">
        <v>62</v>
      </c>
      <c r="G100" t="s">
        <v>25</v>
      </c>
      <c r="H100" t="s">
        <v>58</v>
      </c>
      <c r="I100" t="s">
        <v>59</v>
      </c>
      <c r="J100" t="s">
        <v>60</v>
      </c>
      <c r="K100">
        <v>1</v>
      </c>
      <c r="L100" t="s">
        <v>40</v>
      </c>
      <c r="M100">
        <v>49000</v>
      </c>
      <c r="N100">
        <v>13.7</v>
      </c>
      <c r="O100">
        <v>3.3</v>
      </c>
      <c r="P100">
        <v>0.5</v>
      </c>
      <c r="Q100">
        <v>0</v>
      </c>
      <c r="R100">
        <v>3</v>
      </c>
      <c r="S100">
        <v>2</v>
      </c>
      <c r="T100">
        <v>3</v>
      </c>
      <c r="U100" t="s">
        <v>23</v>
      </c>
      <c r="V100">
        <v>2</v>
      </c>
      <c r="W100">
        <v>1</v>
      </c>
    </row>
    <row r="101" spans="1:23" x14ac:dyDescent="0.35">
      <c r="A101" t="s">
        <v>429</v>
      </c>
      <c r="B101" s="6">
        <v>45773</v>
      </c>
      <c r="D101" t="s">
        <v>23</v>
      </c>
      <c r="E101">
        <v>21</v>
      </c>
      <c r="F101" t="s">
        <v>36</v>
      </c>
      <c r="G101" t="s">
        <v>37</v>
      </c>
      <c r="H101" t="s">
        <v>58</v>
      </c>
      <c r="I101" t="s">
        <v>38</v>
      </c>
      <c r="J101" t="s">
        <v>39</v>
      </c>
      <c r="K101">
        <v>1</v>
      </c>
      <c r="L101" t="s">
        <v>40</v>
      </c>
      <c r="M101">
        <v>50000</v>
      </c>
      <c r="N101">
        <v>8.5</v>
      </c>
      <c r="O101">
        <v>4.4000000000000004</v>
      </c>
      <c r="P101">
        <v>0.7</v>
      </c>
      <c r="Q101">
        <v>0</v>
      </c>
      <c r="R101">
        <v>2</v>
      </c>
      <c r="S101">
        <v>3</v>
      </c>
      <c r="T101">
        <v>4</v>
      </c>
      <c r="U101" t="s">
        <v>23</v>
      </c>
      <c r="V101">
        <v>2</v>
      </c>
      <c r="W101">
        <v>1</v>
      </c>
    </row>
    <row r="102" spans="1:23" x14ac:dyDescent="0.35">
      <c r="A102" t="s">
        <v>697</v>
      </c>
      <c r="B102" s="6">
        <v>45363</v>
      </c>
      <c r="D102" t="s">
        <v>23</v>
      </c>
      <c r="E102">
        <v>22</v>
      </c>
      <c r="F102" t="s">
        <v>24</v>
      </c>
      <c r="G102" t="s">
        <v>25</v>
      </c>
      <c r="H102" t="s">
        <v>58</v>
      </c>
      <c r="I102" t="s">
        <v>38</v>
      </c>
      <c r="J102" t="s">
        <v>139</v>
      </c>
      <c r="K102">
        <v>1</v>
      </c>
      <c r="L102" t="s">
        <v>84</v>
      </c>
      <c r="M102">
        <v>32000</v>
      </c>
      <c r="N102">
        <v>9</v>
      </c>
      <c r="O102">
        <v>8.3000000000000007</v>
      </c>
      <c r="P102">
        <v>1.8</v>
      </c>
      <c r="Q102">
        <v>0.9</v>
      </c>
      <c r="R102">
        <v>3</v>
      </c>
      <c r="S102">
        <v>1</v>
      </c>
      <c r="T102">
        <v>3</v>
      </c>
      <c r="U102" t="s">
        <v>23</v>
      </c>
      <c r="V102">
        <v>3</v>
      </c>
      <c r="W102">
        <v>1</v>
      </c>
    </row>
    <row r="103" spans="1:23" x14ac:dyDescent="0.35">
      <c r="A103" t="s">
        <v>491</v>
      </c>
      <c r="B103" s="6">
        <v>44496</v>
      </c>
      <c r="D103" t="s">
        <v>23</v>
      </c>
      <c r="E103">
        <v>30</v>
      </c>
      <c r="F103" t="s">
        <v>24</v>
      </c>
      <c r="G103" t="s">
        <v>25</v>
      </c>
      <c r="H103" t="s">
        <v>54</v>
      </c>
      <c r="I103" t="s">
        <v>38</v>
      </c>
      <c r="J103" t="s">
        <v>39</v>
      </c>
      <c r="K103">
        <v>2</v>
      </c>
      <c r="L103" t="s">
        <v>50</v>
      </c>
      <c r="M103">
        <v>65000</v>
      </c>
      <c r="N103">
        <v>4.7</v>
      </c>
      <c r="O103">
        <v>5.7</v>
      </c>
      <c r="P103">
        <v>4.2</v>
      </c>
      <c r="Q103">
        <v>2.9</v>
      </c>
      <c r="R103">
        <v>4</v>
      </c>
      <c r="S103">
        <v>3</v>
      </c>
      <c r="T103">
        <v>4</v>
      </c>
      <c r="U103" t="s">
        <v>23</v>
      </c>
      <c r="V103">
        <v>3</v>
      </c>
      <c r="W103">
        <v>1</v>
      </c>
    </row>
    <row r="104" spans="1:23" x14ac:dyDescent="0.35">
      <c r="A104" t="s">
        <v>600</v>
      </c>
      <c r="B104" s="6">
        <v>44540</v>
      </c>
      <c r="D104" t="s">
        <v>23</v>
      </c>
      <c r="E104">
        <v>34</v>
      </c>
      <c r="F104" t="s">
        <v>36</v>
      </c>
      <c r="G104" t="s">
        <v>25</v>
      </c>
      <c r="H104" t="s">
        <v>54</v>
      </c>
      <c r="I104" t="s">
        <v>48</v>
      </c>
      <c r="J104" t="s">
        <v>49</v>
      </c>
      <c r="K104">
        <v>3</v>
      </c>
      <c r="L104" t="s">
        <v>84</v>
      </c>
      <c r="M104">
        <v>85000</v>
      </c>
      <c r="N104">
        <v>11.8</v>
      </c>
      <c r="O104">
        <v>8.9</v>
      </c>
      <c r="P104">
        <v>4.0999999999999996</v>
      </c>
      <c r="Q104">
        <v>1.7</v>
      </c>
      <c r="R104">
        <v>3</v>
      </c>
      <c r="S104">
        <v>3</v>
      </c>
      <c r="T104">
        <v>3</v>
      </c>
      <c r="U104" t="s">
        <v>30</v>
      </c>
      <c r="V104">
        <v>1</v>
      </c>
      <c r="W104">
        <v>1</v>
      </c>
    </row>
    <row r="105" spans="1:23" x14ac:dyDescent="0.35">
      <c r="A105" t="s">
        <v>1121</v>
      </c>
      <c r="B105" s="6">
        <v>45866</v>
      </c>
      <c r="D105" t="s">
        <v>23</v>
      </c>
      <c r="E105">
        <v>22</v>
      </c>
      <c r="F105" t="s">
        <v>24</v>
      </c>
      <c r="G105" t="s">
        <v>37</v>
      </c>
      <c r="H105" t="s">
        <v>26</v>
      </c>
      <c r="I105" t="s">
        <v>45</v>
      </c>
      <c r="J105" t="s">
        <v>164</v>
      </c>
      <c r="K105">
        <v>1</v>
      </c>
      <c r="L105" t="s">
        <v>40</v>
      </c>
      <c r="M105">
        <v>43000</v>
      </c>
      <c r="N105">
        <v>10.3</v>
      </c>
      <c r="O105">
        <v>5.9</v>
      </c>
      <c r="P105">
        <v>0.4</v>
      </c>
      <c r="Q105">
        <v>0</v>
      </c>
      <c r="R105">
        <v>3</v>
      </c>
      <c r="S105">
        <v>2</v>
      </c>
      <c r="T105">
        <v>3</v>
      </c>
      <c r="U105" t="s">
        <v>23</v>
      </c>
      <c r="V105">
        <v>4</v>
      </c>
      <c r="W105">
        <v>1</v>
      </c>
    </row>
    <row r="106" spans="1:23" x14ac:dyDescent="0.35">
      <c r="A106" t="s">
        <v>1521</v>
      </c>
      <c r="B106" s="6">
        <v>41855</v>
      </c>
      <c r="D106" t="s">
        <v>23</v>
      </c>
      <c r="E106">
        <v>44</v>
      </c>
      <c r="F106" t="s">
        <v>36</v>
      </c>
      <c r="G106" t="s">
        <v>25</v>
      </c>
      <c r="H106" t="s">
        <v>58</v>
      </c>
      <c r="I106" t="s">
        <v>59</v>
      </c>
      <c r="J106" t="s">
        <v>150</v>
      </c>
      <c r="K106">
        <v>2</v>
      </c>
      <c r="L106" t="s">
        <v>40</v>
      </c>
      <c r="M106">
        <v>53000</v>
      </c>
      <c r="N106">
        <v>13.7</v>
      </c>
      <c r="O106">
        <v>14.4</v>
      </c>
      <c r="P106">
        <v>11.4</v>
      </c>
      <c r="Q106">
        <v>2.7</v>
      </c>
      <c r="R106">
        <v>2</v>
      </c>
      <c r="S106">
        <v>2</v>
      </c>
      <c r="T106">
        <v>2</v>
      </c>
      <c r="U106" t="s">
        <v>30</v>
      </c>
      <c r="V106">
        <v>3</v>
      </c>
      <c r="W106">
        <v>1</v>
      </c>
    </row>
    <row r="107" spans="1:23" x14ac:dyDescent="0.35">
      <c r="A107" t="s">
        <v>810</v>
      </c>
      <c r="B107" s="6">
        <v>43780</v>
      </c>
      <c r="D107" t="s">
        <v>23</v>
      </c>
      <c r="E107">
        <v>47</v>
      </c>
      <c r="F107" t="s">
        <v>36</v>
      </c>
      <c r="G107" t="s">
        <v>37</v>
      </c>
      <c r="H107" t="s">
        <v>26</v>
      </c>
      <c r="I107" t="s">
        <v>38</v>
      </c>
      <c r="J107" t="s">
        <v>118</v>
      </c>
      <c r="K107">
        <v>3</v>
      </c>
      <c r="L107" t="s">
        <v>40</v>
      </c>
      <c r="M107">
        <v>102000</v>
      </c>
      <c r="N107">
        <v>8</v>
      </c>
      <c r="O107">
        <v>8.1999999999999993</v>
      </c>
      <c r="P107">
        <v>6.1</v>
      </c>
      <c r="Q107">
        <v>2.7</v>
      </c>
      <c r="R107">
        <v>3</v>
      </c>
      <c r="S107">
        <v>4</v>
      </c>
      <c r="T107">
        <v>3</v>
      </c>
      <c r="U107" t="s">
        <v>23</v>
      </c>
      <c r="V107">
        <v>5</v>
      </c>
      <c r="W107">
        <v>1</v>
      </c>
    </row>
    <row r="108" spans="1:23" x14ac:dyDescent="0.35">
      <c r="A108" t="s">
        <v>756</v>
      </c>
      <c r="B108" s="6">
        <v>42072</v>
      </c>
      <c r="D108" t="s">
        <v>23</v>
      </c>
      <c r="E108">
        <v>38</v>
      </c>
      <c r="F108" t="s">
        <v>36</v>
      </c>
      <c r="G108" t="s">
        <v>37</v>
      </c>
      <c r="H108" t="s">
        <v>32</v>
      </c>
      <c r="I108" t="s">
        <v>59</v>
      </c>
      <c r="J108" t="s">
        <v>75</v>
      </c>
      <c r="K108">
        <v>3</v>
      </c>
      <c r="L108" t="s">
        <v>84</v>
      </c>
      <c r="M108">
        <v>88000</v>
      </c>
      <c r="N108">
        <v>5.0999999999999996</v>
      </c>
      <c r="O108">
        <v>17.600000000000001</v>
      </c>
      <c r="P108">
        <v>10.8</v>
      </c>
      <c r="Q108">
        <v>1.9</v>
      </c>
      <c r="R108">
        <v>2</v>
      </c>
      <c r="S108">
        <v>3</v>
      </c>
      <c r="T108">
        <v>2</v>
      </c>
      <c r="U108" t="s">
        <v>23</v>
      </c>
      <c r="V108">
        <v>4</v>
      </c>
      <c r="W108">
        <v>1</v>
      </c>
    </row>
    <row r="109" spans="1:23" x14ac:dyDescent="0.35">
      <c r="A109" t="s">
        <v>259</v>
      </c>
      <c r="B109" s="6">
        <v>45054</v>
      </c>
      <c r="C109">
        <v>45941</v>
      </c>
      <c r="D109" t="s">
        <v>30</v>
      </c>
      <c r="E109">
        <v>40</v>
      </c>
      <c r="F109" t="s">
        <v>24</v>
      </c>
      <c r="G109" t="s">
        <v>42</v>
      </c>
      <c r="H109" t="s">
        <v>54</v>
      </c>
      <c r="I109" t="s">
        <v>27</v>
      </c>
      <c r="J109" t="s">
        <v>95</v>
      </c>
      <c r="K109">
        <v>2</v>
      </c>
      <c r="L109" t="s">
        <v>29</v>
      </c>
      <c r="M109">
        <v>35000</v>
      </c>
      <c r="N109">
        <v>4.3</v>
      </c>
      <c r="O109">
        <v>7</v>
      </c>
      <c r="P109">
        <v>2.4</v>
      </c>
      <c r="Q109">
        <v>1.1000000000000001</v>
      </c>
      <c r="R109">
        <v>4</v>
      </c>
      <c r="S109">
        <v>4</v>
      </c>
      <c r="T109">
        <v>2</v>
      </c>
      <c r="U109" t="s">
        <v>30</v>
      </c>
      <c r="V109">
        <v>5</v>
      </c>
      <c r="W109">
        <v>1</v>
      </c>
    </row>
    <row r="110" spans="1:23" x14ac:dyDescent="0.35">
      <c r="A110" t="s">
        <v>1516</v>
      </c>
      <c r="B110" s="6">
        <v>42907</v>
      </c>
      <c r="D110" t="s">
        <v>23</v>
      </c>
      <c r="E110">
        <v>31</v>
      </c>
      <c r="F110" t="s">
        <v>62</v>
      </c>
      <c r="G110" t="s">
        <v>25</v>
      </c>
      <c r="H110" t="s">
        <v>32</v>
      </c>
      <c r="I110" t="s">
        <v>45</v>
      </c>
      <c r="J110" t="s">
        <v>46</v>
      </c>
      <c r="K110">
        <v>3</v>
      </c>
      <c r="L110" t="s">
        <v>40</v>
      </c>
      <c r="M110">
        <v>78000</v>
      </c>
      <c r="N110">
        <v>15</v>
      </c>
      <c r="O110">
        <v>13.7</v>
      </c>
      <c r="P110">
        <v>8.5</v>
      </c>
      <c r="Q110">
        <v>2.7</v>
      </c>
      <c r="R110">
        <v>1</v>
      </c>
      <c r="S110">
        <v>3</v>
      </c>
      <c r="T110">
        <v>3</v>
      </c>
      <c r="U110" t="s">
        <v>23</v>
      </c>
      <c r="V110">
        <v>5</v>
      </c>
      <c r="W110">
        <v>1</v>
      </c>
    </row>
    <row r="111" spans="1:23" x14ac:dyDescent="0.35">
      <c r="A111" t="s">
        <v>654</v>
      </c>
      <c r="B111" s="6">
        <v>43699</v>
      </c>
      <c r="D111" t="s">
        <v>23</v>
      </c>
      <c r="E111">
        <v>44</v>
      </c>
      <c r="F111" t="s">
        <v>24</v>
      </c>
      <c r="G111" t="s">
        <v>25</v>
      </c>
      <c r="H111" t="s">
        <v>58</v>
      </c>
      <c r="I111" t="s">
        <v>48</v>
      </c>
      <c r="J111" t="s">
        <v>63</v>
      </c>
      <c r="K111">
        <v>4</v>
      </c>
      <c r="L111" t="s">
        <v>40</v>
      </c>
      <c r="M111">
        <v>103000</v>
      </c>
      <c r="N111">
        <v>2.2000000000000002</v>
      </c>
      <c r="O111">
        <v>8.1999999999999993</v>
      </c>
      <c r="P111">
        <v>6.4</v>
      </c>
      <c r="Q111">
        <v>5.7</v>
      </c>
      <c r="R111">
        <v>2</v>
      </c>
      <c r="S111">
        <v>3</v>
      </c>
      <c r="T111">
        <v>3</v>
      </c>
      <c r="U111" t="s">
        <v>23</v>
      </c>
      <c r="V111">
        <v>2</v>
      </c>
      <c r="W111">
        <v>1</v>
      </c>
    </row>
    <row r="112" spans="1:23" x14ac:dyDescent="0.35">
      <c r="A112" t="s">
        <v>1042</v>
      </c>
      <c r="B112" s="6">
        <v>45514</v>
      </c>
      <c r="D112" t="s">
        <v>23</v>
      </c>
      <c r="E112">
        <v>36</v>
      </c>
      <c r="F112" t="s">
        <v>24</v>
      </c>
      <c r="G112" t="s">
        <v>37</v>
      </c>
      <c r="H112" t="s">
        <v>26</v>
      </c>
      <c r="I112" t="s">
        <v>45</v>
      </c>
      <c r="J112" t="s">
        <v>77</v>
      </c>
      <c r="K112">
        <v>3</v>
      </c>
      <c r="L112" t="s">
        <v>50</v>
      </c>
      <c r="M112">
        <v>72000</v>
      </c>
      <c r="N112">
        <v>0.7</v>
      </c>
      <c r="O112">
        <v>2.8</v>
      </c>
      <c r="P112">
        <v>1.4</v>
      </c>
      <c r="Q112">
        <v>0.9</v>
      </c>
      <c r="R112">
        <v>3</v>
      </c>
      <c r="S112">
        <v>4</v>
      </c>
      <c r="T112">
        <v>3</v>
      </c>
      <c r="U112" t="s">
        <v>23</v>
      </c>
      <c r="V112">
        <v>5</v>
      </c>
      <c r="W112">
        <v>1</v>
      </c>
    </row>
    <row r="113" spans="1:23" x14ac:dyDescent="0.35">
      <c r="A113" t="s">
        <v>1092</v>
      </c>
      <c r="B113" s="6">
        <v>45033</v>
      </c>
      <c r="D113" t="s">
        <v>23</v>
      </c>
      <c r="E113">
        <v>24</v>
      </c>
      <c r="F113" t="s">
        <v>62</v>
      </c>
      <c r="G113" t="s">
        <v>42</v>
      </c>
      <c r="H113" t="s">
        <v>58</v>
      </c>
      <c r="I113" t="s">
        <v>45</v>
      </c>
      <c r="J113" t="s">
        <v>77</v>
      </c>
      <c r="K113">
        <v>1</v>
      </c>
      <c r="L113" t="s">
        <v>34</v>
      </c>
      <c r="M113">
        <v>38000</v>
      </c>
      <c r="N113">
        <v>10.5</v>
      </c>
      <c r="O113">
        <v>6.7</v>
      </c>
      <c r="P113">
        <v>2.7</v>
      </c>
      <c r="Q113">
        <v>1.7</v>
      </c>
      <c r="R113">
        <v>3</v>
      </c>
      <c r="S113">
        <v>3</v>
      </c>
      <c r="T113">
        <v>4</v>
      </c>
      <c r="U113" t="s">
        <v>23</v>
      </c>
      <c r="V113">
        <v>3</v>
      </c>
      <c r="W113">
        <v>1</v>
      </c>
    </row>
    <row r="114" spans="1:23" x14ac:dyDescent="0.35">
      <c r="A114" t="s">
        <v>995</v>
      </c>
      <c r="B114" s="6">
        <v>44592</v>
      </c>
      <c r="D114" t="s">
        <v>23</v>
      </c>
      <c r="E114">
        <v>29</v>
      </c>
      <c r="F114" t="s">
        <v>36</v>
      </c>
      <c r="G114" t="s">
        <v>25</v>
      </c>
      <c r="H114" t="s">
        <v>26</v>
      </c>
      <c r="I114" t="s">
        <v>38</v>
      </c>
      <c r="J114" t="s">
        <v>118</v>
      </c>
      <c r="K114">
        <v>2</v>
      </c>
      <c r="L114" t="s">
        <v>84</v>
      </c>
      <c r="M114">
        <v>50000</v>
      </c>
      <c r="N114">
        <v>8.6999999999999993</v>
      </c>
      <c r="O114">
        <v>10.8</v>
      </c>
      <c r="P114">
        <v>3.9</v>
      </c>
      <c r="Q114">
        <v>1.2</v>
      </c>
      <c r="R114">
        <v>3</v>
      </c>
      <c r="S114">
        <v>4</v>
      </c>
      <c r="T114">
        <v>3</v>
      </c>
      <c r="U114" t="s">
        <v>23</v>
      </c>
      <c r="V114">
        <v>3</v>
      </c>
      <c r="W114">
        <v>1</v>
      </c>
    </row>
    <row r="115" spans="1:23" x14ac:dyDescent="0.35">
      <c r="A115" t="s">
        <v>591</v>
      </c>
      <c r="B115" s="6">
        <v>45658</v>
      </c>
      <c r="C115">
        <v>45914</v>
      </c>
      <c r="D115" t="s">
        <v>30</v>
      </c>
      <c r="E115">
        <v>26</v>
      </c>
      <c r="F115" t="s">
        <v>62</v>
      </c>
      <c r="G115" t="s">
        <v>25</v>
      </c>
      <c r="H115" t="s">
        <v>58</v>
      </c>
      <c r="I115" t="s">
        <v>55</v>
      </c>
      <c r="J115" t="s">
        <v>80</v>
      </c>
      <c r="K115">
        <v>1</v>
      </c>
      <c r="L115" t="s">
        <v>40</v>
      </c>
      <c r="M115">
        <v>44000</v>
      </c>
      <c r="N115">
        <v>6.9</v>
      </c>
      <c r="O115">
        <v>7.6</v>
      </c>
      <c r="P115">
        <v>0.7</v>
      </c>
      <c r="Q115">
        <v>0</v>
      </c>
      <c r="R115">
        <v>2</v>
      </c>
      <c r="S115">
        <v>4</v>
      </c>
      <c r="T115">
        <v>4</v>
      </c>
      <c r="U115" t="s">
        <v>23</v>
      </c>
      <c r="V115">
        <v>4</v>
      </c>
      <c r="W115">
        <v>1</v>
      </c>
    </row>
    <row r="116" spans="1:23" x14ac:dyDescent="0.35">
      <c r="A116" t="s">
        <v>1543</v>
      </c>
      <c r="B116" s="6">
        <v>43713</v>
      </c>
      <c r="C116">
        <v>45859</v>
      </c>
      <c r="D116" t="s">
        <v>30</v>
      </c>
      <c r="E116">
        <v>32</v>
      </c>
      <c r="F116" t="s">
        <v>36</v>
      </c>
      <c r="G116" t="s">
        <v>25</v>
      </c>
      <c r="H116" t="s">
        <v>54</v>
      </c>
      <c r="I116" t="s">
        <v>59</v>
      </c>
      <c r="J116" t="s">
        <v>86</v>
      </c>
      <c r="K116">
        <v>3</v>
      </c>
      <c r="L116" t="s">
        <v>84</v>
      </c>
      <c r="M116">
        <v>66000</v>
      </c>
      <c r="N116">
        <v>6.8</v>
      </c>
      <c r="O116">
        <v>9.9</v>
      </c>
      <c r="P116">
        <v>5.9</v>
      </c>
      <c r="Q116">
        <v>5.7</v>
      </c>
      <c r="R116">
        <v>3</v>
      </c>
      <c r="T116">
        <v>3</v>
      </c>
      <c r="U116" t="s">
        <v>23</v>
      </c>
      <c r="V116">
        <v>2</v>
      </c>
      <c r="W116">
        <v>1</v>
      </c>
    </row>
    <row r="117" spans="1:23" x14ac:dyDescent="0.35">
      <c r="A117" t="s">
        <v>538</v>
      </c>
      <c r="B117" s="6">
        <v>44071</v>
      </c>
      <c r="D117" t="s">
        <v>23</v>
      </c>
      <c r="E117">
        <v>47</v>
      </c>
      <c r="F117" t="s">
        <v>24</v>
      </c>
      <c r="G117" t="s">
        <v>42</v>
      </c>
      <c r="H117" t="s">
        <v>54</v>
      </c>
      <c r="I117" t="s">
        <v>27</v>
      </c>
      <c r="J117" t="s">
        <v>43</v>
      </c>
      <c r="K117">
        <v>4</v>
      </c>
      <c r="L117" t="s">
        <v>66</v>
      </c>
      <c r="M117">
        <v>106000</v>
      </c>
      <c r="N117">
        <v>6.2</v>
      </c>
      <c r="O117">
        <v>8.3000000000000007</v>
      </c>
      <c r="P117">
        <v>5.3</v>
      </c>
      <c r="Q117">
        <v>2.1</v>
      </c>
      <c r="R117">
        <v>3</v>
      </c>
      <c r="S117">
        <v>3</v>
      </c>
      <c r="T117">
        <v>2</v>
      </c>
      <c r="U117" t="s">
        <v>23</v>
      </c>
      <c r="V117">
        <v>4</v>
      </c>
      <c r="W117">
        <v>1</v>
      </c>
    </row>
    <row r="118" spans="1:23" x14ac:dyDescent="0.35">
      <c r="A118" t="s">
        <v>320</v>
      </c>
      <c r="B118" s="6">
        <v>45500</v>
      </c>
      <c r="D118" t="s">
        <v>23</v>
      </c>
      <c r="E118">
        <v>32</v>
      </c>
      <c r="F118" t="s">
        <v>24</v>
      </c>
      <c r="G118" t="s">
        <v>37</v>
      </c>
      <c r="H118" t="s">
        <v>58</v>
      </c>
      <c r="I118" t="s">
        <v>68</v>
      </c>
      <c r="J118" t="s">
        <v>102</v>
      </c>
      <c r="K118">
        <v>2</v>
      </c>
      <c r="L118" t="s">
        <v>34</v>
      </c>
      <c r="M118">
        <v>51000</v>
      </c>
      <c r="N118">
        <v>11.5</v>
      </c>
      <c r="O118">
        <v>4.4000000000000004</v>
      </c>
      <c r="P118">
        <v>1.4</v>
      </c>
      <c r="Q118">
        <v>0.2</v>
      </c>
      <c r="R118">
        <v>4</v>
      </c>
      <c r="S118">
        <v>3</v>
      </c>
      <c r="T118">
        <v>3</v>
      </c>
      <c r="U118" t="s">
        <v>23</v>
      </c>
      <c r="V118">
        <v>1</v>
      </c>
      <c r="W118">
        <v>1</v>
      </c>
    </row>
    <row r="119" spans="1:23" x14ac:dyDescent="0.35">
      <c r="A119" t="s">
        <v>1072</v>
      </c>
      <c r="B119" s="6">
        <v>43075</v>
      </c>
      <c r="D119" t="s">
        <v>23</v>
      </c>
      <c r="E119">
        <v>29</v>
      </c>
      <c r="F119" t="s">
        <v>62</v>
      </c>
      <c r="G119" t="s">
        <v>25</v>
      </c>
      <c r="H119" t="s">
        <v>54</v>
      </c>
      <c r="I119" t="s">
        <v>27</v>
      </c>
      <c r="J119" t="s">
        <v>33</v>
      </c>
      <c r="K119">
        <v>2</v>
      </c>
      <c r="L119" t="s">
        <v>29</v>
      </c>
      <c r="M119">
        <v>45000</v>
      </c>
      <c r="N119">
        <v>7.9</v>
      </c>
      <c r="O119">
        <v>11.2</v>
      </c>
      <c r="P119">
        <v>8.1</v>
      </c>
      <c r="Q119">
        <v>3.7</v>
      </c>
      <c r="R119">
        <v>4</v>
      </c>
      <c r="S119">
        <v>4</v>
      </c>
      <c r="T119">
        <v>3</v>
      </c>
      <c r="U119" t="s">
        <v>30</v>
      </c>
      <c r="V119">
        <v>3</v>
      </c>
      <c r="W119">
        <v>1</v>
      </c>
    </row>
    <row r="120" spans="1:23" x14ac:dyDescent="0.35">
      <c r="A120" t="s">
        <v>837</v>
      </c>
      <c r="B120" s="6">
        <v>45618</v>
      </c>
      <c r="C120">
        <v>45891</v>
      </c>
      <c r="D120" t="s">
        <v>30</v>
      </c>
      <c r="E120">
        <v>22</v>
      </c>
      <c r="F120" t="s">
        <v>36</v>
      </c>
      <c r="G120" t="s">
        <v>42</v>
      </c>
      <c r="H120" t="s">
        <v>32</v>
      </c>
      <c r="I120" t="s">
        <v>27</v>
      </c>
      <c r="J120" t="s">
        <v>28</v>
      </c>
      <c r="K120">
        <v>1</v>
      </c>
      <c r="L120" t="s">
        <v>29</v>
      </c>
      <c r="M120">
        <v>45000</v>
      </c>
      <c r="N120">
        <v>15.6</v>
      </c>
      <c r="O120">
        <v>5.4</v>
      </c>
      <c r="P120">
        <v>0.7</v>
      </c>
      <c r="Q120">
        <v>0</v>
      </c>
      <c r="R120">
        <v>3</v>
      </c>
      <c r="S120">
        <v>3</v>
      </c>
      <c r="T120">
        <v>3</v>
      </c>
      <c r="U120" t="s">
        <v>30</v>
      </c>
      <c r="V120">
        <v>1</v>
      </c>
      <c r="W120">
        <v>1</v>
      </c>
    </row>
    <row r="121" spans="1:23" x14ac:dyDescent="0.35">
      <c r="A121" t="s">
        <v>249</v>
      </c>
      <c r="B121" s="6">
        <v>43225</v>
      </c>
      <c r="D121" t="s">
        <v>23</v>
      </c>
      <c r="E121">
        <v>37</v>
      </c>
      <c r="F121" t="s">
        <v>36</v>
      </c>
      <c r="G121" t="s">
        <v>42</v>
      </c>
      <c r="H121" t="s">
        <v>32</v>
      </c>
      <c r="I121" t="s">
        <v>38</v>
      </c>
      <c r="J121" t="s">
        <v>52</v>
      </c>
      <c r="K121">
        <v>2</v>
      </c>
      <c r="L121" t="s">
        <v>34</v>
      </c>
      <c r="M121">
        <v>62000</v>
      </c>
      <c r="N121">
        <v>21.3</v>
      </c>
      <c r="O121">
        <v>13.1</v>
      </c>
      <c r="P121">
        <v>7.7</v>
      </c>
      <c r="Q121">
        <v>0.2</v>
      </c>
      <c r="R121">
        <v>4</v>
      </c>
      <c r="S121">
        <v>4</v>
      </c>
      <c r="T121">
        <v>2</v>
      </c>
      <c r="U121" t="s">
        <v>23</v>
      </c>
      <c r="V121">
        <v>1</v>
      </c>
      <c r="W121">
        <v>1</v>
      </c>
    </row>
    <row r="122" spans="1:23" x14ac:dyDescent="0.35">
      <c r="A122" t="s">
        <v>1265</v>
      </c>
      <c r="B122" s="6">
        <v>42601</v>
      </c>
      <c r="D122" t="s">
        <v>23</v>
      </c>
      <c r="E122">
        <v>32</v>
      </c>
      <c r="F122" t="s">
        <v>62</v>
      </c>
      <c r="G122" t="s">
        <v>42</v>
      </c>
      <c r="H122" t="s">
        <v>58</v>
      </c>
      <c r="I122" t="s">
        <v>45</v>
      </c>
      <c r="J122" t="s">
        <v>97</v>
      </c>
      <c r="K122">
        <v>2</v>
      </c>
      <c r="L122" t="s">
        <v>40</v>
      </c>
      <c r="M122">
        <v>41000</v>
      </c>
      <c r="N122">
        <v>2.6</v>
      </c>
      <c r="O122">
        <v>9.9</v>
      </c>
      <c r="P122">
        <v>9.4</v>
      </c>
      <c r="Q122">
        <v>0.8</v>
      </c>
      <c r="R122">
        <v>4</v>
      </c>
      <c r="S122">
        <v>2</v>
      </c>
      <c r="T122">
        <v>3</v>
      </c>
      <c r="U122" t="s">
        <v>23</v>
      </c>
      <c r="V122">
        <v>4</v>
      </c>
      <c r="W122">
        <v>1</v>
      </c>
    </row>
    <row r="123" spans="1:23" x14ac:dyDescent="0.35">
      <c r="A123" t="s">
        <v>989</v>
      </c>
      <c r="B123" s="6">
        <v>44012</v>
      </c>
      <c r="D123" t="s">
        <v>23</v>
      </c>
      <c r="E123">
        <v>28</v>
      </c>
      <c r="F123" t="s">
        <v>36</v>
      </c>
      <c r="G123" t="s">
        <v>42</v>
      </c>
      <c r="H123" t="s">
        <v>32</v>
      </c>
      <c r="I123" t="s">
        <v>48</v>
      </c>
      <c r="J123" t="s">
        <v>129</v>
      </c>
      <c r="K123">
        <v>3</v>
      </c>
      <c r="L123" t="s">
        <v>29</v>
      </c>
      <c r="M123">
        <v>67000</v>
      </c>
      <c r="N123">
        <v>6.4</v>
      </c>
      <c r="O123">
        <v>7.6</v>
      </c>
      <c r="P123">
        <v>5.5</v>
      </c>
      <c r="Q123">
        <v>2.7</v>
      </c>
      <c r="R123">
        <v>3</v>
      </c>
      <c r="S123">
        <v>4</v>
      </c>
      <c r="T123">
        <v>3</v>
      </c>
      <c r="U123" t="s">
        <v>23</v>
      </c>
      <c r="V123">
        <v>3</v>
      </c>
      <c r="W123">
        <v>1</v>
      </c>
    </row>
    <row r="124" spans="1:23" x14ac:dyDescent="0.35">
      <c r="A124" t="s">
        <v>1448</v>
      </c>
      <c r="B124" s="6">
        <v>44422</v>
      </c>
      <c r="D124" t="s">
        <v>23</v>
      </c>
      <c r="E124">
        <v>45</v>
      </c>
      <c r="F124" t="s">
        <v>24</v>
      </c>
      <c r="G124" t="s">
        <v>42</v>
      </c>
      <c r="H124" t="s">
        <v>26</v>
      </c>
      <c r="I124" t="s">
        <v>45</v>
      </c>
      <c r="J124" t="s">
        <v>46</v>
      </c>
      <c r="K124">
        <v>2</v>
      </c>
      <c r="L124" t="s">
        <v>84</v>
      </c>
      <c r="M124">
        <v>57000</v>
      </c>
      <c r="N124">
        <v>9</v>
      </c>
      <c r="O124">
        <v>5.4</v>
      </c>
      <c r="P124">
        <v>4.4000000000000004</v>
      </c>
      <c r="Q124">
        <v>3</v>
      </c>
      <c r="R124">
        <v>4</v>
      </c>
      <c r="S124">
        <v>3</v>
      </c>
      <c r="T124">
        <v>4</v>
      </c>
      <c r="U124" t="s">
        <v>23</v>
      </c>
      <c r="V124">
        <v>4</v>
      </c>
      <c r="W124">
        <v>1</v>
      </c>
    </row>
    <row r="125" spans="1:23" x14ac:dyDescent="0.35">
      <c r="A125" t="s">
        <v>352</v>
      </c>
      <c r="B125" s="6">
        <v>44022</v>
      </c>
      <c r="D125" t="s">
        <v>23</v>
      </c>
      <c r="E125">
        <v>34</v>
      </c>
      <c r="F125" t="s">
        <v>62</v>
      </c>
      <c r="G125" t="s">
        <v>37</v>
      </c>
      <c r="H125" t="s">
        <v>32</v>
      </c>
      <c r="I125" t="s">
        <v>45</v>
      </c>
      <c r="J125" t="s">
        <v>164</v>
      </c>
      <c r="K125">
        <v>2</v>
      </c>
      <c r="L125" t="s">
        <v>50</v>
      </c>
      <c r="M125">
        <v>42000</v>
      </c>
      <c r="N125">
        <v>15.1</v>
      </c>
      <c r="O125">
        <v>9.8000000000000007</v>
      </c>
      <c r="P125">
        <v>5.5</v>
      </c>
      <c r="Q125">
        <v>5.0999999999999996</v>
      </c>
      <c r="R125">
        <v>3</v>
      </c>
      <c r="S125">
        <v>3</v>
      </c>
      <c r="T125">
        <v>2</v>
      </c>
      <c r="U125" t="s">
        <v>30</v>
      </c>
      <c r="V125">
        <v>4</v>
      </c>
      <c r="W125">
        <v>1</v>
      </c>
    </row>
    <row r="126" spans="1:23" x14ac:dyDescent="0.35">
      <c r="A126" t="s">
        <v>353</v>
      </c>
      <c r="B126" s="6">
        <v>44585</v>
      </c>
      <c r="D126" t="s">
        <v>23</v>
      </c>
      <c r="E126">
        <v>26</v>
      </c>
      <c r="F126" t="s">
        <v>36</v>
      </c>
      <c r="G126" t="s">
        <v>25</v>
      </c>
      <c r="H126" t="s">
        <v>54</v>
      </c>
      <c r="I126" t="s">
        <v>45</v>
      </c>
      <c r="J126" t="s">
        <v>97</v>
      </c>
      <c r="K126">
        <v>1</v>
      </c>
      <c r="L126" t="s">
        <v>34</v>
      </c>
      <c r="M126">
        <v>30000</v>
      </c>
      <c r="N126">
        <v>5.5</v>
      </c>
      <c r="O126">
        <v>4.7</v>
      </c>
      <c r="P126">
        <v>3.9</v>
      </c>
      <c r="Q126">
        <v>3</v>
      </c>
      <c r="R126">
        <v>3</v>
      </c>
      <c r="S126">
        <v>1</v>
      </c>
      <c r="T126">
        <v>3</v>
      </c>
      <c r="U126" t="s">
        <v>30</v>
      </c>
      <c r="V126">
        <v>5</v>
      </c>
      <c r="W126">
        <v>1</v>
      </c>
    </row>
    <row r="127" spans="1:23" x14ac:dyDescent="0.35">
      <c r="A127" t="s">
        <v>813</v>
      </c>
      <c r="B127" s="6">
        <v>44685</v>
      </c>
      <c r="D127" t="s">
        <v>23</v>
      </c>
      <c r="E127">
        <v>39</v>
      </c>
      <c r="F127" t="s">
        <v>24</v>
      </c>
      <c r="G127" t="s">
        <v>42</v>
      </c>
      <c r="H127" t="s">
        <v>32</v>
      </c>
      <c r="I127" t="s">
        <v>45</v>
      </c>
      <c r="J127" t="s">
        <v>97</v>
      </c>
      <c r="K127">
        <v>3</v>
      </c>
      <c r="L127" t="s">
        <v>50</v>
      </c>
      <c r="M127">
        <v>89000</v>
      </c>
      <c r="N127">
        <v>3.4</v>
      </c>
      <c r="O127">
        <v>8.9</v>
      </c>
      <c r="P127">
        <v>3.7</v>
      </c>
      <c r="Q127">
        <v>0.9</v>
      </c>
      <c r="R127">
        <v>1</v>
      </c>
      <c r="S127">
        <v>3</v>
      </c>
      <c r="T127">
        <v>4</v>
      </c>
      <c r="U127" t="s">
        <v>23</v>
      </c>
      <c r="V127">
        <v>1</v>
      </c>
      <c r="W127">
        <v>1</v>
      </c>
    </row>
    <row r="128" spans="1:23" x14ac:dyDescent="0.35">
      <c r="A128" t="s">
        <v>212</v>
      </c>
      <c r="B128" s="6">
        <v>45389</v>
      </c>
      <c r="D128" t="s">
        <v>23</v>
      </c>
      <c r="E128">
        <v>28</v>
      </c>
      <c r="F128" t="s">
        <v>36</v>
      </c>
      <c r="G128" t="s">
        <v>25</v>
      </c>
      <c r="H128" t="s">
        <v>54</v>
      </c>
      <c r="I128" t="s">
        <v>59</v>
      </c>
      <c r="J128" t="s">
        <v>60</v>
      </c>
      <c r="K128">
        <v>3</v>
      </c>
      <c r="L128" t="s">
        <v>40</v>
      </c>
      <c r="M128">
        <v>71000</v>
      </c>
      <c r="N128">
        <v>6.6</v>
      </c>
      <c r="O128">
        <v>2</v>
      </c>
      <c r="P128">
        <v>1.7</v>
      </c>
      <c r="Q128">
        <v>0.5</v>
      </c>
      <c r="R128">
        <v>4</v>
      </c>
      <c r="S128">
        <v>3</v>
      </c>
      <c r="T128">
        <v>4</v>
      </c>
      <c r="U128" t="s">
        <v>23</v>
      </c>
      <c r="V128">
        <v>3</v>
      </c>
      <c r="W128">
        <v>1</v>
      </c>
    </row>
    <row r="129" spans="1:23" x14ac:dyDescent="0.35">
      <c r="A129" t="s">
        <v>846</v>
      </c>
      <c r="B129" s="6">
        <v>42457</v>
      </c>
      <c r="D129" t="s">
        <v>23</v>
      </c>
      <c r="E129">
        <v>33</v>
      </c>
      <c r="F129" t="s">
        <v>24</v>
      </c>
      <c r="G129" t="s">
        <v>37</v>
      </c>
      <c r="H129" t="s">
        <v>54</v>
      </c>
      <c r="I129" t="s">
        <v>59</v>
      </c>
      <c r="J129" t="s">
        <v>60</v>
      </c>
      <c r="K129">
        <v>2</v>
      </c>
      <c r="L129" t="s">
        <v>34</v>
      </c>
      <c r="M129">
        <v>44000</v>
      </c>
      <c r="N129">
        <v>10.1</v>
      </c>
      <c r="O129">
        <v>15.5</v>
      </c>
      <c r="P129">
        <v>9.8000000000000007</v>
      </c>
      <c r="Q129">
        <v>0.1</v>
      </c>
      <c r="R129">
        <v>4</v>
      </c>
      <c r="S129">
        <v>3</v>
      </c>
      <c r="T129">
        <v>3</v>
      </c>
      <c r="U129" t="s">
        <v>23</v>
      </c>
      <c r="V129">
        <v>4</v>
      </c>
      <c r="W129">
        <v>1</v>
      </c>
    </row>
    <row r="130" spans="1:23" x14ac:dyDescent="0.35">
      <c r="A130" t="s">
        <v>342</v>
      </c>
      <c r="B130" s="6">
        <v>43297</v>
      </c>
      <c r="D130" t="s">
        <v>23</v>
      </c>
      <c r="E130">
        <v>31</v>
      </c>
      <c r="F130" t="s">
        <v>36</v>
      </c>
      <c r="G130" t="s">
        <v>25</v>
      </c>
      <c r="H130" t="s">
        <v>26</v>
      </c>
      <c r="I130" t="s">
        <v>27</v>
      </c>
      <c r="J130" t="s">
        <v>28</v>
      </c>
      <c r="K130">
        <v>1</v>
      </c>
      <c r="L130" t="s">
        <v>84</v>
      </c>
      <c r="M130">
        <v>24000</v>
      </c>
      <c r="N130">
        <v>6.7</v>
      </c>
      <c r="O130">
        <v>9.4</v>
      </c>
      <c r="P130">
        <v>7.5</v>
      </c>
      <c r="Q130">
        <v>1.6</v>
      </c>
      <c r="R130">
        <v>2</v>
      </c>
      <c r="S130">
        <v>2</v>
      </c>
      <c r="T130">
        <v>3</v>
      </c>
      <c r="U130" t="s">
        <v>30</v>
      </c>
      <c r="V130">
        <v>5</v>
      </c>
      <c r="W130">
        <v>1</v>
      </c>
    </row>
    <row r="131" spans="1:23" x14ac:dyDescent="0.35">
      <c r="A131" t="s">
        <v>273</v>
      </c>
      <c r="B131" s="6">
        <v>45647</v>
      </c>
      <c r="D131" t="s">
        <v>23</v>
      </c>
      <c r="E131">
        <v>37</v>
      </c>
      <c r="F131" t="s">
        <v>36</v>
      </c>
      <c r="G131" t="s">
        <v>42</v>
      </c>
      <c r="H131" t="s">
        <v>32</v>
      </c>
      <c r="I131" t="s">
        <v>45</v>
      </c>
      <c r="J131" t="s">
        <v>77</v>
      </c>
      <c r="K131">
        <v>3</v>
      </c>
      <c r="L131" t="s">
        <v>40</v>
      </c>
      <c r="M131">
        <v>63000</v>
      </c>
      <c r="N131">
        <v>9.4</v>
      </c>
      <c r="O131">
        <v>5</v>
      </c>
      <c r="P131">
        <v>1</v>
      </c>
      <c r="Q131">
        <v>0.9</v>
      </c>
      <c r="R131">
        <v>3</v>
      </c>
      <c r="S131">
        <v>3</v>
      </c>
      <c r="T131">
        <v>3</v>
      </c>
      <c r="U131" t="s">
        <v>30</v>
      </c>
      <c r="V131">
        <v>2</v>
      </c>
      <c r="W131">
        <v>1</v>
      </c>
    </row>
    <row r="132" spans="1:23" x14ac:dyDescent="0.35">
      <c r="A132" t="s">
        <v>1003</v>
      </c>
      <c r="B132" s="6">
        <v>45874</v>
      </c>
      <c r="D132" t="s">
        <v>23</v>
      </c>
      <c r="E132">
        <v>21</v>
      </c>
      <c r="F132" t="s">
        <v>24</v>
      </c>
      <c r="G132" t="s">
        <v>25</v>
      </c>
      <c r="H132" t="s">
        <v>26</v>
      </c>
      <c r="I132" t="s">
        <v>55</v>
      </c>
      <c r="J132" t="s">
        <v>80</v>
      </c>
      <c r="K132">
        <v>1</v>
      </c>
      <c r="L132" t="s">
        <v>66</v>
      </c>
      <c r="M132">
        <v>44000</v>
      </c>
      <c r="N132">
        <v>6.3</v>
      </c>
      <c r="O132">
        <v>4.8</v>
      </c>
      <c r="P132">
        <v>0.4</v>
      </c>
      <c r="Q132">
        <v>0</v>
      </c>
      <c r="R132">
        <v>3</v>
      </c>
      <c r="S132">
        <v>3</v>
      </c>
      <c r="T132">
        <v>3</v>
      </c>
      <c r="U132" t="s">
        <v>23</v>
      </c>
      <c r="V132">
        <v>3</v>
      </c>
      <c r="W132">
        <v>1</v>
      </c>
    </row>
    <row r="133" spans="1:23" x14ac:dyDescent="0.35">
      <c r="A133" t="s">
        <v>229</v>
      </c>
      <c r="B133" s="6">
        <v>44326</v>
      </c>
      <c r="D133" t="s">
        <v>23</v>
      </c>
      <c r="E133">
        <v>28</v>
      </c>
      <c r="F133" t="s">
        <v>24</v>
      </c>
      <c r="G133" t="s">
        <v>25</v>
      </c>
      <c r="H133" t="s">
        <v>54</v>
      </c>
      <c r="I133" t="s">
        <v>48</v>
      </c>
      <c r="J133" t="s">
        <v>129</v>
      </c>
      <c r="K133">
        <v>1</v>
      </c>
      <c r="L133" t="s">
        <v>50</v>
      </c>
      <c r="M133">
        <v>22000</v>
      </c>
      <c r="N133">
        <v>2.5</v>
      </c>
      <c r="O133">
        <v>9.1999999999999993</v>
      </c>
      <c r="P133">
        <v>4.5999999999999996</v>
      </c>
      <c r="Q133">
        <v>0.7</v>
      </c>
      <c r="R133">
        <v>3</v>
      </c>
      <c r="S133">
        <v>3</v>
      </c>
      <c r="T133">
        <v>3</v>
      </c>
      <c r="U133" t="s">
        <v>30</v>
      </c>
      <c r="V133">
        <v>2</v>
      </c>
      <c r="W133">
        <v>1</v>
      </c>
    </row>
    <row r="134" spans="1:23" x14ac:dyDescent="0.35">
      <c r="A134" t="s">
        <v>736</v>
      </c>
      <c r="B134" s="6">
        <v>43975</v>
      </c>
      <c r="C134">
        <v>45894</v>
      </c>
      <c r="D134" t="s">
        <v>30</v>
      </c>
      <c r="E134">
        <v>35</v>
      </c>
      <c r="F134" t="s">
        <v>24</v>
      </c>
      <c r="G134" t="s">
        <v>25</v>
      </c>
      <c r="H134" t="s">
        <v>26</v>
      </c>
      <c r="I134" t="s">
        <v>27</v>
      </c>
      <c r="J134" t="s">
        <v>33</v>
      </c>
      <c r="K134">
        <v>4</v>
      </c>
      <c r="L134" t="s">
        <v>50</v>
      </c>
      <c r="M134">
        <v>98000</v>
      </c>
      <c r="N134">
        <v>11.6</v>
      </c>
      <c r="O134">
        <v>10.6</v>
      </c>
      <c r="P134">
        <v>5.3</v>
      </c>
      <c r="Q134">
        <v>1.6</v>
      </c>
      <c r="R134">
        <v>3</v>
      </c>
      <c r="S134">
        <v>1</v>
      </c>
      <c r="T134">
        <v>2</v>
      </c>
      <c r="U134" t="s">
        <v>23</v>
      </c>
      <c r="V134">
        <v>1</v>
      </c>
      <c r="W134">
        <v>1</v>
      </c>
    </row>
    <row r="135" spans="1:23" x14ac:dyDescent="0.35">
      <c r="A135" t="s">
        <v>1007</v>
      </c>
      <c r="B135" s="6">
        <v>43600</v>
      </c>
      <c r="D135" t="s">
        <v>23</v>
      </c>
      <c r="E135">
        <v>33</v>
      </c>
      <c r="F135" t="s">
        <v>62</v>
      </c>
      <c r="G135" t="s">
        <v>25</v>
      </c>
      <c r="H135" t="s">
        <v>54</v>
      </c>
      <c r="I135" t="s">
        <v>48</v>
      </c>
      <c r="J135" t="s">
        <v>129</v>
      </c>
      <c r="K135">
        <v>3</v>
      </c>
      <c r="L135" t="s">
        <v>84</v>
      </c>
      <c r="M135">
        <v>69000</v>
      </c>
      <c r="N135">
        <v>6.4</v>
      </c>
      <c r="O135">
        <v>10.4</v>
      </c>
      <c r="P135">
        <v>6.6</v>
      </c>
      <c r="Q135">
        <v>1.7</v>
      </c>
      <c r="R135">
        <v>4</v>
      </c>
      <c r="S135">
        <v>2</v>
      </c>
      <c r="T135">
        <v>2</v>
      </c>
      <c r="U135" t="s">
        <v>30</v>
      </c>
      <c r="V135">
        <v>4</v>
      </c>
      <c r="W135">
        <v>1</v>
      </c>
    </row>
    <row r="136" spans="1:23" x14ac:dyDescent="0.35">
      <c r="A136" t="s">
        <v>521</v>
      </c>
      <c r="B136" s="6">
        <v>43785</v>
      </c>
      <c r="D136" t="s">
        <v>23</v>
      </c>
      <c r="E136">
        <v>27</v>
      </c>
      <c r="F136" t="s">
        <v>62</v>
      </c>
      <c r="G136" t="s">
        <v>42</v>
      </c>
      <c r="H136" t="s">
        <v>32</v>
      </c>
      <c r="I136" t="s">
        <v>48</v>
      </c>
      <c r="J136" t="s">
        <v>201</v>
      </c>
      <c r="K136">
        <v>1</v>
      </c>
      <c r="L136" t="s">
        <v>29</v>
      </c>
      <c r="M136">
        <v>32000</v>
      </c>
      <c r="N136">
        <v>13</v>
      </c>
      <c r="O136">
        <v>11.4</v>
      </c>
      <c r="P136">
        <v>6.1</v>
      </c>
      <c r="Q136">
        <v>3.2</v>
      </c>
      <c r="R136">
        <v>3</v>
      </c>
      <c r="S136">
        <v>3</v>
      </c>
      <c r="T136">
        <v>3</v>
      </c>
      <c r="U136" t="s">
        <v>23</v>
      </c>
      <c r="V136">
        <v>3</v>
      </c>
      <c r="W136">
        <v>1</v>
      </c>
    </row>
    <row r="137" spans="1:23" x14ac:dyDescent="0.35">
      <c r="A137" t="s">
        <v>883</v>
      </c>
      <c r="B137" s="6">
        <v>41731</v>
      </c>
      <c r="D137" t="s">
        <v>23</v>
      </c>
      <c r="E137">
        <v>39</v>
      </c>
      <c r="F137" t="s">
        <v>62</v>
      </c>
      <c r="G137" t="s">
        <v>37</v>
      </c>
      <c r="H137" t="s">
        <v>26</v>
      </c>
      <c r="I137" t="s">
        <v>55</v>
      </c>
      <c r="J137" t="s">
        <v>56</v>
      </c>
      <c r="K137">
        <v>3</v>
      </c>
      <c r="L137" t="s">
        <v>29</v>
      </c>
      <c r="M137">
        <v>79000</v>
      </c>
      <c r="N137">
        <v>11.1</v>
      </c>
      <c r="O137">
        <v>14.8</v>
      </c>
      <c r="P137">
        <v>11.7</v>
      </c>
      <c r="Q137">
        <v>1.4</v>
      </c>
      <c r="R137">
        <v>3</v>
      </c>
      <c r="S137">
        <v>3</v>
      </c>
      <c r="T137">
        <v>2</v>
      </c>
      <c r="U137" t="s">
        <v>23</v>
      </c>
      <c r="V137">
        <v>3</v>
      </c>
      <c r="W137">
        <v>1</v>
      </c>
    </row>
    <row r="138" spans="1:23" x14ac:dyDescent="0.35">
      <c r="A138" t="s">
        <v>534</v>
      </c>
      <c r="B138" s="6">
        <v>45851</v>
      </c>
      <c r="D138" t="s">
        <v>23</v>
      </c>
      <c r="E138">
        <v>21</v>
      </c>
      <c r="F138" t="s">
        <v>62</v>
      </c>
      <c r="G138" t="s">
        <v>37</v>
      </c>
      <c r="H138" t="s">
        <v>26</v>
      </c>
      <c r="I138" t="s">
        <v>48</v>
      </c>
      <c r="J138" t="s">
        <v>63</v>
      </c>
      <c r="K138">
        <v>1</v>
      </c>
      <c r="L138" t="s">
        <v>40</v>
      </c>
      <c r="M138">
        <v>28000</v>
      </c>
      <c r="N138">
        <v>11.3</v>
      </c>
      <c r="O138">
        <v>5.8</v>
      </c>
      <c r="P138">
        <v>0.5</v>
      </c>
      <c r="Q138">
        <v>0</v>
      </c>
      <c r="R138">
        <v>3</v>
      </c>
      <c r="S138">
        <v>2</v>
      </c>
      <c r="T138">
        <v>1</v>
      </c>
      <c r="U138" t="s">
        <v>30</v>
      </c>
      <c r="V138">
        <v>3</v>
      </c>
      <c r="W138">
        <v>1</v>
      </c>
    </row>
    <row r="139" spans="1:23" x14ac:dyDescent="0.35">
      <c r="A139" t="s">
        <v>425</v>
      </c>
      <c r="B139" s="6">
        <v>41997</v>
      </c>
      <c r="D139" t="s">
        <v>23</v>
      </c>
      <c r="E139">
        <v>36</v>
      </c>
      <c r="F139" t="s">
        <v>36</v>
      </c>
      <c r="G139" t="s">
        <v>42</v>
      </c>
      <c r="H139" t="s">
        <v>58</v>
      </c>
      <c r="I139" t="s">
        <v>27</v>
      </c>
      <c r="J139" t="s">
        <v>28</v>
      </c>
      <c r="K139">
        <v>2</v>
      </c>
      <c r="L139" t="s">
        <v>50</v>
      </c>
      <c r="M139">
        <v>45000</v>
      </c>
      <c r="N139">
        <v>9.3000000000000007</v>
      </c>
      <c r="O139">
        <v>17.600000000000001</v>
      </c>
      <c r="P139">
        <v>11</v>
      </c>
      <c r="Q139">
        <v>1.4</v>
      </c>
      <c r="R139">
        <v>3</v>
      </c>
      <c r="S139">
        <v>4</v>
      </c>
      <c r="T139">
        <v>4</v>
      </c>
      <c r="U139" t="s">
        <v>23</v>
      </c>
      <c r="V139">
        <v>4</v>
      </c>
      <c r="W139">
        <v>1</v>
      </c>
    </row>
    <row r="140" spans="1:23" x14ac:dyDescent="0.35">
      <c r="A140" t="s">
        <v>682</v>
      </c>
      <c r="B140" s="6">
        <v>44087</v>
      </c>
      <c r="D140" t="s">
        <v>23</v>
      </c>
      <c r="E140">
        <v>41</v>
      </c>
      <c r="F140" t="s">
        <v>36</v>
      </c>
      <c r="G140" t="s">
        <v>37</v>
      </c>
      <c r="H140" t="s">
        <v>54</v>
      </c>
      <c r="I140" t="s">
        <v>27</v>
      </c>
      <c r="J140" t="s">
        <v>95</v>
      </c>
      <c r="K140">
        <v>3</v>
      </c>
      <c r="L140" t="s">
        <v>40</v>
      </c>
      <c r="M140">
        <v>76000</v>
      </c>
      <c r="N140">
        <v>10.4</v>
      </c>
      <c r="O140">
        <v>10.7</v>
      </c>
      <c r="P140">
        <v>5.3</v>
      </c>
      <c r="Q140">
        <v>4.2</v>
      </c>
      <c r="R140">
        <v>4</v>
      </c>
      <c r="S140">
        <v>3</v>
      </c>
      <c r="T140">
        <v>3</v>
      </c>
      <c r="U140" t="s">
        <v>23</v>
      </c>
      <c r="V140">
        <v>2</v>
      </c>
      <c r="W140">
        <v>1</v>
      </c>
    </row>
    <row r="141" spans="1:23" x14ac:dyDescent="0.35">
      <c r="A141" t="s">
        <v>1424</v>
      </c>
      <c r="B141" s="6">
        <v>43406</v>
      </c>
      <c r="D141" t="s">
        <v>23</v>
      </c>
      <c r="E141">
        <v>30</v>
      </c>
      <c r="F141" t="s">
        <v>62</v>
      </c>
      <c r="G141" t="s">
        <v>37</v>
      </c>
      <c r="H141" t="s">
        <v>54</v>
      </c>
      <c r="I141" t="s">
        <v>59</v>
      </c>
      <c r="J141" t="s">
        <v>86</v>
      </c>
      <c r="K141">
        <v>2</v>
      </c>
      <c r="L141" t="s">
        <v>84</v>
      </c>
      <c r="M141">
        <v>48000</v>
      </c>
      <c r="N141">
        <v>10.6</v>
      </c>
      <c r="O141">
        <v>14.9</v>
      </c>
      <c r="P141">
        <v>7.2</v>
      </c>
      <c r="Q141">
        <v>3.3</v>
      </c>
      <c r="R141">
        <v>4</v>
      </c>
      <c r="S141">
        <v>2</v>
      </c>
      <c r="T141">
        <v>2</v>
      </c>
      <c r="U141" t="s">
        <v>23</v>
      </c>
      <c r="V141">
        <v>3</v>
      </c>
      <c r="W141">
        <v>1</v>
      </c>
    </row>
    <row r="142" spans="1:23" x14ac:dyDescent="0.35">
      <c r="A142" t="s">
        <v>563</v>
      </c>
      <c r="B142" s="6">
        <v>44301</v>
      </c>
      <c r="C142">
        <v>45958</v>
      </c>
      <c r="D142" t="s">
        <v>30</v>
      </c>
      <c r="E142">
        <v>35</v>
      </c>
      <c r="F142" t="s">
        <v>24</v>
      </c>
      <c r="G142" t="s">
        <v>37</v>
      </c>
      <c r="H142" t="s">
        <v>32</v>
      </c>
      <c r="I142" t="s">
        <v>38</v>
      </c>
      <c r="J142" t="s">
        <v>139</v>
      </c>
      <c r="K142">
        <v>1</v>
      </c>
      <c r="L142" t="s">
        <v>29</v>
      </c>
      <c r="M142">
        <v>56000</v>
      </c>
      <c r="N142">
        <v>12.5</v>
      </c>
      <c r="O142">
        <v>10.3</v>
      </c>
      <c r="P142">
        <v>4.5</v>
      </c>
      <c r="Q142">
        <v>2.5</v>
      </c>
      <c r="R142">
        <v>1</v>
      </c>
      <c r="S142">
        <v>3</v>
      </c>
      <c r="T142">
        <v>4</v>
      </c>
      <c r="U142" t="s">
        <v>23</v>
      </c>
      <c r="V142">
        <v>3</v>
      </c>
      <c r="W142">
        <v>1</v>
      </c>
    </row>
    <row r="143" spans="1:23" x14ac:dyDescent="0.35">
      <c r="A143" t="s">
        <v>157</v>
      </c>
      <c r="B143" s="6">
        <v>42940</v>
      </c>
      <c r="D143" t="s">
        <v>23</v>
      </c>
      <c r="E143">
        <v>41</v>
      </c>
      <c r="F143" t="s">
        <v>36</v>
      </c>
      <c r="G143" t="s">
        <v>25</v>
      </c>
      <c r="H143" t="s">
        <v>54</v>
      </c>
      <c r="I143" t="s">
        <v>38</v>
      </c>
      <c r="J143" t="s">
        <v>52</v>
      </c>
      <c r="K143">
        <v>4</v>
      </c>
      <c r="L143" t="s">
        <v>34</v>
      </c>
      <c r="M143">
        <v>121000</v>
      </c>
      <c r="N143">
        <v>0.8</v>
      </c>
      <c r="O143">
        <v>11</v>
      </c>
      <c r="P143">
        <v>8.4</v>
      </c>
      <c r="Q143">
        <v>1.7</v>
      </c>
      <c r="R143">
        <v>3</v>
      </c>
      <c r="S143">
        <v>3</v>
      </c>
      <c r="T143">
        <v>3</v>
      </c>
      <c r="U143" t="s">
        <v>23</v>
      </c>
      <c r="V143">
        <v>3</v>
      </c>
      <c r="W143">
        <v>1</v>
      </c>
    </row>
    <row r="144" spans="1:23" x14ac:dyDescent="0.35">
      <c r="A144" t="s">
        <v>1131</v>
      </c>
      <c r="B144" s="6">
        <v>45718</v>
      </c>
      <c r="D144" t="s">
        <v>23</v>
      </c>
      <c r="E144">
        <v>21</v>
      </c>
      <c r="F144" t="s">
        <v>62</v>
      </c>
      <c r="G144" t="s">
        <v>25</v>
      </c>
      <c r="H144" t="s">
        <v>54</v>
      </c>
      <c r="I144" t="s">
        <v>38</v>
      </c>
      <c r="J144" t="s">
        <v>52</v>
      </c>
      <c r="K144">
        <v>1</v>
      </c>
      <c r="L144" t="s">
        <v>84</v>
      </c>
      <c r="M144">
        <v>35000</v>
      </c>
      <c r="N144">
        <v>9.1</v>
      </c>
      <c r="O144">
        <v>1.2</v>
      </c>
      <c r="P144">
        <v>0.8</v>
      </c>
      <c r="Q144">
        <v>0</v>
      </c>
      <c r="R144">
        <v>2</v>
      </c>
      <c r="S144">
        <v>4</v>
      </c>
      <c r="T144">
        <v>1</v>
      </c>
      <c r="U144" t="s">
        <v>23</v>
      </c>
      <c r="V144">
        <v>4</v>
      </c>
      <c r="W144">
        <v>1</v>
      </c>
    </row>
    <row r="145" spans="1:23" x14ac:dyDescent="0.35">
      <c r="A145" t="s">
        <v>456</v>
      </c>
      <c r="B145" s="6">
        <v>44290</v>
      </c>
      <c r="D145" t="s">
        <v>23</v>
      </c>
      <c r="E145">
        <v>35</v>
      </c>
      <c r="F145" t="s">
        <v>36</v>
      </c>
      <c r="G145" t="s">
        <v>42</v>
      </c>
      <c r="H145" t="s">
        <v>32</v>
      </c>
      <c r="I145" t="s">
        <v>55</v>
      </c>
      <c r="J145" t="s">
        <v>179</v>
      </c>
      <c r="K145">
        <v>2</v>
      </c>
      <c r="L145" t="s">
        <v>29</v>
      </c>
      <c r="M145">
        <v>60000</v>
      </c>
      <c r="N145">
        <v>12.3</v>
      </c>
      <c r="O145">
        <v>10.199999999999999</v>
      </c>
      <c r="P145">
        <v>4.7</v>
      </c>
      <c r="Q145">
        <v>1.2</v>
      </c>
      <c r="R145">
        <v>3</v>
      </c>
      <c r="S145">
        <v>4</v>
      </c>
      <c r="T145">
        <v>4</v>
      </c>
      <c r="U145" t="s">
        <v>23</v>
      </c>
      <c r="V145">
        <v>4</v>
      </c>
      <c r="W145">
        <v>1</v>
      </c>
    </row>
    <row r="146" spans="1:23" x14ac:dyDescent="0.35">
      <c r="A146" t="s">
        <v>291</v>
      </c>
      <c r="B146" s="6">
        <v>42835</v>
      </c>
      <c r="D146" t="s">
        <v>23</v>
      </c>
      <c r="E146">
        <v>35</v>
      </c>
      <c r="F146" t="s">
        <v>62</v>
      </c>
      <c r="G146" t="s">
        <v>37</v>
      </c>
      <c r="H146" t="s">
        <v>26</v>
      </c>
      <c r="I146" t="s">
        <v>59</v>
      </c>
      <c r="J146" t="s">
        <v>150</v>
      </c>
      <c r="K146">
        <v>2</v>
      </c>
      <c r="L146" t="s">
        <v>34</v>
      </c>
      <c r="M146">
        <v>59000</v>
      </c>
      <c r="N146">
        <v>3.1</v>
      </c>
      <c r="O146">
        <v>13.9</v>
      </c>
      <c r="P146">
        <v>8.6999999999999993</v>
      </c>
      <c r="Q146">
        <v>0.4</v>
      </c>
      <c r="R146">
        <v>4</v>
      </c>
      <c r="S146">
        <v>1</v>
      </c>
      <c r="T146">
        <v>4</v>
      </c>
      <c r="U146" t="s">
        <v>23</v>
      </c>
      <c r="V146">
        <v>5</v>
      </c>
      <c r="W146">
        <v>1</v>
      </c>
    </row>
    <row r="147" spans="1:23" x14ac:dyDescent="0.35">
      <c r="A147" t="s">
        <v>1338</v>
      </c>
      <c r="B147" s="6">
        <v>45268</v>
      </c>
      <c r="C147">
        <v>45984</v>
      </c>
      <c r="D147" t="s">
        <v>30</v>
      </c>
      <c r="E147">
        <v>35</v>
      </c>
      <c r="F147" t="s">
        <v>62</v>
      </c>
      <c r="G147" t="s">
        <v>42</v>
      </c>
      <c r="H147" t="s">
        <v>26</v>
      </c>
      <c r="I147" t="s">
        <v>55</v>
      </c>
      <c r="J147" t="s">
        <v>179</v>
      </c>
      <c r="K147">
        <v>1</v>
      </c>
      <c r="L147" t="s">
        <v>50</v>
      </c>
      <c r="M147">
        <v>35000</v>
      </c>
      <c r="N147">
        <v>11.5</v>
      </c>
      <c r="O147">
        <v>7.3</v>
      </c>
      <c r="P147">
        <v>2</v>
      </c>
      <c r="Q147">
        <v>1.2</v>
      </c>
      <c r="R147">
        <v>3</v>
      </c>
      <c r="S147">
        <v>3</v>
      </c>
      <c r="T147">
        <v>3</v>
      </c>
      <c r="U147" t="s">
        <v>30</v>
      </c>
      <c r="V147">
        <v>1</v>
      </c>
      <c r="W147">
        <v>1</v>
      </c>
    </row>
    <row r="148" spans="1:23" x14ac:dyDescent="0.35">
      <c r="A148" t="s">
        <v>265</v>
      </c>
      <c r="B148" s="6">
        <v>44688</v>
      </c>
      <c r="D148" t="s">
        <v>23</v>
      </c>
      <c r="E148">
        <v>34</v>
      </c>
      <c r="F148" t="s">
        <v>62</v>
      </c>
      <c r="G148" t="s">
        <v>25</v>
      </c>
      <c r="H148" t="s">
        <v>58</v>
      </c>
      <c r="I148" t="s">
        <v>27</v>
      </c>
      <c r="J148" t="s">
        <v>28</v>
      </c>
      <c r="K148">
        <v>3</v>
      </c>
      <c r="L148" t="s">
        <v>84</v>
      </c>
      <c r="M148">
        <v>76000</v>
      </c>
      <c r="N148">
        <v>7.2</v>
      </c>
      <c r="O148">
        <v>11.2</v>
      </c>
      <c r="P148">
        <v>3.7</v>
      </c>
      <c r="Q148">
        <v>0.7</v>
      </c>
      <c r="R148">
        <v>3</v>
      </c>
      <c r="S148">
        <v>4</v>
      </c>
      <c r="T148">
        <v>3</v>
      </c>
      <c r="U148" t="s">
        <v>23</v>
      </c>
      <c r="V148">
        <v>3</v>
      </c>
      <c r="W148">
        <v>1</v>
      </c>
    </row>
    <row r="149" spans="1:23" x14ac:dyDescent="0.35">
      <c r="A149" t="s">
        <v>520</v>
      </c>
      <c r="B149" s="6">
        <v>41813</v>
      </c>
      <c r="D149" t="s">
        <v>23</v>
      </c>
      <c r="E149">
        <v>39</v>
      </c>
      <c r="F149" t="s">
        <v>24</v>
      </c>
      <c r="G149" t="s">
        <v>37</v>
      </c>
      <c r="H149" t="s">
        <v>54</v>
      </c>
      <c r="I149" t="s">
        <v>68</v>
      </c>
      <c r="J149" t="s">
        <v>121</v>
      </c>
      <c r="K149">
        <v>1</v>
      </c>
      <c r="L149" t="s">
        <v>34</v>
      </c>
      <c r="M149">
        <v>26000</v>
      </c>
      <c r="N149">
        <v>9.3000000000000007</v>
      </c>
      <c r="O149">
        <v>13.9</v>
      </c>
      <c r="P149">
        <v>11.5</v>
      </c>
      <c r="Q149">
        <v>5</v>
      </c>
      <c r="R149">
        <v>2</v>
      </c>
      <c r="S149">
        <v>2</v>
      </c>
      <c r="T149">
        <v>4</v>
      </c>
      <c r="U149" t="s">
        <v>23</v>
      </c>
      <c r="V149">
        <v>4</v>
      </c>
      <c r="W149">
        <v>1</v>
      </c>
    </row>
    <row r="150" spans="1:23" x14ac:dyDescent="0.35">
      <c r="A150" t="s">
        <v>1203</v>
      </c>
      <c r="B150" s="6">
        <v>45873</v>
      </c>
      <c r="D150" t="s">
        <v>23</v>
      </c>
      <c r="E150">
        <v>36</v>
      </c>
      <c r="F150" t="s">
        <v>24</v>
      </c>
      <c r="G150" t="s">
        <v>37</v>
      </c>
      <c r="H150" t="s">
        <v>32</v>
      </c>
      <c r="I150" t="s">
        <v>48</v>
      </c>
      <c r="J150" t="s">
        <v>201</v>
      </c>
      <c r="K150">
        <v>1</v>
      </c>
      <c r="L150" t="s">
        <v>29</v>
      </c>
      <c r="M150">
        <v>38000</v>
      </c>
      <c r="N150">
        <v>13.2</v>
      </c>
      <c r="O150">
        <v>6.7</v>
      </c>
      <c r="P150">
        <v>0.4</v>
      </c>
      <c r="Q150">
        <v>0</v>
      </c>
      <c r="R150">
        <v>3</v>
      </c>
      <c r="S150">
        <v>4</v>
      </c>
      <c r="T150">
        <v>2</v>
      </c>
      <c r="U150" t="s">
        <v>30</v>
      </c>
      <c r="V150">
        <v>4</v>
      </c>
      <c r="W150">
        <v>1</v>
      </c>
    </row>
    <row r="151" spans="1:23" x14ac:dyDescent="0.35">
      <c r="A151" t="s">
        <v>1065</v>
      </c>
      <c r="B151" s="6">
        <v>42301</v>
      </c>
      <c r="D151" t="s">
        <v>23</v>
      </c>
      <c r="E151">
        <v>31</v>
      </c>
      <c r="F151" t="s">
        <v>24</v>
      </c>
      <c r="G151" t="s">
        <v>25</v>
      </c>
      <c r="H151" t="s">
        <v>54</v>
      </c>
      <c r="I151" t="s">
        <v>27</v>
      </c>
      <c r="J151" t="s">
        <v>33</v>
      </c>
      <c r="K151">
        <v>2</v>
      </c>
      <c r="L151" t="s">
        <v>50</v>
      </c>
      <c r="M151">
        <v>42000</v>
      </c>
      <c r="N151">
        <v>7.2</v>
      </c>
      <c r="O151">
        <v>15.5</v>
      </c>
      <c r="P151">
        <v>10.199999999999999</v>
      </c>
      <c r="Q151">
        <v>1.1000000000000001</v>
      </c>
      <c r="R151">
        <v>3</v>
      </c>
      <c r="S151">
        <v>4</v>
      </c>
      <c r="T151">
        <v>1</v>
      </c>
      <c r="U151" t="s">
        <v>23</v>
      </c>
      <c r="V151">
        <v>3</v>
      </c>
      <c r="W151">
        <v>1</v>
      </c>
    </row>
    <row r="152" spans="1:23" x14ac:dyDescent="0.35">
      <c r="A152" t="s">
        <v>1307</v>
      </c>
      <c r="B152" s="6">
        <v>43491</v>
      </c>
      <c r="D152" t="s">
        <v>23</v>
      </c>
      <c r="E152">
        <v>38</v>
      </c>
      <c r="F152" t="s">
        <v>62</v>
      </c>
      <c r="G152" t="s">
        <v>42</v>
      </c>
      <c r="H152" t="s">
        <v>26</v>
      </c>
      <c r="I152" t="s">
        <v>68</v>
      </c>
      <c r="J152" t="s">
        <v>109</v>
      </c>
      <c r="K152">
        <v>3</v>
      </c>
      <c r="L152" t="s">
        <v>50</v>
      </c>
      <c r="M152">
        <v>69000</v>
      </c>
      <c r="N152">
        <v>12.5</v>
      </c>
      <c r="O152">
        <v>10</v>
      </c>
      <c r="P152">
        <v>6.9</v>
      </c>
      <c r="Q152">
        <v>4.4000000000000004</v>
      </c>
      <c r="R152">
        <v>3</v>
      </c>
      <c r="S152">
        <v>4</v>
      </c>
      <c r="T152">
        <v>3</v>
      </c>
      <c r="U152" t="s">
        <v>23</v>
      </c>
      <c r="V152">
        <v>2</v>
      </c>
      <c r="W152">
        <v>1</v>
      </c>
    </row>
    <row r="153" spans="1:23" x14ac:dyDescent="0.35">
      <c r="A153" t="s">
        <v>993</v>
      </c>
      <c r="B153" s="6">
        <v>44457</v>
      </c>
      <c r="D153" t="s">
        <v>23</v>
      </c>
      <c r="E153">
        <v>36</v>
      </c>
      <c r="F153" t="s">
        <v>36</v>
      </c>
      <c r="G153" t="s">
        <v>25</v>
      </c>
      <c r="H153" t="s">
        <v>54</v>
      </c>
      <c r="I153" t="s">
        <v>48</v>
      </c>
      <c r="J153" t="s">
        <v>49</v>
      </c>
      <c r="K153">
        <v>4</v>
      </c>
      <c r="L153" t="s">
        <v>34</v>
      </c>
      <c r="M153">
        <v>132000</v>
      </c>
      <c r="N153">
        <v>5.9</v>
      </c>
      <c r="O153">
        <v>10.5</v>
      </c>
      <c r="P153">
        <v>4.3</v>
      </c>
      <c r="Q153">
        <v>0.1</v>
      </c>
      <c r="R153">
        <v>4</v>
      </c>
      <c r="S153">
        <v>3</v>
      </c>
      <c r="T153">
        <v>4</v>
      </c>
      <c r="U153" t="s">
        <v>23</v>
      </c>
      <c r="V153">
        <v>3</v>
      </c>
      <c r="W153">
        <v>1</v>
      </c>
    </row>
    <row r="154" spans="1:23" x14ac:dyDescent="0.35">
      <c r="A154" t="s">
        <v>277</v>
      </c>
      <c r="B154" s="6">
        <v>45891</v>
      </c>
      <c r="D154" t="s">
        <v>23</v>
      </c>
      <c r="E154">
        <v>21</v>
      </c>
      <c r="F154" t="s">
        <v>36</v>
      </c>
      <c r="G154" t="s">
        <v>42</v>
      </c>
      <c r="H154" t="s">
        <v>26</v>
      </c>
      <c r="I154" t="s">
        <v>55</v>
      </c>
      <c r="J154" t="s">
        <v>80</v>
      </c>
      <c r="K154">
        <v>1</v>
      </c>
      <c r="L154" t="s">
        <v>50</v>
      </c>
      <c r="M154">
        <v>53000</v>
      </c>
      <c r="N154">
        <v>11.6</v>
      </c>
      <c r="O154">
        <v>1</v>
      </c>
      <c r="P154">
        <v>0.4</v>
      </c>
      <c r="Q154">
        <v>0</v>
      </c>
      <c r="R154">
        <v>4</v>
      </c>
      <c r="S154">
        <v>3</v>
      </c>
      <c r="T154">
        <v>3</v>
      </c>
      <c r="U154" t="s">
        <v>23</v>
      </c>
      <c r="V154">
        <v>4</v>
      </c>
      <c r="W154">
        <v>1</v>
      </c>
    </row>
    <row r="155" spans="1:23" x14ac:dyDescent="0.35">
      <c r="A155" t="s">
        <v>337</v>
      </c>
      <c r="B155" s="6">
        <v>42659</v>
      </c>
      <c r="D155" t="s">
        <v>23</v>
      </c>
      <c r="E155">
        <v>35</v>
      </c>
      <c r="F155" t="s">
        <v>62</v>
      </c>
      <c r="G155" t="s">
        <v>25</v>
      </c>
      <c r="H155" t="s">
        <v>58</v>
      </c>
      <c r="I155" t="s">
        <v>38</v>
      </c>
      <c r="J155" t="s">
        <v>39</v>
      </c>
      <c r="K155">
        <v>2</v>
      </c>
      <c r="L155" t="s">
        <v>34</v>
      </c>
      <c r="M155" t="s">
        <v>338</v>
      </c>
      <c r="N155">
        <v>18.8</v>
      </c>
      <c r="O155">
        <v>13.7</v>
      </c>
      <c r="P155">
        <v>9.1999999999999993</v>
      </c>
      <c r="Q155">
        <v>3.1</v>
      </c>
      <c r="R155">
        <v>2</v>
      </c>
      <c r="S155">
        <v>2</v>
      </c>
      <c r="T155">
        <v>2</v>
      </c>
      <c r="U155" t="s">
        <v>30</v>
      </c>
      <c r="V155">
        <v>4</v>
      </c>
      <c r="W155">
        <v>1</v>
      </c>
    </row>
    <row r="156" spans="1:23" x14ac:dyDescent="0.35">
      <c r="A156" t="s">
        <v>434</v>
      </c>
      <c r="B156" s="6">
        <v>42583</v>
      </c>
      <c r="D156" t="s">
        <v>23</v>
      </c>
      <c r="E156">
        <v>34</v>
      </c>
      <c r="F156" t="s">
        <v>36</v>
      </c>
      <c r="G156" t="s">
        <v>42</v>
      </c>
      <c r="H156" t="s">
        <v>32</v>
      </c>
      <c r="I156" t="s">
        <v>38</v>
      </c>
      <c r="J156" t="s">
        <v>39</v>
      </c>
      <c r="K156">
        <v>2</v>
      </c>
      <c r="L156" t="s">
        <v>50</v>
      </c>
      <c r="M156">
        <v>66000</v>
      </c>
      <c r="N156">
        <v>10.9</v>
      </c>
      <c r="O156">
        <v>11.4</v>
      </c>
      <c r="P156">
        <v>9.4</v>
      </c>
      <c r="Q156">
        <v>3.1</v>
      </c>
      <c r="R156">
        <v>3</v>
      </c>
      <c r="S156">
        <v>3</v>
      </c>
      <c r="T156">
        <v>2</v>
      </c>
      <c r="U156" t="s">
        <v>23</v>
      </c>
      <c r="V156">
        <v>3</v>
      </c>
      <c r="W156">
        <v>1</v>
      </c>
    </row>
    <row r="157" spans="1:23" x14ac:dyDescent="0.35">
      <c r="A157" t="s">
        <v>941</v>
      </c>
      <c r="B157" s="6">
        <v>45238</v>
      </c>
      <c r="D157" t="s">
        <v>23</v>
      </c>
      <c r="E157">
        <v>27</v>
      </c>
      <c r="F157" t="s">
        <v>24</v>
      </c>
      <c r="G157" t="s">
        <v>42</v>
      </c>
      <c r="H157" t="s">
        <v>26</v>
      </c>
      <c r="I157" t="s">
        <v>55</v>
      </c>
      <c r="J157" t="s">
        <v>80</v>
      </c>
      <c r="K157">
        <v>1</v>
      </c>
      <c r="L157" t="s">
        <v>34</v>
      </c>
      <c r="M157">
        <v>43000</v>
      </c>
      <c r="N157">
        <v>16.5</v>
      </c>
      <c r="O157">
        <v>9.6999999999999993</v>
      </c>
      <c r="P157">
        <v>2.1</v>
      </c>
      <c r="Q157">
        <v>1.5</v>
      </c>
      <c r="R157">
        <v>4</v>
      </c>
      <c r="S157">
        <v>3</v>
      </c>
      <c r="T157">
        <v>3</v>
      </c>
      <c r="U157" t="s">
        <v>23</v>
      </c>
      <c r="V157">
        <v>3</v>
      </c>
      <c r="W157">
        <v>1</v>
      </c>
    </row>
    <row r="158" spans="1:23" x14ac:dyDescent="0.35">
      <c r="A158" t="s">
        <v>180</v>
      </c>
      <c r="B158" s="6">
        <v>44505</v>
      </c>
      <c r="D158" t="s">
        <v>23</v>
      </c>
      <c r="E158">
        <v>44</v>
      </c>
      <c r="F158" t="s">
        <v>36</v>
      </c>
      <c r="G158" t="s">
        <v>37</v>
      </c>
      <c r="H158" t="s">
        <v>54</v>
      </c>
      <c r="I158" t="s">
        <v>68</v>
      </c>
      <c r="J158" t="s">
        <v>121</v>
      </c>
      <c r="K158">
        <v>4</v>
      </c>
      <c r="L158" t="s">
        <v>84</v>
      </c>
      <c r="M158">
        <v>106000</v>
      </c>
      <c r="N158">
        <v>5</v>
      </c>
      <c r="O158">
        <v>11.9</v>
      </c>
      <c r="P158">
        <v>4.2</v>
      </c>
      <c r="Q158">
        <v>0.6</v>
      </c>
      <c r="R158">
        <v>4</v>
      </c>
      <c r="S158">
        <v>3</v>
      </c>
      <c r="T158">
        <v>4</v>
      </c>
      <c r="U158" t="s">
        <v>23</v>
      </c>
      <c r="V158">
        <v>3</v>
      </c>
      <c r="W158">
        <v>1</v>
      </c>
    </row>
    <row r="159" spans="1:23" x14ac:dyDescent="0.35">
      <c r="A159" t="s">
        <v>1457</v>
      </c>
      <c r="B159" s="6">
        <v>42571</v>
      </c>
      <c r="D159" t="s">
        <v>23</v>
      </c>
      <c r="E159">
        <v>33</v>
      </c>
      <c r="F159" t="s">
        <v>62</v>
      </c>
      <c r="G159" t="s">
        <v>37</v>
      </c>
      <c r="H159" t="s">
        <v>54</v>
      </c>
      <c r="I159" t="s">
        <v>68</v>
      </c>
      <c r="J159" t="s">
        <v>121</v>
      </c>
      <c r="K159">
        <v>5</v>
      </c>
      <c r="L159" t="s">
        <v>29</v>
      </c>
      <c r="M159">
        <v>163000</v>
      </c>
      <c r="N159">
        <v>2.2000000000000002</v>
      </c>
      <c r="O159">
        <v>12.4</v>
      </c>
      <c r="P159">
        <v>9.4</v>
      </c>
      <c r="Q159">
        <v>5.6</v>
      </c>
      <c r="R159">
        <v>3</v>
      </c>
      <c r="S159">
        <v>2</v>
      </c>
      <c r="T159">
        <v>4</v>
      </c>
      <c r="U159" t="s">
        <v>23</v>
      </c>
      <c r="V159">
        <v>3</v>
      </c>
      <c r="W159">
        <v>1</v>
      </c>
    </row>
    <row r="160" spans="1:23" x14ac:dyDescent="0.35">
      <c r="A160" t="s">
        <v>286</v>
      </c>
      <c r="B160" s="6">
        <v>42361</v>
      </c>
      <c r="D160" t="s">
        <v>23</v>
      </c>
      <c r="E160">
        <v>32</v>
      </c>
      <c r="F160" t="s">
        <v>36</v>
      </c>
      <c r="G160" t="s">
        <v>42</v>
      </c>
      <c r="H160" t="s">
        <v>26</v>
      </c>
      <c r="I160" t="s">
        <v>55</v>
      </c>
      <c r="J160" t="s">
        <v>80</v>
      </c>
      <c r="K160">
        <v>3</v>
      </c>
      <c r="L160" t="s">
        <v>34</v>
      </c>
      <c r="M160">
        <v>86000</v>
      </c>
      <c r="N160">
        <v>5</v>
      </c>
      <c r="O160">
        <v>15.4</v>
      </c>
      <c r="P160">
        <v>10</v>
      </c>
      <c r="Q160">
        <v>0.8</v>
      </c>
      <c r="R160">
        <v>4</v>
      </c>
      <c r="S160">
        <v>3</v>
      </c>
      <c r="T160">
        <v>2</v>
      </c>
      <c r="U160" t="s">
        <v>30</v>
      </c>
      <c r="V160">
        <v>2</v>
      </c>
      <c r="W160">
        <v>1</v>
      </c>
    </row>
    <row r="161" spans="1:23" x14ac:dyDescent="0.35">
      <c r="A161" t="s">
        <v>1474</v>
      </c>
      <c r="B161" s="6">
        <v>43629</v>
      </c>
      <c r="D161" t="s">
        <v>23</v>
      </c>
      <c r="E161">
        <v>39</v>
      </c>
      <c r="F161" t="s">
        <v>24</v>
      </c>
      <c r="G161" t="s">
        <v>37</v>
      </c>
      <c r="H161" t="s">
        <v>32</v>
      </c>
      <c r="I161" t="s">
        <v>27</v>
      </c>
      <c r="J161" t="s">
        <v>33</v>
      </c>
      <c r="K161">
        <v>3</v>
      </c>
      <c r="L161" t="s">
        <v>29</v>
      </c>
      <c r="M161">
        <v>74000</v>
      </c>
      <c r="N161">
        <v>3.8</v>
      </c>
      <c r="O161">
        <v>6.8</v>
      </c>
      <c r="P161">
        <v>6.6</v>
      </c>
      <c r="Q161">
        <v>5.8</v>
      </c>
      <c r="R161">
        <v>4</v>
      </c>
      <c r="S161">
        <v>3</v>
      </c>
      <c r="T161">
        <v>4</v>
      </c>
      <c r="U161" t="s">
        <v>23</v>
      </c>
      <c r="V161">
        <v>4</v>
      </c>
      <c r="W161">
        <v>1</v>
      </c>
    </row>
    <row r="162" spans="1:23" x14ac:dyDescent="0.35">
      <c r="A162" t="s">
        <v>235</v>
      </c>
      <c r="B162" s="6">
        <v>43518</v>
      </c>
      <c r="D162" t="s">
        <v>23</v>
      </c>
      <c r="E162">
        <v>31</v>
      </c>
      <c r="F162" t="s">
        <v>24</v>
      </c>
      <c r="G162" t="s">
        <v>25</v>
      </c>
      <c r="H162" t="s">
        <v>32</v>
      </c>
      <c r="I162" t="s">
        <v>45</v>
      </c>
      <c r="J162" t="s">
        <v>77</v>
      </c>
      <c r="K162">
        <v>2</v>
      </c>
      <c r="L162" t="s">
        <v>34</v>
      </c>
      <c r="M162">
        <v>65000</v>
      </c>
      <c r="N162">
        <v>8</v>
      </c>
      <c r="O162">
        <v>14.6</v>
      </c>
      <c r="P162">
        <v>6.9</v>
      </c>
      <c r="Q162">
        <v>2</v>
      </c>
      <c r="R162">
        <v>3</v>
      </c>
      <c r="S162">
        <v>4</v>
      </c>
      <c r="T162">
        <v>2</v>
      </c>
      <c r="U162" t="s">
        <v>23</v>
      </c>
      <c r="V162">
        <v>2</v>
      </c>
      <c r="W162">
        <v>1</v>
      </c>
    </row>
    <row r="163" spans="1:23" x14ac:dyDescent="0.35">
      <c r="A163" t="s">
        <v>820</v>
      </c>
      <c r="B163" s="6">
        <v>43257</v>
      </c>
      <c r="D163" t="s">
        <v>23</v>
      </c>
      <c r="E163">
        <v>31</v>
      </c>
      <c r="F163" t="s">
        <v>62</v>
      </c>
      <c r="G163" t="s">
        <v>37</v>
      </c>
      <c r="H163" t="s">
        <v>58</v>
      </c>
      <c r="I163" t="s">
        <v>68</v>
      </c>
      <c r="J163" t="s">
        <v>121</v>
      </c>
      <c r="K163">
        <v>3</v>
      </c>
      <c r="L163" t="s">
        <v>84</v>
      </c>
      <c r="M163">
        <v>74000</v>
      </c>
      <c r="N163">
        <v>0</v>
      </c>
      <c r="O163">
        <v>11.4</v>
      </c>
      <c r="P163">
        <v>7.6</v>
      </c>
      <c r="Q163">
        <v>1.8</v>
      </c>
      <c r="R163">
        <v>2</v>
      </c>
      <c r="S163">
        <v>4</v>
      </c>
      <c r="T163">
        <v>2</v>
      </c>
      <c r="U163" t="s">
        <v>23</v>
      </c>
      <c r="V163">
        <v>4</v>
      </c>
      <c r="W163">
        <v>1</v>
      </c>
    </row>
    <row r="164" spans="1:23" x14ac:dyDescent="0.35">
      <c r="A164" t="s">
        <v>571</v>
      </c>
      <c r="B164" s="6">
        <v>43876</v>
      </c>
      <c r="D164" t="s">
        <v>23</v>
      </c>
      <c r="E164">
        <v>31</v>
      </c>
      <c r="F164" t="s">
        <v>36</v>
      </c>
      <c r="G164" t="s">
        <v>25</v>
      </c>
      <c r="H164" t="s">
        <v>26</v>
      </c>
      <c r="I164" t="s">
        <v>68</v>
      </c>
      <c r="J164" t="s">
        <v>121</v>
      </c>
      <c r="K164">
        <v>3</v>
      </c>
      <c r="L164" t="s">
        <v>29</v>
      </c>
      <c r="M164">
        <v>83000</v>
      </c>
      <c r="N164">
        <v>16.399999999999999</v>
      </c>
      <c r="O164">
        <v>9.5</v>
      </c>
      <c r="P164">
        <v>5.9</v>
      </c>
      <c r="Q164">
        <v>0.4</v>
      </c>
      <c r="R164">
        <v>2</v>
      </c>
      <c r="S164">
        <v>1</v>
      </c>
      <c r="T164">
        <v>3</v>
      </c>
      <c r="U164" t="s">
        <v>23</v>
      </c>
      <c r="V164">
        <v>1</v>
      </c>
      <c r="W164">
        <v>1</v>
      </c>
    </row>
    <row r="165" spans="1:23" x14ac:dyDescent="0.35">
      <c r="A165" t="s">
        <v>1057</v>
      </c>
      <c r="B165" s="6">
        <v>43019</v>
      </c>
      <c r="D165" t="s">
        <v>23</v>
      </c>
      <c r="E165">
        <v>31</v>
      </c>
      <c r="F165" t="s">
        <v>62</v>
      </c>
      <c r="G165" t="s">
        <v>42</v>
      </c>
      <c r="H165" t="s">
        <v>54</v>
      </c>
      <c r="I165" t="s">
        <v>59</v>
      </c>
      <c r="J165" t="s">
        <v>86</v>
      </c>
      <c r="K165">
        <v>4</v>
      </c>
      <c r="L165" t="s">
        <v>50</v>
      </c>
      <c r="M165">
        <v>98000</v>
      </c>
      <c r="N165">
        <v>19.3</v>
      </c>
      <c r="O165">
        <v>11.6</v>
      </c>
      <c r="P165">
        <v>8.1999999999999993</v>
      </c>
      <c r="Q165">
        <v>2.8</v>
      </c>
      <c r="R165">
        <v>3</v>
      </c>
      <c r="S165">
        <v>4</v>
      </c>
      <c r="T165">
        <v>3</v>
      </c>
      <c r="U165" t="s">
        <v>23</v>
      </c>
      <c r="V165">
        <v>3</v>
      </c>
      <c r="W165">
        <v>1</v>
      </c>
    </row>
    <row r="166" spans="1:23" x14ac:dyDescent="0.35">
      <c r="A166" t="s">
        <v>873</v>
      </c>
      <c r="B166" s="6">
        <v>44077</v>
      </c>
      <c r="D166" t="s">
        <v>23</v>
      </c>
      <c r="E166">
        <v>33</v>
      </c>
      <c r="F166" t="s">
        <v>36</v>
      </c>
      <c r="G166" t="s">
        <v>42</v>
      </c>
      <c r="H166" t="s">
        <v>32</v>
      </c>
      <c r="I166" t="s">
        <v>45</v>
      </c>
      <c r="J166" t="s">
        <v>97</v>
      </c>
      <c r="K166">
        <v>2</v>
      </c>
      <c r="L166" t="s">
        <v>34</v>
      </c>
      <c r="M166">
        <v>49000</v>
      </c>
      <c r="N166">
        <v>9.8000000000000007</v>
      </c>
      <c r="O166">
        <v>11</v>
      </c>
      <c r="P166">
        <v>5.3</v>
      </c>
      <c r="Q166">
        <v>4.2</v>
      </c>
      <c r="R166">
        <v>2</v>
      </c>
      <c r="S166">
        <v>3</v>
      </c>
      <c r="T166">
        <v>4</v>
      </c>
      <c r="U166" t="s">
        <v>30</v>
      </c>
      <c r="V166">
        <v>4</v>
      </c>
      <c r="W166">
        <v>1</v>
      </c>
    </row>
    <row r="167" spans="1:23" x14ac:dyDescent="0.35">
      <c r="A167" t="s">
        <v>1502</v>
      </c>
      <c r="B167" s="6">
        <v>44358</v>
      </c>
      <c r="D167" t="s">
        <v>23</v>
      </c>
      <c r="E167">
        <v>29</v>
      </c>
      <c r="F167" t="s">
        <v>62</v>
      </c>
      <c r="G167" t="s">
        <v>25</v>
      </c>
      <c r="H167" t="s">
        <v>58</v>
      </c>
      <c r="I167" t="s">
        <v>38</v>
      </c>
      <c r="J167" t="s">
        <v>39</v>
      </c>
      <c r="K167">
        <v>3</v>
      </c>
      <c r="L167" t="s">
        <v>66</v>
      </c>
      <c r="M167">
        <v>81000</v>
      </c>
      <c r="N167">
        <v>8.9</v>
      </c>
      <c r="O167">
        <v>7.7</v>
      </c>
      <c r="P167">
        <v>4.5999999999999996</v>
      </c>
      <c r="Q167">
        <v>0.5</v>
      </c>
      <c r="R167">
        <v>3</v>
      </c>
      <c r="S167">
        <v>3</v>
      </c>
      <c r="T167">
        <v>3</v>
      </c>
      <c r="U167" t="s">
        <v>23</v>
      </c>
      <c r="V167">
        <v>3</v>
      </c>
      <c r="W167">
        <v>1</v>
      </c>
    </row>
    <row r="168" spans="1:23" x14ac:dyDescent="0.35">
      <c r="A168" t="s">
        <v>957</v>
      </c>
      <c r="B168" s="6">
        <v>45032</v>
      </c>
      <c r="D168" t="s">
        <v>23</v>
      </c>
      <c r="E168">
        <v>28</v>
      </c>
      <c r="F168" t="s">
        <v>36</v>
      </c>
      <c r="G168" t="s">
        <v>25</v>
      </c>
      <c r="H168" t="s">
        <v>32</v>
      </c>
      <c r="I168" t="s">
        <v>27</v>
      </c>
      <c r="J168" t="s">
        <v>43</v>
      </c>
      <c r="K168">
        <v>3</v>
      </c>
      <c r="L168" t="s">
        <v>66</v>
      </c>
      <c r="M168">
        <v>75000</v>
      </c>
      <c r="N168">
        <v>8</v>
      </c>
      <c r="O168">
        <v>3.8</v>
      </c>
      <c r="P168">
        <v>2.7</v>
      </c>
      <c r="Q168">
        <v>1</v>
      </c>
      <c r="R168">
        <v>2</v>
      </c>
      <c r="S168">
        <v>3</v>
      </c>
      <c r="T168">
        <v>3</v>
      </c>
      <c r="U168" t="s">
        <v>30</v>
      </c>
      <c r="V168">
        <v>3</v>
      </c>
      <c r="W168">
        <v>1</v>
      </c>
    </row>
    <row r="169" spans="1:23" x14ac:dyDescent="0.35">
      <c r="A169" t="s">
        <v>444</v>
      </c>
      <c r="B169" s="6">
        <v>45839</v>
      </c>
      <c r="D169" t="s">
        <v>23</v>
      </c>
      <c r="E169">
        <v>21</v>
      </c>
      <c r="F169" t="s">
        <v>62</v>
      </c>
      <c r="G169" t="s">
        <v>25</v>
      </c>
      <c r="H169" t="s">
        <v>54</v>
      </c>
      <c r="I169" t="s">
        <v>55</v>
      </c>
      <c r="J169" t="s">
        <v>80</v>
      </c>
      <c r="K169">
        <v>1</v>
      </c>
      <c r="L169" t="s">
        <v>34</v>
      </c>
      <c r="M169">
        <v>49000</v>
      </c>
      <c r="N169">
        <v>14</v>
      </c>
      <c r="O169">
        <v>7.4</v>
      </c>
      <c r="P169">
        <v>0.5</v>
      </c>
      <c r="Q169">
        <v>0</v>
      </c>
      <c r="R169">
        <v>4</v>
      </c>
      <c r="S169">
        <v>3</v>
      </c>
      <c r="T169">
        <v>2</v>
      </c>
      <c r="U169" t="s">
        <v>30</v>
      </c>
      <c r="V169">
        <v>3</v>
      </c>
      <c r="W169">
        <v>1</v>
      </c>
    </row>
    <row r="170" spans="1:23" x14ac:dyDescent="0.35">
      <c r="A170" t="s">
        <v>1069</v>
      </c>
      <c r="B170" s="6">
        <v>42630</v>
      </c>
      <c r="C170">
        <v>45770</v>
      </c>
      <c r="D170" t="s">
        <v>30</v>
      </c>
      <c r="E170">
        <v>31</v>
      </c>
      <c r="F170" t="s">
        <v>62</v>
      </c>
      <c r="G170" t="s">
        <v>42</v>
      </c>
      <c r="H170" t="s">
        <v>26</v>
      </c>
      <c r="I170" t="s">
        <v>45</v>
      </c>
      <c r="J170" t="s">
        <v>46</v>
      </c>
      <c r="K170">
        <v>2</v>
      </c>
      <c r="L170" t="s">
        <v>66</v>
      </c>
      <c r="M170">
        <v>46000</v>
      </c>
      <c r="N170">
        <v>3.4</v>
      </c>
      <c r="O170">
        <v>10.9</v>
      </c>
      <c r="P170">
        <v>8.6</v>
      </c>
      <c r="Q170">
        <v>1.6</v>
      </c>
      <c r="R170">
        <v>2</v>
      </c>
      <c r="S170">
        <v>3</v>
      </c>
      <c r="T170">
        <v>2</v>
      </c>
      <c r="U170" t="s">
        <v>23</v>
      </c>
      <c r="V170">
        <v>3</v>
      </c>
      <c r="W170">
        <v>1</v>
      </c>
    </row>
    <row r="171" spans="1:23" x14ac:dyDescent="0.35">
      <c r="A171" t="s">
        <v>1554</v>
      </c>
      <c r="B171" s="6">
        <v>44582</v>
      </c>
      <c r="D171" t="s">
        <v>23</v>
      </c>
      <c r="E171">
        <v>25</v>
      </c>
      <c r="F171" t="s">
        <v>62</v>
      </c>
      <c r="G171" t="s">
        <v>37</v>
      </c>
      <c r="H171" t="s">
        <v>58</v>
      </c>
      <c r="I171" t="s">
        <v>38</v>
      </c>
      <c r="J171" t="s">
        <v>39</v>
      </c>
      <c r="K171">
        <v>1</v>
      </c>
      <c r="L171" t="s">
        <v>50</v>
      </c>
      <c r="M171">
        <v>54000</v>
      </c>
      <c r="N171">
        <v>12.7</v>
      </c>
      <c r="O171">
        <v>4.3</v>
      </c>
      <c r="P171">
        <v>3.9</v>
      </c>
      <c r="Q171">
        <v>2.8</v>
      </c>
      <c r="R171">
        <v>3</v>
      </c>
      <c r="S171">
        <v>3</v>
      </c>
      <c r="T171">
        <v>4</v>
      </c>
      <c r="U171" t="s">
        <v>23</v>
      </c>
      <c r="V171">
        <v>2</v>
      </c>
      <c r="W171">
        <v>1</v>
      </c>
    </row>
    <row r="172" spans="1:23" x14ac:dyDescent="0.35">
      <c r="A172" t="s">
        <v>1350</v>
      </c>
      <c r="B172" s="6">
        <v>42423</v>
      </c>
      <c r="D172" t="s">
        <v>23</v>
      </c>
      <c r="E172">
        <v>38</v>
      </c>
      <c r="F172" t="s">
        <v>62</v>
      </c>
      <c r="G172" t="s">
        <v>42</v>
      </c>
      <c r="H172" t="s">
        <v>32</v>
      </c>
      <c r="I172" t="s">
        <v>48</v>
      </c>
      <c r="J172" t="s">
        <v>129</v>
      </c>
      <c r="K172">
        <v>2</v>
      </c>
      <c r="L172" t="s">
        <v>66</v>
      </c>
      <c r="M172">
        <v>45000</v>
      </c>
      <c r="N172">
        <v>6.9</v>
      </c>
      <c r="O172">
        <v>11.7</v>
      </c>
      <c r="P172">
        <v>9.9</v>
      </c>
      <c r="Q172">
        <v>4.9000000000000004</v>
      </c>
      <c r="R172">
        <v>4</v>
      </c>
      <c r="S172">
        <v>3</v>
      </c>
      <c r="T172">
        <v>3</v>
      </c>
      <c r="U172" t="s">
        <v>23</v>
      </c>
      <c r="V172">
        <v>4</v>
      </c>
      <c r="W172">
        <v>1</v>
      </c>
    </row>
    <row r="173" spans="1:23" x14ac:dyDescent="0.35">
      <c r="A173" t="s">
        <v>499</v>
      </c>
      <c r="B173" s="6">
        <v>44814</v>
      </c>
      <c r="D173" t="s">
        <v>23</v>
      </c>
      <c r="E173">
        <v>24</v>
      </c>
      <c r="F173" t="s">
        <v>62</v>
      </c>
      <c r="G173" t="s">
        <v>25</v>
      </c>
      <c r="H173" t="s">
        <v>26</v>
      </c>
      <c r="I173" t="s">
        <v>55</v>
      </c>
      <c r="J173" t="s">
        <v>179</v>
      </c>
      <c r="K173">
        <v>1</v>
      </c>
      <c r="L173" t="s">
        <v>40</v>
      </c>
      <c r="M173">
        <v>46000</v>
      </c>
      <c r="N173">
        <v>8</v>
      </c>
      <c r="O173">
        <v>8.1</v>
      </c>
      <c r="P173">
        <v>3.3</v>
      </c>
      <c r="Q173">
        <v>0.6</v>
      </c>
      <c r="R173">
        <v>3</v>
      </c>
      <c r="S173">
        <v>4</v>
      </c>
      <c r="T173">
        <v>3</v>
      </c>
      <c r="U173" t="s">
        <v>23</v>
      </c>
      <c r="V173">
        <v>4</v>
      </c>
      <c r="W173">
        <v>1</v>
      </c>
    </row>
    <row r="174" spans="1:23" x14ac:dyDescent="0.35">
      <c r="A174" t="s">
        <v>189</v>
      </c>
      <c r="B174" s="6">
        <v>41672</v>
      </c>
      <c r="D174" t="s">
        <v>23</v>
      </c>
      <c r="E174">
        <v>38</v>
      </c>
      <c r="F174" t="s">
        <v>36</v>
      </c>
      <c r="G174" t="s">
        <v>37</v>
      </c>
      <c r="H174" t="s">
        <v>58</v>
      </c>
      <c r="I174" t="s">
        <v>59</v>
      </c>
      <c r="J174" t="s">
        <v>60</v>
      </c>
      <c r="K174">
        <v>4</v>
      </c>
      <c r="L174" t="s">
        <v>29</v>
      </c>
      <c r="M174">
        <v>112000</v>
      </c>
      <c r="N174">
        <v>7.6</v>
      </c>
      <c r="O174">
        <v>13.9</v>
      </c>
      <c r="P174">
        <v>11.9</v>
      </c>
      <c r="Q174">
        <v>4.3</v>
      </c>
      <c r="R174">
        <v>2</v>
      </c>
      <c r="S174">
        <v>4</v>
      </c>
      <c r="T174">
        <v>4</v>
      </c>
      <c r="U174" t="s">
        <v>23</v>
      </c>
      <c r="V174">
        <v>4</v>
      </c>
      <c r="W174">
        <v>1</v>
      </c>
    </row>
    <row r="175" spans="1:23" x14ac:dyDescent="0.35">
      <c r="A175" t="s">
        <v>1189</v>
      </c>
      <c r="B175" s="6">
        <v>45137</v>
      </c>
      <c r="C175">
        <v>45921</v>
      </c>
      <c r="D175" t="s">
        <v>30</v>
      </c>
      <c r="E175">
        <v>25</v>
      </c>
      <c r="F175" t="s">
        <v>62</v>
      </c>
      <c r="G175" t="s">
        <v>37</v>
      </c>
      <c r="H175" t="s">
        <v>26</v>
      </c>
      <c r="I175" t="s">
        <v>48</v>
      </c>
      <c r="J175" t="s">
        <v>201</v>
      </c>
      <c r="K175">
        <v>1</v>
      </c>
      <c r="L175" t="s">
        <v>29</v>
      </c>
      <c r="M175">
        <v>41000</v>
      </c>
      <c r="N175">
        <v>11.4</v>
      </c>
      <c r="O175">
        <v>8.1</v>
      </c>
      <c r="P175">
        <v>2.1</v>
      </c>
      <c r="Q175">
        <v>1.5</v>
      </c>
      <c r="R175">
        <v>4</v>
      </c>
      <c r="S175">
        <v>4</v>
      </c>
      <c r="T175">
        <v>3</v>
      </c>
      <c r="U175" t="s">
        <v>23</v>
      </c>
      <c r="V175">
        <v>3</v>
      </c>
      <c r="W175">
        <v>1</v>
      </c>
    </row>
    <row r="176" spans="1:23" x14ac:dyDescent="0.35">
      <c r="A176" t="s">
        <v>857</v>
      </c>
      <c r="B176" s="6">
        <v>42513</v>
      </c>
      <c r="D176" t="s">
        <v>23</v>
      </c>
      <c r="E176">
        <v>35</v>
      </c>
      <c r="F176" t="s">
        <v>36</v>
      </c>
      <c r="G176" t="s">
        <v>42</v>
      </c>
      <c r="H176" t="s">
        <v>26</v>
      </c>
      <c r="I176" t="s">
        <v>48</v>
      </c>
      <c r="J176" t="s">
        <v>129</v>
      </c>
      <c r="K176">
        <v>4</v>
      </c>
      <c r="L176" t="s">
        <v>50</v>
      </c>
      <c r="M176">
        <v>104000</v>
      </c>
      <c r="N176">
        <v>12.7</v>
      </c>
      <c r="O176">
        <v>13.6</v>
      </c>
      <c r="P176">
        <v>9.6</v>
      </c>
      <c r="Q176">
        <v>1.9</v>
      </c>
      <c r="R176">
        <v>4</v>
      </c>
      <c r="S176">
        <v>3</v>
      </c>
      <c r="T176">
        <v>3</v>
      </c>
      <c r="U176" t="s">
        <v>23</v>
      </c>
      <c r="V176">
        <v>2</v>
      </c>
      <c r="W176">
        <v>1</v>
      </c>
    </row>
    <row r="177" spans="1:23" x14ac:dyDescent="0.35">
      <c r="A177" t="s">
        <v>1063</v>
      </c>
      <c r="B177" s="6">
        <v>42959</v>
      </c>
      <c r="D177" t="s">
        <v>23</v>
      </c>
      <c r="E177">
        <v>29</v>
      </c>
      <c r="F177" t="s">
        <v>36</v>
      </c>
      <c r="G177" t="s">
        <v>37</v>
      </c>
      <c r="H177" t="s">
        <v>58</v>
      </c>
      <c r="I177" t="s">
        <v>38</v>
      </c>
      <c r="J177" t="s">
        <v>52</v>
      </c>
      <c r="K177">
        <v>1</v>
      </c>
      <c r="L177" t="s">
        <v>84</v>
      </c>
      <c r="M177">
        <v>47000</v>
      </c>
      <c r="N177">
        <v>6.2</v>
      </c>
      <c r="O177">
        <v>11.8</v>
      </c>
      <c r="P177">
        <v>8.4</v>
      </c>
      <c r="Q177">
        <v>6</v>
      </c>
      <c r="R177">
        <v>3</v>
      </c>
      <c r="S177">
        <v>4</v>
      </c>
      <c r="T177">
        <v>4</v>
      </c>
      <c r="U177" t="s">
        <v>30</v>
      </c>
      <c r="V177">
        <v>3</v>
      </c>
      <c r="W177">
        <v>1</v>
      </c>
    </row>
    <row r="178" spans="1:23" x14ac:dyDescent="0.35">
      <c r="A178" t="s">
        <v>1580</v>
      </c>
      <c r="B178" s="6">
        <v>45500</v>
      </c>
      <c r="D178" t="s">
        <v>23</v>
      </c>
      <c r="E178">
        <v>22</v>
      </c>
      <c r="F178" t="s">
        <v>24</v>
      </c>
      <c r="G178" t="s">
        <v>42</v>
      </c>
      <c r="H178" t="s">
        <v>26</v>
      </c>
      <c r="I178" t="s">
        <v>38</v>
      </c>
      <c r="J178" t="s">
        <v>39</v>
      </c>
      <c r="K178">
        <v>1</v>
      </c>
      <c r="L178" t="s">
        <v>40</v>
      </c>
      <c r="M178">
        <v>43000</v>
      </c>
      <c r="N178">
        <v>3.9</v>
      </c>
      <c r="O178">
        <v>7.2</v>
      </c>
      <c r="P178">
        <v>1.4</v>
      </c>
      <c r="Q178">
        <v>1.1000000000000001</v>
      </c>
      <c r="R178">
        <v>1</v>
      </c>
      <c r="S178">
        <v>3</v>
      </c>
      <c r="T178">
        <v>2</v>
      </c>
      <c r="U178" t="s">
        <v>23</v>
      </c>
      <c r="V178">
        <v>2</v>
      </c>
      <c r="W178">
        <v>1</v>
      </c>
    </row>
    <row r="179" spans="1:23" x14ac:dyDescent="0.35">
      <c r="A179" t="s">
        <v>351</v>
      </c>
      <c r="B179" s="6">
        <v>45780</v>
      </c>
      <c r="D179" t="s">
        <v>23</v>
      </c>
      <c r="E179">
        <v>21</v>
      </c>
      <c r="F179" t="s">
        <v>24</v>
      </c>
      <c r="G179" t="s">
        <v>25</v>
      </c>
      <c r="H179" t="s">
        <v>26</v>
      </c>
      <c r="I179" t="s">
        <v>27</v>
      </c>
      <c r="J179" t="s">
        <v>95</v>
      </c>
      <c r="K179">
        <v>1</v>
      </c>
      <c r="L179" t="s">
        <v>50</v>
      </c>
      <c r="M179">
        <v>47000</v>
      </c>
      <c r="N179">
        <v>9.8000000000000007</v>
      </c>
      <c r="O179">
        <v>1.6</v>
      </c>
      <c r="P179">
        <v>0.7</v>
      </c>
      <c r="Q179">
        <v>0</v>
      </c>
      <c r="R179">
        <v>1</v>
      </c>
      <c r="S179">
        <v>3</v>
      </c>
      <c r="T179">
        <v>3</v>
      </c>
      <c r="U179" t="s">
        <v>23</v>
      </c>
      <c r="V179">
        <v>3</v>
      </c>
      <c r="W179">
        <v>1</v>
      </c>
    </row>
    <row r="180" spans="1:23" x14ac:dyDescent="0.35">
      <c r="A180" t="s">
        <v>1155</v>
      </c>
      <c r="B180" s="6">
        <v>45477</v>
      </c>
      <c r="C180">
        <v>46004</v>
      </c>
      <c r="D180" t="s">
        <v>30</v>
      </c>
      <c r="E180">
        <v>29</v>
      </c>
      <c r="F180" t="s">
        <v>62</v>
      </c>
      <c r="G180" t="s">
        <v>37</v>
      </c>
      <c r="H180" t="s">
        <v>32</v>
      </c>
      <c r="I180" t="s">
        <v>68</v>
      </c>
      <c r="J180" t="s">
        <v>69</v>
      </c>
      <c r="K180">
        <v>4</v>
      </c>
      <c r="L180" t="s">
        <v>34</v>
      </c>
      <c r="M180">
        <v>114000</v>
      </c>
      <c r="N180">
        <v>8.8000000000000007</v>
      </c>
      <c r="O180">
        <v>2.6</v>
      </c>
      <c r="P180">
        <v>1.4</v>
      </c>
      <c r="Q180">
        <v>0.7</v>
      </c>
      <c r="R180">
        <v>4</v>
      </c>
      <c r="S180">
        <v>1</v>
      </c>
      <c r="T180">
        <v>3</v>
      </c>
      <c r="U180" t="s">
        <v>23</v>
      </c>
      <c r="V180">
        <v>3</v>
      </c>
      <c r="W180">
        <v>1</v>
      </c>
    </row>
    <row r="181" spans="1:23" x14ac:dyDescent="0.35">
      <c r="A181" t="s">
        <v>1268</v>
      </c>
      <c r="B181" s="6">
        <v>45542</v>
      </c>
      <c r="D181" t="s">
        <v>23</v>
      </c>
      <c r="E181">
        <v>34</v>
      </c>
      <c r="F181" t="s">
        <v>24</v>
      </c>
      <c r="G181" t="s">
        <v>37</v>
      </c>
      <c r="H181" t="s">
        <v>58</v>
      </c>
      <c r="I181" t="s">
        <v>27</v>
      </c>
      <c r="J181" t="s">
        <v>33</v>
      </c>
      <c r="K181">
        <v>4</v>
      </c>
      <c r="L181" t="s">
        <v>29</v>
      </c>
      <c r="M181">
        <v>107000</v>
      </c>
      <c r="N181">
        <v>7.5</v>
      </c>
      <c r="O181">
        <v>4.4000000000000004</v>
      </c>
      <c r="P181">
        <v>1.3</v>
      </c>
      <c r="Q181">
        <v>1.3</v>
      </c>
      <c r="R181">
        <v>4</v>
      </c>
      <c r="S181">
        <v>3</v>
      </c>
      <c r="T181">
        <v>2</v>
      </c>
      <c r="U181" t="s">
        <v>30</v>
      </c>
      <c r="V181">
        <v>3</v>
      </c>
      <c r="W181">
        <v>1</v>
      </c>
    </row>
    <row r="182" spans="1:23" x14ac:dyDescent="0.35">
      <c r="A182" t="s">
        <v>751</v>
      </c>
      <c r="B182" s="6">
        <v>43319</v>
      </c>
      <c r="D182" t="s">
        <v>23</v>
      </c>
      <c r="E182">
        <v>35</v>
      </c>
      <c r="F182" t="s">
        <v>62</v>
      </c>
      <c r="G182" t="s">
        <v>25</v>
      </c>
      <c r="H182" t="s">
        <v>26</v>
      </c>
      <c r="I182" t="s">
        <v>752</v>
      </c>
      <c r="J182" t="s">
        <v>39</v>
      </c>
      <c r="K182">
        <v>2</v>
      </c>
      <c r="L182" t="s">
        <v>66</v>
      </c>
      <c r="M182">
        <v>44000</v>
      </c>
      <c r="N182">
        <v>3.6</v>
      </c>
      <c r="O182">
        <v>13.7</v>
      </c>
      <c r="P182">
        <v>7.4</v>
      </c>
      <c r="Q182">
        <v>4.8</v>
      </c>
      <c r="R182">
        <v>3</v>
      </c>
      <c r="S182">
        <v>2</v>
      </c>
      <c r="T182">
        <v>3</v>
      </c>
      <c r="U182" t="s">
        <v>30</v>
      </c>
      <c r="V182">
        <v>3</v>
      </c>
      <c r="W182">
        <v>1</v>
      </c>
    </row>
    <row r="183" spans="1:23" x14ac:dyDescent="0.35">
      <c r="A183" t="s">
        <v>1518</v>
      </c>
      <c r="B183" s="6">
        <v>45349</v>
      </c>
      <c r="D183" t="s">
        <v>23</v>
      </c>
      <c r="E183">
        <v>34</v>
      </c>
      <c r="F183" t="s">
        <v>24</v>
      </c>
      <c r="G183" t="s">
        <v>37</v>
      </c>
      <c r="H183" t="s">
        <v>58</v>
      </c>
      <c r="I183" t="s">
        <v>38</v>
      </c>
      <c r="J183" t="s">
        <v>39</v>
      </c>
      <c r="K183">
        <v>4</v>
      </c>
      <c r="L183" t="s">
        <v>40</v>
      </c>
      <c r="M183">
        <v>123000</v>
      </c>
      <c r="N183">
        <v>9.1</v>
      </c>
      <c r="O183">
        <v>7.3</v>
      </c>
      <c r="P183">
        <v>1.8</v>
      </c>
      <c r="Q183">
        <v>1.4</v>
      </c>
      <c r="R183">
        <v>3</v>
      </c>
      <c r="S183">
        <v>4</v>
      </c>
      <c r="T183">
        <v>4</v>
      </c>
      <c r="U183" t="s">
        <v>23</v>
      </c>
      <c r="V183">
        <v>1</v>
      </c>
      <c r="W183">
        <v>1</v>
      </c>
    </row>
    <row r="184" spans="1:23" x14ac:dyDescent="0.35">
      <c r="A184" t="s">
        <v>191</v>
      </c>
      <c r="B184" s="6">
        <v>44648</v>
      </c>
      <c r="D184" t="s">
        <v>23</v>
      </c>
      <c r="E184">
        <v>29</v>
      </c>
      <c r="F184" t="s">
        <v>24</v>
      </c>
      <c r="G184" t="s">
        <v>42</v>
      </c>
      <c r="H184" t="s">
        <v>26</v>
      </c>
      <c r="I184" t="s">
        <v>38</v>
      </c>
      <c r="J184" t="s">
        <v>118</v>
      </c>
      <c r="K184">
        <v>4</v>
      </c>
      <c r="L184" t="s">
        <v>66</v>
      </c>
      <c r="M184">
        <v>117000</v>
      </c>
      <c r="N184">
        <v>9.8000000000000007</v>
      </c>
      <c r="O184">
        <v>7.2</v>
      </c>
      <c r="P184">
        <v>3.8</v>
      </c>
      <c r="Q184">
        <v>1.5</v>
      </c>
      <c r="R184">
        <v>3</v>
      </c>
      <c r="S184">
        <v>3</v>
      </c>
      <c r="T184">
        <v>3</v>
      </c>
      <c r="U184" t="s">
        <v>23</v>
      </c>
      <c r="V184">
        <v>2</v>
      </c>
      <c r="W184">
        <v>1</v>
      </c>
    </row>
    <row r="185" spans="1:23" x14ac:dyDescent="0.35">
      <c r="A185" t="s">
        <v>1026</v>
      </c>
      <c r="B185" s="6">
        <v>44243</v>
      </c>
      <c r="D185" t="s">
        <v>23</v>
      </c>
      <c r="E185">
        <v>36</v>
      </c>
      <c r="F185" t="s">
        <v>24</v>
      </c>
      <c r="G185" t="s">
        <v>42</v>
      </c>
      <c r="H185" t="s">
        <v>26</v>
      </c>
      <c r="I185" t="s">
        <v>55</v>
      </c>
      <c r="J185" t="s">
        <v>179</v>
      </c>
      <c r="K185">
        <v>3</v>
      </c>
      <c r="L185" t="s">
        <v>34</v>
      </c>
      <c r="M185">
        <v>74000</v>
      </c>
      <c r="N185">
        <v>13.1</v>
      </c>
      <c r="O185">
        <v>5.4</v>
      </c>
      <c r="P185">
        <v>4.9000000000000004</v>
      </c>
      <c r="Q185">
        <v>3.4</v>
      </c>
      <c r="R185">
        <v>4</v>
      </c>
      <c r="S185">
        <v>3</v>
      </c>
      <c r="T185">
        <v>4</v>
      </c>
      <c r="U185" t="s">
        <v>23</v>
      </c>
      <c r="V185">
        <v>2</v>
      </c>
      <c r="W185">
        <v>1</v>
      </c>
    </row>
    <row r="186" spans="1:23" x14ac:dyDescent="0.35">
      <c r="A186" t="s">
        <v>1491</v>
      </c>
      <c r="B186" s="6">
        <v>42743</v>
      </c>
      <c r="D186" t="s">
        <v>23</v>
      </c>
      <c r="E186">
        <v>35</v>
      </c>
      <c r="F186" t="s">
        <v>62</v>
      </c>
      <c r="G186" t="s">
        <v>42</v>
      </c>
      <c r="H186" t="s">
        <v>32</v>
      </c>
      <c r="I186" t="s">
        <v>27</v>
      </c>
      <c r="J186" t="s">
        <v>43</v>
      </c>
      <c r="K186">
        <v>2</v>
      </c>
      <c r="L186" t="s">
        <v>84</v>
      </c>
      <c r="M186">
        <v>59000</v>
      </c>
      <c r="N186">
        <v>15.7</v>
      </c>
      <c r="O186">
        <v>14.6</v>
      </c>
      <c r="P186">
        <v>9</v>
      </c>
      <c r="Q186">
        <v>1</v>
      </c>
      <c r="R186">
        <v>2</v>
      </c>
      <c r="S186">
        <v>4</v>
      </c>
      <c r="T186">
        <v>3</v>
      </c>
      <c r="U186" t="s">
        <v>23</v>
      </c>
      <c r="V186">
        <v>4</v>
      </c>
      <c r="W186">
        <v>1</v>
      </c>
    </row>
    <row r="187" spans="1:23" x14ac:dyDescent="0.35">
      <c r="A187" t="s">
        <v>878</v>
      </c>
      <c r="B187" s="6">
        <v>45726</v>
      </c>
      <c r="D187" t="s">
        <v>23</v>
      </c>
      <c r="E187">
        <v>21</v>
      </c>
      <c r="F187" t="s">
        <v>36</v>
      </c>
      <c r="G187" t="s">
        <v>42</v>
      </c>
      <c r="H187" t="s">
        <v>58</v>
      </c>
      <c r="I187" t="s">
        <v>55</v>
      </c>
      <c r="J187" t="s">
        <v>88</v>
      </c>
      <c r="K187">
        <v>1</v>
      </c>
      <c r="L187" t="s">
        <v>50</v>
      </c>
      <c r="M187">
        <v>28000</v>
      </c>
      <c r="N187">
        <v>6.5</v>
      </c>
      <c r="O187">
        <v>4.2</v>
      </c>
      <c r="P187">
        <v>0.8</v>
      </c>
      <c r="Q187">
        <v>0</v>
      </c>
      <c r="R187">
        <v>4</v>
      </c>
      <c r="S187">
        <v>3</v>
      </c>
      <c r="T187">
        <v>4</v>
      </c>
      <c r="U187" t="s">
        <v>30</v>
      </c>
      <c r="V187">
        <v>4</v>
      </c>
      <c r="W187">
        <v>1</v>
      </c>
    </row>
    <row r="188" spans="1:23" x14ac:dyDescent="0.35">
      <c r="A188" t="s">
        <v>967</v>
      </c>
      <c r="B188" s="6">
        <v>44823</v>
      </c>
      <c r="D188" t="s">
        <v>23</v>
      </c>
      <c r="E188">
        <v>37</v>
      </c>
      <c r="F188" t="s">
        <v>36</v>
      </c>
      <c r="G188" t="s">
        <v>42</v>
      </c>
      <c r="H188" t="s">
        <v>54</v>
      </c>
      <c r="I188" t="s">
        <v>48</v>
      </c>
      <c r="J188" t="s">
        <v>49</v>
      </c>
      <c r="K188">
        <v>2</v>
      </c>
      <c r="L188" t="s">
        <v>40</v>
      </c>
      <c r="M188">
        <v>48000</v>
      </c>
      <c r="N188">
        <v>9.6999999999999993</v>
      </c>
      <c r="O188">
        <v>5.0999999999999996</v>
      </c>
      <c r="P188">
        <v>3.3</v>
      </c>
      <c r="Q188">
        <v>1.7</v>
      </c>
      <c r="R188">
        <v>3</v>
      </c>
      <c r="S188">
        <v>1</v>
      </c>
      <c r="T188">
        <v>4</v>
      </c>
      <c r="U188" t="s">
        <v>30</v>
      </c>
      <c r="V188">
        <v>3</v>
      </c>
      <c r="W188">
        <v>1</v>
      </c>
    </row>
    <row r="189" spans="1:23" x14ac:dyDescent="0.35">
      <c r="A189" t="s">
        <v>1496</v>
      </c>
      <c r="B189" s="6">
        <v>43009</v>
      </c>
      <c r="D189" t="s">
        <v>23</v>
      </c>
      <c r="E189">
        <v>29</v>
      </c>
      <c r="F189" t="s">
        <v>62</v>
      </c>
      <c r="G189" t="s">
        <v>25</v>
      </c>
      <c r="H189" t="s">
        <v>26</v>
      </c>
      <c r="I189" t="s">
        <v>55</v>
      </c>
      <c r="J189" t="s">
        <v>56</v>
      </c>
      <c r="K189">
        <v>3</v>
      </c>
      <c r="L189" t="s">
        <v>40</v>
      </c>
      <c r="M189">
        <v>77000</v>
      </c>
      <c r="N189">
        <v>5.3</v>
      </c>
      <c r="O189">
        <v>11.6</v>
      </c>
      <c r="P189">
        <v>8.1999999999999993</v>
      </c>
      <c r="Q189">
        <v>4.3</v>
      </c>
      <c r="R189">
        <v>3</v>
      </c>
      <c r="S189">
        <v>3</v>
      </c>
      <c r="T189">
        <v>2</v>
      </c>
      <c r="U189" t="s">
        <v>23</v>
      </c>
      <c r="V189">
        <v>3</v>
      </c>
      <c r="W189">
        <v>1</v>
      </c>
    </row>
    <row r="190" spans="1:23" x14ac:dyDescent="0.35">
      <c r="A190" t="s">
        <v>643</v>
      </c>
      <c r="B190" s="6">
        <v>43927</v>
      </c>
      <c r="D190" t="s">
        <v>23</v>
      </c>
      <c r="E190">
        <v>26</v>
      </c>
      <c r="F190" t="s">
        <v>62</v>
      </c>
      <c r="G190" t="s">
        <v>42</v>
      </c>
      <c r="H190" t="s">
        <v>32</v>
      </c>
      <c r="I190" t="s">
        <v>55</v>
      </c>
      <c r="J190" t="s">
        <v>56</v>
      </c>
      <c r="K190">
        <v>1</v>
      </c>
      <c r="L190" t="s">
        <v>34</v>
      </c>
      <c r="M190">
        <v>49000</v>
      </c>
      <c r="N190">
        <v>5.2</v>
      </c>
      <c r="O190">
        <v>12.5</v>
      </c>
      <c r="P190">
        <v>5.7</v>
      </c>
      <c r="Q190">
        <v>1.9</v>
      </c>
      <c r="R190">
        <v>3</v>
      </c>
      <c r="S190">
        <v>3</v>
      </c>
      <c r="T190">
        <v>1</v>
      </c>
      <c r="U190" t="s">
        <v>30</v>
      </c>
      <c r="V190">
        <v>3</v>
      </c>
      <c r="W190">
        <v>1</v>
      </c>
    </row>
    <row r="191" spans="1:23" x14ac:dyDescent="0.35">
      <c r="A191" t="s">
        <v>1463</v>
      </c>
      <c r="B191" s="6">
        <v>42597</v>
      </c>
      <c r="D191" t="s">
        <v>23</v>
      </c>
      <c r="E191">
        <v>36</v>
      </c>
      <c r="F191" t="s">
        <v>62</v>
      </c>
      <c r="G191" t="s">
        <v>37</v>
      </c>
      <c r="H191" t="s">
        <v>58</v>
      </c>
      <c r="I191" t="s">
        <v>68</v>
      </c>
      <c r="J191" t="s">
        <v>121</v>
      </c>
      <c r="K191">
        <v>5</v>
      </c>
      <c r="L191" t="s">
        <v>50</v>
      </c>
      <c r="M191">
        <v>155000</v>
      </c>
      <c r="N191">
        <v>5.6</v>
      </c>
      <c r="O191">
        <v>10.6</v>
      </c>
      <c r="P191">
        <v>9.4</v>
      </c>
      <c r="Q191">
        <v>5.6</v>
      </c>
      <c r="R191">
        <v>3</v>
      </c>
      <c r="S191">
        <v>1</v>
      </c>
      <c r="T191">
        <v>3</v>
      </c>
      <c r="U191" t="s">
        <v>23</v>
      </c>
      <c r="V191">
        <v>4</v>
      </c>
      <c r="W191">
        <v>1</v>
      </c>
    </row>
    <row r="192" spans="1:23" x14ac:dyDescent="0.35">
      <c r="A192" t="s">
        <v>1154</v>
      </c>
      <c r="B192" s="6">
        <v>43602</v>
      </c>
      <c r="D192" t="s">
        <v>23</v>
      </c>
      <c r="E192">
        <v>29</v>
      </c>
      <c r="F192" t="s">
        <v>24</v>
      </c>
      <c r="G192" t="s">
        <v>25</v>
      </c>
      <c r="H192" t="s">
        <v>54</v>
      </c>
      <c r="I192" t="s">
        <v>59</v>
      </c>
      <c r="J192" t="s">
        <v>60</v>
      </c>
      <c r="K192">
        <v>4</v>
      </c>
      <c r="L192" t="s">
        <v>29</v>
      </c>
      <c r="M192">
        <v>109000</v>
      </c>
      <c r="N192">
        <v>19.2</v>
      </c>
      <c r="O192">
        <v>10.6</v>
      </c>
      <c r="P192">
        <v>6.6</v>
      </c>
      <c r="Q192">
        <v>0.4</v>
      </c>
      <c r="R192">
        <v>3</v>
      </c>
      <c r="S192">
        <v>4</v>
      </c>
      <c r="T192">
        <v>3</v>
      </c>
      <c r="U192" t="s">
        <v>30</v>
      </c>
      <c r="V192">
        <v>2</v>
      </c>
      <c r="W192">
        <v>1</v>
      </c>
    </row>
    <row r="193" spans="1:23" x14ac:dyDescent="0.35">
      <c r="A193" t="s">
        <v>120</v>
      </c>
      <c r="B193" s="6">
        <v>45550</v>
      </c>
      <c r="D193" t="s">
        <v>23</v>
      </c>
      <c r="E193">
        <v>41</v>
      </c>
      <c r="F193" t="s">
        <v>36</v>
      </c>
      <c r="G193" t="s">
        <v>42</v>
      </c>
      <c r="H193" t="s">
        <v>54</v>
      </c>
      <c r="I193" t="s">
        <v>68</v>
      </c>
      <c r="J193" t="s">
        <v>121</v>
      </c>
      <c r="K193">
        <v>5</v>
      </c>
      <c r="L193" t="s">
        <v>29</v>
      </c>
      <c r="M193">
        <v>147000</v>
      </c>
      <c r="N193">
        <v>8.9</v>
      </c>
      <c r="O193">
        <v>1.9</v>
      </c>
      <c r="P193">
        <v>1.3</v>
      </c>
      <c r="Q193">
        <v>0.7</v>
      </c>
      <c r="R193">
        <v>2</v>
      </c>
      <c r="S193">
        <v>3</v>
      </c>
      <c r="T193">
        <v>4</v>
      </c>
      <c r="U193" t="s">
        <v>30</v>
      </c>
      <c r="V193">
        <v>3</v>
      </c>
      <c r="W193">
        <v>1</v>
      </c>
    </row>
    <row r="194" spans="1:23" x14ac:dyDescent="0.35">
      <c r="A194" t="s">
        <v>1574</v>
      </c>
      <c r="B194" s="6">
        <v>45049</v>
      </c>
      <c r="D194" t="s">
        <v>23</v>
      </c>
      <c r="E194">
        <v>29</v>
      </c>
      <c r="F194" t="s">
        <v>62</v>
      </c>
      <c r="G194" t="s">
        <v>42</v>
      </c>
      <c r="H194" t="s">
        <v>32</v>
      </c>
      <c r="I194" t="s">
        <v>59</v>
      </c>
      <c r="J194" t="s">
        <v>150</v>
      </c>
      <c r="K194">
        <v>2</v>
      </c>
      <c r="L194" t="s">
        <v>34</v>
      </c>
      <c r="M194">
        <v>68000</v>
      </c>
      <c r="N194">
        <v>11.8</v>
      </c>
      <c r="O194">
        <v>7.3</v>
      </c>
      <c r="P194">
        <v>2.7</v>
      </c>
      <c r="Q194">
        <v>0.4</v>
      </c>
      <c r="R194">
        <v>2</v>
      </c>
      <c r="S194">
        <v>2</v>
      </c>
      <c r="T194">
        <v>3</v>
      </c>
      <c r="U194" t="s">
        <v>30</v>
      </c>
      <c r="V194">
        <v>3</v>
      </c>
      <c r="W194">
        <v>1</v>
      </c>
    </row>
    <row r="195" spans="1:23" x14ac:dyDescent="0.35">
      <c r="A195" t="s">
        <v>528</v>
      </c>
      <c r="B195" s="6">
        <v>45400</v>
      </c>
      <c r="D195" t="s">
        <v>23</v>
      </c>
      <c r="E195">
        <v>37</v>
      </c>
      <c r="F195" t="s">
        <v>24</v>
      </c>
      <c r="G195" t="s">
        <v>42</v>
      </c>
      <c r="H195" t="s">
        <v>54</v>
      </c>
      <c r="I195" t="s">
        <v>68</v>
      </c>
      <c r="J195" t="s">
        <v>121</v>
      </c>
      <c r="K195">
        <v>2</v>
      </c>
      <c r="L195" t="s">
        <v>66</v>
      </c>
      <c r="M195">
        <v>62000</v>
      </c>
      <c r="N195">
        <v>11.5</v>
      </c>
      <c r="O195">
        <v>7.3</v>
      </c>
      <c r="P195">
        <v>1.7</v>
      </c>
      <c r="Q195">
        <v>0.1</v>
      </c>
      <c r="R195">
        <v>3</v>
      </c>
      <c r="S195">
        <v>4</v>
      </c>
      <c r="T195">
        <v>3</v>
      </c>
      <c r="U195" t="s">
        <v>30</v>
      </c>
      <c r="V195">
        <v>2</v>
      </c>
      <c r="W195">
        <v>1</v>
      </c>
    </row>
    <row r="196" spans="1:23" x14ac:dyDescent="0.35">
      <c r="A196" t="s">
        <v>1146</v>
      </c>
      <c r="B196" s="6">
        <v>43127</v>
      </c>
      <c r="D196" t="s">
        <v>23</v>
      </c>
      <c r="E196">
        <v>28</v>
      </c>
      <c r="F196" t="s">
        <v>24</v>
      </c>
      <c r="G196" t="s">
        <v>37</v>
      </c>
      <c r="H196" t="s">
        <v>32</v>
      </c>
      <c r="I196" t="s">
        <v>38</v>
      </c>
      <c r="J196" t="s">
        <v>39</v>
      </c>
      <c r="K196">
        <v>2</v>
      </c>
      <c r="L196" t="s">
        <v>40</v>
      </c>
      <c r="M196">
        <v>57000</v>
      </c>
      <c r="N196">
        <v>8.6999999999999993</v>
      </c>
      <c r="O196">
        <v>13.9</v>
      </c>
      <c r="P196">
        <v>7.9</v>
      </c>
      <c r="Q196">
        <v>1.5</v>
      </c>
      <c r="R196">
        <v>3</v>
      </c>
      <c r="S196">
        <v>3</v>
      </c>
      <c r="T196">
        <v>4</v>
      </c>
      <c r="U196" t="s">
        <v>30</v>
      </c>
      <c r="V196">
        <v>2</v>
      </c>
      <c r="W196">
        <v>1</v>
      </c>
    </row>
    <row r="197" spans="1:23" x14ac:dyDescent="0.35">
      <c r="A197" t="s">
        <v>1103</v>
      </c>
      <c r="B197" s="6">
        <v>43219</v>
      </c>
      <c r="D197" t="s">
        <v>23</v>
      </c>
      <c r="E197">
        <v>34</v>
      </c>
      <c r="F197" t="s">
        <v>24</v>
      </c>
      <c r="G197" t="s">
        <v>37</v>
      </c>
      <c r="H197" t="s">
        <v>58</v>
      </c>
      <c r="I197" t="s">
        <v>55</v>
      </c>
      <c r="J197" t="s">
        <v>80</v>
      </c>
      <c r="K197">
        <v>2</v>
      </c>
      <c r="L197" t="s">
        <v>50</v>
      </c>
      <c r="M197">
        <v>50000</v>
      </c>
      <c r="N197">
        <v>10.5</v>
      </c>
      <c r="O197">
        <v>14.2</v>
      </c>
      <c r="P197">
        <v>7.7</v>
      </c>
      <c r="Q197">
        <v>0.1</v>
      </c>
      <c r="R197">
        <v>3</v>
      </c>
      <c r="S197">
        <v>1</v>
      </c>
      <c r="T197">
        <v>4</v>
      </c>
      <c r="U197" t="s">
        <v>23</v>
      </c>
      <c r="V197">
        <v>3</v>
      </c>
      <c r="W197">
        <v>1</v>
      </c>
    </row>
    <row r="198" spans="1:23" x14ac:dyDescent="0.35">
      <c r="A198" t="s">
        <v>669</v>
      </c>
      <c r="B198" s="6">
        <v>41964</v>
      </c>
      <c r="D198" t="s">
        <v>23</v>
      </c>
      <c r="E198">
        <v>37</v>
      </c>
      <c r="F198" t="s">
        <v>36</v>
      </c>
      <c r="G198" t="s">
        <v>37</v>
      </c>
      <c r="H198" t="s">
        <v>26</v>
      </c>
      <c r="I198" t="s">
        <v>38</v>
      </c>
      <c r="J198" t="s">
        <v>52</v>
      </c>
      <c r="K198">
        <v>1</v>
      </c>
      <c r="L198" t="s">
        <v>66</v>
      </c>
      <c r="M198">
        <v>48000</v>
      </c>
      <c r="N198">
        <v>12.3</v>
      </c>
      <c r="O198">
        <v>14.2</v>
      </c>
      <c r="P198">
        <v>11.1</v>
      </c>
      <c r="Q198">
        <v>2.6</v>
      </c>
      <c r="R198">
        <v>3</v>
      </c>
      <c r="S198">
        <v>3</v>
      </c>
      <c r="T198">
        <v>4</v>
      </c>
      <c r="U198" t="s">
        <v>23</v>
      </c>
      <c r="V198">
        <v>3</v>
      </c>
      <c r="W198">
        <v>1</v>
      </c>
    </row>
    <row r="199" spans="1:23" x14ac:dyDescent="0.35">
      <c r="A199" t="s">
        <v>877</v>
      </c>
      <c r="B199" s="6">
        <v>43781</v>
      </c>
      <c r="C199">
        <v>45854</v>
      </c>
      <c r="D199" t="s">
        <v>30</v>
      </c>
      <c r="E199">
        <v>33</v>
      </c>
      <c r="F199" t="s">
        <v>62</v>
      </c>
      <c r="G199" t="s">
        <v>37</v>
      </c>
      <c r="H199" t="s">
        <v>54</v>
      </c>
      <c r="I199" t="s">
        <v>27</v>
      </c>
      <c r="J199" t="s">
        <v>95</v>
      </c>
      <c r="K199">
        <v>3</v>
      </c>
      <c r="L199" t="s">
        <v>29</v>
      </c>
      <c r="M199">
        <v>59000</v>
      </c>
      <c r="N199">
        <v>10.7</v>
      </c>
      <c r="O199">
        <v>6.8</v>
      </c>
      <c r="P199">
        <v>5.7</v>
      </c>
      <c r="Q199">
        <v>1.1000000000000001</v>
      </c>
      <c r="R199">
        <v>3</v>
      </c>
      <c r="S199">
        <v>4</v>
      </c>
      <c r="T199">
        <v>3</v>
      </c>
      <c r="U199" t="s">
        <v>23</v>
      </c>
      <c r="V199">
        <v>4</v>
      </c>
      <c r="W199">
        <v>1</v>
      </c>
    </row>
    <row r="200" spans="1:23" x14ac:dyDescent="0.35">
      <c r="A200" t="s">
        <v>1388</v>
      </c>
      <c r="B200" s="6">
        <v>43842</v>
      </c>
      <c r="D200" t="s">
        <v>23</v>
      </c>
      <c r="E200">
        <v>35</v>
      </c>
      <c r="F200" t="s">
        <v>24</v>
      </c>
      <c r="G200" t="s">
        <v>42</v>
      </c>
      <c r="H200" t="s">
        <v>58</v>
      </c>
      <c r="I200" t="s">
        <v>68</v>
      </c>
      <c r="J200" t="s">
        <v>121</v>
      </c>
      <c r="K200">
        <v>3</v>
      </c>
      <c r="L200" t="s">
        <v>66</v>
      </c>
      <c r="M200">
        <v>65000</v>
      </c>
      <c r="N200">
        <v>4.7</v>
      </c>
      <c r="O200">
        <v>7.4</v>
      </c>
      <c r="P200">
        <v>6</v>
      </c>
      <c r="Q200">
        <v>1.9</v>
      </c>
      <c r="R200">
        <v>3</v>
      </c>
      <c r="S200">
        <v>2</v>
      </c>
      <c r="T200">
        <v>4</v>
      </c>
      <c r="U200" t="s">
        <v>23</v>
      </c>
      <c r="V200">
        <v>4</v>
      </c>
      <c r="W200">
        <v>1</v>
      </c>
    </row>
    <row r="201" spans="1:23" x14ac:dyDescent="0.35">
      <c r="A201" t="s">
        <v>450</v>
      </c>
      <c r="B201" s="6">
        <v>43106</v>
      </c>
      <c r="D201" t="s">
        <v>23</v>
      </c>
      <c r="E201">
        <v>33</v>
      </c>
      <c r="F201" t="s">
        <v>36</v>
      </c>
      <c r="G201" t="s">
        <v>37</v>
      </c>
      <c r="H201" t="s">
        <v>32</v>
      </c>
      <c r="I201" t="s">
        <v>55</v>
      </c>
      <c r="J201" t="s">
        <v>179</v>
      </c>
      <c r="K201">
        <v>2</v>
      </c>
      <c r="L201" t="s">
        <v>40</v>
      </c>
      <c r="M201">
        <v>68000</v>
      </c>
      <c r="N201">
        <v>9.1</v>
      </c>
      <c r="O201">
        <v>8.4</v>
      </c>
      <c r="P201">
        <v>8</v>
      </c>
      <c r="Q201">
        <v>6</v>
      </c>
      <c r="R201">
        <v>4</v>
      </c>
      <c r="S201">
        <v>2</v>
      </c>
      <c r="T201">
        <v>4</v>
      </c>
      <c r="U201" t="s">
        <v>30</v>
      </c>
      <c r="V201">
        <v>4</v>
      </c>
      <c r="W201">
        <v>1</v>
      </c>
    </row>
    <row r="202" spans="1:23" x14ac:dyDescent="0.35">
      <c r="A202" t="s">
        <v>1209</v>
      </c>
      <c r="B202" s="6">
        <v>42932</v>
      </c>
      <c r="D202" t="s">
        <v>23</v>
      </c>
      <c r="E202">
        <v>40</v>
      </c>
      <c r="F202" t="s">
        <v>36</v>
      </c>
      <c r="G202" t="s">
        <v>25</v>
      </c>
      <c r="H202" t="s">
        <v>58</v>
      </c>
      <c r="I202" t="s">
        <v>27</v>
      </c>
      <c r="J202" t="s">
        <v>28</v>
      </c>
      <c r="K202">
        <v>4</v>
      </c>
      <c r="L202" t="s">
        <v>40</v>
      </c>
      <c r="M202">
        <v>101000</v>
      </c>
      <c r="N202">
        <v>9.4</v>
      </c>
      <c r="O202">
        <v>16</v>
      </c>
      <c r="P202">
        <v>8.5</v>
      </c>
      <c r="Q202">
        <v>3.4</v>
      </c>
      <c r="R202">
        <v>1</v>
      </c>
      <c r="S202">
        <v>3</v>
      </c>
      <c r="T202">
        <v>2</v>
      </c>
      <c r="U202" t="s">
        <v>23</v>
      </c>
      <c r="V202">
        <v>5</v>
      </c>
      <c r="W202">
        <v>1</v>
      </c>
    </row>
    <row r="203" spans="1:23" x14ac:dyDescent="0.35">
      <c r="A203" t="s">
        <v>167</v>
      </c>
      <c r="B203" s="6">
        <v>45089</v>
      </c>
      <c r="C203">
        <v>45972</v>
      </c>
      <c r="D203" t="s">
        <v>30</v>
      </c>
      <c r="E203">
        <v>30</v>
      </c>
      <c r="F203" t="s">
        <v>36</v>
      </c>
      <c r="G203" t="s">
        <v>37</v>
      </c>
      <c r="H203" t="s">
        <v>26</v>
      </c>
      <c r="I203" t="s">
        <v>48</v>
      </c>
      <c r="J203" t="s">
        <v>63</v>
      </c>
      <c r="K203">
        <v>1</v>
      </c>
      <c r="L203" t="s">
        <v>40</v>
      </c>
      <c r="M203">
        <v>32000</v>
      </c>
      <c r="N203">
        <v>9.9</v>
      </c>
      <c r="O203">
        <v>4</v>
      </c>
      <c r="P203">
        <v>2.4</v>
      </c>
      <c r="Q203">
        <v>0.3</v>
      </c>
      <c r="R203">
        <v>3</v>
      </c>
      <c r="S203">
        <v>3</v>
      </c>
      <c r="T203">
        <v>4</v>
      </c>
      <c r="U203" t="s">
        <v>30</v>
      </c>
      <c r="V203">
        <v>4</v>
      </c>
      <c r="W203">
        <v>1</v>
      </c>
    </row>
    <row r="204" spans="1:23" x14ac:dyDescent="0.35">
      <c r="A204" t="s">
        <v>560</v>
      </c>
      <c r="B204" s="6">
        <v>42296</v>
      </c>
      <c r="D204" t="s">
        <v>23</v>
      </c>
      <c r="E204">
        <v>42</v>
      </c>
      <c r="F204" t="s">
        <v>24</v>
      </c>
      <c r="G204" t="s">
        <v>25</v>
      </c>
      <c r="H204" t="s">
        <v>54</v>
      </c>
      <c r="I204" t="s">
        <v>27</v>
      </c>
      <c r="J204" t="s">
        <v>95</v>
      </c>
      <c r="K204">
        <v>3</v>
      </c>
      <c r="L204" t="s">
        <v>29</v>
      </c>
      <c r="M204">
        <v>66000</v>
      </c>
      <c r="N204">
        <v>8.3000000000000007</v>
      </c>
      <c r="O204">
        <v>17.7</v>
      </c>
      <c r="P204">
        <v>10.199999999999999</v>
      </c>
      <c r="Q204">
        <v>2.4</v>
      </c>
      <c r="R204">
        <v>4</v>
      </c>
      <c r="S204">
        <v>2</v>
      </c>
      <c r="T204">
        <v>3</v>
      </c>
      <c r="U204" t="s">
        <v>23</v>
      </c>
      <c r="V204">
        <v>2</v>
      </c>
      <c r="W204">
        <v>1</v>
      </c>
    </row>
    <row r="205" spans="1:23" x14ac:dyDescent="0.35">
      <c r="A205" t="s">
        <v>227</v>
      </c>
      <c r="B205" s="6">
        <v>41773</v>
      </c>
      <c r="D205" t="s">
        <v>23</v>
      </c>
      <c r="E205">
        <v>43</v>
      </c>
      <c r="F205" t="s">
        <v>24</v>
      </c>
      <c r="G205" t="s">
        <v>37</v>
      </c>
      <c r="H205" t="s">
        <v>26</v>
      </c>
      <c r="I205" t="s">
        <v>48</v>
      </c>
      <c r="J205" t="s">
        <v>129</v>
      </c>
      <c r="K205">
        <v>2</v>
      </c>
      <c r="L205" t="s">
        <v>29</v>
      </c>
      <c r="M205">
        <v>57000</v>
      </c>
      <c r="N205">
        <v>13.1</v>
      </c>
      <c r="O205">
        <v>13.4</v>
      </c>
      <c r="P205">
        <v>11.6</v>
      </c>
      <c r="Q205">
        <v>3.5</v>
      </c>
      <c r="R205">
        <v>4</v>
      </c>
      <c r="S205">
        <v>2</v>
      </c>
      <c r="T205">
        <v>3</v>
      </c>
      <c r="U205" t="s">
        <v>23</v>
      </c>
      <c r="V205">
        <v>4</v>
      </c>
      <c r="W205">
        <v>1</v>
      </c>
    </row>
    <row r="206" spans="1:23" x14ac:dyDescent="0.35">
      <c r="A206" t="s">
        <v>962</v>
      </c>
      <c r="B206" s="6">
        <v>42619</v>
      </c>
      <c r="D206" t="s">
        <v>23</v>
      </c>
      <c r="E206">
        <v>35</v>
      </c>
      <c r="F206" t="s">
        <v>36</v>
      </c>
      <c r="G206" t="s">
        <v>25</v>
      </c>
      <c r="H206" t="s">
        <v>26</v>
      </c>
      <c r="I206" t="s">
        <v>27</v>
      </c>
      <c r="J206" t="s">
        <v>33</v>
      </c>
      <c r="K206">
        <v>4</v>
      </c>
      <c r="L206" t="s">
        <v>40</v>
      </c>
      <c r="M206">
        <v>114000</v>
      </c>
      <c r="N206">
        <v>9.3000000000000007</v>
      </c>
      <c r="O206">
        <v>15.8</v>
      </c>
      <c r="P206">
        <v>9.3000000000000007</v>
      </c>
      <c r="Q206">
        <v>3.7</v>
      </c>
      <c r="R206">
        <v>2</v>
      </c>
      <c r="S206">
        <v>3</v>
      </c>
      <c r="T206">
        <v>2</v>
      </c>
      <c r="U206" t="s">
        <v>23</v>
      </c>
      <c r="V206">
        <v>3</v>
      </c>
      <c r="W206">
        <v>1</v>
      </c>
    </row>
    <row r="207" spans="1:23" x14ac:dyDescent="0.35">
      <c r="A207" t="s">
        <v>1167</v>
      </c>
      <c r="B207" s="6">
        <v>43100</v>
      </c>
      <c r="D207" t="s">
        <v>23</v>
      </c>
      <c r="E207">
        <v>29</v>
      </c>
      <c r="F207" t="s">
        <v>36</v>
      </c>
      <c r="G207" t="s">
        <v>37</v>
      </c>
      <c r="H207" t="s">
        <v>26</v>
      </c>
      <c r="I207" t="s">
        <v>68</v>
      </c>
      <c r="J207" t="s">
        <v>69</v>
      </c>
      <c r="K207">
        <v>2</v>
      </c>
      <c r="L207" t="s">
        <v>50</v>
      </c>
      <c r="M207">
        <v>65000</v>
      </c>
      <c r="N207">
        <v>18.2</v>
      </c>
      <c r="O207">
        <v>15.1</v>
      </c>
      <c r="P207">
        <v>8</v>
      </c>
      <c r="Q207">
        <v>2.7</v>
      </c>
      <c r="R207">
        <v>3</v>
      </c>
      <c r="S207">
        <v>3</v>
      </c>
      <c r="T207">
        <v>2</v>
      </c>
      <c r="U207" t="s">
        <v>30</v>
      </c>
      <c r="V207">
        <v>2</v>
      </c>
      <c r="W207">
        <v>1</v>
      </c>
    </row>
    <row r="208" spans="1:23" x14ac:dyDescent="0.35">
      <c r="A208" t="s">
        <v>1120</v>
      </c>
      <c r="B208" s="6">
        <v>42479</v>
      </c>
      <c r="D208" t="s">
        <v>23</v>
      </c>
      <c r="E208">
        <v>30</v>
      </c>
      <c r="F208" t="s">
        <v>62</v>
      </c>
      <c r="G208" t="s">
        <v>37</v>
      </c>
      <c r="H208" t="s">
        <v>32</v>
      </c>
      <c r="I208" t="s">
        <v>48</v>
      </c>
      <c r="J208" t="s">
        <v>201</v>
      </c>
      <c r="K208">
        <v>3</v>
      </c>
      <c r="L208" t="s">
        <v>34</v>
      </c>
      <c r="M208">
        <v>93000</v>
      </c>
      <c r="N208">
        <v>15.3</v>
      </c>
      <c r="O208">
        <v>14.1</v>
      </c>
      <c r="P208">
        <v>9.6999999999999993</v>
      </c>
      <c r="Q208">
        <v>0.6</v>
      </c>
      <c r="R208">
        <v>3</v>
      </c>
      <c r="S208">
        <v>3</v>
      </c>
      <c r="T208">
        <v>4</v>
      </c>
      <c r="U208" t="s">
        <v>23</v>
      </c>
      <c r="V208">
        <v>4</v>
      </c>
      <c r="W208">
        <v>1</v>
      </c>
    </row>
    <row r="209" spans="1:23" x14ac:dyDescent="0.35">
      <c r="A209" t="s">
        <v>575</v>
      </c>
      <c r="B209" s="6">
        <v>44784</v>
      </c>
      <c r="D209" t="s">
        <v>23</v>
      </c>
      <c r="E209">
        <v>30</v>
      </c>
      <c r="F209" t="s">
        <v>62</v>
      </c>
      <c r="G209" t="s">
        <v>25</v>
      </c>
      <c r="H209" t="s">
        <v>54</v>
      </c>
      <c r="I209" t="s">
        <v>38</v>
      </c>
      <c r="J209" t="s">
        <v>118</v>
      </c>
      <c r="K209">
        <v>2</v>
      </c>
      <c r="L209" t="s">
        <v>29</v>
      </c>
      <c r="M209">
        <v>57000</v>
      </c>
      <c r="N209">
        <v>3.6</v>
      </c>
      <c r="O209">
        <v>6.4</v>
      </c>
      <c r="P209">
        <v>3.4</v>
      </c>
      <c r="Q209">
        <v>2.5</v>
      </c>
      <c r="R209">
        <v>1</v>
      </c>
      <c r="S209">
        <v>3</v>
      </c>
      <c r="T209">
        <v>4</v>
      </c>
      <c r="U209" t="s">
        <v>23</v>
      </c>
      <c r="V209">
        <v>2</v>
      </c>
      <c r="W209">
        <v>1</v>
      </c>
    </row>
    <row r="210" spans="1:23" x14ac:dyDescent="0.35">
      <c r="A210" t="s">
        <v>218</v>
      </c>
      <c r="B210" s="6">
        <v>43951</v>
      </c>
      <c r="C210">
        <v>45709</v>
      </c>
      <c r="D210" t="s">
        <v>30</v>
      </c>
      <c r="E210">
        <v>26</v>
      </c>
      <c r="F210" t="s">
        <v>62</v>
      </c>
      <c r="H210" t="s">
        <v>58</v>
      </c>
      <c r="I210" t="s">
        <v>38</v>
      </c>
      <c r="J210" t="s">
        <v>52</v>
      </c>
      <c r="K210">
        <v>1</v>
      </c>
      <c r="L210" t="s">
        <v>84</v>
      </c>
      <c r="M210">
        <v>31000</v>
      </c>
      <c r="N210">
        <v>8.9</v>
      </c>
      <c r="O210">
        <v>7.5</v>
      </c>
      <c r="P210">
        <v>4.8</v>
      </c>
      <c r="Q210">
        <v>4.7</v>
      </c>
      <c r="R210">
        <v>4</v>
      </c>
      <c r="S210">
        <v>3</v>
      </c>
      <c r="T210">
        <v>3</v>
      </c>
      <c r="U210" t="s">
        <v>30</v>
      </c>
      <c r="V210">
        <v>5</v>
      </c>
      <c r="W210">
        <v>1</v>
      </c>
    </row>
    <row r="211" spans="1:23" x14ac:dyDescent="0.35">
      <c r="A211" t="s">
        <v>1148</v>
      </c>
      <c r="B211" s="6">
        <v>43470</v>
      </c>
      <c r="D211" t="s">
        <v>23</v>
      </c>
      <c r="E211">
        <v>44</v>
      </c>
      <c r="F211" t="s">
        <v>24</v>
      </c>
      <c r="G211" t="s">
        <v>37</v>
      </c>
      <c r="H211" t="s">
        <v>32</v>
      </c>
      <c r="I211" t="s">
        <v>55</v>
      </c>
      <c r="J211" t="s">
        <v>56</v>
      </c>
      <c r="K211">
        <v>1</v>
      </c>
      <c r="L211" t="s">
        <v>29</v>
      </c>
      <c r="M211">
        <v>30000</v>
      </c>
      <c r="N211">
        <v>12.9</v>
      </c>
      <c r="O211">
        <v>10.4</v>
      </c>
      <c r="P211">
        <v>7</v>
      </c>
      <c r="Q211">
        <v>1.8</v>
      </c>
      <c r="R211">
        <v>2</v>
      </c>
      <c r="S211">
        <v>3</v>
      </c>
      <c r="T211">
        <v>3</v>
      </c>
      <c r="U211" t="s">
        <v>23</v>
      </c>
      <c r="V211">
        <v>3</v>
      </c>
      <c r="W211">
        <v>1</v>
      </c>
    </row>
    <row r="212" spans="1:23" x14ac:dyDescent="0.35">
      <c r="A212" t="s">
        <v>1129</v>
      </c>
      <c r="B212" s="6">
        <v>45419</v>
      </c>
      <c r="D212" t="s">
        <v>23</v>
      </c>
      <c r="E212">
        <v>33</v>
      </c>
      <c r="F212" t="s">
        <v>24</v>
      </c>
      <c r="G212" t="s">
        <v>42</v>
      </c>
      <c r="H212" t="s">
        <v>26</v>
      </c>
      <c r="I212" t="s">
        <v>68</v>
      </c>
      <c r="J212" t="s">
        <v>102</v>
      </c>
      <c r="K212">
        <v>3</v>
      </c>
      <c r="L212" t="s">
        <v>84</v>
      </c>
      <c r="M212">
        <v>83000</v>
      </c>
      <c r="N212">
        <v>4.5</v>
      </c>
      <c r="O212">
        <v>3.8</v>
      </c>
      <c r="P212">
        <v>1.7</v>
      </c>
      <c r="Q212">
        <v>1.1000000000000001</v>
      </c>
      <c r="R212">
        <v>3</v>
      </c>
      <c r="S212">
        <v>3</v>
      </c>
      <c r="T212">
        <v>3</v>
      </c>
      <c r="U212" t="s">
        <v>23</v>
      </c>
      <c r="V212">
        <v>3</v>
      </c>
      <c r="W212">
        <v>1</v>
      </c>
    </row>
    <row r="213" spans="1:23" x14ac:dyDescent="0.35">
      <c r="A213" t="s">
        <v>283</v>
      </c>
      <c r="B213" s="6">
        <v>42336</v>
      </c>
      <c r="D213" t="s">
        <v>23</v>
      </c>
      <c r="E213">
        <v>34</v>
      </c>
      <c r="F213" t="s">
        <v>24</v>
      </c>
      <c r="G213" t="s">
        <v>25</v>
      </c>
      <c r="H213" t="s">
        <v>26</v>
      </c>
      <c r="I213" t="s">
        <v>48</v>
      </c>
      <c r="J213" t="s">
        <v>201</v>
      </c>
      <c r="K213">
        <v>2</v>
      </c>
      <c r="L213" t="s">
        <v>34</v>
      </c>
      <c r="M213">
        <v>59000</v>
      </c>
      <c r="N213">
        <v>10.199999999999999</v>
      </c>
      <c r="O213">
        <v>10.9</v>
      </c>
      <c r="P213">
        <v>10.1</v>
      </c>
      <c r="Q213">
        <v>4</v>
      </c>
      <c r="R213">
        <v>2</v>
      </c>
      <c r="S213">
        <v>4</v>
      </c>
      <c r="T213">
        <v>3</v>
      </c>
      <c r="U213" t="s">
        <v>23</v>
      </c>
      <c r="V213">
        <v>4</v>
      </c>
      <c r="W213">
        <v>1</v>
      </c>
    </row>
    <row r="214" spans="1:23" x14ac:dyDescent="0.35">
      <c r="A214" t="s">
        <v>1284</v>
      </c>
      <c r="B214" s="6">
        <v>43730</v>
      </c>
      <c r="D214" t="s">
        <v>23</v>
      </c>
      <c r="E214">
        <v>29</v>
      </c>
      <c r="F214" t="s">
        <v>62</v>
      </c>
      <c r="G214" t="s">
        <v>25</v>
      </c>
      <c r="H214" t="s">
        <v>32</v>
      </c>
      <c r="I214" t="s">
        <v>59</v>
      </c>
      <c r="J214" t="s">
        <v>60</v>
      </c>
      <c r="K214">
        <v>5</v>
      </c>
      <c r="L214" t="s">
        <v>50</v>
      </c>
      <c r="M214">
        <v>146000</v>
      </c>
      <c r="N214">
        <v>6.5</v>
      </c>
      <c r="O214">
        <v>8.6999999999999993</v>
      </c>
      <c r="P214">
        <v>6.3</v>
      </c>
      <c r="Q214">
        <v>2.4</v>
      </c>
      <c r="R214">
        <v>3</v>
      </c>
      <c r="S214">
        <v>4</v>
      </c>
      <c r="T214">
        <v>1</v>
      </c>
      <c r="U214" t="s">
        <v>23</v>
      </c>
      <c r="V214">
        <v>4</v>
      </c>
      <c r="W214">
        <v>1</v>
      </c>
    </row>
    <row r="215" spans="1:23" x14ac:dyDescent="0.35">
      <c r="A215" t="s">
        <v>485</v>
      </c>
      <c r="B215" s="6">
        <v>42785</v>
      </c>
      <c r="D215" t="s">
        <v>23</v>
      </c>
      <c r="E215">
        <v>29</v>
      </c>
      <c r="F215" t="s">
        <v>62</v>
      </c>
      <c r="G215" t="s">
        <v>42</v>
      </c>
      <c r="H215" t="s">
        <v>58</v>
      </c>
      <c r="I215" t="s">
        <v>59</v>
      </c>
      <c r="J215" t="s">
        <v>60</v>
      </c>
      <c r="K215">
        <v>2</v>
      </c>
      <c r="L215" t="s">
        <v>29</v>
      </c>
      <c r="M215">
        <v>62000</v>
      </c>
      <c r="N215">
        <v>14.7</v>
      </c>
      <c r="O215">
        <v>12.2</v>
      </c>
      <c r="P215">
        <v>8.9</v>
      </c>
      <c r="Q215">
        <v>5.9</v>
      </c>
      <c r="R215">
        <v>4</v>
      </c>
      <c r="S215">
        <v>3</v>
      </c>
      <c r="T215">
        <v>4</v>
      </c>
      <c r="U215" t="s">
        <v>23</v>
      </c>
      <c r="V215">
        <v>4</v>
      </c>
      <c r="W215">
        <v>1</v>
      </c>
    </row>
    <row r="216" spans="1:23" x14ac:dyDescent="0.35">
      <c r="A216" t="s">
        <v>304</v>
      </c>
      <c r="B216" s="6">
        <v>45700</v>
      </c>
      <c r="D216" t="s">
        <v>23</v>
      </c>
      <c r="E216">
        <v>27</v>
      </c>
      <c r="F216" t="s">
        <v>36</v>
      </c>
      <c r="G216" t="s">
        <v>37</v>
      </c>
      <c r="H216" t="s">
        <v>54</v>
      </c>
      <c r="I216" t="s">
        <v>59</v>
      </c>
      <c r="J216" t="s">
        <v>75</v>
      </c>
      <c r="K216">
        <v>1</v>
      </c>
      <c r="L216" t="s">
        <v>40</v>
      </c>
      <c r="M216">
        <v>37000</v>
      </c>
      <c r="N216">
        <v>6.8</v>
      </c>
      <c r="O216">
        <v>5</v>
      </c>
      <c r="P216">
        <v>0.9</v>
      </c>
      <c r="Q216">
        <v>0</v>
      </c>
      <c r="R216">
        <v>3</v>
      </c>
      <c r="S216">
        <v>1</v>
      </c>
      <c r="T216">
        <v>3</v>
      </c>
      <c r="U216" t="s">
        <v>23</v>
      </c>
      <c r="V216">
        <v>4</v>
      </c>
      <c r="W216">
        <v>1</v>
      </c>
    </row>
    <row r="217" spans="1:23" x14ac:dyDescent="0.35">
      <c r="A217" t="s">
        <v>653</v>
      </c>
      <c r="B217" s="6">
        <v>43508</v>
      </c>
      <c r="D217" t="s">
        <v>23</v>
      </c>
      <c r="E217">
        <v>34</v>
      </c>
      <c r="F217" t="s">
        <v>24</v>
      </c>
      <c r="G217" t="s">
        <v>37</v>
      </c>
      <c r="H217" t="s">
        <v>58</v>
      </c>
      <c r="I217" t="s">
        <v>55</v>
      </c>
      <c r="J217" t="s">
        <v>56</v>
      </c>
      <c r="K217">
        <v>4</v>
      </c>
      <c r="L217" t="s">
        <v>34</v>
      </c>
      <c r="M217">
        <v>115000</v>
      </c>
      <c r="N217">
        <v>15.2</v>
      </c>
      <c r="O217">
        <v>9.6</v>
      </c>
      <c r="P217">
        <v>6.9</v>
      </c>
      <c r="Q217">
        <v>2.5</v>
      </c>
      <c r="R217">
        <v>3</v>
      </c>
      <c r="S217">
        <v>3</v>
      </c>
      <c r="T217">
        <v>3</v>
      </c>
      <c r="U217" t="s">
        <v>30</v>
      </c>
      <c r="V217">
        <v>4</v>
      </c>
      <c r="W217">
        <v>1</v>
      </c>
    </row>
    <row r="218" spans="1:23" x14ac:dyDescent="0.35">
      <c r="A218" t="s">
        <v>916</v>
      </c>
      <c r="B218" s="6">
        <v>43086</v>
      </c>
      <c r="D218" t="s">
        <v>23</v>
      </c>
      <c r="E218">
        <v>29</v>
      </c>
      <c r="F218" t="s">
        <v>36</v>
      </c>
      <c r="G218" t="s">
        <v>42</v>
      </c>
      <c r="H218" t="s">
        <v>26</v>
      </c>
      <c r="I218" t="s">
        <v>55</v>
      </c>
      <c r="J218" t="s">
        <v>80</v>
      </c>
      <c r="K218">
        <v>1</v>
      </c>
      <c r="L218" t="s">
        <v>40</v>
      </c>
      <c r="M218">
        <v>36000</v>
      </c>
      <c r="N218">
        <v>10.1</v>
      </c>
      <c r="O218">
        <v>15.4</v>
      </c>
      <c r="P218">
        <v>8</v>
      </c>
      <c r="Q218">
        <v>5.4</v>
      </c>
      <c r="R218">
        <v>2</v>
      </c>
      <c r="S218">
        <v>1</v>
      </c>
      <c r="T218">
        <v>4</v>
      </c>
      <c r="U218" t="s">
        <v>23</v>
      </c>
      <c r="V218">
        <v>3</v>
      </c>
      <c r="W218">
        <v>1</v>
      </c>
    </row>
    <row r="219" spans="1:23" x14ac:dyDescent="0.35">
      <c r="A219" t="s">
        <v>1029</v>
      </c>
      <c r="B219" s="6">
        <v>44019</v>
      </c>
      <c r="D219" t="s">
        <v>23</v>
      </c>
      <c r="E219">
        <v>38</v>
      </c>
      <c r="F219" t="s">
        <v>62</v>
      </c>
      <c r="G219" t="s">
        <v>42</v>
      </c>
      <c r="H219" t="s">
        <v>26</v>
      </c>
      <c r="I219" t="s">
        <v>55</v>
      </c>
      <c r="J219" t="s">
        <v>88</v>
      </c>
      <c r="K219">
        <v>5</v>
      </c>
      <c r="L219" t="s">
        <v>66</v>
      </c>
      <c r="M219">
        <v>197000</v>
      </c>
      <c r="N219">
        <v>8.3000000000000007</v>
      </c>
      <c r="O219">
        <v>10.6</v>
      </c>
      <c r="P219">
        <v>5.5</v>
      </c>
      <c r="Q219">
        <v>1</v>
      </c>
      <c r="R219">
        <v>3</v>
      </c>
      <c r="S219">
        <v>2</v>
      </c>
      <c r="T219">
        <v>4</v>
      </c>
      <c r="U219" t="s">
        <v>23</v>
      </c>
      <c r="V219">
        <v>4</v>
      </c>
      <c r="W219">
        <v>1</v>
      </c>
    </row>
    <row r="220" spans="1:23" x14ac:dyDescent="0.35">
      <c r="A220" t="s">
        <v>684</v>
      </c>
      <c r="B220" s="6">
        <v>45848</v>
      </c>
      <c r="D220" t="s">
        <v>23</v>
      </c>
      <c r="E220">
        <v>23</v>
      </c>
      <c r="F220" t="s">
        <v>24</v>
      </c>
      <c r="G220" t="s">
        <v>37</v>
      </c>
      <c r="H220" t="s">
        <v>26</v>
      </c>
      <c r="I220" t="s">
        <v>59</v>
      </c>
      <c r="J220" t="s">
        <v>86</v>
      </c>
      <c r="K220">
        <v>1</v>
      </c>
      <c r="L220" t="s">
        <v>34</v>
      </c>
      <c r="M220">
        <v>26000</v>
      </c>
      <c r="N220">
        <v>8.9</v>
      </c>
      <c r="O220">
        <v>4.7</v>
      </c>
      <c r="P220">
        <v>0.5</v>
      </c>
      <c r="Q220">
        <v>0</v>
      </c>
      <c r="R220">
        <v>3</v>
      </c>
      <c r="S220">
        <v>2</v>
      </c>
      <c r="T220">
        <v>4</v>
      </c>
      <c r="U220" t="s">
        <v>23</v>
      </c>
      <c r="V220">
        <v>3</v>
      </c>
      <c r="W220">
        <v>1</v>
      </c>
    </row>
    <row r="221" spans="1:23" x14ac:dyDescent="0.35">
      <c r="A221" t="s">
        <v>655</v>
      </c>
      <c r="B221" s="6">
        <v>45042</v>
      </c>
      <c r="D221" t="s">
        <v>23</v>
      </c>
      <c r="E221">
        <v>29</v>
      </c>
      <c r="F221" t="s">
        <v>36</v>
      </c>
      <c r="G221" t="s">
        <v>25</v>
      </c>
      <c r="H221" t="s">
        <v>58</v>
      </c>
      <c r="I221" t="s">
        <v>38</v>
      </c>
      <c r="J221" t="s">
        <v>39</v>
      </c>
      <c r="K221">
        <v>3</v>
      </c>
      <c r="L221" t="s">
        <v>84</v>
      </c>
      <c r="M221">
        <v>88000</v>
      </c>
      <c r="N221">
        <v>8.9</v>
      </c>
      <c r="O221">
        <v>3.7</v>
      </c>
      <c r="P221">
        <v>2.7</v>
      </c>
      <c r="Q221">
        <v>0.1</v>
      </c>
      <c r="R221">
        <v>3</v>
      </c>
      <c r="S221">
        <v>3</v>
      </c>
      <c r="T221">
        <v>3</v>
      </c>
      <c r="U221" t="s">
        <v>23</v>
      </c>
      <c r="V221">
        <v>3</v>
      </c>
      <c r="W221">
        <v>1</v>
      </c>
    </row>
    <row r="222" spans="1:23" x14ac:dyDescent="0.35">
      <c r="A222" t="s">
        <v>1101</v>
      </c>
      <c r="B222" s="6">
        <v>42969</v>
      </c>
      <c r="D222" t="s">
        <v>23</v>
      </c>
      <c r="E222">
        <v>51</v>
      </c>
      <c r="F222" t="s">
        <v>36</v>
      </c>
      <c r="G222" t="s">
        <v>25</v>
      </c>
      <c r="H222" t="s">
        <v>54</v>
      </c>
      <c r="I222" t="s">
        <v>55</v>
      </c>
      <c r="J222" t="s">
        <v>88</v>
      </c>
      <c r="K222">
        <v>3</v>
      </c>
      <c r="L222" t="s">
        <v>66</v>
      </c>
      <c r="M222">
        <v>85000</v>
      </c>
      <c r="N222">
        <v>7</v>
      </c>
      <c r="O222">
        <v>12.9</v>
      </c>
      <c r="P222">
        <v>8.4</v>
      </c>
      <c r="Q222">
        <v>5.8</v>
      </c>
      <c r="R222">
        <v>3</v>
      </c>
      <c r="S222">
        <v>4</v>
      </c>
      <c r="T222">
        <v>3</v>
      </c>
      <c r="U222" t="s">
        <v>23</v>
      </c>
      <c r="V222">
        <v>4</v>
      </c>
      <c r="W222">
        <v>1</v>
      </c>
    </row>
    <row r="223" spans="1:23" x14ac:dyDescent="0.35">
      <c r="A223" t="s">
        <v>795</v>
      </c>
      <c r="B223" s="6">
        <v>45347</v>
      </c>
      <c r="D223" t="s">
        <v>23</v>
      </c>
      <c r="E223">
        <v>38</v>
      </c>
      <c r="F223" t="s">
        <v>36</v>
      </c>
      <c r="G223" t="s">
        <v>42</v>
      </c>
      <c r="H223" t="s">
        <v>54</v>
      </c>
      <c r="I223" t="s">
        <v>38</v>
      </c>
      <c r="J223" t="s">
        <v>118</v>
      </c>
      <c r="K223">
        <v>3</v>
      </c>
      <c r="L223" t="s">
        <v>84</v>
      </c>
      <c r="M223">
        <v>103000</v>
      </c>
      <c r="N223">
        <v>11.3</v>
      </c>
      <c r="O223">
        <v>6.7</v>
      </c>
      <c r="P223">
        <v>1.8</v>
      </c>
      <c r="Q223">
        <v>1.7</v>
      </c>
      <c r="R223">
        <v>4</v>
      </c>
      <c r="S223">
        <v>3</v>
      </c>
      <c r="T223">
        <v>3</v>
      </c>
      <c r="U223" t="s">
        <v>30</v>
      </c>
      <c r="V223">
        <v>3</v>
      </c>
      <c r="W223">
        <v>1</v>
      </c>
    </row>
    <row r="224" spans="1:23" x14ac:dyDescent="0.35">
      <c r="A224" t="s">
        <v>297</v>
      </c>
      <c r="B224" s="6">
        <v>43688</v>
      </c>
      <c r="C224">
        <v>45997</v>
      </c>
      <c r="D224" t="s">
        <v>30</v>
      </c>
      <c r="E224">
        <v>37</v>
      </c>
      <c r="F224" t="s">
        <v>62</v>
      </c>
      <c r="G224" t="s">
        <v>37</v>
      </c>
      <c r="H224" t="s">
        <v>54</v>
      </c>
      <c r="I224" t="s">
        <v>55</v>
      </c>
      <c r="J224" t="s">
        <v>80</v>
      </c>
      <c r="K224">
        <v>2</v>
      </c>
      <c r="L224" t="s">
        <v>50</v>
      </c>
      <c r="M224">
        <v>72000</v>
      </c>
      <c r="N224">
        <v>12.3</v>
      </c>
      <c r="O224">
        <v>14.1</v>
      </c>
      <c r="P224">
        <v>6.3</v>
      </c>
      <c r="Q224">
        <v>5</v>
      </c>
      <c r="R224">
        <v>3</v>
      </c>
      <c r="S224">
        <v>3</v>
      </c>
      <c r="T224">
        <v>3</v>
      </c>
      <c r="U224" t="s">
        <v>23</v>
      </c>
      <c r="V224">
        <v>3</v>
      </c>
      <c r="W224">
        <v>1</v>
      </c>
    </row>
    <row r="225" spans="1:23" x14ac:dyDescent="0.35">
      <c r="A225" t="s">
        <v>433</v>
      </c>
      <c r="B225" s="6">
        <v>42231</v>
      </c>
      <c r="D225" t="s">
        <v>23</v>
      </c>
      <c r="E225">
        <v>40</v>
      </c>
      <c r="F225" t="s">
        <v>62</v>
      </c>
      <c r="G225" t="s">
        <v>42</v>
      </c>
      <c r="H225" t="s">
        <v>58</v>
      </c>
      <c r="I225" t="s">
        <v>68</v>
      </c>
      <c r="J225" t="s">
        <v>69</v>
      </c>
      <c r="K225">
        <v>3</v>
      </c>
      <c r="L225" t="s">
        <v>29</v>
      </c>
      <c r="M225">
        <v>87000</v>
      </c>
      <c r="N225">
        <v>14.5</v>
      </c>
      <c r="O225">
        <v>12.8</v>
      </c>
      <c r="P225">
        <v>10.4</v>
      </c>
      <c r="Q225">
        <v>0.9</v>
      </c>
      <c r="R225">
        <v>3</v>
      </c>
      <c r="S225">
        <v>4</v>
      </c>
      <c r="T225">
        <v>4</v>
      </c>
      <c r="U225" t="s">
        <v>30</v>
      </c>
      <c r="V225">
        <v>4</v>
      </c>
      <c r="W225">
        <v>1</v>
      </c>
    </row>
    <row r="226" spans="1:23" x14ac:dyDescent="0.35">
      <c r="A226" t="s">
        <v>53</v>
      </c>
      <c r="B226" s="6">
        <v>41650</v>
      </c>
      <c r="D226" t="s">
        <v>23</v>
      </c>
      <c r="E226">
        <v>32</v>
      </c>
      <c r="F226" t="s">
        <v>24</v>
      </c>
      <c r="G226" t="s">
        <v>25</v>
      </c>
      <c r="H226" t="s">
        <v>54</v>
      </c>
      <c r="I226" t="s">
        <v>55</v>
      </c>
      <c r="J226" t="s">
        <v>56</v>
      </c>
      <c r="K226">
        <v>3</v>
      </c>
      <c r="L226" t="s">
        <v>29</v>
      </c>
      <c r="M226">
        <v>91000</v>
      </c>
      <c r="N226">
        <v>13.8</v>
      </c>
      <c r="O226">
        <v>12.3</v>
      </c>
      <c r="P226">
        <v>12</v>
      </c>
      <c r="Q226">
        <v>4.2</v>
      </c>
      <c r="R226">
        <v>3</v>
      </c>
      <c r="S226">
        <v>3</v>
      </c>
      <c r="T226">
        <v>2</v>
      </c>
      <c r="U226" t="s">
        <v>30</v>
      </c>
      <c r="V226">
        <v>4</v>
      </c>
      <c r="W226">
        <v>1</v>
      </c>
    </row>
    <row r="227" spans="1:23" x14ac:dyDescent="0.35">
      <c r="A227" t="s">
        <v>464</v>
      </c>
      <c r="B227" s="6">
        <v>42321</v>
      </c>
      <c r="C227">
        <v>45723</v>
      </c>
      <c r="D227" t="s">
        <v>30</v>
      </c>
      <c r="E227">
        <v>36</v>
      </c>
      <c r="F227" t="s">
        <v>36</v>
      </c>
      <c r="G227" t="s">
        <v>25</v>
      </c>
      <c r="H227" t="s">
        <v>26</v>
      </c>
      <c r="I227" t="s">
        <v>68</v>
      </c>
      <c r="J227" t="s">
        <v>69</v>
      </c>
      <c r="K227">
        <v>4</v>
      </c>
      <c r="L227" t="s">
        <v>40</v>
      </c>
      <c r="M227">
        <v>107000</v>
      </c>
      <c r="N227">
        <v>9.1</v>
      </c>
      <c r="O227">
        <v>15.2</v>
      </c>
      <c r="P227">
        <v>9.3000000000000007</v>
      </c>
      <c r="Q227">
        <v>4.4000000000000004</v>
      </c>
      <c r="R227">
        <v>2</v>
      </c>
      <c r="S227">
        <v>3</v>
      </c>
      <c r="T227">
        <v>4</v>
      </c>
      <c r="U227" t="s">
        <v>23</v>
      </c>
      <c r="V227">
        <v>5</v>
      </c>
      <c r="W227">
        <v>1</v>
      </c>
    </row>
    <row r="228" spans="1:23" x14ac:dyDescent="0.35">
      <c r="A228" t="s">
        <v>1096</v>
      </c>
      <c r="B228" s="6">
        <v>44601</v>
      </c>
      <c r="D228" t="s">
        <v>23</v>
      </c>
      <c r="E228">
        <v>34</v>
      </c>
      <c r="F228" t="s">
        <v>62</v>
      </c>
      <c r="G228" t="s">
        <v>37</v>
      </c>
      <c r="H228" t="s">
        <v>54</v>
      </c>
      <c r="I228" t="s">
        <v>68</v>
      </c>
      <c r="J228" t="s">
        <v>109</v>
      </c>
      <c r="K228">
        <v>3</v>
      </c>
      <c r="L228" t="s">
        <v>40</v>
      </c>
      <c r="M228">
        <v>77000</v>
      </c>
      <c r="N228">
        <v>3.6</v>
      </c>
      <c r="O228">
        <v>6.2</v>
      </c>
      <c r="P228">
        <v>3.9</v>
      </c>
      <c r="Q228">
        <v>3.3</v>
      </c>
      <c r="R228">
        <v>3</v>
      </c>
      <c r="S228">
        <v>3</v>
      </c>
      <c r="T228">
        <v>4</v>
      </c>
      <c r="U228" t="s">
        <v>23</v>
      </c>
      <c r="V228">
        <v>4</v>
      </c>
      <c r="W228">
        <v>1</v>
      </c>
    </row>
    <row r="229" spans="1:23" x14ac:dyDescent="0.35">
      <c r="A229" t="s">
        <v>1246</v>
      </c>
      <c r="B229" s="6">
        <v>44282</v>
      </c>
      <c r="D229" t="s">
        <v>23</v>
      </c>
      <c r="E229">
        <v>38</v>
      </c>
      <c r="F229" t="s">
        <v>36</v>
      </c>
      <c r="G229" t="s">
        <v>37</v>
      </c>
      <c r="H229" t="s">
        <v>58</v>
      </c>
      <c r="I229" t="s">
        <v>27</v>
      </c>
      <c r="J229" t="s">
        <v>43</v>
      </c>
      <c r="K229">
        <v>4</v>
      </c>
      <c r="L229" t="s">
        <v>29</v>
      </c>
      <c r="M229">
        <v>125000</v>
      </c>
      <c r="N229">
        <v>7.8</v>
      </c>
      <c r="O229">
        <v>5.9</v>
      </c>
      <c r="P229">
        <v>4.8</v>
      </c>
      <c r="Q229">
        <v>1</v>
      </c>
      <c r="R229">
        <v>1</v>
      </c>
      <c r="S229">
        <v>3</v>
      </c>
      <c r="T229">
        <v>3</v>
      </c>
      <c r="U229" t="s">
        <v>23</v>
      </c>
      <c r="V229">
        <v>5</v>
      </c>
      <c r="W229">
        <v>1</v>
      </c>
    </row>
    <row r="230" spans="1:23" x14ac:dyDescent="0.35">
      <c r="A230" t="s">
        <v>1174</v>
      </c>
      <c r="B230" s="6">
        <v>43216</v>
      </c>
      <c r="C230">
        <v>45798</v>
      </c>
      <c r="D230" t="s">
        <v>30</v>
      </c>
      <c r="E230">
        <v>35</v>
      </c>
      <c r="F230" t="s">
        <v>24</v>
      </c>
      <c r="G230" t="s">
        <v>37</v>
      </c>
      <c r="H230" t="s">
        <v>54</v>
      </c>
      <c r="I230" t="s">
        <v>55</v>
      </c>
      <c r="J230" t="s">
        <v>56</v>
      </c>
      <c r="K230">
        <v>3</v>
      </c>
      <c r="L230" t="s">
        <v>29</v>
      </c>
      <c r="M230">
        <v>104000</v>
      </c>
      <c r="N230">
        <v>8.6</v>
      </c>
      <c r="O230">
        <v>8.6999999999999993</v>
      </c>
      <c r="P230">
        <v>7.1</v>
      </c>
      <c r="Q230">
        <v>4.5999999999999996</v>
      </c>
      <c r="R230">
        <v>3</v>
      </c>
      <c r="S230">
        <v>3</v>
      </c>
      <c r="T230">
        <v>2</v>
      </c>
      <c r="U230" t="s">
        <v>30</v>
      </c>
      <c r="V230">
        <v>4</v>
      </c>
      <c r="W230">
        <v>1</v>
      </c>
    </row>
    <row r="231" spans="1:23" x14ac:dyDescent="0.35">
      <c r="A231" t="s">
        <v>1506</v>
      </c>
      <c r="B231" s="6">
        <v>43873</v>
      </c>
      <c r="D231" t="s">
        <v>23</v>
      </c>
      <c r="E231">
        <v>37</v>
      </c>
      <c r="F231" t="s">
        <v>24</v>
      </c>
      <c r="G231" t="s">
        <v>25</v>
      </c>
      <c r="H231" t="s">
        <v>32</v>
      </c>
      <c r="I231" t="s">
        <v>48</v>
      </c>
      <c r="J231" t="s">
        <v>201</v>
      </c>
      <c r="K231">
        <v>2</v>
      </c>
      <c r="L231" t="s">
        <v>40</v>
      </c>
      <c r="M231">
        <v>57000</v>
      </c>
      <c r="N231">
        <v>7.2</v>
      </c>
      <c r="O231">
        <v>13.5</v>
      </c>
      <c r="P231">
        <v>5.9</v>
      </c>
      <c r="Q231">
        <v>5.3</v>
      </c>
      <c r="R231">
        <v>3</v>
      </c>
      <c r="S231">
        <v>4</v>
      </c>
      <c r="T231">
        <v>3</v>
      </c>
      <c r="U231" t="s">
        <v>30</v>
      </c>
      <c r="V231">
        <v>1</v>
      </c>
      <c r="W231">
        <v>1</v>
      </c>
    </row>
    <row r="232" spans="1:23" x14ac:dyDescent="0.35">
      <c r="A232" t="s">
        <v>661</v>
      </c>
      <c r="B232" s="6">
        <v>45474</v>
      </c>
      <c r="C232">
        <v>45681</v>
      </c>
      <c r="D232" t="s">
        <v>30</v>
      </c>
      <c r="E232">
        <v>41</v>
      </c>
      <c r="F232" t="s">
        <v>62</v>
      </c>
      <c r="G232" t="s">
        <v>37</v>
      </c>
      <c r="H232" t="s">
        <v>58</v>
      </c>
      <c r="I232" t="s">
        <v>45</v>
      </c>
      <c r="J232" t="s">
        <v>77</v>
      </c>
      <c r="K232">
        <v>2</v>
      </c>
      <c r="L232" t="s">
        <v>34</v>
      </c>
      <c r="M232">
        <v>40000</v>
      </c>
      <c r="N232">
        <v>9.5</v>
      </c>
      <c r="O232">
        <v>3</v>
      </c>
      <c r="P232">
        <v>0.6</v>
      </c>
      <c r="Q232">
        <v>0</v>
      </c>
      <c r="R232">
        <v>3</v>
      </c>
      <c r="S232">
        <v>3</v>
      </c>
      <c r="T232">
        <v>3</v>
      </c>
      <c r="U232" t="s">
        <v>23</v>
      </c>
      <c r="V232">
        <v>3</v>
      </c>
      <c r="W232">
        <v>1</v>
      </c>
    </row>
    <row r="233" spans="1:23" x14ac:dyDescent="0.35">
      <c r="A233" t="s">
        <v>1059</v>
      </c>
      <c r="B233" s="6">
        <v>42037</v>
      </c>
      <c r="D233" t="s">
        <v>23</v>
      </c>
      <c r="E233">
        <v>41</v>
      </c>
      <c r="F233" t="s">
        <v>62</v>
      </c>
      <c r="G233" t="s">
        <v>25</v>
      </c>
      <c r="H233" t="s">
        <v>26</v>
      </c>
      <c r="I233" t="s">
        <v>68</v>
      </c>
      <c r="J233" t="s">
        <v>109</v>
      </c>
      <c r="K233">
        <v>2</v>
      </c>
      <c r="L233" t="s">
        <v>34</v>
      </c>
      <c r="M233">
        <v>39000</v>
      </c>
      <c r="N233">
        <v>6.8</v>
      </c>
      <c r="O233">
        <v>18.8</v>
      </c>
      <c r="P233">
        <v>10.9</v>
      </c>
      <c r="Q233">
        <v>1.3</v>
      </c>
      <c r="R233">
        <v>1</v>
      </c>
      <c r="S233">
        <v>1</v>
      </c>
      <c r="T233">
        <v>3</v>
      </c>
      <c r="U233" t="s">
        <v>23</v>
      </c>
      <c r="V233">
        <v>2</v>
      </c>
      <c r="W233">
        <v>1</v>
      </c>
    </row>
    <row r="234" spans="1:23" x14ac:dyDescent="0.35">
      <c r="A234" t="s">
        <v>773</v>
      </c>
      <c r="B234" s="6">
        <v>43250</v>
      </c>
      <c r="C234">
        <v>45668</v>
      </c>
      <c r="D234" t="s">
        <v>30</v>
      </c>
      <c r="E234">
        <v>44</v>
      </c>
      <c r="F234" t="s">
        <v>62</v>
      </c>
      <c r="G234" t="s">
        <v>37</v>
      </c>
      <c r="H234" t="s">
        <v>32</v>
      </c>
      <c r="I234" t="s">
        <v>45</v>
      </c>
      <c r="J234" t="s">
        <v>77</v>
      </c>
      <c r="K234">
        <v>3</v>
      </c>
      <c r="L234" t="s">
        <v>29</v>
      </c>
      <c r="M234">
        <v>71000</v>
      </c>
      <c r="N234">
        <v>6.8</v>
      </c>
      <c r="O234">
        <v>7</v>
      </c>
      <c r="P234">
        <v>6.6</v>
      </c>
      <c r="Q234">
        <v>0.7</v>
      </c>
      <c r="R234">
        <v>1</v>
      </c>
      <c r="S234">
        <v>3</v>
      </c>
      <c r="T234">
        <v>2</v>
      </c>
      <c r="U234" t="s">
        <v>23</v>
      </c>
      <c r="V234">
        <v>3</v>
      </c>
      <c r="W234">
        <v>1</v>
      </c>
    </row>
    <row r="235" spans="1:23" x14ac:dyDescent="0.35">
      <c r="A235" t="s">
        <v>163</v>
      </c>
      <c r="B235" s="6">
        <v>45616</v>
      </c>
      <c r="D235" t="s">
        <v>23</v>
      </c>
      <c r="E235">
        <v>23</v>
      </c>
      <c r="F235" t="s">
        <v>24</v>
      </c>
      <c r="G235" t="s">
        <v>42</v>
      </c>
      <c r="H235" t="s">
        <v>26</v>
      </c>
      <c r="I235" t="s">
        <v>45</v>
      </c>
      <c r="J235" t="s">
        <v>164</v>
      </c>
      <c r="K235">
        <v>1</v>
      </c>
      <c r="L235" t="s">
        <v>50</v>
      </c>
      <c r="M235">
        <v>22000</v>
      </c>
      <c r="N235">
        <v>10.8</v>
      </c>
      <c r="O235">
        <v>6</v>
      </c>
      <c r="P235">
        <v>1.1000000000000001</v>
      </c>
      <c r="Q235">
        <v>0.2</v>
      </c>
      <c r="R235">
        <v>3</v>
      </c>
      <c r="S235">
        <v>4</v>
      </c>
      <c r="T235">
        <v>2</v>
      </c>
      <c r="U235" t="s">
        <v>23</v>
      </c>
      <c r="V235">
        <v>4</v>
      </c>
      <c r="W235">
        <v>1</v>
      </c>
    </row>
    <row r="236" spans="1:23" x14ac:dyDescent="0.35">
      <c r="A236" t="s">
        <v>73</v>
      </c>
      <c r="B236" s="6">
        <v>44645</v>
      </c>
      <c r="D236" t="s">
        <v>23</v>
      </c>
      <c r="E236">
        <v>26</v>
      </c>
      <c r="F236" t="s">
        <v>62</v>
      </c>
      <c r="G236" t="s">
        <v>42</v>
      </c>
      <c r="H236" t="s">
        <v>58</v>
      </c>
      <c r="I236" t="s">
        <v>48</v>
      </c>
      <c r="J236" t="s">
        <v>49</v>
      </c>
      <c r="K236">
        <v>1</v>
      </c>
      <c r="L236" t="s">
        <v>40</v>
      </c>
      <c r="M236">
        <v>41000</v>
      </c>
      <c r="N236">
        <v>10</v>
      </c>
      <c r="O236">
        <v>6.6</v>
      </c>
      <c r="P236">
        <v>3.8</v>
      </c>
      <c r="Q236">
        <v>1.6</v>
      </c>
      <c r="R236">
        <v>4</v>
      </c>
      <c r="S236">
        <v>2</v>
      </c>
      <c r="T236">
        <v>3</v>
      </c>
      <c r="U236" t="s">
        <v>23</v>
      </c>
      <c r="V236">
        <v>5</v>
      </c>
      <c r="W236">
        <v>1</v>
      </c>
    </row>
    <row r="237" spans="1:23" x14ac:dyDescent="0.35">
      <c r="A237" t="s">
        <v>689</v>
      </c>
      <c r="B237" s="6">
        <v>45005</v>
      </c>
      <c r="D237" t="s">
        <v>23</v>
      </c>
      <c r="E237">
        <v>24</v>
      </c>
      <c r="F237" t="s">
        <v>36</v>
      </c>
      <c r="G237" t="s">
        <v>25</v>
      </c>
      <c r="H237" t="s">
        <v>32</v>
      </c>
      <c r="I237" t="s">
        <v>38</v>
      </c>
      <c r="J237" t="s">
        <v>118</v>
      </c>
      <c r="K237">
        <v>1</v>
      </c>
      <c r="L237" t="s">
        <v>34</v>
      </c>
      <c r="M237">
        <v>46000</v>
      </c>
      <c r="N237">
        <v>11.6</v>
      </c>
      <c r="O237">
        <v>4</v>
      </c>
      <c r="P237">
        <v>2.8</v>
      </c>
      <c r="Q237">
        <v>0.3</v>
      </c>
      <c r="R237">
        <v>4</v>
      </c>
      <c r="S237">
        <v>3</v>
      </c>
      <c r="T237">
        <v>3</v>
      </c>
      <c r="U237" t="s">
        <v>23</v>
      </c>
      <c r="V237">
        <v>2</v>
      </c>
      <c r="W237">
        <v>1</v>
      </c>
    </row>
    <row r="238" spans="1:23" x14ac:dyDescent="0.35">
      <c r="A238" t="s">
        <v>496</v>
      </c>
      <c r="B238" s="6">
        <v>45486</v>
      </c>
      <c r="D238" t="s">
        <v>23</v>
      </c>
      <c r="E238">
        <v>46</v>
      </c>
      <c r="F238" t="s">
        <v>24</v>
      </c>
      <c r="G238" t="s">
        <v>37</v>
      </c>
      <c r="H238" t="s">
        <v>32</v>
      </c>
      <c r="I238" t="s">
        <v>68</v>
      </c>
      <c r="J238" t="s">
        <v>69</v>
      </c>
      <c r="K238">
        <v>3</v>
      </c>
      <c r="L238" t="s">
        <v>29</v>
      </c>
      <c r="M238">
        <v>67000</v>
      </c>
      <c r="N238">
        <v>2.9</v>
      </c>
      <c r="O238">
        <v>7.9</v>
      </c>
      <c r="P238">
        <v>1.5</v>
      </c>
      <c r="Q238">
        <v>0.5</v>
      </c>
      <c r="R238">
        <v>1</v>
      </c>
      <c r="S238">
        <v>3</v>
      </c>
      <c r="T238">
        <v>2</v>
      </c>
      <c r="U238" t="s">
        <v>30</v>
      </c>
      <c r="V238">
        <v>4</v>
      </c>
      <c r="W238">
        <v>1</v>
      </c>
    </row>
    <row r="239" spans="1:23" x14ac:dyDescent="0.35">
      <c r="A239" t="s">
        <v>691</v>
      </c>
      <c r="B239" s="6">
        <v>42090</v>
      </c>
      <c r="D239" t="s">
        <v>23</v>
      </c>
      <c r="E239">
        <v>33</v>
      </c>
      <c r="F239" t="s">
        <v>36</v>
      </c>
      <c r="G239" t="s">
        <v>25</v>
      </c>
      <c r="H239" t="s">
        <v>54</v>
      </c>
      <c r="I239" t="s">
        <v>45</v>
      </c>
      <c r="J239" t="s">
        <v>97</v>
      </c>
      <c r="K239">
        <v>2</v>
      </c>
      <c r="L239" t="s">
        <v>34</v>
      </c>
      <c r="M239">
        <v>52000</v>
      </c>
      <c r="N239">
        <v>8</v>
      </c>
      <c r="O239">
        <v>13.7</v>
      </c>
      <c r="P239">
        <v>10.8</v>
      </c>
      <c r="Q239">
        <v>2.1</v>
      </c>
      <c r="R239">
        <v>3</v>
      </c>
      <c r="S239">
        <v>2</v>
      </c>
      <c r="T239">
        <v>3</v>
      </c>
      <c r="U239" t="s">
        <v>23</v>
      </c>
      <c r="V239">
        <v>3</v>
      </c>
      <c r="W239">
        <v>1</v>
      </c>
    </row>
    <row r="240" spans="1:23" x14ac:dyDescent="0.35">
      <c r="A240" t="s">
        <v>1378</v>
      </c>
      <c r="B240" s="6">
        <v>45760</v>
      </c>
      <c r="D240" t="s">
        <v>23</v>
      </c>
      <c r="E240">
        <v>24</v>
      </c>
      <c r="F240" t="s">
        <v>24</v>
      </c>
      <c r="G240" t="s">
        <v>25</v>
      </c>
      <c r="H240" t="s">
        <v>54</v>
      </c>
      <c r="I240" t="s">
        <v>45</v>
      </c>
      <c r="J240" t="s">
        <v>97</v>
      </c>
      <c r="K240">
        <v>1</v>
      </c>
      <c r="L240" t="s">
        <v>84</v>
      </c>
      <c r="M240">
        <v>44000</v>
      </c>
      <c r="N240">
        <v>8.6999999999999993</v>
      </c>
      <c r="O240">
        <v>2</v>
      </c>
      <c r="P240">
        <v>0.7</v>
      </c>
      <c r="Q240">
        <v>0</v>
      </c>
      <c r="R240">
        <v>1</v>
      </c>
      <c r="S240">
        <v>3</v>
      </c>
      <c r="T240">
        <v>4</v>
      </c>
      <c r="U240" t="s">
        <v>23</v>
      </c>
      <c r="V240">
        <v>4</v>
      </c>
      <c r="W240">
        <v>1</v>
      </c>
    </row>
    <row r="241" spans="1:23" x14ac:dyDescent="0.35">
      <c r="A241" t="s">
        <v>1555</v>
      </c>
      <c r="B241" s="6">
        <v>42153</v>
      </c>
      <c r="D241" t="s">
        <v>23</v>
      </c>
      <c r="E241">
        <v>35</v>
      </c>
      <c r="F241" t="s">
        <v>24</v>
      </c>
      <c r="G241" t="s">
        <v>25</v>
      </c>
      <c r="H241" t="s">
        <v>32</v>
      </c>
      <c r="I241" t="s">
        <v>27</v>
      </c>
      <c r="J241" t="s">
        <v>43</v>
      </c>
      <c r="K241">
        <v>4</v>
      </c>
      <c r="L241" t="s">
        <v>29</v>
      </c>
      <c r="M241">
        <v>110000</v>
      </c>
      <c r="N241">
        <v>11.3</v>
      </c>
      <c r="O241">
        <v>14.5</v>
      </c>
      <c r="P241">
        <v>10.6</v>
      </c>
      <c r="Q241">
        <v>5.3</v>
      </c>
      <c r="R241">
        <v>4</v>
      </c>
      <c r="S241">
        <v>3</v>
      </c>
      <c r="T241">
        <v>2</v>
      </c>
      <c r="U241" t="s">
        <v>23</v>
      </c>
      <c r="V241">
        <v>4</v>
      </c>
      <c r="W241">
        <v>1</v>
      </c>
    </row>
    <row r="242" spans="1:23" x14ac:dyDescent="0.35">
      <c r="A242" t="s">
        <v>1477</v>
      </c>
      <c r="B242" s="6">
        <v>42972</v>
      </c>
      <c r="D242" t="s">
        <v>23</v>
      </c>
      <c r="E242">
        <v>37</v>
      </c>
      <c r="F242" t="s">
        <v>62</v>
      </c>
      <c r="G242" t="s">
        <v>37</v>
      </c>
      <c r="H242" t="s">
        <v>26</v>
      </c>
      <c r="I242" t="s">
        <v>59</v>
      </c>
      <c r="J242" t="s">
        <v>150</v>
      </c>
      <c r="K242">
        <v>3</v>
      </c>
      <c r="L242" t="s">
        <v>29</v>
      </c>
      <c r="M242">
        <v>87000</v>
      </c>
      <c r="N242">
        <v>9.8000000000000007</v>
      </c>
      <c r="O242">
        <v>12.2</v>
      </c>
      <c r="P242">
        <v>8.4</v>
      </c>
      <c r="Q242">
        <v>4</v>
      </c>
      <c r="R242">
        <v>3</v>
      </c>
      <c r="S242">
        <v>3</v>
      </c>
      <c r="T242">
        <v>2</v>
      </c>
      <c r="U242" t="s">
        <v>23</v>
      </c>
      <c r="V242">
        <v>4</v>
      </c>
      <c r="W242">
        <v>1</v>
      </c>
    </row>
    <row r="243" spans="1:23" x14ac:dyDescent="0.35">
      <c r="A243" t="s">
        <v>1081</v>
      </c>
      <c r="B243" s="6">
        <v>42198</v>
      </c>
      <c r="D243" t="s">
        <v>23</v>
      </c>
      <c r="E243">
        <v>32</v>
      </c>
      <c r="F243" t="s">
        <v>24</v>
      </c>
      <c r="G243" t="s">
        <v>37</v>
      </c>
      <c r="H243" t="s">
        <v>54</v>
      </c>
      <c r="I243" t="s">
        <v>55</v>
      </c>
      <c r="J243" t="s">
        <v>80</v>
      </c>
      <c r="K243">
        <v>4</v>
      </c>
      <c r="L243" t="s">
        <v>34</v>
      </c>
      <c r="M243">
        <v>142000</v>
      </c>
      <c r="N243">
        <v>6.3</v>
      </c>
      <c r="O243">
        <v>18.2</v>
      </c>
      <c r="P243">
        <v>10.5</v>
      </c>
      <c r="Q243">
        <v>0.3</v>
      </c>
      <c r="R243">
        <v>3</v>
      </c>
      <c r="S243">
        <v>2</v>
      </c>
      <c r="T243">
        <v>3</v>
      </c>
      <c r="U243" t="s">
        <v>30</v>
      </c>
      <c r="V243">
        <v>3</v>
      </c>
      <c r="W243">
        <v>1</v>
      </c>
    </row>
    <row r="244" spans="1:23" x14ac:dyDescent="0.35">
      <c r="A244" t="s">
        <v>1467</v>
      </c>
      <c r="B244" s="6">
        <v>43783</v>
      </c>
      <c r="D244" t="s">
        <v>23</v>
      </c>
      <c r="E244">
        <v>33</v>
      </c>
      <c r="F244" t="s">
        <v>62</v>
      </c>
      <c r="G244" t="s">
        <v>25</v>
      </c>
      <c r="H244" t="s">
        <v>58</v>
      </c>
      <c r="I244" t="s">
        <v>59</v>
      </c>
      <c r="J244" t="s">
        <v>60</v>
      </c>
      <c r="K244">
        <v>1</v>
      </c>
      <c r="L244" t="s">
        <v>66</v>
      </c>
      <c r="M244">
        <v>22000</v>
      </c>
      <c r="N244">
        <v>9.5</v>
      </c>
      <c r="O244">
        <v>6.3</v>
      </c>
      <c r="P244">
        <v>6.1</v>
      </c>
      <c r="Q244">
        <v>2.4</v>
      </c>
      <c r="R244">
        <v>4</v>
      </c>
      <c r="S244">
        <v>1</v>
      </c>
      <c r="T244">
        <v>3</v>
      </c>
      <c r="U244" t="s">
        <v>23</v>
      </c>
      <c r="V244">
        <v>4</v>
      </c>
      <c r="W244">
        <v>1</v>
      </c>
    </row>
    <row r="245" spans="1:23" x14ac:dyDescent="0.35">
      <c r="A245" t="s">
        <v>1395</v>
      </c>
      <c r="B245" s="6">
        <v>43963</v>
      </c>
      <c r="D245" t="s">
        <v>23</v>
      </c>
      <c r="E245">
        <v>39</v>
      </c>
      <c r="F245" t="s">
        <v>36</v>
      </c>
      <c r="G245" t="s">
        <v>25</v>
      </c>
      <c r="H245" t="s">
        <v>54</v>
      </c>
      <c r="I245" t="s">
        <v>27</v>
      </c>
      <c r="J245" t="s">
        <v>95</v>
      </c>
      <c r="K245">
        <v>3</v>
      </c>
      <c r="L245" t="s">
        <v>50</v>
      </c>
      <c r="M245">
        <v>68000</v>
      </c>
      <c r="N245">
        <v>7.2</v>
      </c>
      <c r="O245">
        <v>12.4</v>
      </c>
      <c r="P245">
        <v>5.6</v>
      </c>
      <c r="Q245">
        <v>1.9</v>
      </c>
      <c r="R245">
        <v>4</v>
      </c>
      <c r="S245">
        <v>4</v>
      </c>
      <c r="T245">
        <v>3</v>
      </c>
      <c r="U245" t="s">
        <v>23</v>
      </c>
      <c r="V245">
        <v>4</v>
      </c>
      <c r="W245">
        <v>1</v>
      </c>
    </row>
    <row r="246" spans="1:23" x14ac:dyDescent="0.35">
      <c r="A246" t="s">
        <v>1576</v>
      </c>
      <c r="B246" s="6">
        <v>44655</v>
      </c>
      <c r="D246" t="s">
        <v>23</v>
      </c>
      <c r="E246">
        <v>30</v>
      </c>
      <c r="F246" t="s">
        <v>62</v>
      </c>
      <c r="G246" t="s">
        <v>25</v>
      </c>
      <c r="H246" t="s">
        <v>54</v>
      </c>
      <c r="I246" t="s">
        <v>38</v>
      </c>
      <c r="J246" t="s">
        <v>139</v>
      </c>
      <c r="K246">
        <v>1</v>
      </c>
      <c r="L246" t="s">
        <v>50</v>
      </c>
      <c r="M246">
        <v>22000</v>
      </c>
      <c r="N246">
        <v>2.7</v>
      </c>
      <c r="O246">
        <v>6.7</v>
      </c>
      <c r="P246">
        <v>3.7</v>
      </c>
      <c r="Q246">
        <v>0.4</v>
      </c>
      <c r="R246">
        <v>4</v>
      </c>
      <c r="S246">
        <v>4</v>
      </c>
      <c r="T246">
        <v>3</v>
      </c>
      <c r="U246" t="s">
        <v>23</v>
      </c>
      <c r="V246">
        <v>4</v>
      </c>
      <c r="W246">
        <v>1</v>
      </c>
    </row>
    <row r="247" spans="1:23" x14ac:dyDescent="0.35">
      <c r="A247" t="s">
        <v>452</v>
      </c>
      <c r="B247" s="6">
        <v>41938</v>
      </c>
      <c r="D247" t="s">
        <v>23</v>
      </c>
      <c r="E247">
        <v>39</v>
      </c>
      <c r="F247" t="s">
        <v>62</v>
      </c>
      <c r="G247" t="s">
        <v>37</v>
      </c>
      <c r="H247" t="s">
        <v>54</v>
      </c>
      <c r="I247" t="s">
        <v>68</v>
      </c>
      <c r="J247" t="s">
        <v>109</v>
      </c>
      <c r="K247">
        <v>2</v>
      </c>
      <c r="L247" t="s">
        <v>34</v>
      </c>
      <c r="M247">
        <v>57000</v>
      </c>
      <c r="N247">
        <v>5.0999999999999996</v>
      </c>
      <c r="O247">
        <v>16.899999999999999</v>
      </c>
      <c r="P247">
        <v>11.2</v>
      </c>
      <c r="Q247">
        <v>0.6</v>
      </c>
      <c r="R247">
        <v>3</v>
      </c>
      <c r="S247">
        <v>3</v>
      </c>
      <c r="T247">
        <v>4</v>
      </c>
      <c r="U247" t="s">
        <v>23</v>
      </c>
      <c r="V247">
        <v>4</v>
      </c>
      <c r="W247">
        <v>1</v>
      </c>
    </row>
    <row r="248" spans="1:23" x14ac:dyDescent="0.35">
      <c r="A248" t="s">
        <v>1337</v>
      </c>
      <c r="B248" s="6">
        <v>45894</v>
      </c>
      <c r="D248" t="s">
        <v>23</v>
      </c>
      <c r="E248">
        <v>33</v>
      </c>
      <c r="F248" t="s">
        <v>24</v>
      </c>
      <c r="G248" t="s">
        <v>25</v>
      </c>
      <c r="H248" t="s">
        <v>32</v>
      </c>
      <c r="I248" t="s">
        <v>45</v>
      </c>
      <c r="J248" t="s">
        <v>97</v>
      </c>
      <c r="K248">
        <v>5</v>
      </c>
      <c r="L248" t="s">
        <v>50</v>
      </c>
      <c r="M248">
        <v>134000</v>
      </c>
      <c r="N248">
        <v>15</v>
      </c>
      <c r="O248">
        <v>5</v>
      </c>
      <c r="P248">
        <v>0.4</v>
      </c>
      <c r="Q248">
        <v>0</v>
      </c>
      <c r="R248">
        <v>3</v>
      </c>
      <c r="S248">
        <v>4</v>
      </c>
      <c r="T248">
        <v>4</v>
      </c>
      <c r="U248" t="s">
        <v>23</v>
      </c>
      <c r="V248">
        <v>4</v>
      </c>
      <c r="W248">
        <v>1</v>
      </c>
    </row>
    <row r="249" spans="1:23" x14ac:dyDescent="0.35">
      <c r="A249" t="s">
        <v>910</v>
      </c>
      <c r="B249" s="6">
        <v>44410</v>
      </c>
      <c r="D249" t="s">
        <v>23</v>
      </c>
      <c r="E249">
        <v>31</v>
      </c>
      <c r="F249" t="s">
        <v>36</v>
      </c>
      <c r="G249" t="s">
        <v>25</v>
      </c>
      <c r="H249" t="s">
        <v>58</v>
      </c>
      <c r="I249" t="s">
        <v>48</v>
      </c>
      <c r="J249" t="s">
        <v>129</v>
      </c>
      <c r="K249">
        <v>3</v>
      </c>
      <c r="L249" t="s">
        <v>29</v>
      </c>
      <c r="M249">
        <v>80000</v>
      </c>
      <c r="N249">
        <v>9.8000000000000007</v>
      </c>
      <c r="O249">
        <v>6.6</v>
      </c>
      <c r="P249">
        <v>4.4000000000000004</v>
      </c>
      <c r="Q249">
        <v>4.2</v>
      </c>
      <c r="R249">
        <v>4</v>
      </c>
      <c r="S249">
        <v>4</v>
      </c>
      <c r="T249">
        <v>3</v>
      </c>
      <c r="U249" t="s">
        <v>23</v>
      </c>
      <c r="V249">
        <v>2</v>
      </c>
      <c r="W249">
        <v>1</v>
      </c>
    </row>
    <row r="250" spans="1:23" x14ac:dyDescent="0.35">
      <c r="A250" t="s">
        <v>475</v>
      </c>
      <c r="B250" s="6">
        <v>42257</v>
      </c>
      <c r="D250" t="s">
        <v>23</v>
      </c>
      <c r="E250">
        <v>31</v>
      </c>
      <c r="F250" t="s">
        <v>24</v>
      </c>
      <c r="G250" t="s">
        <v>25</v>
      </c>
      <c r="H250" t="s">
        <v>58</v>
      </c>
      <c r="I250" t="s">
        <v>27</v>
      </c>
      <c r="J250" t="s">
        <v>28</v>
      </c>
      <c r="K250">
        <v>3</v>
      </c>
      <c r="L250" t="s">
        <v>29</v>
      </c>
      <c r="M250">
        <v>67000</v>
      </c>
      <c r="N250">
        <v>5</v>
      </c>
      <c r="O250">
        <v>12.6</v>
      </c>
      <c r="P250">
        <v>10.3</v>
      </c>
      <c r="Q250">
        <v>2.1</v>
      </c>
      <c r="R250">
        <v>2</v>
      </c>
      <c r="S250">
        <v>3</v>
      </c>
      <c r="T250">
        <v>4</v>
      </c>
      <c r="U250" t="s">
        <v>23</v>
      </c>
      <c r="V250">
        <v>4</v>
      </c>
      <c r="W250">
        <v>1</v>
      </c>
    </row>
    <row r="251" spans="1:23" x14ac:dyDescent="0.35">
      <c r="A251" t="s">
        <v>426</v>
      </c>
      <c r="B251" s="6">
        <v>43422</v>
      </c>
      <c r="D251" t="s">
        <v>23</v>
      </c>
      <c r="E251">
        <v>46</v>
      </c>
      <c r="F251" t="s">
        <v>24</v>
      </c>
      <c r="G251" t="s">
        <v>37</v>
      </c>
      <c r="H251" t="s">
        <v>54</v>
      </c>
      <c r="I251" t="s">
        <v>38</v>
      </c>
      <c r="J251" t="s">
        <v>39</v>
      </c>
      <c r="K251">
        <v>3</v>
      </c>
      <c r="L251" t="s">
        <v>40</v>
      </c>
      <c r="M251">
        <v>92000</v>
      </c>
      <c r="N251">
        <v>6.7</v>
      </c>
      <c r="O251">
        <v>14.3</v>
      </c>
      <c r="P251">
        <v>7.1</v>
      </c>
      <c r="Q251">
        <v>3.2</v>
      </c>
      <c r="R251">
        <v>3</v>
      </c>
      <c r="S251">
        <v>4</v>
      </c>
      <c r="T251">
        <v>3</v>
      </c>
      <c r="U251" t="s">
        <v>23</v>
      </c>
      <c r="V251">
        <v>1</v>
      </c>
      <c r="W251">
        <v>1</v>
      </c>
    </row>
    <row r="252" spans="1:23" x14ac:dyDescent="0.35">
      <c r="A252" t="s">
        <v>1385</v>
      </c>
      <c r="B252" s="6">
        <v>42707</v>
      </c>
      <c r="D252" t="s">
        <v>23</v>
      </c>
      <c r="E252">
        <v>43</v>
      </c>
      <c r="F252" t="s">
        <v>36</v>
      </c>
      <c r="G252" t="s">
        <v>37</v>
      </c>
      <c r="H252" t="s">
        <v>32</v>
      </c>
      <c r="I252" t="s">
        <v>38</v>
      </c>
      <c r="J252" t="s">
        <v>118</v>
      </c>
      <c r="K252">
        <v>2</v>
      </c>
      <c r="L252" t="s">
        <v>29</v>
      </c>
      <c r="M252">
        <v>68000</v>
      </c>
      <c r="N252">
        <v>9.1999999999999993</v>
      </c>
      <c r="O252">
        <v>15.8</v>
      </c>
      <c r="P252">
        <v>9.1</v>
      </c>
      <c r="Q252">
        <v>4.0999999999999996</v>
      </c>
      <c r="R252">
        <v>3</v>
      </c>
      <c r="S252">
        <v>3</v>
      </c>
      <c r="T252">
        <v>3</v>
      </c>
      <c r="U252" t="s">
        <v>30</v>
      </c>
      <c r="V252">
        <v>1</v>
      </c>
      <c r="W252">
        <v>1</v>
      </c>
    </row>
    <row r="253" spans="1:23" x14ac:dyDescent="0.35">
      <c r="A253" t="s">
        <v>1282</v>
      </c>
      <c r="B253" s="6">
        <v>42561</v>
      </c>
      <c r="D253" t="s">
        <v>23</v>
      </c>
      <c r="E253">
        <v>38</v>
      </c>
      <c r="F253" t="s">
        <v>62</v>
      </c>
      <c r="G253" t="s">
        <v>37</v>
      </c>
      <c r="H253" t="s">
        <v>26</v>
      </c>
      <c r="I253" t="s">
        <v>45</v>
      </c>
      <c r="J253" t="s">
        <v>46</v>
      </c>
      <c r="K253">
        <v>2</v>
      </c>
      <c r="L253" t="s">
        <v>29</v>
      </c>
      <c r="M253">
        <v>53000</v>
      </c>
      <c r="N253">
        <v>12.6</v>
      </c>
      <c r="O253">
        <v>16.899999999999999</v>
      </c>
      <c r="P253">
        <v>9.5</v>
      </c>
      <c r="Q253">
        <v>2.2999999999999998</v>
      </c>
      <c r="R253">
        <v>3</v>
      </c>
      <c r="S253">
        <v>4</v>
      </c>
      <c r="T253">
        <v>4</v>
      </c>
      <c r="U253" t="s">
        <v>23</v>
      </c>
      <c r="V253">
        <v>3</v>
      </c>
      <c r="W253">
        <v>1</v>
      </c>
    </row>
    <row r="254" spans="1:23" x14ac:dyDescent="0.35">
      <c r="A254" t="s">
        <v>1377</v>
      </c>
      <c r="B254" s="6">
        <v>42576</v>
      </c>
      <c r="D254" t="s">
        <v>23</v>
      </c>
      <c r="E254">
        <v>40</v>
      </c>
      <c r="F254" t="s">
        <v>62</v>
      </c>
      <c r="G254" t="s">
        <v>37</v>
      </c>
      <c r="H254" t="s">
        <v>58</v>
      </c>
      <c r="I254" t="s">
        <v>68</v>
      </c>
      <c r="J254" t="s">
        <v>109</v>
      </c>
      <c r="K254">
        <v>3</v>
      </c>
      <c r="L254" t="s">
        <v>34</v>
      </c>
      <c r="M254">
        <v>72000</v>
      </c>
      <c r="N254">
        <v>14.3</v>
      </c>
      <c r="O254">
        <v>15.1</v>
      </c>
      <c r="P254">
        <v>9.4</v>
      </c>
      <c r="Q254">
        <v>3.9</v>
      </c>
      <c r="R254">
        <v>4</v>
      </c>
      <c r="S254">
        <v>4</v>
      </c>
      <c r="T254">
        <v>3</v>
      </c>
      <c r="U254" t="s">
        <v>23</v>
      </c>
      <c r="V254">
        <v>4</v>
      </c>
      <c r="W254">
        <v>1</v>
      </c>
    </row>
    <row r="255" spans="1:23" x14ac:dyDescent="0.35">
      <c r="A255" t="s">
        <v>107</v>
      </c>
      <c r="B255" s="6">
        <v>45170</v>
      </c>
      <c r="D255" t="s">
        <v>23</v>
      </c>
      <c r="E255">
        <v>48</v>
      </c>
      <c r="F255" t="s">
        <v>62</v>
      </c>
      <c r="G255" t="s">
        <v>37</v>
      </c>
      <c r="H255" t="s">
        <v>26</v>
      </c>
      <c r="I255" t="s">
        <v>55</v>
      </c>
      <c r="J255" t="s">
        <v>56</v>
      </c>
      <c r="K255">
        <v>2</v>
      </c>
      <c r="L255" t="s">
        <v>40</v>
      </c>
      <c r="M255">
        <v>55000</v>
      </c>
      <c r="N255">
        <v>15.9</v>
      </c>
      <c r="O255">
        <v>6.8</v>
      </c>
      <c r="P255">
        <v>2.2999999999999998</v>
      </c>
      <c r="Q255">
        <v>0.3</v>
      </c>
      <c r="R255">
        <v>3</v>
      </c>
      <c r="S255">
        <v>3</v>
      </c>
      <c r="T255">
        <v>2</v>
      </c>
      <c r="U255" t="s">
        <v>23</v>
      </c>
      <c r="V255">
        <v>3</v>
      </c>
      <c r="W255">
        <v>1</v>
      </c>
    </row>
    <row r="256" spans="1:23" x14ac:dyDescent="0.35">
      <c r="A256" t="s">
        <v>405</v>
      </c>
      <c r="B256" s="6">
        <v>44154</v>
      </c>
      <c r="D256" t="s">
        <v>23</v>
      </c>
      <c r="E256">
        <v>28</v>
      </c>
      <c r="F256" t="s">
        <v>62</v>
      </c>
      <c r="G256" t="s">
        <v>37</v>
      </c>
      <c r="H256" t="s">
        <v>32</v>
      </c>
      <c r="I256" t="s">
        <v>68</v>
      </c>
      <c r="J256" t="s">
        <v>102</v>
      </c>
      <c r="K256">
        <v>3</v>
      </c>
      <c r="L256" t="s">
        <v>34</v>
      </c>
      <c r="M256">
        <v>72000</v>
      </c>
      <c r="N256">
        <v>7.7</v>
      </c>
      <c r="O256">
        <v>9.5</v>
      </c>
      <c r="P256">
        <v>5.0999999999999996</v>
      </c>
      <c r="Q256">
        <v>0.4</v>
      </c>
      <c r="R256">
        <v>3</v>
      </c>
      <c r="S256">
        <v>3</v>
      </c>
      <c r="T256">
        <v>3</v>
      </c>
      <c r="U256" t="s">
        <v>23</v>
      </c>
      <c r="V256">
        <v>5</v>
      </c>
      <c r="W256">
        <v>1</v>
      </c>
    </row>
    <row r="257" spans="1:23" x14ac:dyDescent="0.35">
      <c r="A257" t="s">
        <v>1320</v>
      </c>
      <c r="B257" s="6">
        <v>44968</v>
      </c>
      <c r="D257" t="s">
        <v>23</v>
      </c>
      <c r="E257">
        <v>37</v>
      </c>
      <c r="F257" t="s">
        <v>62</v>
      </c>
      <c r="G257" t="s">
        <v>37</v>
      </c>
      <c r="H257" t="s">
        <v>26</v>
      </c>
      <c r="I257" t="s">
        <v>27</v>
      </c>
      <c r="J257" t="s">
        <v>33</v>
      </c>
      <c r="K257">
        <v>1</v>
      </c>
      <c r="L257" t="s">
        <v>29</v>
      </c>
      <c r="M257">
        <v>27000</v>
      </c>
      <c r="N257">
        <v>8.9</v>
      </c>
      <c r="O257">
        <v>4.5999999999999996</v>
      </c>
      <c r="P257">
        <v>2.9</v>
      </c>
      <c r="Q257">
        <v>2.2000000000000002</v>
      </c>
      <c r="R257">
        <v>3</v>
      </c>
      <c r="S257">
        <v>3</v>
      </c>
      <c r="T257">
        <v>4</v>
      </c>
      <c r="U257" t="s">
        <v>30</v>
      </c>
      <c r="V257">
        <v>4</v>
      </c>
      <c r="W257">
        <v>1</v>
      </c>
    </row>
    <row r="258" spans="1:23" x14ac:dyDescent="0.35">
      <c r="A258" t="s">
        <v>882</v>
      </c>
      <c r="B258" s="6">
        <v>43168</v>
      </c>
      <c r="C258">
        <v>45822</v>
      </c>
      <c r="D258" t="s">
        <v>30</v>
      </c>
      <c r="E258">
        <v>45</v>
      </c>
      <c r="F258" t="s">
        <v>24</v>
      </c>
      <c r="G258" t="s">
        <v>25</v>
      </c>
      <c r="H258" t="s">
        <v>58</v>
      </c>
      <c r="I258" t="s">
        <v>68</v>
      </c>
      <c r="J258" t="s">
        <v>121</v>
      </c>
      <c r="K258">
        <v>2</v>
      </c>
      <c r="L258" t="s">
        <v>66</v>
      </c>
      <c r="M258">
        <v>57000</v>
      </c>
      <c r="N258">
        <v>9.1999999999999993</v>
      </c>
      <c r="O258">
        <v>10.3</v>
      </c>
      <c r="P258">
        <v>7.3</v>
      </c>
      <c r="Q258">
        <v>4.8</v>
      </c>
      <c r="R258">
        <v>2</v>
      </c>
      <c r="S258">
        <v>2</v>
      </c>
      <c r="T258">
        <v>2</v>
      </c>
      <c r="U258" t="s">
        <v>23</v>
      </c>
      <c r="V258">
        <v>4</v>
      </c>
      <c r="W258">
        <v>1</v>
      </c>
    </row>
    <row r="259" spans="1:23" x14ac:dyDescent="0.35">
      <c r="A259" t="s">
        <v>376</v>
      </c>
      <c r="B259" s="6">
        <v>44646</v>
      </c>
      <c r="C259">
        <v>45707</v>
      </c>
      <c r="D259" t="s">
        <v>30</v>
      </c>
      <c r="E259">
        <v>37</v>
      </c>
      <c r="F259" t="s">
        <v>62</v>
      </c>
      <c r="G259" t="s">
        <v>25</v>
      </c>
      <c r="H259" t="s">
        <v>32</v>
      </c>
      <c r="I259" t="s">
        <v>59</v>
      </c>
      <c r="J259" t="s">
        <v>60</v>
      </c>
      <c r="K259">
        <v>3</v>
      </c>
      <c r="L259" t="s">
        <v>29</v>
      </c>
      <c r="M259">
        <v>66000</v>
      </c>
      <c r="N259">
        <v>8</v>
      </c>
      <c r="O259">
        <v>4.2</v>
      </c>
      <c r="P259">
        <v>2.9</v>
      </c>
      <c r="Q259">
        <v>2.8</v>
      </c>
      <c r="R259">
        <v>3</v>
      </c>
      <c r="S259">
        <v>3</v>
      </c>
      <c r="T259">
        <v>1</v>
      </c>
      <c r="U259" t="s">
        <v>23</v>
      </c>
      <c r="V259">
        <v>2</v>
      </c>
      <c r="W259">
        <v>1</v>
      </c>
    </row>
    <row r="260" spans="1:23" x14ac:dyDescent="0.35">
      <c r="A260" t="s">
        <v>705</v>
      </c>
      <c r="B260" s="6">
        <v>42371</v>
      </c>
      <c r="D260" t="s">
        <v>23</v>
      </c>
      <c r="E260">
        <v>36</v>
      </c>
      <c r="F260" t="s">
        <v>24</v>
      </c>
      <c r="G260" t="s">
        <v>37</v>
      </c>
      <c r="H260" t="s">
        <v>26</v>
      </c>
      <c r="I260" t="s">
        <v>48</v>
      </c>
      <c r="J260" t="s">
        <v>63</v>
      </c>
      <c r="K260">
        <v>2</v>
      </c>
      <c r="L260" t="s">
        <v>50</v>
      </c>
      <c r="M260">
        <v>61000</v>
      </c>
      <c r="N260">
        <v>7.1</v>
      </c>
      <c r="O260">
        <v>16.5</v>
      </c>
      <c r="P260">
        <v>10</v>
      </c>
      <c r="Q260">
        <v>0.4</v>
      </c>
      <c r="R260">
        <v>4</v>
      </c>
      <c r="S260">
        <v>3</v>
      </c>
      <c r="T260">
        <v>1</v>
      </c>
      <c r="U260" t="s">
        <v>23</v>
      </c>
      <c r="V260">
        <v>4</v>
      </c>
      <c r="W260">
        <v>1</v>
      </c>
    </row>
    <row r="261" spans="1:23" x14ac:dyDescent="0.35">
      <c r="A261" t="s">
        <v>519</v>
      </c>
      <c r="B261" s="6">
        <v>45159</v>
      </c>
      <c r="D261" t="s">
        <v>23</v>
      </c>
      <c r="E261">
        <v>24</v>
      </c>
      <c r="F261" t="s">
        <v>62</v>
      </c>
      <c r="G261" t="s">
        <v>37</v>
      </c>
      <c r="H261" t="s">
        <v>26</v>
      </c>
      <c r="I261" t="s">
        <v>55</v>
      </c>
      <c r="J261" t="s">
        <v>88</v>
      </c>
      <c r="K261">
        <v>1</v>
      </c>
      <c r="L261" t="s">
        <v>29</v>
      </c>
      <c r="M261">
        <v>26000</v>
      </c>
      <c r="N261">
        <v>9.9</v>
      </c>
      <c r="O261">
        <v>5.5</v>
      </c>
      <c r="P261">
        <v>2.4</v>
      </c>
      <c r="Q261">
        <v>1.5</v>
      </c>
      <c r="R261">
        <v>2</v>
      </c>
      <c r="S261">
        <v>3</v>
      </c>
      <c r="T261">
        <v>1</v>
      </c>
      <c r="U261" t="s">
        <v>23</v>
      </c>
      <c r="V261">
        <v>4</v>
      </c>
      <c r="W261">
        <v>1</v>
      </c>
    </row>
    <row r="262" spans="1:23" x14ac:dyDescent="0.35">
      <c r="A262" t="s">
        <v>182</v>
      </c>
      <c r="B262" s="6">
        <v>45603</v>
      </c>
      <c r="D262" t="s">
        <v>23</v>
      </c>
      <c r="E262">
        <v>45</v>
      </c>
      <c r="F262" t="s">
        <v>62</v>
      </c>
      <c r="G262" t="s">
        <v>37</v>
      </c>
      <c r="H262" t="s">
        <v>54</v>
      </c>
      <c r="I262" t="s">
        <v>27</v>
      </c>
      <c r="J262" t="s">
        <v>43</v>
      </c>
      <c r="K262">
        <v>3</v>
      </c>
      <c r="L262" t="s">
        <v>40</v>
      </c>
      <c r="M262">
        <v>69000</v>
      </c>
      <c r="N262">
        <v>13.3</v>
      </c>
      <c r="O262">
        <v>3.6</v>
      </c>
      <c r="P262">
        <v>1.1000000000000001</v>
      </c>
      <c r="Q262">
        <v>0.1</v>
      </c>
      <c r="R262">
        <v>2</v>
      </c>
      <c r="S262">
        <v>4</v>
      </c>
      <c r="T262">
        <v>3</v>
      </c>
      <c r="U262" t="s">
        <v>23</v>
      </c>
      <c r="V262">
        <v>3</v>
      </c>
      <c r="W262">
        <v>1</v>
      </c>
    </row>
    <row r="263" spans="1:23" x14ac:dyDescent="0.35">
      <c r="A263" t="s">
        <v>310</v>
      </c>
      <c r="B263" s="6">
        <v>44242</v>
      </c>
      <c r="D263" t="s">
        <v>23</v>
      </c>
      <c r="E263">
        <v>32</v>
      </c>
      <c r="F263" t="s">
        <v>36</v>
      </c>
      <c r="G263" t="s">
        <v>37</v>
      </c>
      <c r="H263" t="s">
        <v>32</v>
      </c>
      <c r="I263" t="s">
        <v>27</v>
      </c>
      <c r="J263" t="s">
        <v>95</v>
      </c>
      <c r="K263">
        <v>2</v>
      </c>
      <c r="L263" t="s">
        <v>50</v>
      </c>
      <c r="M263">
        <v>59000</v>
      </c>
      <c r="N263">
        <v>11.6</v>
      </c>
      <c r="O263">
        <v>6</v>
      </c>
      <c r="P263">
        <v>4.9000000000000004</v>
      </c>
      <c r="Q263">
        <v>3.3</v>
      </c>
      <c r="R263">
        <v>3</v>
      </c>
      <c r="S263">
        <v>4</v>
      </c>
      <c r="T263">
        <v>4</v>
      </c>
      <c r="U263" t="s">
        <v>23</v>
      </c>
      <c r="V263">
        <v>4</v>
      </c>
      <c r="W263">
        <v>1</v>
      </c>
    </row>
    <row r="264" spans="1:23" x14ac:dyDescent="0.35">
      <c r="A264" t="s">
        <v>381</v>
      </c>
      <c r="B264" s="6">
        <v>44229</v>
      </c>
      <c r="D264" t="s">
        <v>23</v>
      </c>
      <c r="E264">
        <v>43</v>
      </c>
      <c r="F264" t="s">
        <v>24</v>
      </c>
      <c r="G264" t="s">
        <v>37</v>
      </c>
      <c r="H264" t="s">
        <v>32</v>
      </c>
      <c r="I264" t="s">
        <v>38</v>
      </c>
      <c r="J264" t="s">
        <v>118</v>
      </c>
      <c r="K264">
        <v>3</v>
      </c>
      <c r="L264" t="s">
        <v>40</v>
      </c>
      <c r="M264">
        <v>99000</v>
      </c>
      <c r="N264">
        <v>6.5</v>
      </c>
      <c r="O264">
        <v>10.8</v>
      </c>
      <c r="P264">
        <v>4.9000000000000004</v>
      </c>
      <c r="Q264">
        <v>3.6</v>
      </c>
      <c r="R264">
        <v>2</v>
      </c>
      <c r="S264">
        <v>2</v>
      </c>
      <c r="T264">
        <v>4</v>
      </c>
      <c r="U264" t="s">
        <v>23</v>
      </c>
      <c r="V264">
        <v>4</v>
      </c>
      <c r="W264">
        <v>1</v>
      </c>
    </row>
    <row r="265" spans="1:23" x14ac:dyDescent="0.35">
      <c r="A265" t="s">
        <v>1058</v>
      </c>
      <c r="B265" s="6">
        <v>45138</v>
      </c>
      <c r="D265" t="s">
        <v>23</v>
      </c>
      <c r="E265">
        <v>36</v>
      </c>
      <c r="F265" t="s">
        <v>24</v>
      </c>
      <c r="G265" t="s">
        <v>42</v>
      </c>
      <c r="H265" t="s">
        <v>26</v>
      </c>
      <c r="I265" t="s">
        <v>27</v>
      </c>
      <c r="J265" t="s">
        <v>28</v>
      </c>
      <c r="K265">
        <v>2</v>
      </c>
      <c r="L265" t="s">
        <v>40</v>
      </c>
      <c r="M265">
        <v>53000</v>
      </c>
      <c r="N265">
        <v>6.8</v>
      </c>
      <c r="O265">
        <v>9.9</v>
      </c>
      <c r="P265">
        <v>2.4</v>
      </c>
      <c r="Q265">
        <v>2.4</v>
      </c>
      <c r="R265">
        <v>4</v>
      </c>
      <c r="S265">
        <v>3</v>
      </c>
      <c r="T265">
        <v>3</v>
      </c>
      <c r="U265" t="s">
        <v>23</v>
      </c>
      <c r="V265">
        <v>3</v>
      </c>
      <c r="W265">
        <v>1</v>
      </c>
    </row>
    <row r="266" spans="1:23" x14ac:dyDescent="0.35">
      <c r="A266" t="s">
        <v>1431</v>
      </c>
      <c r="B266" s="6">
        <v>44387</v>
      </c>
      <c r="D266" t="s">
        <v>23</v>
      </c>
      <c r="E266">
        <v>33</v>
      </c>
      <c r="F266" t="s">
        <v>62</v>
      </c>
      <c r="G266" t="s">
        <v>25</v>
      </c>
      <c r="H266" t="s">
        <v>32</v>
      </c>
      <c r="I266" t="s">
        <v>45</v>
      </c>
      <c r="J266" t="s">
        <v>46</v>
      </c>
      <c r="K266">
        <v>5</v>
      </c>
      <c r="L266" t="s">
        <v>66</v>
      </c>
      <c r="M266">
        <v>155000</v>
      </c>
      <c r="N266">
        <v>11.2</v>
      </c>
      <c r="O266">
        <v>5</v>
      </c>
      <c r="P266">
        <v>4.5</v>
      </c>
      <c r="Q266">
        <v>0.9</v>
      </c>
      <c r="R266">
        <v>2</v>
      </c>
      <c r="S266">
        <v>3</v>
      </c>
      <c r="T266">
        <v>3</v>
      </c>
      <c r="U266" t="s">
        <v>23</v>
      </c>
      <c r="V266">
        <v>4</v>
      </c>
      <c r="W266">
        <v>1</v>
      </c>
    </row>
    <row r="267" spans="1:23" x14ac:dyDescent="0.35">
      <c r="A267" t="s">
        <v>870</v>
      </c>
      <c r="B267" s="6">
        <v>41816</v>
      </c>
      <c r="D267" t="s">
        <v>23</v>
      </c>
      <c r="E267">
        <v>38</v>
      </c>
      <c r="F267" t="s">
        <v>36</v>
      </c>
      <c r="G267" t="s">
        <v>42</v>
      </c>
      <c r="H267" t="s">
        <v>54</v>
      </c>
      <c r="I267" t="s">
        <v>27</v>
      </c>
      <c r="J267" t="s">
        <v>28</v>
      </c>
      <c r="K267">
        <v>4</v>
      </c>
      <c r="L267" t="s">
        <v>34</v>
      </c>
      <c r="M267">
        <v>80000</v>
      </c>
      <c r="N267">
        <v>13.6</v>
      </c>
      <c r="O267">
        <v>17.2</v>
      </c>
      <c r="P267">
        <v>11.5</v>
      </c>
      <c r="Q267">
        <v>3.8</v>
      </c>
      <c r="R267">
        <v>3</v>
      </c>
      <c r="S267">
        <v>3</v>
      </c>
      <c r="T267">
        <v>3</v>
      </c>
      <c r="U267" t="s">
        <v>30</v>
      </c>
      <c r="V267">
        <v>4</v>
      </c>
      <c r="W267">
        <v>1</v>
      </c>
    </row>
    <row r="268" spans="1:23" x14ac:dyDescent="0.35">
      <c r="A268" t="s">
        <v>136</v>
      </c>
      <c r="B268" s="6">
        <v>45527</v>
      </c>
      <c r="D268" t="s">
        <v>23</v>
      </c>
      <c r="E268">
        <v>30</v>
      </c>
      <c r="F268" t="s">
        <v>62</v>
      </c>
      <c r="G268" t="s">
        <v>37</v>
      </c>
      <c r="H268" t="s">
        <v>26</v>
      </c>
      <c r="I268" t="s">
        <v>68</v>
      </c>
      <c r="J268" t="s">
        <v>69</v>
      </c>
      <c r="K268">
        <v>3</v>
      </c>
      <c r="L268" t="s">
        <v>66</v>
      </c>
      <c r="M268" t="s">
        <v>137</v>
      </c>
      <c r="N268">
        <v>3.8</v>
      </c>
      <c r="O268">
        <v>8</v>
      </c>
      <c r="P268">
        <v>1.4</v>
      </c>
      <c r="Q268">
        <v>1.2</v>
      </c>
      <c r="R268">
        <v>2</v>
      </c>
      <c r="S268">
        <v>2</v>
      </c>
      <c r="T268">
        <v>3</v>
      </c>
      <c r="U268" t="s">
        <v>23</v>
      </c>
      <c r="V268">
        <v>4</v>
      </c>
      <c r="W268">
        <v>1</v>
      </c>
    </row>
    <row r="269" spans="1:23" x14ac:dyDescent="0.35">
      <c r="A269" t="s">
        <v>679</v>
      </c>
      <c r="B269" s="6">
        <v>43862</v>
      </c>
      <c r="C269">
        <v>45791</v>
      </c>
      <c r="D269" t="s">
        <v>30</v>
      </c>
      <c r="E269">
        <v>30</v>
      </c>
      <c r="F269" t="s">
        <v>24</v>
      </c>
      <c r="G269" t="s">
        <v>25</v>
      </c>
      <c r="H269" t="s">
        <v>58</v>
      </c>
      <c r="I269" t="s">
        <v>45</v>
      </c>
      <c r="J269" t="s">
        <v>164</v>
      </c>
      <c r="K269">
        <v>4</v>
      </c>
      <c r="L269" t="s">
        <v>40</v>
      </c>
      <c r="M269">
        <v>107000</v>
      </c>
      <c r="N269">
        <v>8.8000000000000007</v>
      </c>
      <c r="O269">
        <v>9.6</v>
      </c>
      <c r="P269">
        <v>5.3</v>
      </c>
      <c r="Q269">
        <v>5.3</v>
      </c>
      <c r="R269">
        <v>2</v>
      </c>
      <c r="S269">
        <v>3</v>
      </c>
      <c r="T269">
        <v>4</v>
      </c>
      <c r="U269" t="s">
        <v>23</v>
      </c>
      <c r="V269">
        <v>3</v>
      </c>
      <c r="W269">
        <v>1</v>
      </c>
    </row>
    <row r="270" spans="1:23" x14ac:dyDescent="0.35">
      <c r="A270" t="s">
        <v>1537</v>
      </c>
      <c r="B270" s="6">
        <v>43767</v>
      </c>
      <c r="D270" t="s">
        <v>23</v>
      </c>
      <c r="E270">
        <v>34</v>
      </c>
      <c r="F270" t="s">
        <v>62</v>
      </c>
      <c r="G270" t="s">
        <v>25</v>
      </c>
      <c r="H270" t="s">
        <v>32</v>
      </c>
      <c r="I270" t="s">
        <v>48</v>
      </c>
      <c r="J270" t="s">
        <v>63</v>
      </c>
      <c r="K270">
        <v>2</v>
      </c>
      <c r="L270" t="s">
        <v>29</v>
      </c>
      <c r="M270">
        <v>43000</v>
      </c>
      <c r="N270">
        <v>13</v>
      </c>
      <c r="O270">
        <v>11.1</v>
      </c>
      <c r="P270">
        <v>6.2</v>
      </c>
      <c r="Q270">
        <v>1</v>
      </c>
      <c r="R270">
        <v>4</v>
      </c>
      <c r="S270">
        <v>3</v>
      </c>
      <c r="T270">
        <v>3</v>
      </c>
      <c r="U270" t="s">
        <v>23</v>
      </c>
      <c r="V270">
        <v>3</v>
      </c>
      <c r="W270">
        <v>1</v>
      </c>
    </row>
    <row r="271" spans="1:23" x14ac:dyDescent="0.35">
      <c r="A271" t="s">
        <v>602</v>
      </c>
      <c r="B271" s="6">
        <v>45330</v>
      </c>
      <c r="C271">
        <v>45793</v>
      </c>
      <c r="D271" t="s">
        <v>30</v>
      </c>
      <c r="E271">
        <v>22</v>
      </c>
      <c r="F271" t="s">
        <v>36</v>
      </c>
      <c r="G271" t="s">
        <v>42</v>
      </c>
      <c r="H271" t="s">
        <v>26</v>
      </c>
      <c r="I271" t="s">
        <v>45</v>
      </c>
      <c r="J271" t="s">
        <v>46</v>
      </c>
      <c r="K271">
        <v>1</v>
      </c>
      <c r="L271" t="s">
        <v>50</v>
      </c>
      <c r="M271">
        <v>28000</v>
      </c>
      <c r="N271">
        <v>15</v>
      </c>
      <c r="O271">
        <v>4.2</v>
      </c>
      <c r="P271">
        <v>1.3</v>
      </c>
      <c r="Q271">
        <v>0.1</v>
      </c>
      <c r="R271">
        <v>4</v>
      </c>
      <c r="S271">
        <v>2</v>
      </c>
      <c r="T271">
        <v>4</v>
      </c>
      <c r="U271" t="s">
        <v>30</v>
      </c>
      <c r="V271">
        <v>3</v>
      </c>
      <c r="W271">
        <v>1</v>
      </c>
    </row>
    <row r="272" spans="1:23" x14ac:dyDescent="0.35">
      <c r="A272" t="s">
        <v>1091</v>
      </c>
      <c r="B272" s="6">
        <v>42128</v>
      </c>
      <c r="D272" t="s">
        <v>23</v>
      </c>
      <c r="E272">
        <v>31</v>
      </c>
      <c r="F272" t="s">
        <v>24</v>
      </c>
      <c r="G272" t="s">
        <v>25</v>
      </c>
      <c r="H272" t="s">
        <v>58</v>
      </c>
      <c r="I272" t="s">
        <v>45</v>
      </c>
      <c r="J272" t="s">
        <v>77</v>
      </c>
      <c r="K272">
        <v>2</v>
      </c>
      <c r="L272" t="s">
        <v>34</v>
      </c>
      <c r="M272">
        <v>46000</v>
      </c>
      <c r="N272">
        <v>7.7</v>
      </c>
      <c r="O272">
        <v>15.3</v>
      </c>
      <c r="P272">
        <v>10.7</v>
      </c>
      <c r="Q272">
        <v>3.4</v>
      </c>
      <c r="R272">
        <v>3</v>
      </c>
      <c r="S272">
        <v>3</v>
      </c>
      <c r="T272">
        <v>3</v>
      </c>
      <c r="U272" t="s">
        <v>23</v>
      </c>
      <c r="V272">
        <v>4</v>
      </c>
      <c r="W272">
        <v>1</v>
      </c>
    </row>
    <row r="273" spans="1:23" x14ac:dyDescent="0.35">
      <c r="A273" t="s">
        <v>467</v>
      </c>
      <c r="B273" s="6">
        <v>42205</v>
      </c>
      <c r="D273" t="s">
        <v>23</v>
      </c>
      <c r="E273">
        <v>36</v>
      </c>
      <c r="F273" t="s">
        <v>24</v>
      </c>
      <c r="G273" t="s">
        <v>37</v>
      </c>
      <c r="H273" t="s">
        <v>32</v>
      </c>
      <c r="I273" t="s">
        <v>55</v>
      </c>
      <c r="J273" t="s">
        <v>80</v>
      </c>
      <c r="K273">
        <v>2</v>
      </c>
      <c r="L273" t="s">
        <v>40</v>
      </c>
      <c r="M273">
        <v>65000</v>
      </c>
      <c r="N273">
        <v>13.1</v>
      </c>
      <c r="O273">
        <v>14.5</v>
      </c>
      <c r="P273">
        <v>10.5</v>
      </c>
      <c r="Q273">
        <v>0.8</v>
      </c>
      <c r="R273">
        <v>3</v>
      </c>
      <c r="S273">
        <v>2</v>
      </c>
      <c r="T273">
        <v>2</v>
      </c>
      <c r="U273" t="s">
        <v>23</v>
      </c>
      <c r="V273">
        <v>4</v>
      </c>
      <c r="W273">
        <v>1</v>
      </c>
    </row>
    <row r="274" spans="1:23" x14ac:dyDescent="0.35">
      <c r="A274" t="s">
        <v>599</v>
      </c>
      <c r="B274" s="6">
        <v>44293</v>
      </c>
      <c r="D274" t="s">
        <v>23</v>
      </c>
      <c r="E274">
        <v>31</v>
      </c>
      <c r="F274" t="s">
        <v>24</v>
      </c>
      <c r="G274" t="s">
        <v>25</v>
      </c>
      <c r="H274" t="s">
        <v>32</v>
      </c>
      <c r="I274" t="s">
        <v>68</v>
      </c>
      <c r="J274" t="s">
        <v>102</v>
      </c>
      <c r="K274">
        <v>3</v>
      </c>
      <c r="L274" t="s">
        <v>40</v>
      </c>
      <c r="M274">
        <v>75000</v>
      </c>
      <c r="N274">
        <v>8.6999999999999993</v>
      </c>
      <c r="O274">
        <v>8.6</v>
      </c>
      <c r="P274">
        <v>4.7</v>
      </c>
      <c r="Q274">
        <v>2.8</v>
      </c>
      <c r="R274">
        <v>2</v>
      </c>
      <c r="S274">
        <v>3</v>
      </c>
      <c r="T274">
        <v>3</v>
      </c>
      <c r="U274" t="s">
        <v>23</v>
      </c>
      <c r="V274">
        <v>3</v>
      </c>
      <c r="W274">
        <v>1</v>
      </c>
    </row>
    <row r="275" spans="1:23" x14ac:dyDescent="0.35">
      <c r="A275" t="s">
        <v>210</v>
      </c>
      <c r="B275" s="6">
        <v>45285</v>
      </c>
      <c r="D275" t="s">
        <v>23</v>
      </c>
      <c r="E275">
        <v>38</v>
      </c>
      <c r="F275" t="s">
        <v>36</v>
      </c>
      <c r="G275" t="s">
        <v>37</v>
      </c>
      <c r="H275" t="s">
        <v>32</v>
      </c>
      <c r="I275" t="s">
        <v>45</v>
      </c>
      <c r="J275" t="s">
        <v>164</v>
      </c>
      <c r="K275">
        <v>4</v>
      </c>
      <c r="L275" t="s">
        <v>34</v>
      </c>
      <c r="M275">
        <v>104000</v>
      </c>
      <c r="N275">
        <v>11.9</v>
      </c>
      <c r="O275">
        <v>5.3</v>
      </c>
      <c r="P275">
        <v>2</v>
      </c>
      <c r="Q275">
        <v>1.9</v>
      </c>
      <c r="R275">
        <v>4</v>
      </c>
      <c r="S275">
        <v>3</v>
      </c>
      <c r="T275">
        <v>4</v>
      </c>
      <c r="U275" t="s">
        <v>30</v>
      </c>
      <c r="V275">
        <v>4</v>
      </c>
      <c r="W275">
        <v>1</v>
      </c>
    </row>
    <row r="276" spans="1:23" x14ac:dyDescent="0.35">
      <c r="A276" t="s">
        <v>1432</v>
      </c>
      <c r="B276" s="6">
        <v>45184</v>
      </c>
      <c r="D276" t="s">
        <v>23</v>
      </c>
      <c r="E276">
        <v>34</v>
      </c>
      <c r="F276" t="s">
        <v>36</v>
      </c>
      <c r="G276" t="s">
        <v>42</v>
      </c>
      <c r="H276" t="s">
        <v>26</v>
      </c>
      <c r="I276" t="s">
        <v>27</v>
      </c>
      <c r="J276" t="s">
        <v>33</v>
      </c>
      <c r="K276">
        <v>4</v>
      </c>
      <c r="L276" t="s">
        <v>40</v>
      </c>
      <c r="M276">
        <v>88000</v>
      </c>
      <c r="N276">
        <v>12.7</v>
      </c>
      <c r="O276">
        <v>8.9</v>
      </c>
      <c r="P276">
        <v>2.2999999999999998</v>
      </c>
      <c r="Q276">
        <v>0.4</v>
      </c>
      <c r="R276">
        <v>3</v>
      </c>
      <c r="S276">
        <v>3</v>
      </c>
      <c r="T276">
        <v>3</v>
      </c>
      <c r="U276" t="s">
        <v>23</v>
      </c>
      <c r="V276">
        <v>4</v>
      </c>
      <c r="W276">
        <v>1</v>
      </c>
    </row>
    <row r="277" spans="1:23" x14ac:dyDescent="0.35">
      <c r="A277" t="s">
        <v>601</v>
      </c>
      <c r="B277" s="6">
        <v>45842</v>
      </c>
      <c r="D277" t="s">
        <v>23</v>
      </c>
      <c r="E277">
        <v>40</v>
      </c>
      <c r="F277" t="s">
        <v>62</v>
      </c>
      <c r="G277" t="s">
        <v>25</v>
      </c>
      <c r="H277" t="s">
        <v>26</v>
      </c>
      <c r="I277" t="s">
        <v>48</v>
      </c>
      <c r="J277" t="s">
        <v>201</v>
      </c>
      <c r="K277">
        <v>2</v>
      </c>
      <c r="L277" t="s">
        <v>50</v>
      </c>
      <c r="M277">
        <v>29000</v>
      </c>
      <c r="N277">
        <v>17.399999999999999</v>
      </c>
      <c r="O277">
        <v>7.1</v>
      </c>
      <c r="P277">
        <v>0.5</v>
      </c>
      <c r="Q277">
        <v>0</v>
      </c>
      <c r="R277">
        <v>4</v>
      </c>
      <c r="S277">
        <v>2</v>
      </c>
      <c r="T277">
        <v>4</v>
      </c>
      <c r="U277" t="s">
        <v>23</v>
      </c>
      <c r="V277">
        <v>4</v>
      </c>
      <c r="W277">
        <v>1</v>
      </c>
    </row>
    <row r="278" spans="1:23" x14ac:dyDescent="0.35">
      <c r="A278" t="s">
        <v>1288</v>
      </c>
      <c r="B278" s="6">
        <v>43608</v>
      </c>
      <c r="D278" t="s">
        <v>23</v>
      </c>
      <c r="E278">
        <v>41</v>
      </c>
      <c r="F278" t="s">
        <v>36</v>
      </c>
      <c r="G278" t="s">
        <v>42</v>
      </c>
      <c r="H278" t="s">
        <v>58</v>
      </c>
      <c r="I278" t="s">
        <v>48</v>
      </c>
      <c r="J278" t="s">
        <v>49</v>
      </c>
      <c r="K278">
        <v>4</v>
      </c>
      <c r="L278" t="s">
        <v>66</v>
      </c>
      <c r="M278">
        <v>106000</v>
      </c>
      <c r="N278">
        <v>11.5</v>
      </c>
      <c r="O278">
        <v>10.1</v>
      </c>
      <c r="P278">
        <v>6.6</v>
      </c>
      <c r="Q278">
        <v>2.5</v>
      </c>
      <c r="R278">
        <v>4</v>
      </c>
      <c r="S278">
        <v>4</v>
      </c>
      <c r="T278">
        <v>3</v>
      </c>
      <c r="U278" t="s">
        <v>30</v>
      </c>
      <c r="V278">
        <v>3</v>
      </c>
      <c r="W278">
        <v>1</v>
      </c>
    </row>
    <row r="279" spans="1:23" x14ac:dyDescent="0.35">
      <c r="A279" t="s">
        <v>728</v>
      </c>
      <c r="B279" s="6">
        <v>45104</v>
      </c>
      <c r="C279">
        <v>45964</v>
      </c>
      <c r="D279" t="s">
        <v>30</v>
      </c>
      <c r="E279">
        <v>29</v>
      </c>
      <c r="F279" t="s">
        <v>62</v>
      </c>
      <c r="G279" t="s">
        <v>25</v>
      </c>
      <c r="H279" t="s">
        <v>26</v>
      </c>
      <c r="I279" t="s">
        <v>59</v>
      </c>
      <c r="J279" t="s">
        <v>75</v>
      </c>
      <c r="K279">
        <v>2</v>
      </c>
      <c r="L279" t="s">
        <v>66</v>
      </c>
      <c r="M279">
        <v>69000</v>
      </c>
      <c r="N279">
        <v>8.1999999999999993</v>
      </c>
      <c r="O279">
        <v>9.4</v>
      </c>
      <c r="P279">
        <v>2.4</v>
      </c>
      <c r="Q279">
        <v>1</v>
      </c>
      <c r="R279">
        <v>4</v>
      </c>
      <c r="S279">
        <v>2</v>
      </c>
      <c r="T279">
        <v>3</v>
      </c>
      <c r="U279" t="s">
        <v>23</v>
      </c>
      <c r="V279">
        <v>4</v>
      </c>
      <c r="W279">
        <v>1</v>
      </c>
    </row>
    <row r="280" spans="1:23" x14ac:dyDescent="0.35">
      <c r="A280" t="s">
        <v>546</v>
      </c>
      <c r="B280" s="6">
        <v>42974</v>
      </c>
      <c r="D280" t="s">
        <v>23</v>
      </c>
      <c r="E280">
        <v>39</v>
      </c>
      <c r="F280" t="s">
        <v>36</v>
      </c>
      <c r="G280" t="s">
        <v>25</v>
      </c>
      <c r="H280" t="s">
        <v>54</v>
      </c>
      <c r="I280" t="s">
        <v>38</v>
      </c>
      <c r="J280" t="s">
        <v>52</v>
      </c>
      <c r="K280">
        <v>3</v>
      </c>
      <c r="L280" t="s">
        <v>40</v>
      </c>
      <c r="M280">
        <v>91000</v>
      </c>
      <c r="N280">
        <v>9.6</v>
      </c>
      <c r="O280">
        <v>13.6</v>
      </c>
      <c r="P280">
        <v>8.3000000000000007</v>
      </c>
      <c r="Q280">
        <v>1.5</v>
      </c>
      <c r="R280">
        <v>3</v>
      </c>
      <c r="S280">
        <v>4</v>
      </c>
      <c r="T280">
        <v>3</v>
      </c>
      <c r="U280" t="s">
        <v>23</v>
      </c>
      <c r="V280">
        <v>3</v>
      </c>
      <c r="W280">
        <v>1</v>
      </c>
    </row>
    <row r="281" spans="1:23" x14ac:dyDescent="0.35">
      <c r="A281" t="s">
        <v>1244</v>
      </c>
      <c r="B281" s="6">
        <v>43524</v>
      </c>
      <c r="D281" t="s">
        <v>23</v>
      </c>
      <c r="E281">
        <v>50</v>
      </c>
      <c r="F281" t="s">
        <v>24</v>
      </c>
      <c r="G281" t="s">
        <v>42</v>
      </c>
      <c r="H281" t="s">
        <v>32</v>
      </c>
      <c r="I281" t="s">
        <v>48</v>
      </c>
      <c r="J281" t="s">
        <v>201</v>
      </c>
      <c r="K281">
        <v>2</v>
      </c>
      <c r="L281" t="s">
        <v>50</v>
      </c>
      <c r="M281">
        <v>54000</v>
      </c>
      <c r="N281">
        <v>9.8000000000000007</v>
      </c>
      <c r="O281">
        <v>13</v>
      </c>
      <c r="P281">
        <v>6.8</v>
      </c>
      <c r="Q281">
        <v>2.4</v>
      </c>
      <c r="R281">
        <v>4</v>
      </c>
      <c r="S281">
        <v>2</v>
      </c>
      <c r="T281">
        <v>4</v>
      </c>
      <c r="U281" t="s">
        <v>23</v>
      </c>
      <c r="V281">
        <v>2</v>
      </c>
      <c r="W281">
        <v>1</v>
      </c>
    </row>
    <row r="282" spans="1:23" x14ac:dyDescent="0.35">
      <c r="A282" t="s">
        <v>1219</v>
      </c>
      <c r="B282" s="6">
        <v>42491</v>
      </c>
      <c r="C282">
        <v>45857</v>
      </c>
      <c r="D282" t="s">
        <v>30</v>
      </c>
      <c r="E282">
        <v>41</v>
      </c>
      <c r="F282" t="s">
        <v>36</v>
      </c>
      <c r="G282" t="s">
        <v>37</v>
      </c>
      <c r="H282" t="s">
        <v>26</v>
      </c>
      <c r="I282" t="s">
        <v>55</v>
      </c>
      <c r="J282" t="s">
        <v>80</v>
      </c>
      <c r="K282">
        <v>3</v>
      </c>
      <c r="L282" t="s">
        <v>84</v>
      </c>
      <c r="M282">
        <v>100000</v>
      </c>
      <c r="N282">
        <v>11.6</v>
      </c>
      <c r="O282">
        <v>16.899999999999999</v>
      </c>
      <c r="P282">
        <v>9.1999999999999993</v>
      </c>
      <c r="Q282">
        <v>0</v>
      </c>
      <c r="R282">
        <v>3</v>
      </c>
      <c r="S282">
        <v>2</v>
      </c>
      <c r="T282">
        <v>2</v>
      </c>
      <c r="U282" t="s">
        <v>23</v>
      </c>
      <c r="V282">
        <v>5</v>
      </c>
      <c r="W282">
        <v>1</v>
      </c>
    </row>
    <row r="283" spans="1:23" x14ac:dyDescent="0.35">
      <c r="A283" t="s">
        <v>800</v>
      </c>
      <c r="B283" s="6">
        <v>45752</v>
      </c>
      <c r="D283" t="s">
        <v>23</v>
      </c>
      <c r="E283">
        <v>44</v>
      </c>
      <c r="F283" t="s">
        <v>62</v>
      </c>
      <c r="G283" t="s">
        <v>42</v>
      </c>
      <c r="H283" t="s">
        <v>54</v>
      </c>
      <c r="I283" t="s">
        <v>55</v>
      </c>
      <c r="J283" t="s">
        <v>88</v>
      </c>
      <c r="K283">
        <v>1</v>
      </c>
      <c r="L283" t="s">
        <v>50</v>
      </c>
      <c r="M283">
        <v>29000</v>
      </c>
      <c r="N283">
        <v>10.199999999999999</v>
      </c>
      <c r="O283">
        <v>4.9000000000000004</v>
      </c>
      <c r="P283">
        <v>0.7</v>
      </c>
      <c r="Q283">
        <v>0</v>
      </c>
      <c r="R283">
        <v>4</v>
      </c>
      <c r="S283">
        <v>3</v>
      </c>
      <c r="T283">
        <v>4</v>
      </c>
      <c r="U283" t="s">
        <v>23</v>
      </c>
      <c r="V283">
        <v>4</v>
      </c>
      <c r="W283">
        <v>1</v>
      </c>
    </row>
    <row r="284" spans="1:23" x14ac:dyDescent="0.35">
      <c r="A284" t="s">
        <v>226</v>
      </c>
      <c r="B284" s="6">
        <v>42563</v>
      </c>
      <c r="D284" t="s">
        <v>23</v>
      </c>
      <c r="E284">
        <v>33</v>
      </c>
      <c r="F284" t="s">
        <v>36</v>
      </c>
      <c r="G284" t="s">
        <v>42</v>
      </c>
      <c r="H284" t="s">
        <v>58</v>
      </c>
      <c r="I284" t="s">
        <v>55</v>
      </c>
      <c r="J284" t="s">
        <v>88</v>
      </c>
      <c r="K284">
        <v>2</v>
      </c>
      <c r="L284" t="s">
        <v>29</v>
      </c>
      <c r="M284">
        <v>65000</v>
      </c>
      <c r="N284">
        <v>10.3</v>
      </c>
      <c r="O284">
        <v>14.9</v>
      </c>
      <c r="P284">
        <v>9.5</v>
      </c>
      <c r="Q284">
        <v>2.2000000000000002</v>
      </c>
      <c r="R284">
        <v>3</v>
      </c>
      <c r="S284">
        <v>3</v>
      </c>
      <c r="T284">
        <v>4</v>
      </c>
      <c r="U284" t="s">
        <v>23</v>
      </c>
      <c r="V284">
        <v>2</v>
      </c>
      <c r="W284">
        <v>1</v>
      </c>
    </row>
    <row r="285" spans="1:23" x14ac:dyDescent="0.35">
      <c r="A285" t="s">
        <v>786</v>
      </c>
      <c r="B285" s="6">
        <v>43700</v>
      </c>
      <c r="C285">
        <v>45803</v>
      </c>
      <c r="D285" t="s">
        <v>30</v>
      </c>
      <c r="E285">
        <v>44</v>
      </c>
      <c r="F285" t="s">
        <v>24</v>
      </c>
      <c r="G285" t="s">
        <v>25</v>
      </c>
      <c r="H285" t="s">
        <v>32</v>
      </c>
      <c r="I285" t="s">
        <v>48</v>
      </c>
      <c r="J285" t="s">
        <v>201</v>
      </c>
      <c r="K285">
        <v>3</v>
      </c>
      <c r="L285" t="s">
        <v>34</v>
      </c>
      <c r="M285">
        <v>84000</v>
      </c>
      <c r="N285">
        <v>8</v>
      </c>
      <c r="O285">
        <v>11.6</v>
      </c>
      <c r="P285">
        <v>5.8</v>
      </c>
      <c r="Q285">
        <v>3.2</v>
      </c>
      <c r="R285">
        <v>1</v>
      </c>
      <c r="S285">
        <v>3</v>
      </c>
      <c r="T285">
        <v>3</v>
      </c>
      <c r="U285" t="s">
        <v>23</v>
      </c>
      <c r="V285">
        <v>4</v>
      </c>
      <c r="W285">
        <v>1</v>
      </c>
    </row>
    <row r="286" spans="1:23" x14ac:dyDescent="0.35">
      <c r="A286" t="s">
        <v>1498</v>
      </c>
      <c r="B286" s="6">
        <v>44173</v>
      </c>
      <c r="D286" t="s">
        <v>23</v>
      </c>
      <c r="E286">
        <v>41</v>
      </c>
      <c r="F286" t="s">
        <v>62</v>
      </c>
      <c r="G286" t="s">
        <v>42</v>
      </c>
      <c r="H286" t="s">
        <v>54</v>
      </c>
      <c r="I286" t="s">
        <v>48</v>
      </c>
      <c r="J286" t="s">
        <v>63</v>
      </c>
      <c r="K286">
        <v>2</v>
      </c>
      <c r="L286" t="s">
        <v>34</v>
      </c>
      <c r="M286">
        <v>44000</v>
      </c>
      <c r="N286">
        <v>11.4</v>
      </c>
      <c r="O286">
        <v>12.6</v>
      </c>
      <c r="P286">
        <v>5.0999999999999996</v>
      </c>
      <c r="Q286">
        <v>4.0999999999999996</v>
      </c>
      <c r="R286">
        <v>1</v>
      </c>
      <c r="S286">
        <v>4</v>
      </c>
      <c r="T286">
        <v>4</v>
      </c>
      <c r="U286" t="s">
        <v>1499</v>
      </c>
      <c r="V286">
        <v>4</v>
      </c>
      <c r="W286">
        <v>1</v>
      </c>
    </row>
    <row r="287" spans="1:23" x14ac:dyDescent="0.35">
      <c r="A287" t="s">
        <v>345</v>
      </c>
      <c r="B287" s="6">
        <v>42953</v>
      </c>
      <c r="D287" t="s">
        <v>23</v>
      </c>
      <c r="E287">
        <v>31</v>
      </c>
      <c r="F287" t="s">
        <v>24</v>
      </c>
      <c r="G287" t="s">
        <v>25</v>
      </c>
      <c r="H287" t="s">
        <v>32</v>
      </c>
      <c r="I287" t="s">
        <v>27</v>
      </c>
      <c r="J287" t="s">
        <v>33</v>
      </c>
      <c r="K287">
        <v>3</v>
      </c>
      <c r="L287" t="s">
        <v>84</v>
      </c>
      <c r="M287">
        <v>86000</v>
      </c>
      <c r="N287">
        <v>8.4</v>
      </c>
      <c r="O287">
        <v>13.1</v>
      </c>
      <c r="P287">
        <v>8.4</v>
      </c>
      <c r="Q287">
        <v>0.2</v>
      </c>
      <c r="R287">
        <v>3</v>
      </c>
      <c r="S287">
        <v>2</v>
      </c>
      <c r="T287">
        <v>2</v>
      </c>
      <c r="U287" t="s">
        <v>23</v>
      </c>
      <c r="V287">
        <v>4</v>
      </c>
      <c r="W287">
        <v>1</v>
      </c>
    </row>
    <row r="288" spans="1:23" x14ac:dyDescent="0.35">
      <c r="A288" t="s">
        <v>1420</v>
      </c>
      <c r="B288" s="6">
        <v>45871</v>
      </c>
      <c r="C288">
        <v>46017</v>
      </c>
      <c r="D288" t="s">
        <v>30</v>
      </c>
      <c r="E288">
        <v>32</v>
      </c>
      <c r="F288" t="s">
        <v>24</v>
      </c>
      <c r="G288" t="s">
        <v>25</v>
      </c>
      <c r="H288" t="s">
        <v>58</v>
      </c>
      <c r="I288" t="s">
        <v>48</v>
      </c>
      <c r="J288" t="s">
        <v>129</v>
      </c>
      <c r="K288">
        <v>3</v>
      </c>
      <c r="L288" t="s">
        <v>40</v>
      </c>
      <c r="M288">
        <v>80000</v>
      </c>
      <c r="N288">
        <v>4.5999999999999996</v>
      </c>
      <c r="O288">
        <v>6.4</v>
      </c>
      <c r="P288">
        <v>0.4</v>
      </c>
      <c r="Q288">
        <v>0</v>
      </c>
      <c r="R288">
        <v>2</v>
      </c>
      <c r="S288">
        <v>3</v>
      </c>
      <c r="T288">
        <v>2</v>
      </c>
      <c r="U288" t="s">
        <v>23</v>
      </c>
      <c r="V288">
        <v>3</v>
      </c>
      <c r="W288">
        <v>1</v>
      </c>
    </row>
    <row r="289" spans="1:23" x14ac:dyDescent="0.35">
      <c r="A289" t="s">
        <v>114</v>
      </c>
      <c r="B289" s="6">
        <v>45060</v>
      </c>
      <c r="D289" t="s">
        <v>23</v>
      </c>
      <c r="E289">
        <v>44</v>
      </c>
      <c r="F289" t="s">
        <v>24</v>
      </c>
      <c r="G289" t="s">
        <v>25</v>
      </c>
      <c r="H289" t="s">
        <v>54</v>
      </c>
      <c r="I289" t="s">
        <v>45</v>
      </c>
      <c r="J289" t="s">
        <v>97</v>
      </c>
      <c r="K289">
        <v>3</v>
      </c>
      <c r="L289" t="s">
        <v>66</v>
      </c>
      <c r="M289">
        <v>64000</v>
      </c>
      <c r="N289">
        <v>5</v>
      </c>
      <c r="O289">
        <v>4.3</v>
      </c>
      <c r="P289">
        <v>2.6</v>
      </c>
      <c r="Q289">
        <v>0.6</v>
      </c>
      <c r="R289">
        <v>4</v>
      </c>
      <c r="S289">
        <v>3</v>
      </c>
      <c r="T289">
        <v>2</v>
      </c>
      <c r="U289" t="s">
        <v>23</v>
      </c>
      <c r="V289">
        <v>2</v>
      </c>
      <c r="W289">
        <v>1</v>
      </c>
    </row>
    <row r="290" spans="1:23" x14ac:dyDescent="0.35">
      <c r="A290" t="s">
        <v>781</v>
      </c>
      <c r="B290" s="6">
        <v>44733</v>
      </c>
      <c r="D290" t="s">
        <v>23</v>
      </c>
      <c r="E290">
        <v>29</v>
      </c>
      <c r="F290" t="s">
        <v>36</v>
      </c>
      <c r="G290" t="s">
        <v>37</v>
      </c>
      <c r="H290" t="s">
        <v>32</v>
      </c>
      <c r="I290" t="s">
        <v>38</v>
      </c>
      <c r="J290" t="s">
        <v>118</v>
      </c>
      <c r="K290">
        <v>4</v>
      </c>
      <c r="L290" t="s">
        <v>50</v>
      </c>
      <c r="M290">
        <v>112000</v>
      </c>
      <c r="N290">
        <v>15.6</v>
      </c>
      <c r="O290">
        <v>8.1</v>
      </c>
      <c r="P290">
        <v>3.5</v>
      </c>
      <c r="Q290">
        <v>1</v>
      </c>
      <c r="R290">
        <v>4</v>
      </c>
      <c r="S290">
        <v>2</v>
      </c>
      <c r="T290">
        <v>4</v>
      </c>
      <c r="U290" t="s">
        <v>23</v>
      </c>
      <c r="V290">
        <v>3</v>
      </c>
      <c r="W290">
        <v>1</v>
      </c>
    </row>
    <row r="291" spans="1:23" x14ac:dyDescent="0.35">
      <c r="A291" t="s">
        <v>981</v>
      </c>
      <c r="B291" s="6">
        <v>44392</v>
      </c>
      <c r="D291" t="s">
        <v>23</v>
      </c>
      <c r="E291">
        <v>28</v>
      </c>
      <c r="F291" t="s">
        <v>24</v>
      </c>
      <c r="G291" t="s">
        <v>25</v>
      </c>
      <c r="H291" t="s">
        <v>32</v>
      </c>
      <c r="I291" t="s">
        <v>27</v>
      </c>
      <c r="J291" t="s">
        <v>33</v>
      </c>
      <c r="K291">
        <v>3</v>
      </c>
      <c r="L291" t="s">
        <v>34</v>
      </c>
      <c r="M291">
        <v>94000</v>
      </c>
      <c r="N291">
        <v>12.9</v>
      </c>
      <c r="O291">
        <v>5.9</v>
      </c>
      <c r="P291">
        <v>4.5</v>
      </c>
      <c r="Q291">
        <v>4.4000000000000004</v>
      </c>
      <c r="R291">
        <v>3</v>
      </c>
      <c r="S291">
        <v>3</v>
      </c>
      <c r="T291">
        <v>3</v>
      </c>
      <c r="U291" t="s">
        <v>23</v>
      </c>
      <c r="V291">
        <v>4</v>
      </c>
      <c r="W291">
        <v>1</v>
      </c>
    </row>
    <row r="292" spans="1:23" x14ac:dyDescent="0.35">
      <c r="A292" t="s">
        <v>868</v>
      </c>
      <c r="B292" s="6">
        <v>45830</v>
      </c>
      <c r="D292" t="s">
        <v>23</v>
      </c>
      <c r="E292">
        <v>21</v>
      </c>
      <c r="F292" t="s">
        <v>24</v>
      </c>
      <c r="G292" t="s">
        <v>42</v>
      </c>
      <c r="H292" t="s">
        <v>58</v>
      </c>
      <c r="I292" t="s">
        <v>27</v>
      </c>
      <c r="J292" t="s">
        <v>43</v>
      </c>
      <c r="K292">
        <v>1</v>
      </c>
      <c r="L292" t="s">
        <v>84</v>
      </c>
      <c r="M292">
        <v>53000</v>
      </c>
      <c r="N292">
        <v>3.4</v>
      </c>
      <c r="O292">
        <v>2.4</v>
      </c>
      <c r="P292">
        <v>0.5</v>
      </c>
      <c r="Q292">
        <v>0</v>
      </c>
      <c r="R292">
        <v>3</v>
      </c>
      <c r="S292">
        <v>3</v>
      </c>
      <c r="T292">
        <v>3</v>
      </c>
      <c r="U292" t="s">
        <v>23</v>
      </c>
      <c r="V292">
        <v>3</v>
      </c>
      <c r="W292">
        <v>1</v>
      </c>
    </row>
    <row r="293" spans="1:23" x14ac:dyDescent="0.35">
      <c r="A293" t="s">
        <v>1290</v>
      </c>
      <c r="B293" s="6">
        <v>45144</v>
      </c>
      <c r="D293" t="s">
        <v>23</v>
      </c>
      <c r="E293">
        <v>40</v>
      </c>
      <c r="F293" t="s">
        <v>24</v>
      </c>
      <c r="G293" t="s">
        <v>25</v>
      </c>
      <c r="H293" t="s">
        <v>32</v>
      </c>
      <c r="I293" t="s">
        <v>59</v>
      </c>
      <c r="J293" t="s">
        <v>60</v>
      </c>
      <c r="K293">
        <v>2</v>
      </c>
      <c r="L293" t="s">
        <v>34</v>
      </c>
      <c r="M293">
        <v>74000</v>
      </c>
      <c r="N293">
        <v>14.5</v>
      </c>
      <c r="O293">
        <v>3.2</v>
      </c>
      <c r="P293">
        <v>2.4</v>
      </c>
      <c r="Q293">
        <v>0.6</v>
      </c>
      <c r="R293">
        <v>3</v>
      </c>
      <c r="S293">
        <v>2</v>
      </c>
      <c r="T293">
        <v>3</v>
      </c>
      <c r="U293" t="s">
        <v>30</v>
      </c>
      <c r="V293">
        <v>3</v>
      </c>
      <c r="W293">
        <v>1</v>
      </c>
    </row>
    <row r="294" spans="1:23" x14ac:dyDescent="0.35">
      <c r="A294" t="s">
        <v>171</v>
      </c>
      <c r="B294" s="6">
        <v>43778</v>
      </c>
      <c r="D294" t="s">
        <v>23</v>
      </c>
      <c r="E294">
        <v>37</v>
      </c>
      <c r="F294" t="s">
        <v>36</v>
      </c>
      <c r="G294" t="s">
        <v>37</v>
      </c>
      <c r="H294" t="s">
        <v>32</v>
      </c>
      <c r="I294" t="s">
        <v>59</v>
      </c>
      <c r="J294" t="s">
        <v>75</v>
      </c>
      <c r="K294">
        <v>2</v>
      </c>
      <c r="L294" t="s">
        <v>50</v>
      </c>
      <c r="M294">
        <v>59000</v>
      </c>
      <c r="N294">
        <v>12</v>
      </c>
      <c r="O294">
        <v>11.9</v>
      </c>
      <c r="P294">
        <v>6.1</v>
      </c>
      <c r="Q294">
        <v>4.7</v>
      </c>
      <c r="R294">
        <v>4</v>
      </c>
      <c r="S294">
        <v>3</v>
      </c>
      <c r="T294">
        <v>3</v>
      </c>
      <c r="U294" t="s">
        <v>23</v>
      </c>
      <c r="V294">
        <v>4</v>
      </c>
      <c r="W294">
        <v>1</v>
      </c>
    </row>
    <row r="295" spans="1:23" x14ac:dyDescent="0.35">
      <c r="A295" t="s">
        <v>1261</v>
      </c>
      <c r="B295" s="6">
        <v>43221</v>
      </c>
      <c r="D295" t="s">
        <v>23</v>
      </c>
      <c r="E295">
        <v>34</v>
      </c>
      <c r="F295" t="s">
        <v>62</v>
      </c>
      <c r="G295" t="s">
        <v>25</v>
      </c>
      <c r="H295" t="s">
        <v>32</v>
      </c>
      <c r="I295" t="s">
        <v>55</v>
      </c>
      <c r="J295" t="s">
        <v>88</v>
      </c>
      <c r="K295">
        <v>3</v>
      </c>
      <c r="L295" t="s">
        <v>66</v>
      </c>
      <c r="M295">
        <v>89000</v>
      </c>
      <c r="N295">
        <v>6</v>
      </c>
      <c r="O295">
        <v>12.2</v>
      </c>
      <c r="P295">
        <v>7.7</v>
      </c>
      <c r="Q295">
        <v>5.6</v>
      </c>
      <c r="R295">
        <v>3</v>
      </c>
      <c r="S295">
        <v>3</v>
      </c>
      <c r="T295">
        <v>1</v>
      </c>
      <c r="U295" t="s">
        <v>23</v>
      </c>
      <c r="V295">
        <v>2</v>
      </c>
      <c r="W295">
        <v>1</v>
      </c>
    </row>
    <row r="296" spans="1:23" x14ac:dyDescent="0.35">
      <c r="A296" t="s">
        <v>431</v>
      </c>
      <c r="B296" s="6">
        <v>45663</v>
      </c>
      <c r="D296" t="s">
        <v>23</v>
      </c>
      <c r="E296">
        <v>21</v>
      </c>
      <c r="F296" t="s">
        <v>24</v>
      </c>
      <c r="G296" t="s">
        <v>37</v>
      </c>
      <c r="H296" t="s">
        <v>58</v>
      </c>
      <c r="I296" t="s">
        <v>27</v>
      </c>
      <c r="J296" t="s">
        <v>95</v>
      </c>
      <c r="K296">
        <v>1</v>
      </c>
      <c r="L296" t="s">
        <v>34</v>
      </c>
      <c r="M296">
        <v>31000</v>
      </c>
      <c r="N296">
        <v>5</v>
      </c>
      <c r="O296">
        <v>7.2</v>
      </c>
      <c r="P296">
        <v>1</v>
      </c>
      <c r="Q296">
        <v>0.4</v>
      </c>
      <c r="R296">
        <v>3</v>
      </c>
      <c r="S296">
        <v>2</v>
      </c>
      <c r="T296">
        <v>3</v>
      </c>
      <c r="U296" t="s">
        <v>23</v>
      </c>
      <c r="V296">
        <v>3</v>
      </c>
      <c r="W296">
        <v>1</v>
      </c>
    </row>
    <row r="297" spans="1:23" x14ac:dyDescent="0.35">
      <c r="A297" t="s">
        <v>220</v>
      </c>
      <c r="B297" s="6">
        <v>45608</v>
      </c>
      <c r="D297" t="s">
        <v>23</v>
      </c>
      <c r="E297">
        <v>34</v>
      </c>
      <c r="F297" t="s">
        <v>36</v>
      </c>
      <c r="G297" t="s">
        <v>25</v>
      </c>
      <c r="H297" t="s">
        <v>54</v>
      </c>
      <c r="I297" t="s">
        <v>45</v>
      </c>
      <c r="J297" t="s">
        <v>46</v>
      </c>
      <c r="K297">
        <v>4</v>
      </c>
      <c r="L297" t="s">
        <v>34</v>
      </c>
      <c r="M297">
        <v>116000</v>
      </c>
      <c r="N297">
        <v>12.7</v>
      </c>
      <c r="O297">
        <v>3.5</v>
      </c>
      <c r="P297">
        <v>1.1000000000000001</v>
      </c>
      <c r="Q297">
        <v>0.3</v>
      </c>
      <c r="R297">
        <v>2</v>
      </c>
      <c r="S297">
        <v>3</v>
      </c>
      <c r="T297">
        <v>3</v>
      </c>
      <c r="U297" t="s">
        <v>30</v>
      </c>
      <c r="V297">
        <v>3</v>
      </c>
      <c r="W297">
        <v>1</v>
      </c>
    </row>
    <row r="298" spans="1:23" x14ac:dyDescent="0.35">
      <c r="A298" t="s">
        <v>1366</v>
      </c>
      <c r="B298" s="6">
        <v>44135</v>
      </c>
      <c r="D298" t="s">
        <v>23</v>
      </c>
      <c r="E298">
        <v>26</v>
      </c>
      <c r="F298" t="s">
        <v>36</v>
      </c>
      <c r="G298" t="s">
        <v>25</v>
      </c>
      <c r="H298" t="s">
        <v>26</v>
      </c>
      <c r="I298" t="s">
        <v>55</v>
      </c>
      <c r="J298" t="s">
        <v>179</v>
      </c>
      <c r="K298">
        <v>1</v>
      </c>
      <c r="L298" t="s">
        <v>50</v>
      </c>
      <c r="M298">
        <v>48000</v>
      </c>
      <c r="N298">
        <v>5.0999999999999996</v>
      </c>
      <c r="O298">
        <v>11.1</v>
      </c>
      <c r="P298">
        <v>5.2</v>
      </c>
      <c r="Q298">
        <v>3.9</v>
      </c>
      <c r="R298">
        <v>2</v>
      </c>
      <c r="S298">
        <v>2</v>
      </c>
      <c r="T298">
        <v>3</v>
      </c>
      <c r="U298" t="s">
        <v>30</v>
      </c>
      <c r="V298">
        <v>2</v>
      </c>
      <c r="W298">
        <v>1</v>
      </c>
    </row>
    <row r="299" spans="1:23" x14ac:dyDescent="0.35">
      <c r="A299" t="s">
        <v>1443</v>
      </c>
      <c r="B299" s="6">
        <v>41657</v>
      </c>
      <c r="C299">
        <v>45857</v>
      </c>
      <c r="D299" t="s">
        <v>30</v>
      </c>
      <c r="E299">
        <v>37</v>
      </c>
      <c r="F299" t="s">
        <v>24</v>
      </c>
      <c r="G299" t="s">
        <v>37</v>
      </c>
      <c r="H299" t="s">
        <v>26</v>
      </c>
      <c r="I299" t="s">
        <v>59</v>
      </c>
      <c r="J299" t="s">
        <v>60</v>
      </c>
      <c r="K299">
        <v>3</v>
      </c>
      <c r="L299" t="s">
        <v>29</v>
      </c>
      <c r="M299">
        <v>66000</v>
      </c>
      <c r="N299">
        <v>9.4</v>
      </c>
      <c r="O299">
        <v>14</v>
      </c>
      <c r="P299">
        <v>11.5</v>
      </c>
      <c r="Q299">
        <v>1.5</v>
      </c>
      <c r="R299">
        <v>3</v>
      </c>
      <c r="S299">
        <v>3</v>
      </c>
      <c r="T299">
        <v>3</v>
      </c>
      <c r="U299" t="s">
        <v>30</v>
      </c>
      <c r="V299">
        <v>2</v>
      </c>
      <c r="W299">
        <v>1</v>
      </c>
    </row>
    <row r="300" spans="1:23" x14ac:dyDescent="0.35">
      <c r="A300" t="s">
        <v>1504</v>
      </c>
      <c r="B300" s="6">
        <v>44428</v>
      </c>
      <c r="D300" t="s">
        <v>23</v>
      </c>
      <c r="E300">
        <v>29</v>
      </c>
      <c r="F300" t="s">
        <v>62</v>
      </c>
      <c r="G300" t="s">
        <v>25</v>
      </c>
      <c r="H300" t="s">
        <v>54</v>
      </c>
      <c r="I300" t="s">
        <v>68</v>
      </c>
      <c r="J300" t="s">
        <v>69</v>
      </c>
      <c r="K300">
        <v>4</v>
      </c>
      <c r="L300" t="s">
        <v>66</v>
      </c>
      <c r="M300">
        <v>113000</v>
      </c>
      <c r="N300">
        <v>2.6</v>
      </c>
      <c r="O300">
        <v>5.4</v>
      </c>
      <c r="P300">
        <v>4.4000000000000004</v>
      </c>
      <c r="Q300">
        <v>4.2</v>
      </c>
      <c r="R300">
        <v>4</v>
      </c>
      <c r="S300">
        <v>3</v>
      </c>
      <c r="T300">
        <v>3</v>
      </c>
      <c r="U300" t="s">
        <v>23</v>
      </c>
      <c r="V300">
        <v>3</v>
      </c>
      <c r="W300">
        <v>1</v>
      </c>
    </row>
    <row r="301" spans="1:23" x14ac:dyDescent="0.35">
      <c r="A301" t="s">
        <v>515</v>
      </c>
      <c r="B301" s="6">
        <v>43855</v>
      </c>
      <c r="D301" t="s">
        <v>23</v>
      </c>
      <c r="E301">
        <v>33</v>
      </c>
      <c r="F301" t="s">
        <v>24</v>
      </c>
      <c r="G301" t="s">
        <v>42</v>
      </c>
      <c r="H301" t="s">
        <v>58</v>
      </c>
      <c r="I301" t="s">
        <v>45</v>
      </c>
      <c r="J301" t="s">
        <v>77</v>
      </c>
      <c r="K301">
        <v>4</v>
      </c>
      <c r="L301" t="s">
        <v>34</v>
      </c>
      <c r="M301">
        <v>108000</v>
      </c>
      <c r="N301">
        <v>9.9</v>
      </c>
      <c r="O301">
        <v>9.1999999999999993</v>
      </c>
      <c r="P301">
        <v>5.9</v>
      </c>
      <c r="Q301">
        <v>0.9</v>
      </c>
      <c r="R301">
        <v>2</v>
      </c>
      <c r="S301">
        <v>1</v>
      </c>
      <c r="T301">
        <v>3</v>
      </c>
      <c r="U301" t="s">
        <v>30</v>
      </c>
      <c r="V301">
        <v>4</v>
      </c>
      <c r="W301">
        <v>1</v>
      </c>
    </row>
    <row r="302" spans="1:23" x14ac:dyDescent="0.35">
      <c r="A302" t="s">
        <v>339</v>
      </c>
      <c r="B302" s="6">
        <v>43811</v>
      </c>
      <c r="D302" t="s">
        <v>23</v>
      </c>
      <c r="E302">
        <v>34</v>
      </c>
      <c r="F302" t="s">
        <v>62</v>
      </c>
      <c r="G302" t="s">
        <v>42</v>
      </c>
      <c r="H302" t="s">
        <v>54</v>
      </c>
      <c r="I302" t="s">
        <v>27</v>
      </c>
      <c r="J302" t="s">
        <v>43</v>
      </c>
      <c r="K302">
        <v>3</v>
      </c>
      <c r="L302" t="s">
        <v>40</v>
      </c>
      <c r="M302">
        <v>70000</v>
      </c>
      <c r="N302">
        <v>9.5</v>
      </c>
      <c r="O302">
        <v>12.4</v>
      </c>
      <c r="P302">
        <v>6.1</v>
      </c>
      <c r="Q302">
        <v>3.6</v>
      </c>
      <c r="R302">
        <v>3</v>
      </c>
      <c r="S302">
        <v>4</v>
      </c>
      <c r="T302">
        <v>3</v>
      </c>
      <c r="U302" t="s">
        <v>23</v>
      </c>
      <c r="V302">
        <v>3</v>
      </c>
      <c r="W302">
        <v>1</v>
      </c>
    </row>
    <row r="303" spans="1:23" x14ac:dyDescent="0.35">
      <c r="A303" t="s">
        <v>483</v>
      </c>
      <c r="B303" s="6">
        <v>44970</v>
      </c>
      <c r="D303" t="s">
        <v>23</v>
      </c>
      <c r="E303">
        <v>33</v>
      </c>
      <c r="F303" t="s">
        <v>62</v>
      </c>
      <c r="G303" t="s">
        <v>42</v>
      </c>
      <c r="H303" t="s">
        <v>54</v>
      </c>
      <c r="I303" t="s">
        <v>55</v>
      </c>
      <c r="J303" t="s">
        <v>80</v>
      </c>
      <c r="K303">
        <v>4</v>
      </c>
      <c r="L303" t="s">
        <v>40</v>
      </c>
      <c r="M303">
        <v>129000</v>
      </c>
      <c r="O303">
        <v>9.3000000000000007</v>
      </c>
      <c r="P303">
        <v>2.9</v>
      </c>
      <c r="Q303">
        <v>1.8</v>
      </c>
      <c r="R303">
        <v>3</v>
      </c>
      <c r="S303">
        <v>3</v>
      </c>
      <c r="T303">
        <v>3</v>
      </c>
      <c r="U303" t="s">
        <v>30</v>
      </c>
      <c r="V303">
        <v>4</v>
      </c>
      <c r="W303">
        <v>1</v>
      </c>
    </row>
    <row r="304" spans="1:23" x14ac:dyDescent="0.35">
      <c r="A304" t="s">
        <v>1060</v>
      </c>
      <c r="B304" s="6">
        <v>45733</v>
      </c>
      <c r="D304" t="s">
        <v>23</v>
      </c>
      <c r="E304">
        <v>23</v>
      </c>
      <c r="F304" t="s">
        <v>62</v>
      </c>
      <c r="G304" t="s">
        <v>37</v>
      </c>
      <c r="H304" t="s">
        <v>32</v>
      </c>
      <c r="I304" t="s">
        <v>59</v>
      </c>
      <c r="J304" t="s">
        <v>75</v>
      </c>
      <c r="K304">
        <v>1</v>
      </c>
      <c r="L304" t="s">
        <v>50</v>
      </c>
      <c r="M304">
        <v>49000</v>
      </c>
      <c r="N304">
        <v>4</v>
      </c>
      <c r="O304">
        <v>3</v>
      </c>
      <c r="P304">
        <v>0.8</v>
      </c>
      <c r="Q304">
        <v>0</v>
      </c>
      <c r="R304">
        <v>3</v>
      </c>
      <c r="S304">
        <v>2</v>
      </c>
      <c r="T304">
        <v>1</v>
      </c>
      <c r="U304" t="s">
        <v>23</v>
      </c>
      <c r="V304">
        <v>1</v>
      </c>
      <c r="W304">
        <v>1</v>
      </c>
    </row>
    <row r="305" spans="1:23" x14ac:dyDescent="0.35">
      <c r="A305" t="s">
        <v>1295</v>
      </c>
      <c r="B305" s="6">
        <v>44680</v>
      </c>
      <c r="C305">
        <v>45769</v>
      </c>
      <c r="D305" t="s">
        <v>30</v>
      </c>
      <c r="E305">
        <v>28</v>
      </c>
      <c r="F305" t="s">
        <v>24</v>
      </c>
      <c r="G305" t="s">
        <v>42</v>
      </c>
      <c r="H305" t="s">
        <v>26</v>
      </c>
      <c r="I305" t="s">
        <v>68</v>
      </c>
      <c r="J305" t="s">
        <v>69</v>
      </c>
      <c r="K305">
        <v>2</v>
      </c>
      <c r="L305" t="s">
        <v>40</v>
      </c>
      <c r="M305">
        <v>61000</v>
      </c>
      <c r="N305">
        <v>7.8</v>
      </c>
      <c r="O305">
        <v>5.7</v>
      </c>
      <c r="P305">
        <v>3</v>
      </c>
      <c r="Q305">
        <v>0.9</v>
      </c>
      <c r="R305">
        <v>2</v>
      </c>
      <c r="S305">
        <v>4</v>
      </c>
      <c r="T305">
        <v>4</v>
      </c>
      <c r="U305" t="s">
        <v>30</v>
      </c>
      <c r="V305">
        <v>3</v>
      </c>
      <c r="W305">
        <v>1</v>
      </c>
    </row>
    <row r="306" spans="1:23" x14ac:dyDescent="0.35">
      <c r="A306" t="s">
        <v>35</v>
      </c>
      <c r="B306" s="6">
        <v>45712</v>
      </c>
      <c r="D306" t="s">
        <v>23</v>
      </c>
      <c r="E306">
        <v>28</v>
      </c>
      <c r="F306" t="s">
        <v>36</v>
      </c>
      <c r="G306" t="s">
        <v>37</v>
      </c>
      <c r="H306" t="s">
        <v>26</v>
      </c>
      <c r="I306" t="s">
        <v>38</v>
      </c>
      <c r="J306" t="s">
        <v>39</v>
      </c>
      <c r="K306">
        <v>3</v>
      </c>
      <c r="L306" t="s">
        <v>40</v>
      </c>
      <c r="M306">
        <v>89000</v>
      </c>
      <c r="N306">
        <v>5.7</v>
      </c>
      <c r="O306">
        <v>7.4</v>
      </c>
      <c r="P306">
        <v>0.8</v>
      </c>
      <c r="Q306">
        <v>0</v>
      </c>
      <c r="R306">
        <v>2</v>
      </c>
      <c r="S306">
        <v>2</v>
      </c>
      <c r="T306">
        <v>4</v>
      </c>
      <c r="U306" t="s">
        <v>23</v>
      </c>
      <c r="V306">
        <v>3</v>
      </c>
      <c r="W306">
        <v>1</v>
      </c>
    </row>
    <row r="307" spans="1:23" x14ac:dyDescent="0.35">
      <c r="A307" t="s">
        <v>479</v>
      </c>
      <c r="B307" s="6">
        <v>45018</v>
      </c>
      <c r="D307" t="s">
        <v>23</v>
      </c>
      <c r="E307">
        <v>25</v>
      </c>
      <c r="F307" t="s">
        <v>62</v>
      </c>
      <c r="G307" t="s">
        <v>37</v>
      </c>
      <c r="H307" t="s">
        <v>58</v>
      </c>
      <c r="I307" t="s">
        <v>48</v>
      </c>
      <c r="J307" t="s">
        <v>63</v>
      </c>
      <c r="K307">
        <v>1</v>
      </c>
      <c r="L307" t="s">
        <v>34</v>
      </c>
      <c r="M307">
        <v>38000</v>
      </c>
      <c r="N307">
        <v>11.5</v>
      </c>
      <c r="O307">
        <v>5.2</v>
      </c>
      <c r="P307">
        <v>2.7</v>
      </c>
      <c r="Q307">
        <v>0.9</v>
      </c>
      <c r="R307">
        <v>3</v>
      </c>
      <c r="S307">
        <v>3</v>
      </c>
      <c r="T307">
        <v>1</v>
      </c>
      <c r="U307" t="s">
        <v>23</v>
      </c>
      <c r="V307">
        <v>5</v>
      </c>
      <c r="W307">
        <v>1</v>
      </c>
    </row>
    <row r="308" spans="1:23" x14ac:dyDescent="0.35">
      <c r="A308" t="s">
        <v>1032</v>
      </c>
      <c r="B308" s="6">
        <v>42120</v>
      </c>
      <c r="C308">
        <v>45982</v>
      </c>
      <c r="D308" t="s">
        <v>30</v>
      </c>
      <c r="E308">
        <v>32</v>
      </c>
      <c r="F308" t="s">
        <v>24</v>
      </c>
      <c r="G308" t="s">
        <v>37</v>
      </c>
      <c r="H308" t="s">
        <v>26</v>
      </c>
      <c r="I308" t="s">
        <v>45</v>
      </c>
      <c r="J308" t="s">
        <v>77</v>
      </c>
      <c r="K308">
        <v>2</v>
      </c>
      <c r="L308" t="s">
        <v>66</v>
      </c>
      <c r="M308">
        <v>48000</v>
      </c>
      <c r="N308">
        <v>9.1999999999999993</v>
      </c>
      <c r="O308">
        <v>14</v>
      </c>
      <c r="P308">
        <v>10.6</v>
      </c>
      <c r="Q308">
        <v>0.1</v>
      </c>
      <c r="R308">
        <v>2</v>
      </c>
      <c r="S308">
        <v>4</v>
      </c>
      <c r="T308">
        <v>3</v>
      </c>
      <c r="U308" t="s">
        <v>23</v>
      </c>
      <c r="V308">
        <v>3</v>
      </c>
      <c r="W308">
        <v>1</v>
      </c>
    </row>
    <row r="309" spans="1:23" x14ac:dyDescent="0.35">
      <c r="A309" t="s">
        <v>340</v>
      </c>
      <c r="B309" s="6">
        <v>45251</v>
      </c>
      <c r="D309" t="s">
        <v>23</v>
      </c>
      <c r="E309">
        <v>40</v>
      </c>
      <c r="F309" t="s">
        <v>36</v>
      </c>
      <c r="G309" t="s">
        <v>25</v>
      </c>
      <c r="H309" t="s">
        <v>32</v>
      </c>
      <c r="I309" t="s">
        <v>59</v>
      </c>
      <c r="J309" t="s">
        <v>60</v>
      </c>
      <c r="K309">
        <v>3</v>
      </c>
      <c r="L309" t="s">
        <v>29</v>
      </c>
      <c r="M309">
        <v>95000</v>
      </c>
      <c r="N309">
        <v>6.8</v>
      </c>
      <c r="O309">
        <v>7.6</v>
      </c>
      <c r="P309">
        <v>2.1</v>
      </c>
      <c r="Q309">
        <v>0.7</v>
      </c>
      <c r="R309">
        <v>2</v>
      </c>
      <c r="S309">
        <v>4</v>
      </c>
      <c r="T309">
        <v>3</v>
      </c>
      <c r="U309" t="s">
        <v>23</v>
      </c>
      <c r="V309">
        <v>2</v>
      </c>
      <c r="W309">
        <v>1</v>
      </c>
    </row>
    <row r="310" spans="1:23" x14ac:dyDescent="0.35">
      <c r="A310" t="s">
        <v>41</v>
      </c>
      <c r="B310" s="6">
        <v>44919</v>
      </c>
      <c r="D310" t="s">
        <v>23</v>
      </c>
      <c r="E310">
        <v>32</v>
      </c>
      <c r="F310" t="s">
        <v>24</v>
      </c>
      <c r="G310" t="s">
        <v>42</v>
      </c>
      <c r="H310" t="s">
        <v>26</v>
      </c>
      <c r="I310" t="s">
        <v>27</v>
      </c>
      <c r="J310" t="s">
        <v>43</v>
      </c>
      <c r="K310">
        <v>2</v>
      </c>
      <c r="L310" t="s">
        <v>34</v>
      </c>
      <c r="M310">
        <v>74000</v>
      </c>
      <c r="N310">
        <v>5.8</v>
      </c>
      <c r="O310">
        <v>9.5</v>
      </c>
      <c r="P310">
        <v>3</v>
      </c>
      <c r="Q310">
        <v>1.3</v>
      </c>
      <c r="R310">
        <v>4</v>
      </c>
      <c r="S310">
        <v>2</v>
      </c>
      <c r="T310">
        <v>3</v>
      </c>
      <c r="U310" t="s">
        <v>23</v>
      </c>
      <c r="V310">
        <v>3</v>
      </c>
      <c r="W310">
        <v>1</v>
      </c>
    </row>
    <row r="311" spans="1:23" x14ac:dyDescent="0.35">
      <c r="A311" t="s">
        <v>782</v>
      </c>
      <c r="B311" s="6">
        <v>43594</v>
      </c>
      <c r="D311" t="s">
        <v>23</v>
      </c>
      <c r="E311">
        <v>45</v>
      </c>
      <c r="F311" t="s">
        <v>24</v>
      </c>
      <c r="G311" t="s">
        <v>37</v>
      </c>
      <c r="H311" t="s">
        <v>32</v>
      </c>
      <c r="I311" t="s">
        <v>45</v>
      </c>
      <c r="J311" t="s">
        <v>46</v>
      </c>
      <c r="K311">
        <v>3</v>
      </c>
      <c r="L311" t="s">
        <v>34</v>
      </c>
      <c r="M311">
        <v>67000</v>
      </c>
      <c r="N311">
        <v>11.3</v>
      </c>
      <c r="O311">
        <v>9.1999999999999993</v>
      </c>
      <c r="P311">
        <v>6.6</v>
      </c>
      <c r="Q311">
        <v>2.8</v>
      </c>
      <c r="R311">
        <v>3</v>
      </c>
      <c r="S311">
        <v>4</v>
      </c>
      <c r="T311">
        <v>3</v>
      </c>
      <c r="U311" t="s">
        <v>23</v>
      </c>
      <c r="V311">
        <v>4</v>
      </c>
      <c r="W311">
        <v>1</v>
      </c>
    </row>
    <row r="312" spans="1:23" x14ac:dyDescent="0.35">
      <c r="A312" t="s">
        <v>336</v>
      </c>
      <c r="B312" s="6">
        <v>44304</v>
      </c>
      <c r="D312" t="s">
        <v>23</v>
      </c>
      <c r="E312">
        <v>30</v>
      </c>
      <c r="F312" t="s">
        <v>24</v>
      </c>
      <c r="G312" t="s">
        <v>25</v>
      </c>
      <c r="H312" t="s">
        <v>54</v>
      </c>
      <c r="I312" t="s">
        <v>68</v>
      </c>
      <c r="J312" t="s">
        <v>69</v>
      </c>
      <c r="K312">
        <v>3</v>
      </c>
      <c r="L312" t="s">
        <v>40</v>
      </c>
      <c r="M312">
        <v>75000</v>
      </c>
      <c r="N312">
        <v>6.7</v>
      </c>
      <c r="O312">
        <v>11.8</v>
      </c>
      <c r="P312">
        <v>4.7</v>
      </c>
      <c r="Q312">
        <v>2.9</v>
      </c>
      <c r="R312">
        <v>3</v>
      </c>
      <c r="S312">
        <v>3</v>
      </c>
      <c r="T312">
        <v>3</v>
      </c>
      <c r="U312" t="s">
        <v>23</v>
      </c>
      <c r="V312">
        <v>3</v>
      </c>
      <c r="W312">
        <v>1</v>
      </c>
    </row>
    <row r="313" spans="1:23" x14ac:dyDescent="0.35">
      <c r="A313" t="s">
        <v>1410</v>
      </c>
      <c r="B313" s="6">
        <v>45479</v>
      </c>
      <c r="D313" t="s">
        <v>23</v>
      </c>
      <c r="E313">
        <v>28</v>
      </c>
      <c r="F313" t="s">
        <v>24</v>
      </c>
      <c r="G313" t="s">
        <v>37</v>
      </c>
      <c r="H313" t="s">
        <v>26</v>
      </c>
      <c r="I313" t="s">
        <v>27</v>
      </c>
      <c r="J313" t="s">
        <v>33</v>
      </c>
      <c r="K313">
        <v>3</v>
      </c>
      <c r="L313" t="s">
        <v>34</v>
      </c>
      <c r="M313">
        <v>63000</v>
      </c>
      <c r="N313">
        <v>9.1</v>
      </c>
      <c r="O313">
        <v>2.2999999999999998</v>
      </c>
      <c r="P313">
        <v>1.5</v>
      </c>
      <c r="Q313">
        <v>1</v>
      </c>
      <c r="R313">
        <v>3</v>
      </c>
      <c r="S313">
        <v>1</v>
      </c>
      <c r="T313">
        <v>4</v>
      </c>
      <c r="U313" t="s">
        <v>23</v>
      </c>
      <c r="V313">
        <v>3</v>
      </c>
      <c r="W313">
        <v>1</v>
      </c>
    </row>
    <row r="314" spans="1:23" x14ac:dyDescent="0.35">
      <c r="A314" t="s">
        <v>1110</v>
      </c>
      <c r="B314" s="6">
        <v>43170</v>
      </c>
      <c r="D314" t="s">
        <v>23</v>
      </c>
      <c r="E314">
        <v>35</v>
      </c>
      <c r="F314" t="s">
        <v>24</v>
      </c>
      <c r="G314" t="s">
        <v>25</v>
      </c>
      <c r="H314" t="s">
        <v>54</v>
      </c>
      <c r="I314" t="s">
        <v>55</v>
      </c>
      <c r="J314" t="s">
        <v>56</v>
      </c>
      <c r="K314">
        <v>1</v>
      </c>
      <c r="L314" t="s">
        <v>50</v>
      </c>
      <c r="M314">
        <v>25000</v>
      </c>
      <c r="N314">
        <v>10.3</v>
      </c>
      <c r="O314">
        <v>12.5</v>
      </c>
      <c r="P314">
        <v>7.8</v>
      </c>
      <c r="Q314">
        <v>0.3</v>
      </c>
      <c r="R314">
        <v>3</v>
      </c>
      <c r="S314">
        <v>2</v>
      </c>
      <c r="T314">
        <v>3</v>
      </c>
      <c r="U314" t="s">
        <v>23</v>
      </c>
      <c r="V314">
        <v>1</v>
      </c>
      <c r="W314">
        <v>1</v>
      </c>
    </row>
    <row r="315" spans="1:23" x14ac:dyDescent="0.35">
      <c r="A315" t="s">
        <v>1037</v>
      </c>
      <c r="B315" s="6">
        <v>45821</v>
      </c>
      <c r="D315" t="s">
        <v>23</v>
      </c>
      <c r="E315">
        <v>21</v>
      </c>
      <c r="F315" t="s">
        <v>36</v>
      </c>
      <c r="G315" t="s">
        <v>37</v>
      </c>
      <c r="H315" t="s">
        <v>32</v>
      </c>
      <c r="I315" t="s">
        <v>48</v>
      </c>
      <c r="J315" t="s">
        <v>63</v>
      </c>
      <c r="K315">
        <v>1</v>
      </c>
      <c r="L315" t="s">
        <v>66</v>
      </c>
      <c r="M315">
        <v>38000</v>
      </c>
      <c r="N315">
        <v>13.9</v>
      </c>
      <c r="O315">
        <v>6.9</v>
      </c>
      <c r="P315">
        <v>0.6</v>
      </c>
      <c r="Q315">
        <v>0</v>
      </c>
      <c r="R315">
        <v>4</v>
      </c>
      <c r="S315">
        <v>3</v>
      </c>
      <c r="T315">
        <v>3</v>
      </c>
      <c r="U315" t="s">
        <v>23</v>
      </c>
      <c r="V315">
        <v>4</v>
      </c>
      <c r="W315">
        <v>1</v>
      </c>
    </row>
    <row r="316" spans="1:23" x14ac:dyDescent="0.35">
      <c r="A316" t="s">
        <v>1227</v>
      </c>
      <c r="B316" s="6">
        <v>43641</v>
      </c>
      <c r="D316" t="s">
        <v>23</v>
      </c>
      <c r="E316">
        <v>45</v>
      </c>
      <c r="F316" t="s">
        <v>62</v>
      </c>
      <c r="G316" t="s">
        <v>25</v>
      </c>
      <c r="H316" t="s">
        <v>58</v>
      </c>
      <c r="I316" t="s">
        <v>38</v>
      </c>
      <c r="J316" t="s">
        <v>118</v>
      </c>
      <c r="K316">
        <v>3</v>
      </c>
      <c r="L316" t="s">
        <v>29</v>
      </c>
      <c r="M316">
        <v>90000</v>
      </c>
      <c r="N316">
        <v>6.2</v>
      </c>
      <c r="O316">
        <v>11.5</v>
      </c>
      <c r="P316">
        <v>6.5</v>
      </c>
      <c r="Q316">
        <v>1.1000000000000001</v>
      </c>
      <c r="R316">
        <v>3</v>
      </c>
      <c r="S316">
        <v>4</v>
      </c>
      <c r="T316">
        <v>3</v>
      </c>
      <c r="U316" t="s">
        <v>30</v>
      </c>
      <c r="V316">
        <v>2</v>
      </c>
      <c r="W316">
        <v>1</v>
      </c>
    </row>
    <row r="317" spans="1:23" x14ac:dyDescent="0.35">
      <c r="A317" t="s">
        <v>1526</v>
      </c>
      <c r="B317" s="6">
        <v>45200</v>
      </c>
      <c r="D317" t="s">
        <v>23</v>
      </c>
      <c r="E317">
        <v>37</v>
      </c>
      <c r="F317" t="s">
        <v>36</v>
      </c>
      <c r="G317" t="s">
        <v>42</v>
      </c>
      <c r="H317" t="s">
        <v>54</v>
      </c>
      <c r="I317" t="s">
        <v>48</v>
      </c>
      <c r="J317" t="s">
        <v>201</v>
      </c>
      <c r="K317">
        <v>4</v>
      </c>
      <c r="L317" t="s">
        <v>29</v>
      </c>
      <c r="M317">
        <v>116000</v>
      </c>
      <c r="N317">
        <v>11.2</v>
      </c>
      <c r="O317">
        <v>3.5</v>
      </c>
      <c r="P317">
        <v>2.2999999999999998</v>
      </c>
      <c r="Q317">
        <v>2.2999999999999998</v>
      </c>
      <c r="R317">
        <v>3</v>
      </c>
      <c r="S317">
        <v>3</v>
      </c>
      <c r="T317">
        <v>3</v>
      </c>
      <c r="U317" t="s">
        <v>30</v>
      </c>
      <c r="V317">
        <v>3</v>
      </c>
      <c r="W317">
        <v>1</v>
      </c>
    </row>
    <row r="318" spans="1:23" x14ac:dyDescent="0.35">
      <c r="A318" t="s">
        <v>128</v>
      </c>
      <c r="B318" s="6">
        <v>43506</v>
      </c>
      <c r="D318" t="s">
        <v>23</v>
      </c>
      <c r="E318">
        <v>34</v>
      </c>
      <c r="F318" t="s">
        <v>36</v>
      </c>
      <c r="G318" t="s">
        <v>25</v>
      </c>
      <c r="H318" t="s">
        <v>26</v>
      </c>
      <c r="I318" t="s">
        <v>48</v>
      </c>
      <c r="J318" t="s">
        <v>129</v>
      </c>
      <c r="K318">
        <v>3</v>
      </c>
      <c r="L318" t="s">
        <v>66</v>
      </c>
      <c r="M318">
        <v>67000</v>
      </c>
      <c r="N318">
        <v>8.6</v>
      </c>
      <c r="O318">
        <v>8.9</v>
      </c>
      <c r="P318">
        <v>6.9</v>
      </c>
      <c r="Q318">
        <v>5.8</v>
      </c>
      <c r="R318">
        <v>4</v>
      </c>
      <c r="S318">
        <v>3</v>
      </c>
      <c r="T318">
        <v>3</v>
      </c>
      <c r="U318" t="s">
        <v>30</v>
      </c>
      <c r="V318">
        <v>4</v>
      </c>
      <c r="W318">
        <v>1</v>
      </c>
    </row>
    <row r="319" spans="1:23" x14ac:dyDescent="0.35">
      <c r="A319" t="s">
        <v>587</v>
      </c>
      <c r="B319" s="6">
        <v>43144</v>
      </c>
      <c r="D319" t="s">
        <v>23</v>
      </c>
      <c r="E319">
        <v>28</v>
      </c>
      <c r="F319" t="s">
        <v>62</v>
      </c>
      <c r="G319" t="s">
        <v>37</v>
      </c>
      <c r="H319" t="s">
        <v>26</v>
      </c>
      <c r="I319" t="s">
        <v>55</v>
      </c>
      <c r="J319" t="s">
        <v>88</v>
      </c>
      <c r="K319">
        <v>1</v>
      </c>
      <c r="L319" t="s">
        <v>50</v>
      </c>
      <c r="M319">
        <v>50000</v>
      </c>
      <c r="N319">
        <v>13.4</v>
      </c>
      <c r="O319">
        <v>15.4</v>
      </c>
      <c r="P319">
        <v>7.9</v>
      </c>
      <c r="Q319">
        <v>4.9000000000000004</v>
      </c>
      <c r="R319">
        <v>3</v>
      </c>
      <c r="S319">
        <v>4</v>
      </c>
      <c r="T319">
        <v>3</v>
      </c>
      <c r="U319" t="s">
        <v>30</v>
      </c>
      <c r="V319">
        <v>4</v>
      </c>
      <c r="W319">
        <v>1</v>
      </c>
    </row>
    <row r="320" spans="1:23" x14ac:dyDescent="0.35">
      <c r="A320" t="s">
        <v>1180</v>
      </c>
      <c r="B320" s="6">
        <v>45645</v>
      </c>
      <c r="D320" t="s">
        <v>23</v>
      </c>
      <c r="E320">
        <v>25</v>
      </c>
      <c r="F320" t="s">
        <v>24</v>
      </c>
      <c r="G320" t="s">
        <v>25</v>
      </c>
      <c r="H320" t="s">
        <v>58</v>
      </c>
      <c r="I320" t="s">
        <v>48</v>
      </c>
      <c r="J320" t="s">
        <v>129</v>
      </c>
      <c r="K320">
        <v>1</v>
      </c>
      <c r="L320" t="s">
        <v>34</v>
      </c>
      <c r="M320">
        <v>32000</v>
      </c>
      <c r="N320">
        <v>13.9</v>
      </c>
      <c r="O320">
        <v>3.1</v>
      </c>
      <c r="P320">
        <v>1</v>
      </c>
      <c r="Q320">
        <v>0.3</v>
      </c>
      <c r="R320">
        <v>4</v>
      </c>
      <c r="S320">
        <v>3</v>
      </c>
      <c r="T320">
        <v>3</v>
      </c>
      <c r="U320" t="s">
        <v>30</v>
      </c>
      <c r="V320">
        <v>3</v>
      </c>
      <c r="W320">
        <v>1</v>
      </c>
    </row>
    <row r="321" spans="1:23" x14ac:dyDescent="0.35">
      <c r="A321" t="s">
        <v>367</v>
      </c>
      <c r="B321" s="6">
        <v>42966</v>
      </c>
      <c r="D321" t="s">
        <v>23</v>
      </c>
      <c r="E321">
        <v>49</v>
      </c>
      <c r="F321" t="s">
        <v>36</v>
      </c>
      <c r="G321" t="s">
        <v>42</v>
      </c>
      <c r="H321" t="s">
        <v>54</v>
      </c>
      <c r="I321" t="s">
        <v>55</v>
      </c>
      <c r="J321" t="s">
        <v>80</v>
      </c>
      <c r="K321">
        <v>4</v>
      </c>
      <c r="L321" t="s">
        <v>34</v>
      </c>
      <c r="M321">
        <v>132000</v>
      </c>
      <c r="N321">
        <v>9.8000000000000007</v>
      </c>
      <c r="O321">
        <v>10.8</v>
      </c>
      <c r="P321">
        <v>8.4</v>
      </c>
      <c r="Q321">
        <v>4.4000000000000004</v>
      </c>
      <c r="R321">
        <v>4</v>
      </c>
      <c r="S321">
        <v>3</v>
      </c>
      <c r="T321">
        <v>2</v>
      </c>
      <c r="U321" t="s">
        <v>23</v>
      </c>
      <c r="V321">
        <v>2</v>
      </c>
      <c r="W321">
        <v>1</v>
      </c>
    </row>
    <row r="322" spans="1:23" x14ac:dyDescent="0.35">
      <c r="A322" t="s">
        <v>858</v>
      </c>
      <c r="B322" s="6">
        <v>44944</v>
      </c>
      <c r="C322">
        <v>45981</v>
      </c>
      <c r="D322" t="s">
        <v>30</v>
      </c>
      <c r="E322">
        <v>34</v>
      </c>
      <c r="F322" t="s">
        <v>62</v>
      </c>
      <c r="G322" t="s">
        <v>25</v>
      </c>
      <c r="H322" t="s">
        <v>32</v>
      </c>
      <c r="I322" t="s">
        <v>59</v>
      </c>
      <c r="J322" t="s">
        <v>75</v>
      </c>
      <c r="K322">
        <v>4</v>
      </c>
      <c r="L322" t="s">
        <v>40</v>
      </c>
      <c r="M322">
        <v>107000</v>
      </c>
      <c r="N322">
        <v>11.8</v>
      </c>
      <c r="O322">
        <v>5.9</v>
      </c>
      <c r="P322">
        <v>2.8</v>
      </c>
      <c r="Q322">
        <v>0.9</v>
      </c>
      <c r="R322">
        <v>3</v>
      </c>
      <c r="S322">
        <v>1</v>
      </c>
      <c r="T322">
        <v>3</v>
      </c>
      <c r="U322" t="s">
        <v>23</v>
      </c>
      <c r="V322">
        <v>2</v>
      </c>
      <c r="W322">
        <v>1</v>
      </c>
    </row>
    <row r="323" spans="1:23" x14ac:dyDescent="0.35">
      <c r="A323" t="s">
        <v>1074</v>
      </c>
      <c r="B323" s="6">
        <v>43537</v>
      </c>
      <c r="C323">
        <v>45879</v>
      </c>
      <c r="D323" t="s">
        <v>30</v>
      </c>
      <c r="E323">
        <v>27</v>
      </c>
      <c r="F323" t="s">
        <v>24</v>
      </c>
      <c r="G323" t="s">
        <v>25</v>
      </c>
      <c r="H323" t="s">
        <v>54</v>
      </c>
      <c r="I323" t="s">
        <v>38</v>
      </c>
      <c r="J323" t="s">
        <v>52</v>
      </c>
      <c r="K323">
        <v>1</v>
      </c>
      <c r="L323" t="s">
        <v>84</v>
      </c>
      <c r="M323">
        <v>26000</v>
      </c>
      <c r="N323">
        <v>1.7</v>
      </c>
      <c r="O323">
        <v>8.6999999999999993</v>
      </c>
      <c r="P323">
        <v>6.4</v>
      </c>
      <c r="Q323">
        <v>2.4</v>
      </c>
      <c r="R323">
        <v>3</v>
      </c>
      <c r="S323">
        <v>2</v>
      </c>
      <c r="T323">
        <v>2</v>
      </c>
      <c r="U323" t="s">
        <v>23</v>
      </c>
      <c r="V323">
        <v>4</v>
      </c>
      <c r="W323">
        <v>1</v>
      </c>
    </row>
    <row r="324" spans="1:23" x14ac:dyDescent="0.35">
      <c r="A324" t="s">
        <v>1019</v>
      </c>
      <c r="B324" s="6">
        <v>45051</v>
      </c>
      <c r="C324">
        <v>45944</v>
      </c>
      <c r="D324" t="s">
        <v>30</v>
      </c>
      <c r="E324">
        <v>25</v>
      </c>
      <c r="F324" t="s">
        <v>62</v>
      </c>
      <c r="G324" t="s">
        <v>37</v>
      </c>
      <c r="H324" t="s">
        <v>32</v>
      </c>
      <c r="I324" t="s">
        <v>38</v>
      </c>
      <c r="J324" t="s">
        <v>52</v>
      </c>
      <c r="K324">
        <v>1</v>
      </c>
      <c r="L324" t="s">
        <v>50</v>
      </c>
      <c r="M324">
        <v>22000</v>
      </c>
      <c r="N324">
        <v>10.6</v>
      </c>
      <c r="O324">
        <v>4</v>
      </c>
      <c r="P324">
        <v>2.4</v>
      </c>
      <c r="Q324">
        <v>0.9</v>
      </c>
      <c r="R324">
        <v>2</v>
      </c>
      <c r="S324">
        <v>3</v>
      </c>
      <c r="T324">
        <v>3</v>
      </c>
      <c r="U324" t="s">
        <v>23</v>
      </c>
      <c r="V324">
        <v>5</v>
      </c>
      <c r="W324">
        <v>1</v>
      </c>
    </row>
    <row r="325" spans="1:23" x14ac:dyDescent="0.35">
      <c r="A325" t="s">
        <v>1361</v>
      </c>
      <c r="B325" s="6">
        <v>41964</v>
      </c>
      <c r="D325" t="s">
        <v>23</v>
      </c>
      <c r="E325">
        <v>33</v>
      </c>
      <c r="F325" t="s">
        <v>36</v>
      </c>
      <c r="G325" t="s">
        <v>25</v>
      </c>
      <c r="H325" t="s">
        <v>54</v>
      </c>
      <c r="I325" t="s">
        <v>68</v>
      </c>
      <c r="J325" t="s">
        <v>121</v>
      </c>
      <c r="K325">
        <v>2</v>
      </c>
      <c r="L325" t="s">
        <v>66</v>
      </c>
      <c r="M325">
        <v>60000</v>
      </c>
      <c r="N325">
        <v>9.3000000000000007</v>
      </c>
      <c r="O325">
        <v>13.9</v>
      </c>
      <c r="P325">
        <v>11.1</v>
      </c>
      <c r="Q325">
        <v>1.9</v>
      </c>
      <c r="R325">
        <v>3</v>
      </c>
      <c r="S325">
        <v>3</v>
      </c>
      <c r="T325">
        <v>1</v>
      </c>
      <c r="U325" t="s">
        <v>30</v>
      </c>
      <c r="V325">
        <v>3</v>
      </c>
      <c r="W325">
        <v>1</v>
      </c>
    </row>
    <row r="326" spans="1:23" x14ac:dyDescent="0.35">
      <c r="A326" t="s">
        <v>1301</v>
      </c>
      <c r="B326" s="6">
        <v>42417</v>
      </c>
      <c r="D326" t="s">
        <v>23</v>
      </c>
      <c r="E326">
        <v>39</v>
      </c>
      <c r="F326" t="s">
        <v>36</v>
      </c>
      <c r="G326" t="s">
        <v>37</v>
      </c>
      <c r="H326" t="s">
        <v>58</v>
      </c>
      <c r="I326" t="s">
        <v>55</v>
      </c>
      <c r="J326" t="s">
        <v>80</v>
      </c>
      <c r="K326">
        <v>1</v>
      </c>
      <c r="L326" t="s">
        <v>29</v>
      </c>
      <c r="M326">
        <v>37000</v>
      </c>
      <c r="N326">
        <v>10.1</v>
      </c>
      <c r="O326">
        <v>16.7</v>
      </c>
      <c r="P326">
        <v>9.9</v>
      </c>
      <c r="Q326">
        <v>0.7</v>
      </c>
      <c r="R326">
        <v>3</v>
      </c>
      <c r="S326">
        <v>1</v>
      </c>
      <c r="T326">
        <v>4</v>
      </c>
      <c r="U326" t="s">
        <v>30</v>
      </c>
      <c r="V326">
        <v>5</v>
      </c>
      <c r="W326">
        <v>1</v>
      </c>
    </row>
    <row r="327" spans="1:23" x14ac:dyDescent="0.35">
      <c r="A327" t="s">
        <v>604</v>
      </c>
      <c r="B327" s="6">
        <v>44588</v>
      </c>
      <c r="D327" t="s">
        <v>23</v>
      </c>
      <c r="E327">
        <v>28</v>
      </c>
      <c r="F327" t="s">
        <v>62</v>
      </c>
      <c r="G327" t="s">
        <v>25</v>
      </c>
      <c r="H327" t="s">
        <v>26</v>
      </c>
      <c r="I327" t="s">
        <v>59</v>
      </c>
      <c r="J327" t="s">
        <v>75</v>
      </c>
      <c r="K327">
        <v>2</v>
      </c>
      <c r="L327" t="s">
        <v>34</v>
      </c>
      <c r="M327">
        <v>61000</v>
      </c>
      <c r="N327">
        <v>8.3000000000000007</v>
      </c>
      <c r="O327">
        <v>8.3000000000000007</v>
      </c>
      <c r="P327">
        <v>3.9</v>
      </c>
      <c r="Q327">
        <v>2.9</v>
      </c>
      <c r="R327">
        <v>4</v>
      </c>
      <c r="S327">
        <v>3</v>
      </c>
      <c r="T327">
        <v>3</v>
      </c>
      <c r="U327" t="s">
        <v>23</v>
      </c>
      <c r="V327">
        <v>5</v>
      </c>
      <c r="W327">
        <v>1</v>
      </c>
    </row>
    <row r="328" spans="1:23" x14ac:dyDescent="0.35">
      <c r="A328" t="s">
        <v>930</v>
      </c>
      <c r="B328" s="6">
        <v>45656</v>
      </c>
      <c r="D328" t="s">
        <v>23</v>
      </c>
      <c r="E328">
        <v>37</v>
      </c>
      <c r="F328" t="s">
        <v>62</v>
      </c>
      <c r="G328" t="s">
        <v>42</v>
      </c>
      <c r="H328" t="s">
        <v>26</v>
      </c>
      <c r="I328" t="s">
        <v>27</v>
      </c>
      <c r="J328" t="s">
        <v>43</v>
      </c>
      <c r="K328">
        <v>2</v>
      </c>
      <c r="L328" t="s">
        <v>50</v>
      </c>
      <c r="M328">
        <v>43000</v>
      </c>
      <c r="N328">
        <v>9.1</v>
      </c>
      <c r="O328">
        <v>4.7</v>
      </c>
      <c r="P328">
        <v>1</v>
      </c>
      <c r="Q328">
        <v>0.9</v>
      </c>
      <c r="R328">
        <v>3</v>
      </c>
      <c r="S328">
        <v>1</v>
      </c>
      <c r="T328">
        <v>3</v>
      </c>
      <c r="U328" t="s">
        <v>30</v>
      </c>
      <c r="V328">
        <v>4</v>
      </c>
      <c r="W328">
        <v>1</v>
      </c>
    </row>
    <row r="329" spans="1:23" x14ac:dyDescent="0.35">
      <c r="A329" t="s">
        <v>1125</v>
      </c>
      <c r="B329" s="6">
        <v>44286</v>
      </c>
      <c r="D329" t="s">
        <v>23</v>
      </c>
      <c r="E329">
        <v>41</v>
      </c>
      <c r="F329" t="s">
        <v>62</v>
      </c>
      <c r="G329" t="s">
        <v>37</v>
      </c>
      <c r="H329" t="s">
        <v>26</v>
      </c>
      <c r="I329" t="s">
        <v>68</v>
      </c>
      <c r="J329" t="s">
        <v>121</v>
      </c>
      <c r="K329">
        <v>2</v>
      </c>
      <c r="L329" t="s">
        <v>40</v>
      </c>
      <c r="M329">
        <v>57000</v>
      </c>
      <c r="N329">
        <v>8.9</v>
      </c>
      <c r="O329">
        <v>11.7</v>
      </c>
      <c r="P329">
        <v>4.8</v>
      </c>
      <c r="Q329">
        <v>2.6</v>
      </c>
      <c r="R329">
        <v>2</v>
      </c>
      <c r="S329">
        <v>2</v>
      </c>
      <c r="T329">
        <v>3</v>
      </c>
      <c r="U329" t="s">
        <v>23</v>
      </c>
      <c r="V329">
        <v>3</v>
      </c>
      <c r="W329">
        <v>1</v>
      </c>
    </row>
    <row r="330" spans="1:23" x14ac:dyDescent="0.35">
      <c r="A330" t="s">
        <v>1117</v>
      </c>
      <c r="B330" s="6">
        <v>44232</v>
      </c>
      <c r="D330" t="s">
        <v>23</v>
      </c>
      <c r="E330">
        <v>43</v>
      </c>
      <c r="F330" t="s">
        <v>62</v>
      </c>
      <c r="G330" t="s">
        <v>42</v>
      </c>
      <c r="H330" t="s">
        <v>54</v>
      </c>
      <c r="I330" t="s">
        <v>27</v>
      </c>
      <c r="J330" t="s">
        <v>28</v>
      </c>
      <c r="K330">
        <v>2</v>
      </c>
      <c r="L330" t="s">
        <v>50</v>
      </c>
      <c r="M330">
        <v>56000</v>
      </c>
      <c r="N330">
        <v>9</v>
      </c>
      <c r="O330">
        <v>9.9</v>
      </c>
      <c r="P330">
        <v>4.9000000000000004</v>
      </c>
      <c r="Q330">
        <v>1.2</v>
      </c>
      <c r="R330">
        <v>3</v>
      </c>
      <c r="S330">
        <v>4</v>
      </c>
      <c r="T330">
        <v>3</v>
      </c>
      <c r="U330" t="s">
        <v>30</v>
      </c>
      <c r="V330">
        <v>4</v>
      </c>
      <c r="W330">
        <v>1</v>
      </c>
    </row>
    <row r="331" spans="1:23" x14ac:dyDescent="0.35">
      <c r="A331" t="s">
        <v>241</v>
      </c>
      <c r="B331" s="6">
        <v>45443</v>
      </c>
      <c r="C331">
        <v>45853</v>
      </c>
      <c r="D331" t="s">
        <v>30</v>
      </c>
      <c r="E331">
        <v>26</v>
      </c>
      <c r="F331" t="s">
        <v>62</v>
      </c>
      <c r="G331" t="s">
        <v>37</v>
      </c>
      <c r="H331" t="s">
        <v>54</v>
      </c>
      <c r="I331" t="s">
        <v>27</v>
      </c>
      <c r="J331" t="s">
        <v>28</v>
      </c>
      <c r="K331">
        <v>1</v>
      </c>
      <c r="L331" t="s">
        <v>84</v>
      </c>
      <c r="M331">
        <v>29000</v>
      </c>
      <c r="N331">
        <v>6.6</v>
      </c>
      <c r="O331">
        <v>5.3</v>
      </c>
      <c r="P331">
        <v>1.1000000000000001</v>
      </c>
      <c r="Q331">
        <v>0.7</v>
      </c>
      <c r="R331">
        <v>3</v>
      </c>
      <c r="S331">
        <v>4</v>
      </c>
      <c r="T331">
        <v>3</v>
      </c>
      <c r="U331" t="s">
        <v>23</v>
      </c>
      <c r="V331">
        <v>3</v>
      </c>
      <c r="W331">
        <v>1</v>
      </c>
    </row>
    <row r="332" spans="1:23" x14ac:dyDescent="0.35">
      <c r="A332" t="s">
        <v>1286</v>
      </c>
      <c r="B332" s="6">
        <v>45350</v>
      </c>
      <c r="D332" t="s">
        <v>23</v>
      </c>
      <c r="E332">
        <v>33</v>
      </c>
      <c r="F332" t="s">
        <v>36</v>
      </c>
      <c r="G332" t="s">
        <v>37</v>
      </c>
      <c r="H332" t="s">
        <v>32</v>
      </c>
      <c r="I332" t="s">
        <v>27</v>
      </c>
      <c r="J332" t="s">
        <v>28</v>
      </c>
      <c r="K332">
        <v>2</v>
      </c>
      <c r="L332" t="s">
        <v>84</v>
      </c>
      <c r="M332">
        <v>55000</v>
      </c>
      <c r="N332">
        <v>8.6999999999999993</v>
      </c>
      <c r="O332">
        <v>3.5</v>
      </c>
      <c r="P332">
        <v>1.8</v>
      </c>
      <c r="Q332">
        <v>0.2</v>
      </c>
      <c r="R332">
        <v>3</v>
      </c>
      <c r="S332">
        <v>3</v>
      </c>
      <c r="T332">
        <v>4</v>
      </c>
      <c r="U332" t="s">
        <v>23</v>
      </c>
      <c r="V332">
        <v>5</v>
      </c>
      <c r="W332">
        <v>1</v>
      </c>
    </row>
    <row r="333" spans="1:23" x14ac:dyDescent="0.35">
      <c r="A333" t="s">
        <v>1040</v>
      </c>
      <c r="B333" s="6">
        <v>42325</v>
      </c>
      <c r="D333" t="s">
        <v>23</v>
      </c>
      <c r="E333">
        <v>33</v>
      </c>
      <c r="F333" t="s">
        <v>62</v>
      </c>
      <c r="G333" t="s">
        <v>25</v>
      </c>
      <c r="H333" t="s">
        <v>58</v>
      </c>
      <c r="I333" t="s">
        <v>38</v>
      </c>
      <c r="J333" t="s">
        <v>118</v>
      </c>
      <c r="K333">
        <v>2</v>
      </c>
      <c r="L333" t="s">
        <v>40</v>
      </c>
      <c r="M333">
        <v>42000</v>
      </c>
      <c r="N333">
        <v>5.2</v>
      </c>
      <c r="O333">
        <v>17.899999999999999</v>
      </c>
      <c r="P333">
        <v>10.1</v>
      </c>
      <c r="Q333">
        <v>5.8</v>
      </c>
      <c r="R333">
        <v>1</v>
      </c>
      <c r="S333">
        <v>3</v>
      </c>
      <c r="T333">
        <v>3</v>
      </c>
      <c r="U333" t="s">
        <v>30</v>
      </c>
      <c r="V333">
        <v>4</v>
      </c>
      <c r="W333">
        <v>1</v>
      </c>
    </row>
    <row r="334" spans="1:23" x14ac:dyDescent="0.35">
      <c r="A334" t="s">
        <v>699</v>
      </c>
      <c r="B334" s="6">
        <v>45730</v>
      </c>
      <c r="D334" t="s">
        <v>23</v>
      </c>
      <c r="E334">
        <v>25</v>
      </c>
      <c r="F334" t="s">
        <v>36</v>
      </c>
      <c r="G334" t="s">
        <v>37</v>
      </c>
      <c r="H334" t="s">
        <v>54</v>
      </c>
      <c r="I334" t="s">
        <v>59</v>
      </c>
      <c r="J334" t="s">
        <v>86</v>
      </c>
      <c r="K334">
        <v>1</v>
      </c>
      <c r="L334" t="s">
        <v>40</v>
      </c>
      <c r="M334">
        <v>38000</v>
      </c>
      <c r="N334">
        <v>15.1</v>
      </c>
      <c r="O334">
        <v>2.9</v>
      </c>
      <c r="P334">
        <v>0.8</v>
      </c>
      <c r="Q334">
        <v>0</v>
      </c>
      <c r="R334">
        <v>4</v>
      </c>
      <c r="S334">
        <v>2</v>
      </c>
      <c r="T334">
        <v>2</v>
      </c>
      <c r="U334" t="s">
        <v>30</v>
      </c>
      <c r="V334">
        <v>4</v>
      </c>
      <c r="W334">
        <v>1</v>
      </c>
    </row>
    <row r="335" spans="1:23" x14ac:dyDescent="0.35">
      <c r="A335" t="s">
        <v>311</v>
      </c>
      <c r="B335" s="6">
        <v>44315</v>
      </c>
      <c r="D335" t="s">
        <v>23</v>
      </c>
      <c r="E335">
        <v>32</v>
      </c>
      <c r="F335" t="s">
        <v>36</v>
      </c>
      <c r="G335" t="s">
        <v>37</v>
      </c>
      <c r="H335" t="s">
        <v>32</v>
      </c>
      <c r="I335" t="s">
        <v>27</v>
      </c>
      <c r="J335" t="s">
        <v>33</v>
      </c>
      <c r="K335">
        <v>3</v>
      </c>
      <c r="L335" t="s">
        <v>40</v>
      </c>
      <c r="M335">
        <v>87000</v>
      </c>
      <c r="N335">
        <v>9.6</v>
      </c>
      <c r="O335">
        <v>6.2</v>
      </c>
      <c r="P335">
        <v>4.7</v>
      </c>
      <c r="Q335">
        <v>0.2</v>
      </c>
      <c r="R335">
        <v>3</v>
      </c>
      <c r="S335">
        <v>4</v>
      </c>
      <c r="T335">
        <v>1</v>
      </c>
      <c r="U335" t="s">
        <v>23</v>
      </c>
      <c r="V335">
        <v>3</v>
      </c>
      <c r="W335">
        <v>1</v>
      </c>
    </row>
    <row r="336" spans="1:23" x14ac:dyDescent="0.35">
      <c r="A336" t="s">
        <v>1488</v>
      </c>
      <c r="B336" s="6">
        <v>42781</v>
      </c>
      <c r="D336" t="s">
        <v>23</v>
      </c>
      <c r="E336">
        <v>29</v>
      </c>
      <c r="F336" t="s">
        <v>36</v>
      </c>
      <c r="G336" t="s">
        <v>25</v>
      </c>
      <c r="H336" t="s">
        <v>58</v>
      </c>
      <c r="I336" t="s">
        <v>38</v>
      </c>
      <c r="J336" t="s">
        <v>139</v>
      </c>
      <c r="K336">
        <v>4</v>
      </c>
      <c r="L336" t="s">
        <v>34</v>
      </c>
      <c r="M336">
        <v>121000</v>
      </c>
      <c r="N336">
        <v>7.4</v>
      </c>
      <c r="O336">
        <v>12.5</v>
      </c>
      <c r="P336">
        <v>8.9</v>
      </c>
      <c r="Q336">
        <v>1.5</v>
      </c>
      <c r="R336">
        <v>3</v>
      </c>
      <c r="S336">
        <v>3</v>
      </c>
      <c r="T336">
        <v>1</v>
      </c>
      <c r="U336" t="s">
        <v>23</v>
      </c>
      <c r="V336">
        <v>4</v>
      </c>
      <c r="W336">
        <v>1</v>
      </c>
    </row>
    <row r="337" spans="1:23" x14ac:dyDescent="0.35">
      <c r="A337" t="s">
        <v>1225</v>
      </c>
      <c r="B337" s="6">
        <v>43983</v>
      </c>
      <c r="D337" t="s">
        <v>23</v>
      </c>
      <c r="E337">
        <v>34</v>
      </c>
      <c r="F337" t="s">
        <v>62</v>
      </c>
      <c r="G337" t="s">
        <v>37</v>
      </c>
      <c r="H337" t="s">
        <v>32</v>
      </c>
      <c r="I337" t="s">
        <v>27</v>
      </c>
      <c r="J337" t="s">
        <v>43</v>
      </c>
      <c r="K337">
        <v>3</v>
      </c>
      <c r="L337" t="s">
        <v>84</v>
      </c>
      <c r="M337">
        <v>74000</v>
      </c>
      <c r="N337">
        <v>10.7</v>
      </c>
      <c r="O337">
        <v>9.6999999999999993</v>
      </c>
      <c r="P337">
        <v>5.6</v>
      </c>
      <c r="Q337">
        <v>2.2000000000000002</v>
      </c>
      <c r="R337">
        <v>1</v>
      </c>
      <c r="S337">
        <v>3</v>
      </c>
      <c r="T337">
        <v>3</v>
      </c>
      <c r="U337" t="s">
        <v>23</v>
      </c>
      <c r="V337">
        <v>3</v>
      </c>
      <c r="W337">
        <v>1</v>
      </c>
    </row>
    <row r="338" spans="1:23" x14ac:dyDescent="0.35">
      <c r="A338" t="s">
        <v>1104</v>
      </c>
      <c r="B338" s="6">
        <v>42607</v>
      </c>
      <c r="D338" t="s">
        <v>23</v>
      </c>
      <c r="E338">
        <v>40</v>
      </c>
      <c r="F338" t="s">
        <v>24</v>
      </c>
      <c r="G338" t="s">
        <v>25</v>
      </c>
      <c r="H338" t="s">
        <v>26</v>
      </c>
      <c r="I338" t="s">
        <v>48</v>
      </c>
      <c r="J338" t="s">
        <v>201</v>
      </c>
      <c r="K338">
        <v>4</v>
      </c>
      <c r="L338" t="s">
        <v>40</v>
      </c>
      <c r="M338">
        <v>102000</v>
      </c>
      <c r="N338">
        <v>0</v>
      </c>
      <c r="O338">
        <v>16.7</v>
      </c>
      <c r="P338">
        <v>9.3000000000000007</v>
      </c>
      <c r="Q338">
        <v>4.0999999999999996</v>
      </c>
      <c r="R338">
        <v>2</v>
      </c>
      <c r="S338">
        <v>4</v>
      </c>
      <c r="T338">
        <v>3</v>
      </c>
      <c r="U338" t="s">
        <v>23</v>
      </c>
      <c r="V338">
        <v>4</v>
      </c>
      <c r="W338">
        <v>1</v>
      </c>
    </row>
    <row r="339" spans="1:23" x14ac:dyDescent="0.35">
      <c r="A339" t="s">
        <v>1245</v>
      </c>
      <c r="B339" s="6">
        <v>45525</v>
      </c>
      <c r="D339" t="s">
        <v>23</v>
      </c>
      <c r="E339">
        <v>23</v>
      </c>
      <c r="F339" t="s">
        <v>62</v>
      </c>
      <c r="G339" t="s">
        <v>25</v>
      </c>
      <c r="H339" t="s">
        <v>32</v>
      </c>
      <c r="I339" t="s">
        <v>59</v>
      </c>
      <c r="J339" t="s">
        <v>86</v>
      </c>
      <c r="K339">
        <v>1</v>
      </c>
      <c r="L339" t="s">
        <v>29</v>
      </c>
      <c r="M339">
        <v>31000</v>
      </c>
      <c r="N339">
        <v>4.3</v>
      </c>
      <c r="O339">
        <v>8.5</v>
      </c>
      <c r="P339">
        <v>1.4</v>
      </c>
      <c r="Q339">
        <v>1.3</v>
      </c>
      <c r="R339">
        <v>1</v>
      </c>
      <c r="S339">
        <v>4</v>
      </c>
      <c r="T339">
        <v>2</v>
      </c>
      <c r="U339" t="s">
        <v>23</v>
      </c>
      <c r="V339">
        <v>3</v>
      </c>
      <c r="W339">
        <v>1</v>
      </c>
    </row>
    <row r="340" spans="1:23" x14ac:dyDescent="0.35">
      <c r="A340" t="s">
        <v>225</v>
      </c>
      <c r="B340" s="6">
        <v>42895</v>
      </c>
      <c r="D340" t="s">
        <v>23</v>
      </c>
      <c r="E340">
        <v>37</v>
      </c>
      <c r="F340" t="s">
        <v>24</v>
      </c>
      <c r="G340" t="s">
        <v>37</v>
      </c>
      <c r="H340" t="s">
        <v>58</v>
      </c>
      <c r="I340" t="s">
        <v>45</v>
      </c>
      <c r="J340" t="s">
        <v>164</v>
      </c>
      <c r="K340">
        <v>1</v>
      </c>
      <c r="M340">
        <v>38000</v>
      </c>
      <c r="N340">
        <v>6.7</v>
      </c>
      <c r="O340">
        <v>14.4</v>
      </c>
      <c r="P340">
        <v>8.6</v>
      </c>
      <c r="Q340">
        <v>5.9</v>
      </c>
      <c r="R340">
        <v>2</v>
      </c>
      <c r="S340">
        <v>3</v>
      </c>
      <c r="T340">
        <v>2</v>
      </c>
      <c r="U340" t="s">
        <v>23</v>
      </c>
      <c r="V340">
        <v>4</v>
      </c>
      <c r="W340">
        <v>1</v>
      </c>
    </row>
    <row r="341" spans="1:23" x14ac:dyDescent="0.35">
      <c r="A341" t="s">
        <v>1419</v>
      </c>
      <c r="B341" s="6">
        <v>45453</v>
      </c>
      <c r="D341" t="s">
        <v>23</v>
      </c>
      <c r="E341">
        <v>29</v>
      </c>
      <c r="F341" t="s">
        <v>24</v>
      </c>
      <c r="G341" t="s">
        <v>37</v>
      </c>
      <c r="H341" t="s">
        <v>58</v>
      </c>
      <c r="I341" t="s">
        <v>59</v>
      </c>
      <c r="J341" t="s">
        <v>86</v>
      </c>
      <c r="K341">
        <v>2</v>
      </c>
      <c r="L341" t="s">
        <v>50</v>
      </c>
      <c r="M341">
        <v>55000</v>
      </c>
      <c r="N341">
        <v>3.1</v>
      </c>
      <c r="O341">
        <v>7.4</v>
      </c>
      <c r="P341">
        <v>1.6</v>
      </c>
      <c r="Q341">
        <v>1.5</v>
      </c>
      <c r="R341">
        <v>1</v>
      </c>
      <c r="S341">
        <v>3</v>
      </c>
      <c r="T341">
        <v>2</v>
      </c>
      <c r="U341" t="s">
        <v>23</v>
      </c>
      <c r="V341">
        <v>5</v>
      </c>
      <c r="W341">
        <v>1</v>
      </c>
    </row>
    <row r="342" spans="1:23" x14ac:dyDescent="0.35">
      <c r="A342" t="s">
        <v>1206</v>
      </c>
      <c r="B342" s="6">
        <v>43590</v>
      </c>
      <c r="D342" t="s">
        <v>23</v>
      </c>
      <c r="E342">
        <v>33</v>
      </c>
      <c r="F342" t="s">
        <v>24</v>
      </c>
      <c r="G342" t="s">
        <v>25</v>
      </c>
      <c r="H342" t="s">
        <v>58</v>
      </c>
      <c r="I342" t="s">
        <v>48</v>
      </c>
      <c r="J342" t="s">
        <v>201</v>
      </c>
      <c r="K342">
        <v>4</v>
      </c>
      <c r="L342" t="s">
        <v>66</v>
      </c>
      <c r="M342">
        <v>120000</v>
      </c>
      <c r="N342">
        <v>9.5</v>
      </c>
      <c r="O342">
        <v>11.4</v>
      </c>
      <c r="P342">
        <v>6.7</v>
      </c>
      <c r="Q342">
        <v>2.9</v>
      </c>
      <c r="R342">
        <v>4</v>
      </c>
      <c r="S342">
        <v>3</v>
      </c>
      <c r="T342">
        <v>2</v>
      </c>
      <c r="U342" t="s">
        <v>30</v>
      </c>
      <c r="V342">
        <v>4</v>
      </c>
      <c r="W342">
        <v>1</v>
      </c>
    </row>
    <row r="343" spans="1:23" x14ac:dyDescent="0.35">
      <c r="A343" t="s">
        <v>893</v>
      </c>
      <c r="B343" s="6">
        <v>45279</v>
      </c>
      <c r="D343" t="s">
        <v>23</v>
      </c>
      <c r="E343">
        <v>41</v>
      </c>
      <c r="F343" t="s">
        <v>36</v>
      </c>
      <c r="G343" t="s">
        <v>37</v>
      </c>
      <c r="H343" t="s">
        <v>32</v>
      </c>
      <c r="I343" t="s">
        <v>45</v>
      </c>
      <c r="J343" t="s">
        <v>97</v>
      </c>
      <c r="K343">
        <v>1</v>
      </c>
      <c r="L343" t="s">
        <v>29</v>
      </c>
      <c r="M343">
        <v>30000</v>
      </c>
      <c r="N343">
        <v>8.9</v>
      </c>
      <c r="O343">
        <v>7.4</v>
      </c>
      <c r="P343">
        <v>2</v>
      </c>
      <c r="Q343">
        <v>1.7</v>
      </c>
      <c r="R343">
        <v>1</v>
      </c>
      <c r="S343">
        <v>3</v>
      </c>
      <c r="T343">
        <v>4</v>
      </c>
      <c r="U343" t="s">
        <v>23</v>
      </c>
      <c r="V343">
        <v>1</v>
      </c>
      <c r="W343">
        <v>1</v>
      </c>
    </row>
    <row r="344" spans="1:23" x14ac:dyDescent="0.35">
      <c r="A344" t="s">
        <v>282</v>
      </c>
      <c r="B344" s="6">
        <v>43258</v>
      </c>
      <c r="D344" t="s">
        <v>23</v>
      </c>
      <c r="E344">
        <v>30</v>
      </c>
      <c r="F344" t="s">
        <v>24</v>
      </c>
      <c r="G344" t="s">
        <v>42</v>
      </c>
      <c r="H344" t="s">
        <v>54</v>
      </c>
      <c r="I344" t="s">
        <v>68</v>
      </c>
      <c r="J344" t="s">
        <v>109</v>
      </c>
      <c r="K344">
        <v>5</v>
      </c>
      <c r="L344" t="s">
        <v>40</v>
      </c>
      <c r="M344">
        <v>146000</v>
      </c>
      <c r="N344">
        <v>8.3000000000000007</v>
      </c>
      <c r="O344">
        <v>10.1</v>
      </c>
      <c r="P344">
        <v>7.6</v>
      </c>
      <c r="Q344">
        <v>5.4</v>
      </c>
      <c r="R344">
        <v>1</v>
      </c>
      <c r="S344">
        <v>4</v>
      </c>
      <c r="T344">
        <v>3</v>
      </c>
      <c r="U344" t="s">
        <v>23</v>
      </c>
      <c r="V344">
        <v>4</v>
      </c>
      <c r="W344">
        <v>1</v>
      </c>
    </row>
    <row r="345" spans="1:23" x14ac:dyDescent="0.35">
      <c r="A345" t="s">
        <v>648</v>
      </c>
      <c r="B345" s="6">
        <v>45588</v>
      </c>
      <c r="C345">
        <v>45687</v>
      </c>
      <c r="D345" t="s">
        <v>30</v>
      </c>
      <c r="E345">
        <v>23</v>
      </c>
      <c r="F345" t="s">
        <v>62</v>
      </c>
      <c r="G345" t="s">
        <v>25</v>
      </c>
      <c r="H345" t="s">
        <v>58</v>
      </c>
      <c r="I345" t="s">
        <v>38</v>
      </c>
      <c r="J345" t="s">
        <v>39</v>
      </c>
      <c r="K345">
        <v>1</v>
      </c>
      <c r="L345" t="s">
        <v>34</v>
      </c>
      <c r="M345">
        <v>23000</v>
      </c>
      <c r="N345">
        <v>14.9</v>
      </c>
      <c r="O345">
        <v>1.1000000000000001</v>
      </c>
      <c r="P345">
        <v>0.3</v>
      </c>
      <c r="Q345">
        <v>0</v>
      </c>
      <c r="R345">
        <v>2</v>
      </c>
      <c r="S345">
        <v>3</v>
      </c>
      <c r="T345">
        <v>4</v>
      </c>
      <c r="U345" t="s">
        <v>23</v>
      </c>
      <c r="V345">
        <v>3</v>
      </c>
      <c r="W345">
        <v>1</v>
      </c>
    </row>
    <row r="346" spans="1:23" x14ac:dyDescent="0.35">
      <c r="A346" t="s">
        <v>744</v>
      </c>
      <c r="B346" s="6">
        <v>44295</v>
      </c>
      <c r="D346" t="s">
        <v>23</v>
      </c>
      <c r="E346">
        <v>28</v>
      </c>
      <c r="F346" t="s">
        <v>24</v>
      </c>
      <c r="G346" t="s">
        <v>25</v>
      </c>
      <c r="H346" t="s">
        <v>58</v>
      </c>
      <c r="I346" t="s">
        <v>27</v>
      </c>
      <c r="J346" t="s">
        <v>28</v>
      </c>
      <c r="K346">
        <v>2</v>
      </c>
      <c r="L346" t="s">
        <v>40</v>
      </c>
      <c r="M346">
        <v>60000</v>
      </c>
      <c r="N346">
        <v>6.6</v>
      </c>
      <c r="O346">
        <v>8.6999999999999993</v>
      </c>
      <c r="P346">
        <v>4.7</v>
      </c>
      <c r="Q346">
        <v>3.4</v>
      </c>
      <c r="R346">
        <v>4</v>
      </c>
      <c r="S346">
        <v>3</v>
      </c>
      <c r="T346">
        <v>4</v>
      </c>
      <c r="U346" t="s">
        <v>23</v>
      </c>
      <c r="V346">
        <v>5</v>
      </c>
      <c r="W346">
        <v>1</v>
      </c>
    </row>
    <row r="347" spans="1:23" x14ac:dyDescent="0.35">
      <c r="A347" t="s">
        <v>771</v>
      </c>
      <c r="B347" s="6">
        <v>43240</v>
      </c>
      <c r="D347" t="s">
        <v>23</v>
      </c>
      <c r="E347">
        <v>38</v>
      </c>
      <c r="F347" t="s">
        <v>24</v>
      </c>
      <c r="G347" t="s">
        <v>25</v>
      </c>
      <c r="H347" t="s">
        <v>32</v>
      </c>
      <c r="I347" t="s">
        <v>38</v>
      </c>
      <c r="J347" t="s">
        <v>118</v>
      </c>
      <c r="K347">
        <v>1</v>
      </c>
      <c r="L347" t="s">
        <v>29</v>
      </c>
      <c r="M347">
        <v>33000</v>
      </c>
      <c r="N347">
        <v>17.600000000000001</v>
      </c>
      <c r="O347">
        <v>15.6</v>
      </c>
      <c r="P347">
        <v>7.6</v>
      </c>
      <c r="Q347">
        <v>2.5</v>
      </c>
      <c r="R347">
        <v>4</v>
      </c>
      <c r="S347">
        <v>3</v>
      </c>
      <c r="T347">
        <v>3</v>
      </c>
      <c r="U347" t="s">
        <v>30</v>
      </c>
      <c r="V347">
        <v>4</v>
      </c>
      <c r="W347">
        <v>1</v>
      </c>
    </row>
    <row r="348" spans="1:23" x14ac:dyDescent="0.35">
      <c r="A348" t="s">
        <v>1128</v>
      </c>
      <c r="B348" s="6">
        <v>44598</v>
      </c>
      <c r="C348">
        <v>46009</v>
      </c>
      <c r="D348" t="s">
        <v>30</v>
      </c>
      <c r="E348">
        <v>38</v>
      </c>
      <c r="F348" t="s">
        <v>24</v>
      </c>
      <c r="G348" t="s">
        <v>42</v>
      </c>
      <c r="H348" t="s">
        <v>58</v>
      </c>
      <c r="I348" t="s">
        <v>68</v>
      </c>
      <c r="J348" t="s">
        <v>69</v>
      </c>
      <c r="K348">
        <v>3</v>
      </c>
      <c r="L348" t="s">
        <v>29</v>
      </c>
      <c r="M348">
        <v>79000</v>
      </c>
      <c r="N348">
        <v>14.2</v>
      </c>
      <c r="O348">
        <v>6.5</v>
      </c>
      <c r="P348">
        <v>3.9</v>
      </c>
      <c r="Q348">
        <v>1.5</v>
      </c>
      <c r="R348">
        <v>3</v>
      </c>
      <c r="S348">
        <v>3</v>
      </c>
      <c r="T348">
        <v>4</v>
      </c>
      <c r="U348" t="s">
        <v>23</v>
      </c>
      <c r="V348">
        <v>4</v>
      </c>
      <c r="W348">
        <v>1</v>
      </c>
    </row>
    <row r="349" spans="1:23" x14ac:dyDescent="0.35">
      <c r="A349" t="s">
        <v>1503</v>
      </c>
      <c r="B349" s="6">
        <v>43154</v>
      </c>
      <c r="D349" t="s">
        <v>23</v>
      </c>
      <c r="E349">
        <v>33</v>
      </c>
      <c r="F349" t="s">
        <v>62</v>
      </c>
      <c r="G349" t="s">
        <v>42</v>
      </c>
      <c r="H349" t="s">
        <v>58</v>
      </c>
      <c r="I349" t="s">
        <v>48</v>
      </c>
      <c r="J349" t="s">
        <v>201</v>
      </c>
      <c r="K349">
        <v>3</v>
      </c>
      <c r="L349" t="s">
        <v>66</v>
      </c>
      <c r="M349">
        <v>73000</v>
      </c>
      <c r="N349">
        <v>10.8</v>
      </c>
      <c r="O349">
        <v>12.1</v>
      </c>
      <c r="P349">
        <v>7.9</v>
      </c>
      <c r="Q349">
        <v>2</v>
      </c>
      <c r="R349">
        <v>3</v>
      </c>
      <c r="S349">
        <v>4</v>
      </c>
      <c r="T349">
        <v>3</v>
      </c>
      <c r="U349" t="s">
        <v>23</v>
      </c>
      <c r="V349">
        <v>4</v>
      </c>
      <c r="W349">
        <v>1</v>
      </c>
    </row>
    <row r="350" spans="1:23" x14ac:dyDescent="0.35">
      <c r="A350" t="s">
        <v>953</v>
      </c>
      <c r="B350" s="6">
        <v>42984</v>
      </c>
      <c r="D350" t="s">
        <v>23</v>
      </c>
      <c r="E350">
        <v>47</v>
      </c>
      <c r="F350" t="s">
        <v>24</v>
      </c>
      <c r="G350" t="s">
        <v>25</v>
      </c>
      <c r="H350" t="s">
        <v>54</v>
      </c>
      <c r="I350" t="s">
        <v>27</v>
      </c>
      <c r="J350" t="s">
        <v>43</v>
      </c>
      <c r="K350">
        <v>2</v>
      </c>
      <c r="L350" t="s">
        <v>40</v>
      </c>
      <c r="M350">
        <v>52000</v>
      </c>
      <c r="N350">
        <v>7.5</v>
      </c>
      <c r="O350">
        <v>16.100000000000001</v>
      </c>
      <c r="P350">
        <v>8.3000000000000007</v>
      </c>
      <c r="Q350">
        <v>1.7</v>
      </c>
      <c r="R350">
        <v>4</v>
      </c>
      <c r="T350">
        <v>4</v>
      </c>
      <c r="U350" t="s">
        <v>23</v>
      </c>
      <c r="V350">
        <v>4</v>
      </c>
      <c r="W350">
        <v>1</v>
      </c>
    </row>
    <row r="351" spans="1:23" x14ac:dyDescent="0.35">
      <c r="A351" t="s">
        <v>1512</v>
      </c>
      <c r="B351" s="6">
        <v>44744</v>
      </c>
      <c r="D351" t="s">
        <v>23</v>
      </c>
      <c r="E351">
        <v>24</v>
      </c>
      <c r="F351" t="s">
        <v>36</v>
      </c>
      <c r="G351" t="s">
        <v>37</v>
      </c>
      <c r="H351" t="s">
        <v>58</v>
      </c>
      <c r="I351" t="s">
        <v>27</v>
      </c>
      <c r="J351" t="s">
        <v>43</v>
      </c>
      <c r="K351">
        <v>1</v>
      </c>
      <c r="L351" t="s">
        <v>40</v>
      </c>
      <c r="M351">
        <v>23000</v>
      </c>
      <c r="N351">
        <v>13.8</v>
      </c>
      <c r="O351">
        <v>3.8</v>
      </c>
      <c r="P351">
        <v>3.5</v>
      </c>
      <c r="Q351">
        <v>1.4</v>
      </c>
      <c r="R351">
        <v>3</v>
      </c>
      <c r="S351">
        <v>3</v>
      </c>
      <c r="T351">
        <v>2</v>
      </c>
      <c r="U351" t="s">
        <v>23</v>
      </c>
      <c r="V351">
        <v>3</v>
      </c>
      <c r="W351">
        <v>1</v>
      </c>
    </row>
    <row r="352" spans="1:23" x14ac:dyDescent="0.35">
      <c r="A352" t="s">
        <v>430</v>
      </c>
      <c r="B352" s="6">
        <v>44279</v>
      </c>
      <c r="D352" t="s">
        <v>23</v>
      </c>
      <c r="E352">
        <v>26</v>
      </c>
      <c r="F352" t="s">
        <v>62</v>
      </c>
      <c r="G352" t="s">
        <v>25</v>
      </c>
      <c r="H352" t="s">
        <v>58</v>
      </c>
      <c r="I352" t="s">
        <v>38</v>
      </c>
      <c r="J352" t="s">
        <v>39</v>
      </c>
      <c r="K352">
        <v>1</v>
      </c>
      <c r="L352" t="s">
        <v>84</v>
      </c>
      <c r="M352">
        <v>43000</v>
      </c>
      <c r="N352">
        <v>13.7</v>
      </c>
      <c r="O352">
        <v>5</v>
      </c>
      <c r="P352">
        <v>4.8</v>
      </c>
      <c r="Q352">
        <v>2.2999999999999998</v>
      </c>
      <c r="R352">
        <v>4</v>
      </c>
      <c r="S352">
        <v>3</v>
      </c>
      <c r="T352">
        <v>2</v>
      </c>
      <c r="U352" t="s">
        <v>23</v>
      </c>
      <c r="V352">
        <v>5</v>
      </c>
      <c r="W352">
        <v>1</v>
      </c>
    </row>
    <row r="353" spans="1:23" x14ac:dyDescent="0.35">
      <c r="A353" t="s">
        <v>327</v>
      </c>
      <c r="B353" s="6">
        <v>41904</v>
      </c>
      <c r="D353" t="s">
        <v>23</v>
      </c>
      <c r="E353">
        <v>40</v>
      </c>
      <c r="F353" t="s">
        <v>62</v>
      </c>
      <c r="G353" t="s">
        <v>25</v>
      </c>
      <c r="H353" t="s">
        <v>26</v>
      </c>
      <c r="I353" t="s">
        <v>55</v>
      </c>
      <c r="J353" t="s">
        <v>56</v>
      </c>
      <c r="K353">
        <v>4</v>
      </c>
      <c r="L353" t="s">
        <v>84</v>
      </c>
      <c r="M353">
        <v>122000</v>
      </c>
      <c r="N353">
        <v>3.3</v>
      </c>
      <c r="O353">
        <v>14.9</v>
      </c>
      <c r="P353">
        <v>11.3</v>
      </c>
      <c r="Q353">
        <v>4.3</v>
      </c>
      <c r="R353">
        <v>2</v>
      </c>
      <c r="S353">
        <v>3</v>
      </c>
      <c r="T353">
        <v>1</v>
      </c>
      <c r="U353" t="s">
        <v>23</v>
      </c>
      <c r="V353">
        <v>5</v>
      </c>
      <c r="W353">
        <v>1</v>
      </c>
    </row>
    <row r="354" spans="1:23" x14ac:dyDescent="0.35">
      <c r="A354" t="s">
        <v>1547</v>
      </c>
      <c r="B354" s="6">
        <v>42919</v>
      </c>
      <c r="D354" t="s">
        <v>23</v>
      </c>
      <c r="E354">
        <v>31</v>
      </c>
      <c r="F354" t="s">
        <v>36</v>
      </c>
      <c r="G354" t="s">
        <v>25</v>
      </c>
      <c r="H354" t="s">
        <v>26</v>
      </c>
      <c r="I354" t="s">
        <v>48</v>
      </c>
      <c r="J354" t="s">
        <v>63</v>
      </c>
      <c r="K354">
        <v>2</v>
      </c>
      <c r="L354" t="s">
        <v>84</v>
      </c>
      <c r="M354">
        <v>53000</v>
      </c>
      <c r="N354">
        <v>14.3</v>
      </c>
      <c r="O354">
        <v>13.6</v>
      </c>
      <c r="P354">
        <v>8.5</v>
      </c>
      <c r="Q354">
        <v>1.3</v>
      </c>
      <c r="S354">
        <v>2</v>
      </c>
      <c r="T354">
        <v>3</v>
      </c>
      <c r="U354" t="s">
        <v>23</v>
      </c>
      <c r="V354">
        <v>4</v>
      </c>
      <c r="W354">
        <v>1</v>
      </c>
    </row>
    <row r="355" spans="1:23" x14ac:dyDescent="0.35">
      <c r="A355" t="s">
        <v>603</v>
      </c>
      <c r="B355" s="6">
        <v>45848</v>
      </c>
      <c r="D355" t="s">
        <v>23</v>
      </c>
      <c r="E355">
        <v>36</v>
      </c>
      <c r="F355" t="s">
        <v>24</v>
      </c>
      <c r="G355" t="s">
        <v>37</v>
      </c>
      <c r="H355" t="s">
        <v>26</v>
      </c>
      <c r="I355" t="s">
        <v>55</v>
      </c>
      <c r="J355" t="s">
        <v>179</v>
      </c>
      <c r="K355">
        <v>2</v>
      </c>
      <c r="L355" t="s">
        <v>84</v>
      </c>
      <c r="M355">
        <v>81000</v>
      </c>
      <c r="N355">
        <v>6.4</v>
      </c>
      <c r="O355">
        <v>3.3</v>
      </c>
      <c r="P355">
        <v>0.5</v>
      </c>
      <c r="Q355">
        <v>0</v>
      </c>
      <c r="R355">
        <v>3</v>
      </c>
      <c r="S355">
        <v>2</v>
      </c>
      <c r="T355">
        <v>3</v>
      </c>
      <c r="U355" t="s">
        <v>23</v>
      </c>
      <c r="V355">
        <v>3</v>
      </c>
      <c r="W355">
        <v>1</v>
      </c>
    </row>
    <row r="356" spans="1:23" x14ac:dyDescent="0.35">
      <c r="A356" t="s">
        <v>1442</v>
      </c>
      <c r="B356" s="6">
        <v>45696</v>
      </c>
      <c r="C356">
        <v>45952</v>
      </c>
      <c r="D356" t="s">
        <v>30</v>
      </c>
      <c r="E356">
        <v>33</v>
      </c>
      <c r="F356" t="s">
        <v>62</v>
      </c>
      <c r="G356" t="s">
        <v>25</v>
      </c>
      <c r="H356" t="s">
        <v>54</v>
      </c>
      <c r="I356" t="s">
        <v>27</v>
      </c>
      <c r="J356" t="s">
        <v>28</v>
      </c>
      <c r="K356">
        <v>3</v>
      </c>
      <c r="L356" t="s">
        <v>66</v>
      </c>
      <c r="M356">
        <v>76000</v>
      </c>
      <c r="N356">
        <v>15.1</v>
      </c>
      <c r="O356">
        <v>1.1000000000000001</v>
      </c>
      <c r="P356">
        <v>0.7</v>
      </c>
      <c r="Q356">
        <v>0</v>
      </c>
      <c r="R356">
        <v>4</v>
      </c>
      <c r="S356">
        <v>2</v>
      </c>
      <c r="T356">
        <v>3</v>
      </c>
      <c r="U356" t="s">
        <v>30</v>
      </c>
      <c r="V356">
        <v>4</v>
      </c>
      <c r="W356">
        <v>1</v>
      </c>
    </row>
    <row r="357" spans="1:23" x14ac:dyDescent="0.35">
      <c r="A357" t="s">
        <v>1486</v>
      </c>
      <c r="B357" s="6">
        <v>45066</v>
      </c>
      <c r="C357">
        <v>45896</v>
      </c>
      <c r="D357" t="s">
        <v>30</v>
      </c>
      <c r="E357">
        <v>37</v>
      </c>
      <c r="F357" t="s">
        <v>36</v>
      </c>
      <c r="G357" t="s">
        <v>25</v>
      </c>
      <c r="H357" t="s">
        <v>54</v>
      </c>
      <c r="I357" t="s">
        <v>68</v>
      </c>
      <c r="J357" t="s">
        <v>69</v>
      </c>
      <c r="K357">
        <v>2</v>
      </c>
      <c r="L357" t="s">
        <v>34</v>
      </c>
      <c r="M357">
        <v>62000</v>
      </c>
      <c r="N357">
        <v>7.5</v>
      </c>
      <c r="O357">
        <v>6.8</v>
      </c>
      <c r="P357">
        <v>2.2999999999999998</v>
      </c>
      <c r="Q357">
        <v>0.2</v>
      </c>
      <c r="R357">
        <v>4</v>
      </c>
      <c r="S357">
        <v>4</v>
      </c>
      <c r="T357">
        <v>3</v>
      </c>
      <c r="U357" t="s">
        <v>23</v>
      </c>
      <c r="V357">
        <v>2</v>
      </c>
      <c r="W357">
        <v>1</v>
      </c>
    </row>
    <row r="358" spans="1:23" x14ac:dyDescent="0.35">
      <c r="A358" t="s">
        <v>374</v>
      </c>
      <c r="B358" s="6">
        <v>45614</v>
      </c>
      <c r="D358" t="s">
        <v>23</v>
      </c>
      <c r="E358">
        <v>26</v>
      </c>
      <c r="F358" t="s">
        <v>36</v>
      </c>
      <c r="G358" t="s">
        <v>37</v>
      </c>
      <c r="H358" t="s">
        <v>26</v>
      </c>
      <c r="I358" t="s">
        <v>55</v>
      </c>
      <c r="J358" t="s">
        <v>179</v>
      </c>
      <c r="K358">
        <v>1</v>
      </c>
      <c r="L358" t="s">
        <v>34</v>
      </c>
      <c r="M358">
        <v>22000</v>
      </c>
      <c r="N358">
        <v>17.2</v>
      </c>
      <c r="O358">
        <v>2.6</v>
      </c>
      <c r="P358">
        <v>1.1000000000000001</v>
      </c>
      <c r="Q358">
        <v>1</v>
      </c>
      <c r="R358">
        <v>3</v>
      </c>
      <c r="S358">
        <v>3</v>
      </c>
      <c r="T358">
        <v>4</v>
      </c>
      <c r="U358" t="s">
        <v>23</v>
      </c>
      <c r="V358">
        <v>3</v>
      </c>
      <c r="W358">
        <v>1</v>
      </c>
    </row>
    <row r="359" spans="1:23" x14ac:dyDescent="0.35">
      <c r="A359" t="s">
        <v>686</v>
      </c>
      <c r="B359" s="6">
        <v>42608</v>
      </c>
      <c r="D359" t="s">
        <v>23</v>
      </c>
      <c r="E359">
        <v>31</v>
      </c>
      <c r="F359" t="s">
        <v>24</v>
      </c>
      <c r="G359" t="s">
        <v>42</v>
      </c>
      <c r="H359" t="s">
        <v>54</v>
      </c>
      <c r="I359" t="s">
        <v>38</v>
      </c>
      <c r="J359" t="s">
        <v>39</v>
      </c>
      <c r="K359">
        <v>3</v>
      </c>
      <c r="L359" t="s">
        <v>34</v>
      </c>
      <c r="M359">
        <v>84000</v>
      </c>
      <c r="N359">
        <v>10.199999999999999</v>
      </c>
      <c r="O359">
        <v>13.4</v>
      </c>
      <c r="P359">
        <v>9.3000000000000007</v>
      </c>
      <c r="Q359">
        <v>2.4</v>
      </c>
      <c r="R359">
        <v>3</v>
      </c>
      <c r="S359">
        <v>3</v>
      </c>
      <c r="T359">
        <v>2</v>
      </c>
      <c r="U359" t="s">
        <v>23</v>
      </c>
      <c r="V359">
        <v>4</v>
      </c>
      <c r="W359">
        <v>1</v>
      </c>
    </row>
    <row r="360" spans="1:23" x14ac:dyDescent="0.35">
      <c r="A360" t="s">
        <v>628</v>
      </c>
      <c r="B360" s="6">
        <v>44872</v>
      </c>
      <c r="C360">
        <v>45764</v>
      </c>
      <c r="D360" t="s">
        <v>30</v>
      </c>
      <c r="E360">
        <v>39</v>
      </c>
      <c r="F360" t="s">
        <v>62</v>
      </c>
      <c r="G360" t="s">
        <v>25</v>
      </c>
      <c r="H360" t="s">
        <v>32</v>
      </c>
      <c r="I360" t="s">
        <v>27</v>
      </c>
      <c r="J360" t="s">
        <v>33</v>
      </c>
      <c r="K360">
        <v>2</v>
      </c>
      <c r="L360" t="s">
        <v>40</v>
      </c>
      <c r="M360">
        <v>45000</v>
      </c>
      <c r="N360">
        <v>8.3000000000000007</v>
      </c>
      <c r="O360">
        <v>9</v>
      </c>
      <c r="P360">
        <v>2.4</v>
      </c>
      <c r="Q360">
        <v>1.4</v>
      </c>
      <c r="R360">
        <v>3</v>
      </c>
      <c r="S360">
        <v>4</v>
      </c>
      <c r="T360">
        <v>3</v>
      </c>
      <c r="U360" t="s">
        <v>30</v>
      </c>
      <c r="V360">
        <v>4</v>
      </c>
      <c r="W360">
        <v>1</v>
      </c>
    </row>
    <row r="361" spans="1:23" x14ac:dyDescent="0.35">
      <c r="A361" t="s">
        <v>1399</v>
      </c>
      <c r="B361" s="6">
        <v>43131</v>
      </c>
      <c r="D361" t="s">
        <v>23</v>
      </c>
      <c r="E361">
        <v>31</v>
      </c>
      <c r="F361" t="s">
        <v>62</v>
      </c>
      <c r="G361" t="s">
        <v>37</v>
      </c>
      <c r="H361" t="s">
        <v>54</v>
      </c>
      <c r="I361" t="s">
        <v>45</v>
      </c>
      <c r="J361" t="s">
        <v>164</v>
      </c>
      <c r="K361">
        <v>3</v>
      </c>
      <c r="L361" t="s">
        <v>84</v>
      </c>
      <c r="M361">
        <v>86000</v>
      </c>
      <c r="N361">
        <v>11</v>
      </c>
      <c r="O361">
        <v>10.5</v>
      </c>
      <c r="P361">
        <v>7.9</v>
      </c>
      <c r="Q361">
        <v>0.6</v>
      </c>
      <c r="R361">
        <v>2</v>
      </c>
      <c r="S361">
        <v>3</v>
      </c>
      <c r="T361">
        <v>3</v>
      </c>
      <c r="U361" t="s">
        <v>23</v>
      </c>
      <c r="V361">
        <v>3</v>
      </c>
      <c r="W361">
        <v>1</v>
      </c>
    </row>
    <row r="362" spans="1:23" x14ac:dyDescent="0.35">
      <c r="A362" t="s">
        <v>177</v>
      </c>
      <c r="B362" s="6">
        <v>42421</v>
      </c>
      <c r="D362" t="s">
        <v>23</v>
      </c>
      <c r="E362">
        <v>38</v>
      </c>
      <c r="F362" t="s">
        <v>62</v>
      </c>
      <c r="G362" t="s">
        <v>42</v>
      </c>
      <c r="H362" t="s">
        <v>32</v>
      </c>
      <c r="I362" t="s">
        <v>48</v>
      </c>
      <c r="J362" t="s">
        <v>63</v>
      </c>
      <c r="K362">
        <v>1</v>
      </c>
      <c r="L362" t="s">
        <v>40</v>
      </c>
      <c r="M362">
        <v>46000</v>
      </c>
      <c r="N362">
        <v>9.6999999999999993</v>
      </c>
      <c r="O362">
        <v>9.9</v>
      </c>
      <c r="P362">
        <v>9.9</v>
      </c>
      <c r="Q362">
        <v>0.9</v>
      </c>
      <c r="R362">
        <v>4</v>
      </c>
      <c r="S362">
        <v>2</v>
      </c>
      <c r="T362">
        <v>3</v>
      </c>
      <c r="U362" t="s">
        <v>23</v>
      </c>
      <c r="V362">
        <v>3</v>
      </c>
      <c r="W362">
        <v>1</v>
      </c>
    </row>
    <row r="363" spans="1:23" x14ac:dyDescent="0.35">
      <c r="A363" t="s">
        <v>1406</v>
      </c>
      <c r="B363" s="6">
        <v>42518</v>
      </c>
      <c r="D363" t="s">
        <v>23</v>
      </c>
      <c r="E363">
        <v>36</v>
      </c>
      <c r="F363" t="s">
        <v>62</v>
      </c>
      <c r="G363" t="s">
        <v>42</v>
      </c>
      <c r="H363" t="s">
        <v>32</v>
      </c>
      <c r="I363" t="s">
        <v>45</v>
      </c>
      <c r="J363" t="s">
        <v>77</v>
      </c>
      <c r="K363">
        <v>2</v>
      </c>
      <c r="L363" t="s">
        <v>84</v>
      </c>
      <c r="M363">
        <v>44000</v>
      </c>
      <c r="N363">
        <v>6.9</v>
      </c>
      <c r="O363">
        <v>15.3</v>
      </c>
      <c r="P363">
        <v>9.6</v>
      </c>
      <c r="Q363">
        <v>5.5</v>
      </c>
      <c r="R363">
        <v>4</v>
      </c>
      <c r="S363">
        <v>4</v>
      </c>
      <c r="T363">
        <v>3</v>
      </c>
      <c r="U363" t="s">
        <v>23</v>
      </c>
      <c r="V363">
        <v>4</v>
      </c>
      <c r="W363">
        <v>1</v>
      </c>
    </row>
    <row r="364" spans="1:23" x14ac:dyDescent="0.35">
      <c r="A364" t="s">
        <v>488</v>
      </c>
      <c r="B364" s="6">
        <v>41777</v>
      </c>
      <c r="D364" t="s">
        <v>23</v>
      </c>
      <c r="E364">
        <v>42</v>
      </c>
      <c r="F364" t="s">
        <v>62</v>
      </c>
      <c r="G364" t="s">
        <v>42</v>
      </c>
      <c r="H364" t="s">
        <v>54</v>
      </c>
      <c r="I364" t="s">
        <v>38</v>
      </c>
      <c r="J364" t="s">
        <v>39</v>
      </c>
      <c r="K364">
        <v>4</v>
      </c>
      <c r="L364" t="s">
        <v>34</v>
      </c>
      <c r="M364">
        <v>124000</v>
      </c>
      <c r="N364">
        <v>10.199999999999999</v>
      </c>
      <c r="O364">
        <v>12.5</v>
      </c>
      <c r="P364">
        <v>11.6</v>
      </c>
      <c r="Q364">
        <v>1.7</v>
      </c>
      <c r="R364">
        <v>3</v>
      </c>
      <c r="S364">
        <v>1</v>
      </c>
      <c r="T364">
        <v>3</v>
      </c>
      <c r="U364" t="s">
        <v>30</v>
      </c>
      <c r="V364">
        <v>4</v>
      </c>
      <c r="W364">
        <v>1</v>
      </c>
    </row>
    <row r="365" spans="1:23" x14ac:dyDescent="0.35">
      <c r="A365" t="s">
        <v>313</v>
      </c>
      <c r="B365" s="6">
        <v>43082</v>
      </c>
      <c r="D365" t="s">
        <v>23</v>
      </c>
      <c r="E365">
        <v>35</v>
      </c>
      <c r="F365" t="s">
        <v>24</v>
      </c>
      <c r="G365" t="s">
        <v>37</v>
      </c>
      <c r="H365" t="s">
        <v>26</v>
      </c>
      <c r="I365" t="s">
        <v>48</v>
      </c>
      <c r="J365" t="s">
        <v>201</v>
      </c>
      <c r="K365">
        <v>3</v>
      </c>
      <c r="L365" t="s">
        <v>29</v>
      </c>
      <c r="M365">
        <v>103000</v>
      </c>
      <c r="N365">
        <v>11.3</v>
      </c>
      <c r="O365">
        <v>15.4</v>
      </c>
      <c r="P365">
        <v>8</v>
      </c>
      <c r="Q365">
        <v>5</v>
      </c>
      <c r="R365">
        <v>2</v>
      </c>
      <c r="S365">
        <v>2</v>
      </c>
      <c r="T365">
        <v>4</v>
      </c>
      <c r="U365" t="s">
        <v>23</v>
      </c>
      <c r="V365">
        <v>4</v>
      </c>
      <c r="W365">
        <v>1</v>
      </c>
    </row>
    <row r="366" spans="1:23" x14ac:dyDescent="0.35">
      <c r="A366" t="s">
        <v>785</v>
      </c>
      <c r="B366" s="6">
        <v>43833</v>
      </c>
      <c r="C366">
        <v>45986</v>
      </c>
      <c r="D366" t="s">
        <v>30</v>
      </c>
      <c r="E366">
        <v>38</v>
      </c>
      <c r="F366" t="s">
        <v>62</v>
      </c>
      <c r="G366" t="s">
        <v>37</v>
      </c>
      <c r="H366" t="s">
        <v>54</v>
      </c>
      <c r="I366" t="s">
        <v>38</v>
      </c>
      <c r="J366" t="s">
        <v>139</v>
      </c>
      <c r="K366">
        <v>3</v>
      </c>
      <c r="L366" t="s">
        <v>66</v>
      </c>
      <c r="M366">
        <v>90000</v>
      </c>
      <c r="N366">
        <v>14.2</v>
      </c>
      <c r="O366">
        <v>12.3</v>
      </c>
      <c r="P366">
        <v>5.9</v>
      </c>
      <c r="Q366">
        <v>5.0999999999999996</v>
      </c>
      <c r="R366">
        <v>4</v>
      </c>
      <c r="S366">
        <v>4</v>
      </c>
      <c r="T366">
        <v>3</v>
      </c>
      <c r="U366" t="s">
        <v>23</v>
      </c>
      <c r="V366">
        <v>5</v>
      </c>
      <c r="W366">
        <v>1</v>
      </c>
    </row>
    <row r="367" spans="1:23" x14ac:dyDescent="0.35">
      <c r="A367" t="s">
        <v>299</v>
      </c>
      <c r="B367" s="6">
        <v>44948</v>
      </c>
      <c r="D367" t="s">
        <v>23</v>
      </c>
      <c r="E367">
        <v>32</v>
      </c>
      <c r="F367" t="s">
        <v>24</v>
      </c>
      <c r="G367" t="s">
        <v>37</v>
      </c>
      <c r="H367" t="s">
        <v>54</v>
      </c>
      <c r="I367" t="s">
        <v>48</v>
      </c>
      <c r="J367" t="s">
        <v>201</v>
      </c>
      <c r="K367">
        <v>2</v>
      </c>
      <c r="L367" t="s">
        <v>29</v>
      </c>
      <c r="M367">
        <v>44000</v>
      </c>
      <c r="N367">
        <v>8.1999999999999993</v>
      </c>
      <c r="O367">
        <v>8.8000000000000007</v>
      </c>
      <c r="P367">
        <v>2.9</v>
      </c>
      <c r="Q367">
        <v>2.1</v>
      </c>
      <c r="R367">
        <v>1</v>
      </c>
      <c r="S367">
        <v>3</v>
      </c>
      <c r="T367">
        <v>4</v>
      </c>
      <c r="U367" t="s">
        <v>23</v>
      </c>
      <c r="V367">
        <v>4</v>
      </c>
      <c r="W367">
        <v>1</v>
      </c>
    </row>
    <row r="368" spans="1:23" x14ac:dyDescent="0.35">
      <c r="A368" t="s">
        <v>948</v>
      </c>
      <c r="B368" s="6">
        <v>42857</v>
      </c>
      <c r="D368" t="s">
        <v>23</v>
      </c>
      <c r="E368">
        <v>29</v>
      </c>
      <c r="F368" t="s">
        <v>62</v>
      </c>
      <c r="G368" t="s">
        <v>37</v>
      </c>
      <c r="H368" t="s">
        <v>32</v>
      </c>
      <c r="I368" t="s">
        <v>68</v>
      </c>
      <c r="J368" t="s">
        <v>102</v>
      </c>
      <c r="K368">
        <v>3</v>
      </c>
      <c r="L368" t="s">
        <v>34</v>
      </c>
      <c r="M368">
        <v>82000</v>
      </c>
      <c r="N368">
        <v>15.7</v>
      </c>
      <c r="O368">
        <v>15.5</v>
      </c>
      <c r="P368">
        <v>8.6999999999999993</v>
      </c>
      <c r="Q368">
        <v>4.5</v>
      </c>
      <c r="R368">
        <v>4</v>
      </c>
      <c r="S368">
        <v>3</v>
      </c>
      <c r="T368">
        <v>3</v>
      </c>
      <c r="U368" t="s">
        <v>30</v>
      </c>
      <c r="V368">
        <v>4</v>
      </c>
      <c r="W368">
        <v>1</v>
      </c>
    </row>
    <row r="369" spans="1:23" x14ac:dyDescent="0.35">
      <c r="A369" t="s">
        <v>512</v>
      </c>
      <c r="B369" s="6">
        <v>44739</v>
      </c>
      <c r="D369" t="s">
        <v>23</v>
      </c>
      <c r="E369">
        <v>25</v>
      </c>
      <c r="F369" t="s">
        <v>62</v>
      </c>
      <c r="G369" t="s">
        <v>25</v>
      </c>
      <c r="H369" t="s">
        <v>58</v>
      </c>
      <c r="I369" t="s">
        <v>45</v>
      </c>
      <c r="J369" t="s">
        <v>164</v>
      </c>
      <c r="K369">
        <v>1</v>
      </c>
      <c r="L369" t="s">
        <v>34</v>
      </c>
      <c r="M369">
        <v>36000</v>
      </c>
      <c r="N369">
        <v>13.8</v>
      </c>
      <c r="O369">
        <v>10.7</v>
      </c>
      <c r="P369">
        <v>3.5</v>
      </c>
      <c r="Q369">
        <v>1.9</v>
      </c>
      <c r="R369">
        <v>3</v>
      </c>
      <c r="S369">
        <v>1</v>
      </c>
      <c r="T369">
        <v>3</v>
      </c>
      <c r="U369" t="s">
        <v>23</v>
      </c>
      <c r="V369">
        <v>5</v>
      </c>
      <c r="W369">
        <v>1</v>
      </c>
    </row>
    <row r="370" spans="1:23" x14ac:dyDescent="0.35">
      <c r="A370" t="s">
        <v>726</v>
      </c>
      <c r="B370" s="6">
        <v>45762</v>
      </c>
      <c r="D370" t="s">
        <v>23</v>
      </c>
      <c r="E370">
        <v>32</v>
      </c>
      <c r="F370" t="s">
        <v>36</v>
      </c>
      <c r="G370" t="s">
        <v>25</v>
      </c>
      <c r="H370" t="s">
        <v>26</v>
      </c>
      <c r="I370" t="s">
        <v>68</v>
      </c>
      <c r="J370" t="s">
        <v>69</v>
      </c>
      <c r="K370">
        <v>2</v>
      </c>
      <c r="L370" t="s">
        <v>84</v>
      </c>
      <c r="M370">
        <v>53000</v>
      </c>
      <c r="N370">
        <v>5.9</v>
      </c>
      <c r="O370">
        <v>5.2</v>
      </c>
      <c r="P370">
        <v>0.7</v>
      </c>
      <c r="Q370">
        <v>0</v>
      </c>
      <c r="R370">
        <v>4</v>
      </c>
      <c r="S370">
        <v>3</v>
      </c>
      <c r="T370">
        <v>2</v>
      </c>
      <c r="U370" t="s">
        <v>23</v>
      </c>
      <c r="V370">
        <v>2</v>
      </c>
      <c r="W370">
        <v>1</v>
      </c>
    </row>
    <row r="371" spans="1:23" x14ac:dyDescent="0.35">
      <c r="A371" t="s">
        <v>598</v>
      </c>
      <c r="B371" s="6">
        <v>45584</v>
      </c>
      <c r="D371" t="s">
        <v>23</v>
      </c>
      <c r="E371">
        <v>32</v>
      </c>
      <c r="F371" t="s">
        <v>62</v>
      </c>
      <c r="G371" t="s">
        <v>37</v>
      </c>
      <c r="H371" t="s">
        <v>54</v>
      </c>
      <c r="I371" t="s">
        <v>48</v>
      </c>
      <c r="J371" t="s">
        <v>63</v>
      </c>
      <c r="K371">
        <v>2</v>
      </c>
      <c r="L371" t="s">
        <v>84</v>
      </c>
      <c r="M371">
        <v>59000</v>
      </c>
      <c r="N371">
        <v>5.5</v>
      </c>
      <c r="O371">
        <v>3.4</v>
      </c>
      <c r="P371">
        <v>1.2</v>
      </c>
      <c r="Q371">
        <v>0.3</v>
      </c>
      <c r="R371">
        <v>3</v>
      </c>
      <c r="S371">
        <v>4</v>
      </c>
      <c r="T371">
        <v>3</v>
      </c>
      <c r="U371" t="s">
        <v>23</v>
      </c>
      <c r="V371">
        <v>5</v>
      </c>
      <c r="W371">
        <v>1</v>
      </c>
    </row>
    <row r="372" spans="1:23" x14ac:dyDescent="0.35">
      <c r="A372" t="s">
        <v>869</v>
      </c>
      <c r="B372" s="6">
        <v>42918</v>
      </c>
      <c r="D372" t="s">
        <v>23</v>
      </c>
      <c r="E372">
        <v>38</v>
      </c>
      <c r="F372" t="s">
        <v>36</v>
      </c>
      <c r="G372" t="s">
        <v>42</v>
      </c>
      <c r="H372" t="s">
        <v>54</v>
      </c>
      <c r="I372" t="s">
        <v>59</v>
      </c>
      <c r="J372" t="s">
        <v>86</v>
      </c>
      <c r="K372">
        <v>2</v>
      </c>
      <c r="L372" t="s">
        <v>40</v>
      </c>
      <c r="M372">
        <v>48000</v>
      </c>
      <c r="N372">
        <v>15.9</v>
      </c>
      <c r="O372">
        <v>11.2</v>
      </c>
      <c r="P372">
        <v>8.5</v>
      </c>
      <c r="Q372">
        <v>0.5</v>
      </c>
      <c r="R372">
        <v>4</v>
      </c>
      <c r="S372">
        <v>2</v>
      </c>
      <c r="T372">
        <v>4</v>
      </c>
      <c r="U372" t="s">
        <v>23</v>
      </c>
      <c r="V372">
        <v>2</v>
      </c>
      <c r="W372">
        <v>1</v>
      </c>
    </row>
    <row r="373" spans="1:23" x14ac:dyDescent="0.35">
      <c r="A373" t="s">
        <v>1140</v>
      </c>
      <c r="B373" s="6">
        <v>45198</v>
      </c>
      <c r="C373">
        <v>45793</v>
      </c>
      <c r="D373" t="s">
        <v>30</v>
      </c>
      <c r="E373">
        <v>35</v>
      </c>
      <c r="F373" t="s">
        <v>62</v>
      </c>
      <c r="G373" t="s">
        <v>25</v>
      </c>
      <c r="H373" t="s">
        <v>32</v>
      </c>
      <c r="I373" t="s">
        <v>45</v>
      </c>
      <c r="J373" t="s">
        <v>46</v>
      </c>
      <c r="K373">
        <v>3</v>
      </c>
      <c r="L373" t="s">
        <v>34</v>
      </c>
      <c r="M373">
        <v>80000</v>
      </c>
      <c r="N373">
        <v>3.3</v>
      </c>
      <c r="O373">
        <v>7.7</v>
      </c>
      <c r="P373">
        <v>1.6</v>
      </c>
      <c r="Q373">
        <v>0.2</v>
      </c>
      <c r="R373">
        <v>4</v>
      </c>
      <c r="S373">
        <v>2</v>
      </c>
      <c r="T373">
        <v>3</v>
      </c>
      <c r="U373" t="s">
        <v>23</v>
      </c>
      <c r="V373">
        <v>3</v>
      </c>
      <c r="W373">
        <v>1</v>
      </c>
    </row>
    <row r="374" spans="1:23" x14ac:dyDescent="0.35">
      <c r="A374" t="s">
        <v>404</v>
      </c>
      <c r="B374" s="6">
        <v>45618</v>
      </c>
      <c r="C374">
        <v>45907</v>
      </c>
      <c r="D374" t="s">
        <v>30</v>
      </c>
      <c r="E374">
        <v>22</v>
      </c>
      <c r="F374" t="s">
        <v>62</v>
      </c>
      <c r="G374" t="s">
        <v>25</v>
      </c>
      <c r="H374" t="s">
        <v>58</v>
      </c>
      <c r="I374" t="s">
        <v>45</v>
      </c>
      <c r="J374" t="s">
        <v>46</v>
      </c>
      <c r="K374">
        <v>1</v>
      </c>
      <c r="L374" t="s">
        <v>34</v>
      </c>
      <c r="M374">
        <v>43000</v>
      </c>
      <c r="N374">
        <v>6.8</v>
      </c>
      <c r="O374">
        <v>3.8</v>
      </c>
      <c r="P374">
        <v>0.8</v>
      </c>
      <c r="Q374">
        <v>0</v>
      </c>
      <c r="R374">
        <v>4</v>
      </c>
      <c r="S374">
        <v>3</v>
      </c>
      <c r="T374">
        <v>4</v>
      </c>
      <c r="U374" t="s">
        <v>30</v>
      </c>
      <c r="V374">
        <v>2</v>
      </c>
      <c r="W374">
        <v>1</v>
      </c>
    </row>
    <row r="375" spans="1:23" x14ac:dyDescent="0.35">
      <c r="A375" t="s">
        <v>825</v>
      </c>
      <c r="B375" s="6">
        <v>45064</v>
      </c>
      <c r="D375" t="s">
        <v>23</v>
      </c>
      <c r="E375">
        <v>29</v>
      </c>
      <c r="F375" t="s">
        <v>36</v>
      </c>
      <c r="G375" t="s">
        <v>25</v>
      </c>
      <c r="H375" t="s">
        <v>32</v>
      </c>
      <c r="I375" t="s">
        <v>27</v>
      </c>
      <c r="J375" t="s">
        <v>28</v>
      </c>
      <c r="K375">
        <v>2</v>
      </c>
      <c r="L375" t="s">
        <v>84</v>
      </c>
      <c r="M375">
        <v>52000</v>
      </c>
      <c r="N375">
        <v>15.2</v>
      </c>
      <c r="O375">
        <v>8.8000000000000007</v>
      </c>
      <c r="P375">
        <v>2.6</v>
      </c>
      <c r="Q375">
        <v>1.9</v>
      </c>
      <c r="R375">
        <v>3</v>
      </c>
      <c r="S375">
        <v>3</v>
      </c>
      <c r="T375">
        <v>3</v>
      </c>
      <c r="U375" t="s">
        <v>30</v>
      </c>
      <c r="V375">
        <v>3</v>
      </c>
      <c r="W375">
        <v>1</v>
      </c>
    </row>
    <row r="376" spans="1:23" x14ac:dyDescent="0.35">
      <c r="A376" t="s">
        <v>832</v>
      </c>
      <c r="B376" s="6">
        <v>42359</v>
      </c>
      <c r="C376">
        <v>45886</v>
      </c>
      <c r="D376" t="s">
        <v>30</v>
      </c>
      <c r="E376">
        <v>47</v>
      </c>
      <c r="F376" t="s">
        <v>24</v>
      </c>
      <c r="G376" t="s">
        <v>25</v>
      </c>
      <c r="H376" t="s">
        <v>32</v>
      </c>
      <c r="I376" t="s">
        <v>27</v>
      </c>
      <c r="J376" t="s">
        <v>43</v>
      </c>
      <c r="K376">
        <v>3</v>
      </c>
      <c r="L376" t="s">
        <v>66</v>
      </c>
      <c r="M376">
        <v>84000</v>
      </c>
      <c r="N376">
        <v>13.1</v>
      </c>
      <c r="O376">
        <v>12.5</v>
      </c>
      <c r="P376">
        <v>9.6999999999999993</v>
      </c>
      <c r="Q376">
        <v>4.4000000000000004</v>
      </c>
      <c r="R376">
        <v>2</v>
      </c>
      <c r="S376">
        <v>3</v>
      </c>
      <c r="T376">
        <v>1</v>
      </c>
      <c r="U376" t="s">
        <v>30</v>
      </c>
      <c r="V376">
        <v>4</v>
      </c>
      <c r="W376">
        <v>1</v>
      </c>
    </row>
    <row r="377" spans="1:23" x14ac:dyDescent="0.35">
      <c r="A377" t="s">
        <v>763</v>
      </c>
      <c r="B377" s="6">
        <v>45400</v>
      </c>
      <c r="D377" t="s">
        <v>23</v>
      </c>
      <c r="E377">
        <v>38</v>
      </c>
      <c r="F377" t="s">
        <v>36</v>
      </c>
      <c r="G377" t="s">
        <v>42</v>
      </c>
      <c r="H377" t="s">
        <v>54</v>
      </c>
      <c r="I377" t="s">
        <v>45</v>
      </c>
      <c r="J377" t="s">
        <v>164</v>
      </c>
      <c r="K377">
        <v>3</v>
      </c>
      <c r="L377" t="s">
        <v>29</v>
      </c>
      <c r="M377">
        <v>67000</v>
      </c>
      <c r="N377">
        <v>5.7</v>
      </c>
      <c r="O377">
        <v>8.9</v>
      </c>
      <c r="P377">
        <v>1.7</v>
      </c>
      <c r="Q377">
        <v>1</v>
      </c>
      <c r="R377">
        <v>2</v>
      </c>
      <c r="S377">
        <v>4</v>
      </c>
      <c r="T377">
        <v>4</v>
      </c>
      <c r="U377" t="s">
        <v>23</v>
      </c>
      <c r="V377">
        <v>4</v>
      </c>
      <c r="W377">
        <v>1</v>
      </c>
    </row>
    <row r="378" spans="1:23" x14ac:dyDescent="0.35">
      <c r="A378" t="s">
        <v>482</v>
      </c>
      <c r="B378" s="6">
        <v>44732</v>
      </c>
      <c r="D378" t="s">
        <v>23</v>
      </c>
      <c r="E378">
        <v>32</v>
      </c>
      <c r="F378" t="s">
        <v>36</v>
      </c>
      <c r="G378" t="s">
        <v>37</v>
      </c>
      <c r="H378" t="s">
        <v>58</v>
      </c>
      <c r="I378" t="s">
        <v>38</v>
      </c>
      <c r="J378" t="s">
        <v>52</v>
      </c>
      <c r="K378">
        <v>4</v>
      </c>
      <c r="L378" t="s">
        <v>84</v>
      </c>
      <c r="M378">
        <v>120000</v>
      </c>
      <c r="N378">
        <v>11.8</v>
      </c>
      <c r="O378">
        <v>6.1</v>
      </c>
      <c r="P378">
        <v>3.5</v>
      </c>
      <c r="Q378">
        <v>0.6</v>
      </c>
      <c r="R378">
        <v>4</v>
      </c>
      <c r="S378">
        <v>2</v>
      </c>
      <c r="T378">
        <v>4</v>
      </c>
      <c r="U378" t="s">
        <v>23</v>
      </c>
      <c r="V378">
        <v>3</v>
      </c>
      <c r="W378">
        <v>1</v>
      </c>
    </row>
    <row r="379" spans="1:23" x14ac:dyDescent="0.35">
      <c r="A379" t="s">
        <v>158</v>
      </c>
      <c r="B379" s="6">
        <v>41727</v>
      </c>
      <c r="D379" t="s">
        <v>23</v>
      </c>
      <c r="E379">
        <v>34</v>
      </c>
      <c r="F379" t="s">
        <v>36</v>
      </c>
      <c r="G379" t="s">
        <v>25</v>
      </c>
      <c r="H379" t="s">
        <v>58</v>
      </c>
      <c r="I379" t="s">
        <v>55</v>
      </c>
      <c r="J379" t="s">
        <v>80</v>
      </c>
      <c r="K379">
        <v>1</v>
      </c>
      <c r="L379" t="s">
        <v>50</v>
      </c>
      <c r="M379" t="s">
        <v>159</v>
      </c>
      <c r="N379">
        <v>4.4000000000000004</v>
      </c>
      <c r="O379">
        <v>12.6</v>
      </c>
      <c r="P379">
        <v>11.8</v>
      </c>
      <c r="Q379">
        <v>3.2</v>
      </c>
      <c r="R379">
        <v>3</v>
      </c>
      <c r="S379">
        <v>3</v>
      </c>
      <c r="T379">
        <v>3</v>
      </c>
      <c r="U379" t="s">
        <v>30</v>
      </c>
      <c r="V379">
        <v>2</v>
      </c>
      <c r="W379">
        <v>1</v>
      </c>
    </row>
    <row r="380" spans="1:23" x14ac:dyDescent="0.35">
      <c r="A380" t="s">
        <v>525</v>
      </c>
      <c r="B380" s="6">
        <v>43867</v>
      </c>
      <c r="D380" t="s">
        <v>23</v>
      </c>
      <c r="E380">
        <v>28</v>
      </c>
      <c r="F380" t="s">
        <v>36</v>
      </c>
      <c r="G380" t="s">
        <v>42</v>
      </c>
      <c r="H380" t="s">
        <v>26</v>
      </c>
      <c r="I380" t="s">
        <v>38</v>
      </c>
      <c r="J380" t="s">
        <v>118</v>
      </c>
      <c r="K380">
        <v>1</v>
      </c>
      <c r="L380" t="s">
        <v>66</v>
      </c>
      <c r="M380">
        <v>22000</v>
      </c>
      <c r="N380">
        <v>8.6999999999999993</v>
      </c>
      <c r="O380">
        <v>11.1</v>
      </c>
      <c r="P380">
        <v>5.9</v>
      </c>
      <c r="Q380">
        <v>0</v>
      </c>
      <c r="R380">
        <v>1</v>
      </c>
      <c r="S380">
        <v>1</v>
      </c>
      <c r="T380">
        <v>3</v>
      </c>
      <c r="U380" t="s">
        <v>23</v>
      </c>
      <c r="V380">
        <v>2</v>
      </c>
      <c r="W380">
        <v>1</v>
      </c>
    </row>
    <row r="381" spans="1:23" x14ac:dyDescent="0.35">
      <c r="A381" t="s">
        <v>678</v>
      </c>
      <c r="B381" s="6">
        <v>44187</v>
      </c>
      <c r="C381">
        <v>45773</v>
      </c>
      <c r="D381" t="s">
        <v>30</v>
      </c>
      <c r="E381">
        <v>44</v>
      </c>
      <c r="F381" t="s">
        <v>36</v>
      </c>
      <c r="G381" t="s">
        <v>42</v>
      </c>
      <c r="H381" t="s">
        <v>58</v>
      </c>
      <c r="I381" t="s">
        <v>45</v>
      </c>
      <c r="J381" t="s">
        <v>46</v>
      </c>
      <c r="K381">
        <v>3</v>
      </c>
      <c r="L381" t="s">
        <v>34</v>
      </c>
      <c r="M381">
        <v>78000</v>
      </c>
      <c r="N381">
        <v>4.9000000000000004</v>
      </c>
      <c r="O381">
        <v>4.4000000000000004</v>
      </c>
      <c r="P381">
        <v>4.3</v>
      </c>
      <c r="Q381">
        <v>4.0999999999999996</v>
      </c>
      <c r="R381">
        <v>4</v>
      </c>
      <c r="S381">
        <v>4</v>
      </c>
      <c r="T381">
        <v>3</v>
      </c>
      <c r="U381" t="s">
        <v>23</v>
      </c>
      <c r="V381">
        <v>4</v>
      </c>
      <c r="W381">
        <v>1</v>
      </c>
    </row>
    <row r="382" spans="1:23" x14ac:dyDescent="0.35">
      <c r="A382" t="s">
        <v>1276</v>
      </c>
      <c r="B382" s="6">
        <v>42266</v>
      </c>
      <c r="D382" t="s">
        <v>23</v>
      </c>
      <c r="E382">
        <v>42</v>
      </c>
      <c r="F382" t="s">
        <v>36</v>
      </c>
      <c r="G382" t="s">
        <v>25</v>
      </c>
      <c r="H382" t="s">
        <v>54</v>
      </c>
      <c r="I382" t="s">
        <v>38</v>
      </c>
      <c r="J382" t="s">
        <v>118</v>
      </c>
      <c r="K382">
        <v>2</v>
      </c>
      <c r="L382" t="s">
        <v>50</v>
      </c>
      <c r="M382">
        <v>65000</v>
      </c>
      <c r="N382">
        <v>8.1</v>
      </c>
      <c r="O382">
        <v>12.6</v>
      </c>
      <c r="P382">
        <v>10.3</v>
      </c>
      <c r="Q382">
        <v>1.2</v>
      </c>
      <c r="R382">
        <v>4</v>
      </c>
      <c r="S382">
        <v>3</v>
      </c>
      <c r="T382">
        <v>4</v>
      </c>
      <c r="U382" t="s">
        <v>23</v>
      </c>
      <c r="V382">
        <v>4</v>
      </c>
      <c r="W382">
        <v>1</v>
      </c>
    </row>
    <row r="383" spans="1:23" x14ac:dyDescent="0.35">
      <c r="A383" t="s">
        <v>1527</v>
      </c>
      <c r="B383" s="6">
        <v>42777</v>
      </c>
      <c r="C383">
        <v>45670</v>
      </c>
      <c r="D383" t="s">
        <v>30</v>
      </c>
      <c r="E383">
        <v>30</v>
      </c>
      <c r="F383" t="s">
        <v>36</v>
      </c>
      <c r="G383" t="s">
        <v>42</v>
      </c>
      <c r="H383" t="s">
        <v>54</v>
      </c>
      <c r="I383" t="s">
        <v>45</v>
      </c>
      <c r="J383" t="s">
        <v>77</v>
      </c>
      <c r="K383">
        <v>3</v>
      </c>
      <c r="L383" t="s">
        <v>50</v>
      </c>
      <c r="M383">
        <v>82000</v>
      </c>
      <c r="N383">
        <v>16.5</v>
      </c>
      <c r="O383">
        <v>13.7</v>
      </c>
      <c r="P383">
        <v>7.9</v>
      </c>
      <c r="Q383">
        <v>3.6</v>
      </c>
      <c r="R383">
        <v>2</v>
      </c>
      <c r="S383">
        <v>3</v>
      </c>
      <c r="T383">
        <v>2</v>
      </c>
      <c r="U383" t="s">
        <v>23</v>
      </c>
      <c r="V383">
        <v>4</v>
      </c>
      <c r="W383">
        <v>1</v>
      </c>
    </row>
    <row r="384" spans="1:23" x14ac:dyDescent="0.35">
      <c r="A384" t="s">
        <v>330</v>
      </c>
      <c r="B384" s="6">
        <v>43122</v>
      </c>
      <c r="D384" t="s">
        <v>23</v>
      </c>
      <c r="E384">
        <v>30</v>
      </c>
      <c r="F384" t="s">
        <v>62</v>
      </c>
      <c r="G384" t="s">
        <v>37</v>
      </c>
      <c r="H384" t="s">
        <v>26</v>
      </c>
      <c r="I384" t="s">
        <v>331</v>
      </c>
      <c r="J384" t="s">
        <v>39</v>
      </c>
      <c r="K384">
        <v>1</v>
      </c>
      <c r="L384" t="s">
        <v>50</v>
      </c>
      <c r="M384">
        <v>28000</v>
      </c>
      <c r="N384">
        <v>9.6</v>
      </c>
      <c r="O384">
        <v>13.3</v>
      </c>
      <c r="P384">
        <v>7.9</v>
      </c>
      <c r="Q384">
        <v>2.8</v>
      </c>
      <c r="R384">
        <v>2</v>
      </c>
      <c r="S384">
        <v>3</v>
      </c>
      <c r="T384">
        <v>4</v>
      </c>
      <c r="U384" t="s">
        <v>30</v>
      </c>
      <c r="V384">
        <v>2</v>
      </c>
      <c r="W384">
        <v>1</v>
      </c>
    </row>
    <row r="385" spans="1:23" x14ac:dyDescent="0.35">
      <c r="A385" t="s">
        <v>96</v>
      </c>
      <c r="B385" s="6">
        <v>45831</v>
      </c>
      <c r="D385" t="s">
        <v>23</v>
      </c>
      <c r="E385">
        <v>35</v>
      </c>
      <c r="F385" t="s">
        <v>24</v>
      </c>
      <c r="G385" t="s">
        <v>42</v>
      </c>
      <c r="H385" t="s">
        <v>32</v>
      </c>
      <c r="I385" t="s">
        <v>45</v>
      </c>
      <c r="J385" t="s">
        <v>97</v>
      </c>
      <c r="K385">
        <v>3</v>
      </c>
      <c r="L385" t="s">
        <v>66</v>
      </c>
      <c r="M385">
        <v>71000</v>
      </c>
      <c r="N385">
        <v>7.1</v>
      </c>
      <c r="O385">
        <v>5.7</v>
      </c>
      <c r="P385">
        <v>0.5</v>
      </c>
      <c r="Q385">
        <v>0</v>
      </c>
      <c r="R385">
        <v>3</v>
      </c>
      <c r="S385">
        <v>3</v>
      </c>
      <c r="T385">
        <v>4</v>
      </c>
      <c r="U385" t="s">
        <v>23</v>
      </c>
      <c r="V385">
        <v>4</v>
      </c>
      <c r="W385">
        <v>1</v>
      </c>
    </row>
    <row r="386" spans="1:23" x14ac:dyDescent="0.35">
      <c r="A386" t="s">
        <v>818</v>
      </c>
      <c r="B386" s="6">
        <v>43370</v>
      </c>
      <c r="D386" t="s">
        <v>23</v>
      </c>
      <c r="E386">
        <v>37</v>
      </c>
      <c r="F386" t="s">
        <v>62</v>
      </c>
      <c r="G386" t="s">
        <v>25</v>
      </c>
      <c r="H386" t="s">
        <v>32</v>
      </c>
      <c r="I386" t="s">
        <v>38</v>
      </c>
      <c r="J386" t="s">
        <v>118</v>
      </c>
      <c r="K386">
        <v>2</v>
      </c>
      <c r="L386" t="s">
        <v>84</v>
      </c>
      <c r="M386">
        <v>55000</v>
      </c>
      <c r="N386">
        <v>4.3</v>
      </c>
      <c r="O386">
        <v>10</v>
      </c>
      <c r="P386">
        <v>7.3</v>
      </c>
      <c r="Q386">
        <v>5</v>
      </c>
      <c r="R386">
        <v>1</v>
      </c>
      <c r="S386">
        <v>3</v>
      </c>
      <c r="T386">
        <v>3</v>
      </c>
      <c r="U386" t="s">
        <v>23</v>
      </c>
      <c r="V386">
        <v>2</v>
      </c>
      <c r="W386">
        <v>1</v>
      </c>
    </row>
    <row r="387" spans="1:23" x14ac:dyDescent="0.35">
      <c r="A387" t="s">
        <v>170</v>
      </c>
      <c r="B387" s="6">
        <v>43378</v>
      </c>
      <c r="C387">
        <v>45870</v>
      </c>
      <c r="D387" t="s">
        <v>30</v>
      </c>
      <c r="E387">
        <v>33</v>
      </c>
      <c r="F387" t="s">
        <v>24</v>
      </c>
      <c r="G387" t="s">
        <v>37</v>
      </c>
      <c r="H387" t="s">
        <v>54</v>
      </c>
      <c r="I387" t="s">
        <v>59</v>
      </c>
      <c r="J387" t="s">
        <v>86</v>
      </c>
      <c r="K387">
        <v>3</v>
      </c>
      <c r="L387" t="s">
        <v>40</v>
      </c>
      <c r="M387">
        <v>91000</v>
      </c>
      <c r="N387">
        <v>15.6</v>
      </c>
      <c r="O387">
        <v>8.1999999999999993</v>
      </c>
      <c r="P387">
        <v>6.8</v>
      </c>
      <c r="Q387">
        <v>2.2000000000000002</v>
      </c>
      <c r="R387">
        <v>2</v>
      </c>
      <c r="S387">
        <v>2</v>
      </c>
      <c r="T387">
        <v>2</v>
      </c>
      <c r="U387" t="s">
        <v>23</v>
      </c>
      <c r="V387">
        <v>4</v>
      </c>
      <c r="W387">
        <v>1</v>
      </c>
    </row>
    <row r="388" spans="1:23" x14ac:dyDescent="0.35">
      <c r="A388" t="s">
        <v>106</v>
      </c>
      <c r="B388" s="6">
        <v>45890</v>
      </c>
      <c r="D388" t="s">
        <v>23</v>
      </c>
      <c r="E388">
        <v>29</v>
      </c>
      <c r="F388" t="s">
        <v>24</v>
      </c>
      <c r="G388" t="s">
        <v>25</v>
      </c>
      <c r="H388" t="s">
        <v>58</v>
      </c>
      <c r="I388" t="s">
        <v>38</v>
      </c>
      <c r="J388" t="s">
        <v>52</v>
      </c>
      <c r="K388">
        <v>1</v>
      </c>
      <c r="L388" t="s">
        <v>66</v>
      </c>
      <c r="M388">
        <v>42000</v>
      </c>
      <c r="N388">
        <v>5</v>
      </c>
      <c r="O388">
        <v>2.6</v>
      </c>
      <c r="P388">
        <v>0.4</v>
      </c>
      <c r="Q388">
        <v>0</v>
      </c>
      <c r="R388">
        <v>3</v>
      </c>
      <c r="S388">
        <v>4</v>
      </c>
      <c r="T388">
        <v>3</v>
      </c>
      <c r="U388" t="s">
        <v>23</v>
      </c>
      <c r="V388">
        <v>2</v>
      </c>
      <c r="W388">
        <v>1</v>
      </c>
    </row>
    <row r="389" spans="1:23" x14ac:dyDescent="0.35">
      <c r="A389" t="s">
        <v>1199</v>
      </c>
      <c r="B389" s="6">
        <v>45167</v>
      </c>
      <c r="D389" t="s">
        <v>23</v>
      </c>
      <c r="E389">
        <v>38</v>
      </c>
      <c r="F389" t="s">
        <v>62</v>
      </c>
      <c r="G389" t="s">
        <v>37</v>
      </c>
      <c r="H389" t="s">
        <v>32</v>
      </c>
      <c r="I389" t="s">
        <v>48</v>
      </c>
      <c r="J389" t="s">
        <v>201</v>
      </c>
      <c r="K389">
        <v>2</v>
      </c>
      <c r="L389" t="s">
        <v>50</v>
      </c>
      <c r="M389">
        <v>66000</v>
      </c>
      <c r="N389">
        <v>8.6</v>
      </c>
      <c r="O389">
        <v>7.2</v>
      </c>
      <c r="P389">
        <v>2.2999999999999998</v>
      </c>
      <c r="Q389">
        <v>0.2</v>
      </c>
      <c r="R389">
        <v>3</v>
      </c>
      <c r="S389">
        <v>4</v>
      </c>
      <c r="T389">
        <v>3</v>
      </c>
      <c r="U389" t="s">
        <v>23</v>
      </c>
      <c r="V389">
        <v>3</v>
      </c>
      <c r="W389">
        <v>1</v>
      </c>
    </row>
    <row r="390" spans="1:23" x14ac:dyDescent="0.35">
      <c r="A390" t="s">
        <v>1328</v>
      </c>
      <c r="B390" s="6">
        <v>44398</v>
      </c>
      <c r="D390" t="s">
        <v>23</v>
      </c>
      <c r="E390">
        <v>27</v>
      </c>
      <c r="F390" t="s">
        <v>24</v>
      </c>
      <c r="H390" t="s">
        <v>54</v>
      </c>
      <c r="I390" t="s">
        <v>27</v>
      </c>
      <c r="J390" t="s">
        <v>43</v>
      </c>
      <c r="K390">
        <v>1</v>
      </c>
      <c r="L390" t="s">
        <v>34</v>
      </c>
      <c r="M390">
        <v>25000</v>
      </c>
      <c r="N390">
        <v>8.1</v>
      </c>
      <c r="O390">
        <v>8.1999999999999993</v>
      </c>
      <c r="P390">
        <v>4.4000000000000004</v>
      </c>
      <c r="Q390">
        <v>2.8</v>
      </c>
      <c r="R390">
        <v>4</v>
      </c>
      <c r="S390">
        <v>2</v>
      </c>
      <c r="T390">
        <v>1</v>
      </c>
      <c r="U390" t="s">
        <v>23</v>
      </c>
      <c r="V390">
        <v>2</v>
      </c>
      <c r="W390">
        <v>1</v>
      </c>
    </row>
    <row r="391" spans="1:23" x14ac:dyDescent="0.35">
      <c r="A391" t="s">
        <v>266</v>
      </c>
      <c r="B391" s="6">
        <v>45729</v>
      </c>
      <c r="D391" t="s">
        <v>23</v>
      </c>
      <c r="E391">
        <v>39</v>
      </c>
      <c r="F391" t="s">
        <v>62</v>
      </c>
      <c r="G391" t="s">
        <v>37</v>
      </c>
      <c r="H391" t="s">
        <v>32</v>
      </c>
      <c r="I391" t="s">
        <v>55</v>
      </c>
      <c r="J391" t="s">
        <v>179</v>
      </c>
      <c r="K391">
        <v>3</v>
      </c>
      <c r="L391" t="s">
        <v>50</v>
      </c>
      <c r="M391">
        <v>82000</v>
      </c>
      <c r="N391">
        <v>15</v>
      </c>
      <c r="O391">
        <v>3.5</v>
      </c>
      <c r="P391">
        <v>0.8</v>
      </c>
      <c r="Q391">
        <v>0</v>
      </c>
      <c r="R391">
        <v>3</v>
      </c>
      <c r="S391">
        <v>4</v>
      </c>
      <c r="T391">
        <v>1</v>
      </c>
      <c r="U391" t="s">
        <v>23</v>
      </c>
      <c r="V391">
        <v>4</v>
      </c>
      <c r="W391">
        <v>1</v>
      </c>
    </row>
    <row r="392" spans="1:23" x14ac:dyDescent="0.35">
      <c r="A392" t="s">
        <v>453</v>
      </c>
      <c r="B392" s="6">
        <v>44907</v>
      </c>
      <c r="D392" t="s">
        <v>23</v>
      </c>
      <c r="E392">
        <v>33</v>
      </c>
      <c r="F392" t="s">
        <v>24</v>
      </c>
      <c r="G392" t="s">
        <v>25</v>
      </c>
      <c r="H392" t="s">
        <v>54</v>
      </c>
      <c r="I392" t="s">
        <v>48</v>
      </c>
      <c r="J392" t="s">
        <v>63</v>
      </c>
      <c r="K392">
        <v>1</v>
      </c>
      <c r="L392" t="s">
        <v>40</v>
      </c>
      <c r="M392">
        <v>28000</v>
      </c>
      <c r="N392">
        <v>0</v>
      </c>
      <c r="O392">
        <v>9</v>
      </c>
      <c r="P392">
        <v>3.1</v>
      </c>
      <c r="Q392">
        <v>2.8</v>
      </c>
      <c r="R392">
        <v>3</v>
      </c>
      <c r="S392">
        <v>2</v>
      </c>
      <c r="T392">
        <v>2</v>
      </c>
      <c r="U392" t="s">
        <v>23</v>
      </c>
      <c r="V392">
        <v>3</v>
      </c>
      <c r="W392">
        <v>1</v>
      </c>
    </row>
    <row r="393" spans="1:23" x14ac:dyDescent="0.35">
      <c r="A393" t="s">
        <v>924</v>
      </c>
      <c r="B393" s="6">
        <v>43413</v>
      </c>
      <c r="D393" t="s">
        <v>23</v>
      </c>
      <c r="E393">
        <v>38</v>
      </c>
      <c r="F393" t="s">
        <v>36</v>
      </c>
      <c r="G393" t="s">
        <v>42</v>
      </c>
      <c r="H393" t="s">
        <v>32</v>
      </c>
      <c r="I393" t="s">
        <v>48</v>
      </c>
      <c r="J393" t="s">
        <v>49</v>
      </c>
      <c r="K393">
        <v>1</v>
      </c>
      <c r="L393" t="s">
        <v>84</v>
      </c>
      <c r="M393">
        <v>32000</v>
      </c>
      <c r="N393">
        <v>9.3000000000000007</v>
      </c>
      <c r="O393">
        <v>12</v>
      </c>
      <c r="P393">
        <v>7.1</v>
      </c>
      <c r="Q393">
        <v>1.1000000000000001</v>
      </c>
      <c r="R393">
        <v>3</v>
      </c>
      <c r="S393">
        <v>3</v>
      </c>
      <c r="T393">
        <v>3</v>
      </c>
      <c r="U393" t="s">
        <v>30</v>
      </c>
      <c r="V393">
        <v>3</v>
      </c>
      <c r="W393">
        <v>1</v>
      </c>
    </row>
    <row r="394" spans="1:23" x14ac:dyDescent="0.35">
      <c r="A394" t="s">
        <v>537</v>
      </c>
      <c r="B394" s="6">
        <v>45483</v>
      </c>
      <c r="D394" t="s">
        <v>23</v>
      </c>
      <c r="E394">
        <v>22</v>
      </c>
      <c r="F394" t="s">
        <v>62</v>
      </c>
      <c r="G394" t="s">
        <v>25</v>
      </c>
      <c r="H394" t="s">
        <v>32</v>
      </c>
      <c r="I394" t="s">
        <v>55</v>
      </c>
      <c r="J394" t="s">
        <v>56</v>
      </c>
      <c r="K394">
        <v>1</v>
      </c>
      <c r="L394" t="s">
        <v>66</v>
      </c>
      <c r="M394">
        <v>34000</v>
      </c>
      <c r="N394">
        <v>12.2</v>
      </c>
      <c r="O394">
        <v>5.0999999999999996</v>
      </c>
      <c r="P394">
        <v>1.5</v>
      </c>
      <c r="Q394">
        <v>0.3</v>
      </c>
      <c r="R394">
        <v>2</v>
      </c>
      <c r="S394">
        <v>3</v>
      </c>
      <c r="T394">
        <v>4</v>
      </c>
      <c r="U394" t="s">
        <v>30</v>
      </c>
      <c r="V394">
        <v>4</v>
      </c>
      <c r="W394">
        <v>1</v>
      </c>
    </row>
    <row r="395" spans="1:23" x14ac:dyDescent="0.35">
      <c r="A395" t="s">
        <v>1112</v>
      </c>
      <c r="B395" s="6">
        <v>42251</v>
      </c>
      <c r="D395" t="s">
        <v>23</v>
      </c>
      <c r="E395">
        <v>35</v>
      </c>
      <c r="F395" t="s">
        <v>36</v>
      </c>
      <c r="G395" t="s">
        <v>42</v>
      </c>
      <c r="H395" t="s">
        <v>32</v>
      </c>
      <c r="I395" t="s">
        <v>27</v>
      </c>
      <c r="J395" t="s">
        <v>95</v>
      </c>
      <c r="K395">
        <v>1</v>
      </c>
      <c r="L395" t="s">
        <v>66</v>
      </c>
      <c r="M395">
        <v>22000</v>
      </c>
      <c r="N395">
        <v>10.9</v>
      </c>
      <c r="O395">
        <v>17</v>
      </c>
      <c r="P395">
        <v>10.3</v>
      </c>
      <c r="Q395">
        <v>1.7</v>
      </c>
      <c r="R395">
        <v>4</v>
      </c>
      <c r="S395">
        <v>3</v>
      </c>
      <c r="T395">
        <v>3</v>
      </c>
      <c r="U395" t="s">
        <v>23</v>
      </c>
      <c r="V395">
        <v>3</v>
      </c>
      <c r="W395">
        <v>1</v>
      </c>
    </row>
    <row r="396" spans="1:23" x14ac:dyDescent="0.35">
      <c r="A396" t="s">
        <v>1236</v>
      </c>
      <c r="B396" s="6">
        <v>45654</v>
      </c>
      <c r="D396" t="s">
        <v>23</v>
      </c>
      <c r="E396">
        <v>22</v>
      </c>
      <c r="F396" t="s">
        <v>24</v>
      </c>
      <c r="G396" t="s">
        <v>42</v>
      </c>
      <c r="H396" t="s">
        <v>54</v>
      </c>
      <c r="I396" t="s">
        <v>55</v>
      </c>
      <c r="J396" t="s">
        <v>56</v>
      </c>
      <c r="K396">
        <v>1</v>
      </c>
      <c r="L396" t="s">
        <v>40</v>
      </c>
      <c r="M396">
        <v>50000</v>
      </c>
      <c r="N396">
        <v>6.1</v>
      </c>
      <c r="O396">
        <v>5</v>
      </c>
      <c r="P396">
        <v>1</v>
      </c>
      <c r="Q396">
        <v>0.4</v>
      </c>
      <c r="R396">
        <v>4</v>
      </c>
      <c r="S396">
        <v>3</v>
      </c>
      <c r="T396">
        <v>4</v>
      </c>
      <c r="U396" t="s">
        <v>30</v>
      </c>
      <c r="V396">
        <v>4</v>
      </c>
      <c r="W396">
        <v>1</v>
      </c>
    </row>
    <row r="397" spans="1:23" x14ac:dyDescent="0.35">
      <c r="A397" t="s">
        <v>1373</v>
      </c>
      <c r="B397" s="6">
        <v>44175</v>
      </c>
      <c r="D397" t="s">
        <v>23</v>
      </c>
      <c r="E397">
        <v>34</v>
      </c>
      <c r="F397" t="s">
        <v>62</v>
      </c>
      <c r="G397" t="s">
        <v>25</v>
      </c>
      <c r="H397" t="s">
        <v>26</v>
      </c>
      <c r="I397" t="s">
        <v>38</v>
      </c>
      <c r="J397" t="s">
        <v>118</v>
      </c>
      <c r="K397">
        <v>3</v>
      </c>
      <c r="L397" t="s">
        <v>34</v>
      </c>
      <c r="M397">
        <v>97000</v>
      </c>
      <c r="N397">
        <v>4.9000000000000004</v>
      </c>
      <c r="O397">
        <v>13</v>
      </c>
      <c r="P397">
        <v>5.0999999999999996</v>
      </c>
      <c r="Q397">
        <v>0.1</v>
      </c>
      <c r="R397">
        <v>3</v>
      </c>
      <c r="S397">
        <v>3</v>
      </c>
      <c r="T397">
        <v>2</v>
      </c>
      <c r="U397" t="s">
        <v>30</v>
      </c>
      <c r="V397">
        <v>3</v>
      </c>
      <c r="W397">
        <v>1</v>
      </c>
    </row>
    <row r="398" spans="1:23" x14ac:dyDescent="0.35">
      <c r="A398" t="s">
        <v>181</v>
      </c>
      <c r="B398" s="6">
        <v>44181</v>
      </c>
      <c r="D398" t="s">
        <v>23</v>
      </c>
      <c r="E398">
        <v>36</v>
      </c>
      <c r="F398" t="s">
        <v>24</v>
      </c>
      <c r="G398" t="s">
        <v>42</v>
      </c>
      <c r="H398" t="s">
        <v>54</v>
      </c>
      <c r="I398" t="s">
        <v>48</v>
      </c>
      <c r="J398" t="s">
        <v>49</v>
      </c>
      <c r="K398">
        <v>4</v>
      </c>
      <c r="L398" t="s">
        <v>84</v>
      </c>
      <c r="M398">
        <v>121000</v>
      </c>
      <c r="N398">
        <v>9.6999999999999993</v>
      </c>
      <c r="O398">
        <v>10.1</v>
      </c>
      <c r="P398">
        <v>5</v>
      </c>
      <c r="Q398">
        <v>4.3</v>
      </c>
      <c r="R398">
        <v>3</v>
      </c>
      <c r="S398">
        <v>2</v>
      </c>
      <c r="T398">
        <v>4</v>
      </c>
      <c r="U398" t="s">
        <v>23</v>
      </c>
      <c r="V398">
        <v>3</v>
      </c>
      <c r="W398">
        <v>1</v>
      </c>
    </row>
    <row r="399" spans="1:23" x14ac:dyDescent="0.35">
      <c r="A399" t="s">
        <v>611</v>
      </c>
      <c r="B399" s="6">
        <v>43985</v>
      </c>
      <c r="D399" t="s">
        <v>23</v>
      </c>
      <c r="E399">
        <v>27</v>
      </c>
      <c r="F399" t="s">
        <v>36</v>
      </c>
      <c r="G399" t="s">
        <v>42</v>
      </c>
      <c r="H399" t="s">
        <v>26</v>
      </c>
      <c r="I399" t="s">
        <v>45</v>
      </c>
      <c r="J399" t="s">
        <v>97</v>
      </c>
      <c r="K399">
        <v>1</v>
      </c>
      <c r="L399" t="s">
        <v>84</v>
      </c>
      <c r="M399">
        <v>32000</v>
      </c>
      <c r="N399">
        <v>4.7</v>
      </c>
      <c r="O399">
        <v>6</v>
      </c>
      <c r="P399">
        <v>5.6</v>
      </c>
      <c r="Q399">
        <v>5.3</v>
      </c>
      <c r="R399">
        <v>4</v>
      </c>
      <c r="S399">
        <v>3</v>
      </c>
      <c r="T399">
        <v>4</v>
      </c>
      <c r="U399" t="s">
        <v>30</v>
      </c>
      <c r="V399">
        <v>2</v>
      </c>
      <c r="W399">
        <v>1</v>
      </c>
    </row>
    <row r="400" spans="1:23" x14ac:dyDescent="0.35">
      <c r="A400" t="s">
        <v>1165</v>
      </c>
      <c r="B400" s="6">
        <v>42901</v>
      </c>
      <c r="C400">
        <v>45829</v>
      </c>
      <c r="D400" t="s">
        <v>30</v>
      </c>
      <c r="E400">
        <v>36</v>
      </c>
      <c r="F400" t="s">
        <v>62</v>
      </c>
      <c r="G400" t="s">
        <v>37</v>
      </c>
      <c r="H400" t="s">
        <v>32</v>
      </c>
      <c r="I400" t="s">
        <v>68</v>
      </c>
      <c r="J400" t="s">
        <v>109</v>
      </c>
      <c r="K400">
        <v>3</v>
      </c>
      <c r="L400" t="s">
        <v>84</v>
      </c>
      <c r="M400">
        <v>85000</v>
      </c>
      <c r="N400">
        <v>0</v>
      </c>
      <c r="O400">
        <v>9.9</v>
      </c>
      <c r="P400">
        <v>8</v>
      </c>
      <c r="Q400">
        <v>0.7</v>
      </c>
      <c r="R400">
        <v>4</v>
      </c>
      <c r="S400">
        <v>3</v>
      </c>
      <c r="T400">
        <v>4</v>
      </c>
      <c r="U400" t="s">
        <v>23</v>
      </c>
      <c r="V400">
        <v>4</v>
      </c>
      <c r="W400">
        <v>1</v>
      </c>
    </row>
    <row r="401" spans="1:23" x14ac:dyDescent="0.35">
      <c r="A401" t="s">
        <v>853</v>
      </c>
      <c r="B401" s="6">
        <v>44106</v>
      </c>
      <c r="D401" t="s">
        <v>23</v>
      </c>
      <c r="E401">
        <v>37</v>
      </c>
      <c r="F401" t="s">
        <v>36</v>
      </c>
      <c r="G401" t="s">
        <v>42</v>
      </c>
      <c r="H401" t="s">
        <v>58</v>
      </c>
      <c r="I401" t="s">
        <v>68</v>
      </c>
      <c r="J401" t="s">
        <v>69</v>
      </c>
      <c r="K401">
        <v>3</v>
      </c>
      <c r="L401" t="s">
        <v>29</v>
      </c>
      <c r="M401">
        <v>95000</v>
      </c>
      <c r="N401">
        <v>9.1</v>
      </c>
      <c r="O401">
        <v>9.3000000000000007</v>
      </c>
      <c r="P401">
        <v>5.2</v>
      </c>
      <c r="Q401">
        <v>4.3</v>
      </c>
      <c r="R401">
        <v>3</v>
      </c>
      <c r="S401">
        <v>3</v>
      </c>
      <c r="T401">
        <v>3</v>
      </c>
      <c r="U401" t="s">
        <v>30</v>
      </c>
      <c r="V401">
        <v>4</v>
      </c>
      <c r="W401">
        <v>1</v>
      </c>
    </row>
    <row r="402" spans="1:23" x14ac:dyDescent="0.35">
      <c r="A402" t="s">
        <v>275</v>
      </c>
      <c r="B402" s="6">
        <v>42135</v>
      </c>
      <c r="D402" t="s">
        <v>23</v>
      </c>
      <c r="E402">
        <v>32</v>
      </c>
      <c r="F402" t="s">
        <v>24</v>
      </c>
      <c r="G402" t="s">
        <v>37</v>
      </c>
      <c r="H402" t="s">
        <v>26</v>
      </c>
      <c r="I402" t="s">
        <v>45</v>
      </c>
      <c r="J402" t="s">
        <v>164</v>
      </c>
      <c r="K402">
        <v>2</v>
      </c>
      <c r="L402" t="s">
        <v>84</v>
      </c>
      <c r="M402">
        <v>62000</v>
      </c>
      <c r="N402">
        <v>6.4</v>
      </c>
      <c r="O402">
        <v>18.3</v>
      </c>
      <c r="P402">
        <v>10.6</v>
      </c>
      <c r="Q402">
        <v>0.5</v>
      </c>
      <c r="R402">
        <v>3</v>
      </c>
      <c r="S402">
        <v>2</v>
      </c>
      <c r="T402">
        <v>2</v>
      </c>
      <c r="U402" t="s">
        <v>30</v>
      </c>
      <c r="V402">
        <v>2</v>
      </c>
      <c r="W402">
        <v>1</v>
      </c>
    </row>
    <row r="403" spans="1:23" x14ac:dyDescent="0.35">
      <c r="A403" t="s">
        <v>461</v>
      </c>
      <c r="B403" s="6">
        <v>44424</v>
      </c>
      <c r="D403" t="s">
        <v>23</v>
      </c>
      <c r="E403">
        <v>30</v>
      </c>
      <c r="F403" t="s">
        <v>62</v>
      </c>
      <c r="G403" t="s">
        <v>42</v>
      </c>
      <c r="H403" t="s">
        <v>58</v>
      </c>
      <c r="I403" t="s">
        <v>48</v>
      </c>
      <c r="J403" t="s">
        <v>49</v>
      </c>
      <c r="K403">
        <v>3</v>
      </c>
      <c r="L403" t="s">
        <v>34</v>
      </c>
      <c r="M403">
        <v>71000</v>
      </c>
      <c r="N403">
        <v>9.5</v>
      </c>
      <c r="O403">
        <v>4.5999999999999996</v>
      </c>
      <c r="P403">
        <v>4.4000000000000004</v>
      </c>
      <c r="Q403">
        <v>3.5</v>
      </c>
      <c r="R403">
        <v>1</v>
      </c>
      <c r="S403">
        <v>4</v>
      </c>
      <c r="T403">
        <v>3</v>
      </c>
      <c r="U403" t="s">
        <v>23</v>
      </c>
      <c r="V403">
        <v>3</v>
      </c>
      <c r="W403">
        <v>1</v>
      </c>
    </row>
    <row r="404" spans="1:23" x14ac:dyDescent="0.35">
      <c r="A404" t="s">
        <v>1205</v>
      </c>
      <c r="B404" s="6">
        <v>43489</v>
      </c>
      <c r="D404" t="s">
        <v>23</v>
      </c>
      <c r="E404">
        <v>35</v>
      </c>
      <c r="F404" t="s">
        <v>36</v>
      </c>
      <c r="G404" t="s">
        <v>42</v>
      </c>
      <c r="H404" t="s">
        <v>32</v>
      </c>
      <c r="I404" t="s">
        <v>27</v>
      </c>
      <c r="J404" t="s">
        <v>33</v>
      </c>
      <c r="K404">
        <v>3</v>
      </c>
      <c r="L404" t="s">
        <v>66</v>
      </c>
      <c r="M404">
        <v>71000</v>
      </c>
      <c r="N404">
        <v>7.8</v>
      </c>
      <c r="O404">
        <v>8.6999999999999993</v>
      </c>
      <c r="P404">
        <v>6.9</v>
      </c>
      <c r="Q404">
        <v>2.2000000000000002</v>
      </c>
      <c r="R404">
        <v>3</v>
      </c>
      <c r="S404">
        <v>3</v>
      </c>
      <c r="T404">
        <v>4</v>
      </c>
      <c r="U404" t="s">
        <v>23</v>
      </c>
      <c r="V404">
        <v>2</v>
      </c>
      <c r="W404">
        <v>1</v>
      </c>
    </row>
    <row r="405" spans="1:23" x14ac:dyDescent="0.35">
      <c r="A405" t="s">
        <v>416</v>
      </c>
      <c r="B405" s="6">
        <v>45164</v>
      </c>
      <c r="D405" t="s">
        <v>23</v>
      </c>
      <c r="E405">
        <v>39</v>
      </c>
      <c r="F405" t="s">
        <v>36</v>
      </c>
      <c r="G405" t="s">
        <v>37</v>
      </c>
      <c r="H405" t="s">
        <v>32</v>
      </c>
      <c r="I405" t="s">
        <v>55</v>
      </c>
      <c r="J405" t="s">
        <v>88</v>
      </c>
      <c r="K405">
        <v>2</v>
      </c>
      <c r="M405">
        <v>61000</v>
      </c>
      <c r="N405">
        <v>8.3000000000000007</v>
      </c>
      <c r="O405">
        <v>3.6</v>
      </c>
      <c r="P405">
        <v>2.2999999999999998</v>
      </c>
      <c r="Q405">
        <v>0.3</v>
      </c>
      <c r="R405">
        <v>4</v>
      </c>
      <c r="S405">
        <v>4</v>
      </c>
      <c r="T405">
        <v>3</v>
      </c>
      <c r="U405" t="s">
        <v>23</v>
      </c>
      <c r="V405">
        <v>3</v>
      </c>
      <c r="W405">
        <v>1</v>
      </c>
    </row>
    <row r="406" spans="1:23" x14ac:dyDescent="0.35">
      <c r="A406" t="s">
        <v>1352</v>
      </c>
      <c r="B406" s="6">
        <v>41733</v>
      </c>
      <c r="D406" t="s">
        <v>23</v>
      </c>
      <c r="E406">
        <v>35</v>
      </c>
      <c r="F406" t="s">
        <v>36</v>
      </c>
      <c r="H406" t="s">
        <v>32</v>
      </c>
      <c r="I406" t="s">
        <v>45</v>
      </c>
      <c r="J406" t="s">
        <v>164</v>
      </c>
      <c r="K406">
        <v>3</v>
      </c>
      <c r="L406" t="s">
        <v>50</v>
      </c>
      <c r="M406">
        <v>65000</v>
      </c>
      <c r="N406">
        <v>7.3</v>
      </c>
      <c r="O406">
        <v>16</v>
      </c>
      <c r="P406">
        <v>11.7</v>
      </c>
      <c r="Q406">
        <v>0.7</v>
      </c>
      <c r="R406">
        <v>3</v>
      </c>
      <c r="S406">
        <v>1</v>
      </c>
      <c r="T406">
        <v>4</v>
      </c>
      <c r="U406" t="s">
        <v>30</v>
      </c>
      <c r="V406">
        <v>4</v>
      </c>
      <c r="W406">
        <v>1</v>
      </c>
    </row>
    <row r="407" spans="1:23" x14ac:dyDescent="0.35">
      <c r="A407" t="s">
        <v>371</v>
      </c>
      <c r="B407" s="6">
        <v>44650</v>
      </c>
      <c r="D407" t="s">
        <v>23</v>
      </c>
      <c r="E407">
        <v>34</v>
      </c>
      <c r="F407" t="s">
        <v>36</v>
      </c>
      <c r="G407" t="s">
        <v>25</v>
      </c>
      <c r="H407" t="s">
        <v>26</v>
      </c>
      <c r="I407" t="s">
        <v>45</v>
      </c>
      <c r="J407" t="s">
        <v>77</v>
      </c>
      <c r="K407">
        <v>3</v>
      </c>
      <c r="L407" t="s">
        <v>29</v>
      </c>
      <c r="M407">
        <v>59000</v>
      </c>
      <c r="N407">
        <v>12.7</v>
      </c>
      <c r="O407">
        <v>11.7</v>
      </c>
      <c r="P407">
        <v>3.8</v>
      </c>
      <c r="Q407">
        <v>2.5</v>
      </c>
      <c r="R407">
        <v>4</v>
      </c>
      <c r="S407">
        <v>4</v>
      </c>
      <c r="T407">
        <v>3</v>
      </c>
      <c r="U407" t="s">
        <v>23</v>
      </c>
      <c r="V407">
        <v>5</v>
      </c>
      <c r="W407">
        <v>1</v>
      </c>
    </row>
    <row r="408" spans="1:23" x14ac:dyDescent="0.35">
      <c r="A408" t="s">
        <v>1330</v>
      </c>
      <c r="B408" s="6">
        <v>43558</v>
      </c>
      <c r="D408" t="s">
        <v>23</v>
      </c>
      <c r="E408">
        <v>46</v>
      </c>
      <c r="F408" t="s">
        <v>24</v>
      </c>
      <c r="G408" t="s">
        <v>42</v>
      </c>
      <c r="H408" t="s">
        <v>32</v>
      </c>
      <c r="I408" t="s">
        <v>48</v>
      </c>
      <c r="J408" t="s">
        <v>63</v>
      </c>
      <c r="K408">
        <v>2</v>
      </c>
      <c r="L408" t="s">
        <v>50</v>
      </c>
      <c r="M408">
        <v>65000</v>
      </c>
      <c r="N408">
        <v>7.2</v>
      </c>
      <c r="O408">
        <v>10.3</v>
      </c>
      <c r="P408">
        <v>6.7</v>
      </c>
      <c r="Q408">
        <v>0.6</v>
      </c>
      <c r="R408">
        <v>3</v>
      </c>
      <c r="S408">
        <v>1</v>
      </c>
      <c r="T408">
        <v>3</v>
      </c>
      <c r="U408" t="s">
        <v>23</v>
      </c>
      <c r="V408">
        <v>4</v>
      </c>
      <c r="W408">
        <v>1</v>
      </c>
    </row>
    <row r="409" spans="1:23" x14ac:dyDescent="0.35">
      <c r="A409" t="s">
        <v>529</v>
      </c>
      <c r="B409" s="6">
        <v>41821</v>
      </c>
      <c r="D409" t="s">
        <v>23</v>
      </c>
      <c r="E409">
        <v>33</v>
      </c>
      <c r="F409" t="s">
        <v>62</v>
      </c>
      <c r="G409" t="s">
        <v>42</v>
      </c>
      <c r="H409" t="s">
        <v>58</v>
      </c>
      <c r="I409" t="s">
        <v>38</v>
      </c>
      <c r="J409" t="s">
        <v>52</v>
      </c>
      <c r="K409">
        <v>3</v>
      </c>
      <c r="L409" t="s">
        <v>34</v>
      </c>
      <c r="M409">
        <v>94000</v>
      </c>
      <c r="N409">
        <v>10.9</v>
      </c>
      <c r="O409">
        <v>16.3</v>
      </c>
      <c r="P409">
        <v>11.5</v>
      </c>
      <c r="Q409">
        <v>3.1</v>
      </c>
      <c r="R409">
        <v>3</v>
      </c>
      <c r="S409">
        <v>1</v>
      </c>
      <c r="T409">
        <v>3</v>
      </c>
      <c r="U409" t="s">
        <v>23</v>
      </c>
      <c r="V409">
        <v>3</v>
      </c>
      <c r="W409">
        <v>1</v>
      </c>
    </row>
    <row r="410" spans="1:23" x14ac:dyDescent="0.35">
      <c r="A410" t="s">
        <v>613</v>
      </c>
      <c r="B410" s="6">
        <v>44925</v>
      </c>
      <c r="C410">
        <v>45885</v>
      </c>
      <c r="D410" t="s">
        <v>30</v>
      </c>
      <c r="E410">
        <v>28</v>
      </c>
      <c r="F410" t="s">
        <v>36</v>
      </c>
      <c r="G410" t="s">
        <v>25</v>
      </c>
      <c r="H410" t="s">
        <v>54</v>
      </c>
      <c r="I410" t="s">
        <v>68</v>
      </c>
      <c r="J410" t="s">
        <v>102</v>
      </c>
      <c r="K410">
        <v>2</v>
      </c>
      <c r="L410" t="s">
        <v>40</v>
      </c>
      <c r="M410">
        <v>62000</v>
      </c>
      <c r="N410">
        <v>7.7</v>
      </c>
      <c r="O410">
        <v>8.6</v>
      </c>
      <c r="P410">
        <v>2.6</v>
      </c>
      <c r="Q410">
        <v>1.1000000000000001</v>
      </c>
      <c r="R410">
        <v>4</v>
      </c>
      <c r="S410">
        <v>3</v>
      </c>
      <c r="T410">
        <v>2</v>
      </c>
      <c r="U410" t="s">
        <v>334</v>
      </c>
      <c r="V410">
        <v>4</v>
      </c>
      <c r="W410">
        <v>1</v>
      </c>
    </row>
    <row r="411" spans="1:23" x14ac:dyDescent="0.35">
      <c r="A411" t="s">
        <v>1113</v>
      </c>
      <c r="B411" s="6">
        <v>45614</v>
      </c>
      <c r="D411" t="s">
        <v>23</v>
      </c>
      <c r="E411">
        <v>26</v>
      </c>
      <c r="F411" t="s">
        <v>62</v>
      </c>
      <c r="G411" t="s">
        <v>42</v>
      </c>
      <c r="H411" t="s">
        <v>54</v>
      </c>
      <c r="I411" t="s">
        <v>59</v>
      </c>
      <c r="J411" t="s">
        <v>75</v>
      </c>
      <c r="K411">
        <v>1</v>
      </c>
      <c r="L411" t="s">
        <v>40</v>
      </c>
      <c r="M411">
        <v>37000</v>
      </c>
      <c r="N411">
        <v>17.3</v>
      </c>
      <c r="O411">
        <v>3.8</v>
      </c>
      <c r="P411">
        <v>1.1000000000000001</v>
      </c>
      <c r="Q411">
        <v>1</v>
      </c>
      <c r="R411">
        <v>4</v>
      </c>
      <c r="S411">
        <v>3</v>
      </c>
      <c r="T411">
        <v>3</v>
      </c>
      <c r="U411" t="s">
        <v>23</v>
      </c>
      <c r="V411">
        <v>1</v>
      </c>
      <c r="W411">
        <v>1</v>
      </c>
    </row>
    <row r="412" spans="1:23" x14ac:dyDescent="0.35">
      <c r="A412" t="s">
        <v>1220</v>
      </c>
      <c r="B412" s="6">
        <v>42685</v>
      </c>
      <c r="D412" t="s">
        <v>23</v>
      </c>
      <c r="E412">
        <v>33</v>
      </c>
      <c r="F412" t="s">
        <v>62</v>
      </c>
      <c r="G412" t="s">
        <v>25</v>
      </c>
      <c r="H412" t="s">
        <v>54</v>
      </c>
      <c r="I412" t="s">
        <v>27</v>
      </c>
      <c r="J412" t="s">
        <v>33</v>
      </c>
      <c r="K412">
        <v>3</v>
      </c>
      <c r="L412" t="s">
        <v>40</v>
      </c>
      <c r="M412">
        <v>86000</v>
      </c>
      <c r="N412">
        <v>8.6999999999999993</v>
      </c>
      <c r="O412">
        <v>13.6</v>
      </c>
      <c r="P412">
        <v>9.1</v>
      </c>
      <c r="Q412">
        <v>0.3</v>
      </c>
      <c r="R412">
        <v>2</v>
      </c>
      <c r="S412">
        <v>4</v>
      </c>
      <c r="T412">
        <v>4</v>
      </c>
      <c r="U412" t="s">
        <v>30</v>
      </c>
      <c r="V412">
        <v>3</v>
      </c>
      <c r="W412">
        <v>1</v>
      </c>
    </row>
    <row r="413" spans="1:23" x14ac:dyDescent="0.35">
      <c r="A413" t="s">
        <v>1018</v>
      </c>
      <c r="B413" s="6">
        <v>45592</v>
      </c>
      <c r="D413" t="s">
        <v>23</v>
      </c>
      <c r="E413">
        <v>26</v>
      </c>
      <c r="F413" t="s">
        <v>62</v>
      </c>
      <c r="G413" t="s">
        <v>37</v>
      </c>
      <c r="H413" t="s">
        <v>26</v>
      </c>
      <c r="I413" t="s">
        <v>38</v>
      </c>
      <c r="J413" t="s">
        <v>118</v>
      </c>
      <c r="K413">
        <v>1</v>
      </c>
      <c r="L413" t="s">
        <v>50</v>
      </c>
      <c r="M413">
        <v>42000</v>
      </c>
      <c r="N413">
        <v>8.3000000000000007</v>
      </c>
      <c r="O413">
        <v>2.2000000000000002</v>
      </c>
      <c r="P413">
        <v>1.2</v>
      </c>
      <c r="Q413">
        <v>0.8</v>
      </c>
      <c r="R413">
        <v>3</v>
      </c>
      <c r="S413">
        <v>3</v>
      </c>
      <c r="T413">
        <v>2</v>
      </c>
      <c r="U413" t="s">
        <v>23</v>
      </c>
      <c r="V413">
        <v>5</v>
      </c>
      <c r="W413">
        <v>1</v>
      </c>
    </row>
    <row r="414" spans="1:23" x14ac:dyDescent="0.35">
      <c r="A414" t="s">
        <v>149</v>
      </c>
      <c r="B414" s="6">
        <v>41765</v>
      </c>
      <c r="D414" t="s">
        <v>23</v>
      </c>
      <c r="E414">
        <v>41</v>
      </c>
      <c r="F414" t="s">
        <v>36</v>
      </c>
      <c r="G414" t="s">
        <v>25</v>
      </c>
      <c r="H414" t="s">
        <v>26</v>
      </c>
      <c r="I414" t="s">
        <v>59</v>
      </c>
      <c r="J414" t="s">
        <v>150</v>
      </c>
      <c r="K414">
        <v>3</v>
      </c>
      <c r="L414" t="s">
        <v>84</v>
      </c>
      <c r="M414">
        <v>99000</v>
      </c>
      <c r="N414">
        <v>11.3</v>
      </c>
      <c r="O414">
        <v>15.1</v>
      </c>
      <c r="P414">
        <v>11.7</v>
      </c>
      <c r="Q414">
        <v>1.5</v>
      </c>
      <c r="R414">
        <v>3</v>
      </c>
      <c r="S414">
        <v>3</v>
      </c>
      <c r="T414">
        <v>4</v>
      </c>
      <c r="U414" t="s">
        <v>23</v>
      </c>
      <c r="V414">
        <v>4</v>
      </c>
      <c r="W414">
        <v>1</v>
      </c>
    </row>
    <row r="415" spans="1:23" x14ac:dyDescent="0.35">
      <c r="A415" t="s">
        <v>1412</v>
      </c>
      <c r="B415" s="6">
        <v>43943</v>
      </c>
      <c r="C415">
        <v>45842</v>
      </c>
      <c r="D415" t="s">
        <v>30</v>
      </c>
      <c r="E415">
        <v>34</v>
      </c>
      <c r="F415" t="s">
        <v>24</v>
      </c>
      <c r="G415" t="s">
        <v>25</v>
      </c>
      <c r="H415" t="s">
        <v>32</v>
      </c>
      <c r="I415" t="s">
        <v>55</v>
      </c>
      <c r="J415" t="s">
        <v>56</v>
      </c>
      <c r="K415">
        <v>2</v>
      </c>
      <c r="L415" t="s">
        <v>29</v>
      </c>
      <c r="M415">
        <v>58000</v>
      </c>
      <c r="N415">
        <v>10.4</v>
      </c>
      <c r="O415">
        <v>8.6</v>
      </c>
      <c r="P415">
        <v>5.2</v>
      </c>
      <c r="Q415">
        <v>4.7</v>
      </c>
      <c r="R415">
        <v>3</v>
      </c>
      <c r="S415">
        <v>3</v>
      </c>
      <c r="T415">
        <v>3</v>
      </c>
      <c r="U415" t="s">
        <v>23</v>
      </c>
      <c r="V415">
        <v>4</v>
      </c>
      <c r="W415">
        <v>1</v>
      </c>
    </row>
    <row r="416" spans="1:23" x14ac:dyDescent="0.35">
      <c r="A416" t="s">
        <v>843</v>
      </c>
      <c r="B416" s="6">
        <v>45199</v>
      </c>
      <c r="D416" t="s">
        <v>23</v>
      </c>
      <c r="E416">
        <v>34</v>
      </c>
      <c r="F416" t="s">
        <v>36</v>
      </c>
      <c r="G416" t="s">
        <v>37</v>
      </c>
      <c r="H416" t="s">
        <v>26</v>
      </c>
      <c r="I416" t="s">
        <v>55</v>
      </c>
      <c r="J416" t="s">
        <v>56</v>
      </c>
      <c r="K416">
        <v>3</v>
      </c>
      <c r="L416" t="s">
        <v>40</v>
      </c>
      <c r="M416">
        <v>101000</v>
      </c>
      <c r="N416">
        <v>5</v>
      </c>
      <c r="O416">
        <v>8.6999999999999993</v>
      </c>
      <c r="P416">
        <v>2.2999999999999998</v>
      </c>
      <c r="Q416">
        <v>0.6</v>
      </c>
      <c r="R416">
        <v>3</v>
      </c>
      <c r="S416">
        <v>3</v>
      </c>
      <c r="T416">
        <v>3</v>
      </c>
      <c r="U416" t="s">
        <v>23</v>
      </c>
      <c r="V416">
        <v>4</v>
      </c>
      <c r="W416">
        <v>1</v>
      </c>
    </row>
    <row r="417" spans="1:23" x14ac:dyDescent="0.35">
      <c r="A417" t="s">
        <v>663</v>
      </c>
      <c r="B417" s="6">
        <v>43841</v>
      </c>
      <c r="C417">
        <v>45737</v>
      </c>
      <c r="D417" t="s">
        <v>30</v>
      </c>
      <c r="E417">
        <v>42</v>
      </c>
      <c r="F417" t="s">
        <v>62</v>
      </c>
      <c r="G417" t="s">
        <v>25</v>
      </c>
      <c r="H417" t="s">
        <v>26</v>
      </c>
      <c r="I417" t="s">
        <v>27</v>
      </c>
      <c r="J417" t="s">
        <v>28</v>
      </c>
      <c r="K417">
        <v>2</v>
      </c>
      <c r="L417" t="s">
        <v>34</v>
      </c>
      <c r="M417">
        <v>50000</v>
      </c>
      <c r="N417">
        <v>0.5</v>
      </c>
      <c r="O417">
        <v>9.1999999999999993</v>
      </c>
      <c r="P417">
        <v>5.2</v>
      </c>
      <c r="Q417">
        <v>4.3</v>
      </c>
      <c r="R417">
        <v>4</v>
      </c>
      <c r="S417">
        <v>4</v>
      </c>
      <c r="T417">
        <v>3</v>
      </c>
      <c r="U417" t="s">
        <v>23</v>
      </c>
      <c r="V417">
        <v>4</v>
      </c>
      <c r="W417">
        <v>1</v>
      </c>
    </row>
    <row r="418" spans="1:23" x14ac:dyDescent="0.35">
      <c r="A418" t="s">
        <v>908</v>
      </c>
      <c r="B418" s="6">
        <v>45352</v>
      </c>
      <c r="D418" t="s">
        <v>23</v>
      </c>
      <c r="E418">
        <v>42</v>
      </c>
      <c r="F418" t="s">
        <v>24</v>
      </c>
      <c r="G418" t="s">
        <v>25</v>
      </c>
      <c r="H418" t="s">
        <v>58</v>
      </c>
      <c r="I418" t="s">
        <v>48</v>
      </c>
      <c r="J418" t="s">
        <v>63</v>
      </c>
      <c r="K418">
        <v>2</v>
      </c>
      <c r="L418" t="s">
        <v>50</v>
      </c>
      <c r="M418">
        <v>55000</v>
      </c>
      <c r="N418">
        <v>5</v>
      </c>
      <c r="O418">
        <v>2.9</v>
      </c>
      <c r="P418">
        <v>1.8</v>
      </c>
      <c r="Q418">
        <v>0.8</v>
      </c>
      <c r="R418">
        <v>3</v>
      </c>
      <c r="S418">
        <v>4</v>
      </c>
      <c r="T418">
        <v>3</v>
      </c>
      <c r="U418" t="s">
        <v>30</v>
      </c>
      <c r="V418">
        <v>5</v>
      </c>
      <c r="W418">
        <v>1</v>
      </c>
    </row>
    <row r="419" spans="1:23" x14ac:dyDescent="0.35">
      <c r="A419" t="s">
        <v>1454</v>
      </c>
      <c r="B419" s="6">
        <v>42251</v>
      </c>
      <c r="C419">
        <v>45724</v>
      </c>
      <c r="D419" t="s">
        <v>30</v>
      </c>
      <c r="E419">
        <v>39</v>
      </c>
      <c r="F419" t="s">
        <v>36</v>
      </c>
      <c r="G419" t="s">
        <v>42</v>
      </c>
      <c r="H419" t="s">
        <v>26</v>
      </c>
      <c r="I419" t="s">
        <v>45</v>
      </c>
      <c r="J419" t="s">
        <v>164</v>
      </c>
      <c r="K419">
        <v>2</v>
      </c>
      <c r="L419" t="s">
        <v>40</v>
      </c>
      <c r="M419">
        <v>54000</v>
      </c>
      <c r="N419">
        <v>8</v>
      </c>
      <c r="O419">
        <v>17.399999999999999</v>
      </c>
      <c r="P419">
        <v>9.5</v>
      </c>
      <c r="Q419">
        <v>2.5</v>
      </c>
      <c r="R419">
        <v>2</v>
      </c>
      <c r="S419">
        <v>4</v>
      </c>
      <c r="T419">
        <v>2</v>
      </c>
      <c r="U419" t="s">
        <v>30</v>
      </c>
      <c r="V419">
        <v>1</v>
      </c>
      <c r="W419">
        <v>1</v>
      </c>
    </row>
    <row r="420" spans="1:23" x14ac:dyDescent="0.35">
      <c r="A420" t="s">
        <v>936</v>
      </c>
      <c r="B420" s="6">
        <v>44094</v>
      </c>
      <c r="D420" t="s">
        <v>23</v>
      </c>
      <c r="E420">
        <v>30</v>
      </c>
      <c r="F420" t="s">
        <v>24</v>
      </c>
      <c r="G420" t="s">
        <v>25</v>
      </c>
      <c r="H420" t="s">
        <v>32</v>
      </c>
      <c r="I420" t="s">
        <v>38</v>
      </c>
      <c r="J420" t="s">
        <v>118</v>
      </c>
      <c r="K420">
        <v>3</v>
      </c>
      <c r="L420" t="s">
        <v>40</v>
      </c>
      <c r="M420">
        <v>78000</v>
      </c>
      <c r="N420">
        <v>15.5</v>
      </c>
      <c r="O420">
        <v>5.8</v>
      </c>
      <c r="P420">
        <v>5.3</v>
      </c>
      <c r="Q420">
        <v>3.5</v>
      </c>
      <c r="R420">
        <v>2</v>
      </c>
      <c r="S420">
        <v>4</v>
      </c>
      <c r="T420">
        <v>4</v>
      </c>
      <c r="U420" t="s">
        <v>30</v>
      </c>
      <c r="V420">
        <v>5</v>
      </c>
      <c r="W420">
        <v>1</v>
      </c>
    </row>
    <row r="421" spans="1:23" x14ac:dyDescent="0.35">
      <c r="A421" t="s">
        <v>92</v>
      </c>
      <c r="B421" s="6">
        <v>45291</v>
      </c>
      <c r="D421" t="s">
        <v>23</v>
      </c>
      <c r="E421">
        <v>42</v>
      </c>
      <c r="F421" t="s">
        <v>24</v>
      </c>
      <c r="G421" t="s">
        <v>37</v>
      </c>
      <c r="H421" t="s">
        <v>26</v>
      </c>
      <c r="I421" t="s">
        <v>45</v>
      </c>
      <c r="J421" t="s">
        <v>77</v>
      </c>
      <c r="K421">
        <v>1</v>
      </c>
      <c r="L421" t="s">
        <v>66</v>
      </c>
      <c r="M421">
        <v>45000</v>
      </c>
      <c r="N421">
        <v>13</v>
      </c>
      <c r="O421">
        <v>4.8</v>
      </c>
      <c r="P421">
        <v>2</v>
      </c>
      <c r="Q421">
        <v>1.7</v>
      </c>
      <c r="R421">
        <v>3</v>
      </c>
      <c r="S421">
        <v>4</v>
      </c>
      <c r="T421">
        <v>3</v>
      </c>
      <c r="U421" t="s">
        <v>23</v>
      </c>
      <c r="V421">
        <v>3</v>
      </c>
      <c r="W421">
        <v>1</v>
      </c>
    </row>
    <row r="422" spans="1:23" x14ac:dyDescent="0.35">
      <c r="A422" t="s">
        <v>596</v>
      </c>
      <c r="B422" s="6">
        <v>45179</v>
      </c>
      <c r="D422" t="s">
        <v>23</v>
      </c>
      <c r="E422">
        <v>36</v>
      </c>
      <c r="F422" t="s">
        <v>24</v>
      </c>
      <c r="G422" t="s">
        <v>42</v>
      </c>
      <c r="H422" t="s">
        <v>26</v>
      </c>
      <c r="I422" t="s">
        <v>55</v>
      </c>
      <c r="J422" t="s">
        <v>179</v>
      </c>
      <c r="K422">
        <v>5</v>
      </c>
      <c r="L422" t="s">
        <v>40</v>
      </c>
      <c r="M422">
        <v>179000</v>
      </c>
      <c r="N422">
        <v>5.4</v>
      </c>
      <c r="O422">
        <v>9.6999999999999993</v>
      </c>
      <c r="P422">
        <v>2.2999999999999998</v>
      </c>
      <c r="Q422">
        <v>2.1</v>
      </c>
      <c r="R422">
        <v>1</v>
      </c>
      <c r="S422">
        <v>4</v>
      </c>
      <c r="T422">
        <v>3</v>
      </c>
      <c r="U422" t="s">
        <v>23</v>
      </c>
      <c r="V422">
        <v>4</v>
      </c>
      <c r="W422">
        <v>1</v>
      </c>
    </row>
    <row r="423" spans="1:23" x14ac:dyDescent="0.35">
      <c r="A423" t="s">
        <v>880</v>
      </c>
      <c r="B423" s="6">
        <v>44228</v>
      </c>
      <c r="D423" t="s">
        <v>23</v>
      </c>
      <c r="E423">
        <v>25</v>
      </c>
      <c r="F423" t="s">
        <v>36</v>
      </c>
      <c r="G423" t="s">
        <v>25</v>
      </c>
      <c r="H423" t="s">
        <v>58</v>
      </c>
      <c r="I423" t="s">
        <v>59</v>
      </c>
      <c r="J423" t="s">
        <v>150</v>
      </c>
      <c r="K423">
        <v>1</v>
      </c>
      <c r="L423" t="s">
        <v>66</v>
      </c>
      <c r="M423">
        <v>44000</v>
      </c>
      <c r="N423">
        <v>7.1</v>
      </c>
      <c r="O423">
        <v>11</v>
      </c>
      <c r="P423">
        <v>4.9000000000000004</v>
      </c>
      <c r="Q423">
        <v>1.5</v>
      </c>
      <c r="R423">
        <v>3</v>
      </c>
      <c r="S423">
        <v>3</v>
      </c>
      <c r="T423">
        <v>3</v>
      </c>
      <c r="U423" t="s">
        <v>23</v>
      </c>
      <c r="V423">
        <v>3</v>
      </c>
      <c r="W423">
        <v>1</v>
      </c>
    </row>
    <row r="424" spans="1:23" x14ac:dyDescent="0.35">
      <c r="A424" t="s">
        <v>1528</v>
      </c>
      <c r="B424" s="6">
        <v>43803</v>
      </c>
      <c r="D424" t="s">
        <v>23</v>
      </c>
      <c r="E424">
        <v>35</v>
      </c>
      <c r="F424" t="s">
        <v>36</v>
      </c>
      <c r="G424" t="s">
        <v>37</v>
      </c>
      <c r="H424" t="s">
        <v>26</v>
      </c>
      <c r="I424" t="s">
        <v>45</v>
      </c>
      <c r="J424" t="s">
        <v>164</v>
      </c>
      <c r="K424">
        <v>1</v>
      </c>
      <c r="L424" t="s">
        <v>34</v>
      </c>
      <c r="M424">
        <v>29000</v>
      </c>
      <c r="N424">
        <v>11.3</v>
      </c>
      <c r="O424">
        <v>11.6</v>
      </c>
      <c r="P424">
        <v>6.1</v>
      </c>
      <c r="Q424">
        <v>5</v>
      </c>
      <c r="R424">
        <v>3</v>
      </c>
      <c r="S424">
        <v>2</v>
      </c>
      <c r="T424">
        <v>3</v>
      </c>
      <c r="U424" t="s">
        <v>23</v>
      </c>
      <c r="V424">
        <v>5</v>
      </c>
      <c r="W424">
        <v>1</v>
      </c>
    </row>
    <row r="425" spans="1:23" x14ac:dyDescent="0.35">
      <c r="A425" t="s">
        <v>998</v>
      </c>
      <c r="B425" s="6">
        <v>41645</v>
      </c>
      <c r="D425" t="s">
        <v>23</v>
      </c>
      <c r="E425">
        <v>39</v>
      </c>
      <c r="F425" t="s">
        <v>24</v>
      </c>
      <c r="G425" t="s">
        <v>25</v>
      </c>
      <c r="H425" t="s">
        <v>32</v>
      </c>
      <c r="I425" t="s">
        <v>45</v>
      </c>
      <c r="J425" t="s">
        <v>77</v>
      </c>
      <c r="K425">
        <v>2</v>
      </c>
      <c r="L425" t="s">
        <v>50</v>
      </c>
      <c r="M425">
        <v>37000</v>
      </c>
      <c r="N425">
        <v>9.5</v>
      </c>
      <c r="O425">
        <v>17.3</v>
      </c>
      <c r="P425">
        <v>12</v>
      </c>
      <c r="Q425">
        <v>0.5</v>
      </c>
      <c r="R425">
        <v>2</v>
      </c>
      <c r="S425">
        <v>2</v>
      </c>
      <c r="T425">
        <v>3</v>
      </c>
      <c r="U425" t="s">
        <v>23</v>
      </c>
      <c r="V425">
        <v>4</v>
      </c>
      <c r="W425">
        <v>1</v>
      </c>
    </row>
    <row r="426" spans="1:23" x14ac:dyDescent="0.35">
      <c r="A426" t="s">
        <v>1365</v>
      </c>
      <c r="B426" s="6">
        <v>45208</v>
      </c>
      <c r="C426">
        <v>45875</v>
      </c>
      <c r="D426" t="s">
        <v>30</v>
      </c>
      <c r="E426">
        <v>26</v>
      </c>
      <c r="F426" t="s">
        <v>62</v>
      </c>
      <c r="G426" t="s">
        <v>42</v>
      </c>
      <c r="H426" t="s">
        <v>58</v>
      </c>
      <c r="I426" t="s">
        <v>68</v>
      </c>
      <c r="J426" t="s">
        <v>109</v>
      </c>
      <c r="K426">
        <v>1</v>
      </c>
      <c r="L426" t="s">
        <v>34</v>
      </c>
      <c r="M426">
        <v>28000</v>
      </c>
      <c r="N426">
        <v>11.1</v>
      </c>
      <c r="O426">
        <v>7.6</v>
      </c>
      <c r="P426">
        <v>1.8</v>
      </c>
      <c r="Q426">
        <v>0.5</v>
      </c>
      <c r="R426">
        <v>4</v>
      </c>
      <c r="S426">
        <v>3</v>
      </c>
      <c r="T426">
        <v>3</v>
      </c>
      <c r="U426" t="s">
        <v>23</v>
      </c>
      <c r="V426">
        <v>3</v>
      </c>
      <c r="W426">
        <v>1</v>
      </c>
    </row>
    <row r="427" spans="1:23" x14ac:dyDescent="0.35">
      <c r="A427" t="s">
        <v>748</v>
      </c>
      <c r="B427" s="6">
        <v>43727</v>
      </c>
      <c r="C427">
        <v>45908</v>
      </c>
      <c r="D427" t="s">
        <v>30</v>
      </c>
      <c r="E427">
        <v>35</v>
      </c>
      <c r="F427" t="s">
        <v>24</v>
      </c>
      <c r="G427" t="s">
        <v>42</v>
      </c>
      <c r="H427" t="s">
        <v>26</v>
      </c>
      <c r="I427" t="s">
        <v>45</v>
      </c>
      <c r="J427" t="s">
        <v>46</v>
      </c>
      <c r="K427">
        <v>5</v>
      </c>
      <c r="L427" t="s">
        <v>40</v>
      </c>
      <c r="M427">
        <v>148000</v>
      </c>
      <c r="N427">
        <v>11.5</v>
      </c>
      <c r="O427">
        <v>9.9</v>
      </c>
      <c r="P427">
        <v>6</v>
      </c>
      <c r="Q427">
        <v>3.8</v>
      </c>
      <c r="R427">
        <v>3</v>
      </c>
      <c r="S427">
        <v>2</v>
      </c>
      <c r="T427">
        <v>2</v>
      </c>
      <c r="U427" t="s">
        <v>30</v>
      </c>
      <c r="V427">
        <v>2</v>
      </c>
      <c r="W427">
        <v>1</v>
      </c>
    </row>
    <row r="428" spans="1:23" x14ac:dyDescent="0.35">
      <c r="A428" t="s">
        <v>1374</v>
      </c>
      <c r="B428" s="6">
        <v>43255</v>
      </c>
      <c r="D428" t="s">
        <v>23</v>
      </c>
      <c r="E428">
        <v>36</v>
      </c>
      <c r="F428" t="s">
        <v>36</v>
      </c>
      <c r="G428" t="s">
        <v>25</v>
      </c>
      <c r="H428" t="s">
        <v>58</v>
      </c>
      <c r="I428" t="s">
        <v>48</v>
      </c>
      <c r="J428" t="s">
        <v>129</v>
      </c>
      <c r="K428">
        <v>2</v>
      </c>
      <c r="L428" t="s">
        <v>66</v>
      </c>
      <c r="M428">
        <v>53000</v>
      </c>
      <c r="N428">
        <v>11.7</v>
      </c>
      <c r="O428">
        <v>13.7</v>
      </c>
      <c r="P428">
        <v>7.6</v>
      </c>
      <c r="Q428">
        <v>4.8</v>
      </c>
      <c r="R428">
        <v>1</v>
      </c>
      <c r="S428">
        <v>2</v>
      </c>
      <c r="T428">
        <v>3</v>
      </c>
      <c r="U428" t="s">
        <v>30</v>
      </c>
      <c r="V428">
        <v>3</v>
      </c>
      <c r="W428">
        <v>1</v>
      </c>
    </row>
    <row r="429" spans="1:23" x14ac:dyDescent="0.35">
      <c r="A429" t="s">
        <v>983</v>
      </c>
      <c r="B429" s="6">
        <v>45778</v>
      </c>
      <c r="D429" t="s">
        <v>23</v>
      </c>
      <c r="E429">
        <v>32</v>
      </c>
      <c r="F429" t="s">
        <v>36</v>
      </c>
      <c r="G429" t="s">
        <v>25</v>
      </c>
      <c r="H429" t="s">
        <v>32</v>
      </c>
      <c r="I429" t="s">
        <v>27</v>
      </c>
      <c r="J429" t="s">
        <v>43</v>
      </c>
      <c r="K429">
        <v>5</v>
      </c>
      <c r="L429" t="s">
        <v>34</v>
      </c>
      <c r="M429">
        <v>138000</v>
      </c>
      <c r="N429">
        <v>13.4</v>
      </c>
      <c r="O429">
        <v>3.2</v>
      </c>
      <c r="P429">
        <v>0.7</v>
      </c>
      <c r="Q429">
        <v>0</v>
      </c>
      <c r="R429">
        <v>4</v>
      </c>
      <c r="S429">
        <v>3</v>
      </c>
      <c r="T429">
        <v>1</v>
      </c>
      <c r="U429" t="s">
        <v>23</v>
      </c>
      <c r="V429">
        <v>4</v>
      </c>
      <c r="W429">
        <v>1</v>
      </c>
    </row>
    <row r="430" spans="1:23" x14ac:dyDescent="0.35">
      <c r="A430" t="s">
        <v>741</v>
      </c>
      <c r="B430" s="6">
        <v>45833</v>
      </c>
      <c r="D430" t="s">
        <v>23</v>
      </c>
      <c r="E430">
        <v>21</v>
      </c>
      <c r="F430" t="s">
        <v>24</v>
      </c>
      <c r="G430" t="s">
        <v>25</v>
      </c>
      <c r="H430" t="s">
        <v>26</v>
      </c>
      <c r="I430" t="s">
        <v>48</v>
      </c>
      <c r="J430" t="s">
        <v>49</v>
      </c>
      <c r="K430">
        <v>1</v>
      </c>
      <c r="L430" t="s">
        <v>34</v>
      </c>
      <c r="M430">
        <v>43000</v>
      </c>
      <c r="N430">
        <v>6.9</v>
      </c>
      <c r="O430">
        <v>4.4000000000000004</v>
      </c>
      <c r="P430">
        <v>0.5</v>
      </c>
      <c r="Q430">
        <v>0</v>
      </c>
      <c r="R430">
        <v>4</v>
      </c>
      <c r="S430">
        <v>3</v>
      </c>
      <c r="T430">
        <v>3</v>
      </c>
      <c r="U430" t="s">
        <v>23</v>
      </c>
      <c r="V430">
        <v>4</v>
      </c>
      <c r="W430">
        <v>1</v>
      </c>
    </row>
    <row r="431" spans="1:23" x14ac:dyDescent="0.35">
      <c r="A431" t="s">
        <v>1172</v>
      </c>
      <c r="B431" s="6">
        <v>44298</v>
      </c>
      <c r="D431" t="s">
        <v>23</v>
      </c>
      <c r="E431">
        <v>35</v>
      </c>
      <c r="F431" t="s">
        <v>62</v>
      </c>
      <c r="G431" t="s">
        <v>37</v>
      </c>
      <c r="H431" t="s">
        <v>58</v>
      </c>
      <c r="I431" t="s">
        <v>68</v>
      </c>
      <c r="J431" t="s">
        <v>121</v>
      </c>
      <c r="K431">
        <v>3</v>
      </c>
      <c r="L431" t="s">
        <v>34</v>
      </c>
      <c r="M431">
        <v>79000</v>
      </c>
      <c r="N431">
        <v>11.8</v>
      </c>
      <c r="O431">
        <v>5.2</v>
      </c>
      <c r="P431">
        <v>4.7</v>
      </c>
      <c r="Q431">
        <v>2.8</v>
      </c>
      <c r="R431">
        <v>4</v>
      </c>
      <c r="S431">
        <v>2</v>
      </c>
      <c r="T431">
        <v>3</v>
      </c>
      <c r="U431" t="s">
        <v>23</v>
      </c>
      <c r="V431">
        <v>4</v>
      </c>
      <c r="W431">
        <v>1</v>
      </c>
    </row>
    <row r="432" spans="1:23" x14ac:dyDescent="0.35">
      <c r="A432" t="s">
        <v>586</v>
      </c>
      <c r="B432" s="6">
        <v>44386</v>
      </c>
      <c r="D432" t="s">
        <v>23</v>
      </c>
      <c r="E432">
        <v>37</v>
      </c>
      <c r="F432" t="s">
        <v>36</v>
      </c>
      <c r="G432" t="s">
        <v>37</v>
      </c>
      <c r="H432" t="s">
        <v>26</v>
      </c>
      <c r="I432" t="s">
        <v>38</v>
      </c>
      <c r="J432" t="s">
        <v>52</v>
      </c>
      <c r="K432">
        <v>2</v>
      </c>
      <c r="L432" t="s">
        <v>66</v>
      </c>
      <c r="M432">
        <v>57000</v>
      </c>
      <c r="N432">
        <v>12</v>
      </c>
      <c r="O432">
        <v>9.6999999999999993</v>
      </c>
      <c r="P432">
        <v>4.5</v>
      </c>
      <c r="Q432">
        <v>2.7</v>
      </c>
      <c r="R432">
        <v>3</v>
      </c>
      <c r="S432">
        <v>4</v>
      </c>
      <c r="T432">
        <v>2</v>
      </c>
      <c r="U432" t="s">
        <v>23</v>
      </c>
      <c r="V432">
        <v>3</v>
      </c>
      <c r="W432">
        <v>1</v>
      </c>
    </row>
    <row r="433" spans="1:23" x14ac:dyDescent="0.35">
      <c r="A433" t="s">
        <v>146</v>
      </c>
      <c r="B433" s="6">
        <v>44953</v>
      </c>
      <c r="D433" t="s">
        <v>23</v>
      </c>
      <c r="E433">
        <v>26</v>
      </c>
      <c r="F433" t="s">
        <v>36</v>
      </c>
      <c r="G433" t="s">
        <v>42</v>
      </c>
      <c r="H433" t="s">
        <v>26</v>
      </c>
      <c r="I433" t="s">
        <v>68</v>
      </c>
      <c r="J433" t="s">
        <v>102</v>
      </c>
      <c r="K433">
        <v>1</v>
      </c>
      <c r="L433" t="s">
        <v>34</v>
      </c>
      <c r="M433">
        <v>43000</v>
      </c>
      <c r="N433">
        <v>6.9</v>
      </c>
      <c r="O433">
        <v>5.0999999999999996</v>
      </c>
      <c r="P433">
        <v>2.9</v>
      </c>
      <c r="Q433">
        <v>2</v>
      </c>
      <c r="R433">
        <v>3</v>
      </c>
      <c r="S433">
        <v>3</v>
      </c>
      <c r="T433">
        <v>4</v>
      </c>
      <c r="U433" t="s">
        <v>23</v>
      </c>
      <c r="V433">
        <v>3</v>
      </c>
      <c r="W433">
        <v>1</v>
      </c>
    </row>
    <row r="434" spans="1:23" x14ac:dyDescent="0.35">
      <c r="A434" t="s">
        <v>1287</v>
      </c>
      <c r="B434" s="6">
        <v>43764</v>
      </c>
      <c r="D434" t="s">
        <v>23</v>
      </c>
      <c r="E434">
        <v>36</v>
      </c>
      <c r="F434" t="s">
        <v>62</v>
      </c>
      <c r="G434" t="s">
        <v>37</v>
      </c>
      <c r="H434" t="s">
        <v>58</v>
      </c>
      <c r="I434" t="s">
        <v>38</v>
      </c>
      <c r="J434" t="s">
        <v>139</v>
      </c>
      <c r="K434">
        <v>2</v>
      </c>
      <c r="L434" t="s">
        <v>84</v>
      </c>
      <c r="M434">
        <v>76000</v>
      </c>
      <c r="N434">
        <v>8.1</v>
      </c>
      <c r="O434">
        <v>9.1</v>
      </c>
      <c r="P434">
        <v>6.2</v>
      </c>
      <c r="Q434">
        <v>2.6</v>
      </c>
      <c r="R434">
        <v>3</v>
      </c>
      <c r="S434">
        <v>3</v>
      </c>
      <c r="T434">
        <v>4</v>
      </c>
      <c r="U434" t="s">
        <v>23</v>
      </c>
      <c r="V434">
        <v>4</v>
      </c>
      <c r="W434">
        <v>1</v>
      </c>
    </row>
    <row r="435" spans="1:23" x14ac:dyDescent="0.35">
      <c r="A435" t="s">
        <v>1056</v>
      </c>
      <c r="B435" s="6">
        <v>44195</v>
      </c>
      <c r="C435">
        <v>45954</v>
      </c>
      <c r="D435" t="s">
        <v>30</v>
      </c>
      <c r="E435">
        <v>33</v>
      </c>
      <c r="F435" t="s">
        <v>24</v>
      </c>
      <c r="G435" t="s">
        <v>42</v>
      </c>
      <c r="H435" t="s">
        <v>26</v>
      </c>
      <c r="I435" t="s">
        <v>38</v>
      </c>
      <c r="J435" t="s">
        <v>39</v>
      </c>
      <c r="K435">
        <v>5</v>
      </c>
      <c r="L435" t="s">
        <v>29</v>
      </c>
      <c r="M435">
        <v>170000</v>
      </c>
      <c r="N435">
        <v>12.2</v>
      </c>
      <c r="O435">
        <v>5.6</v>
      </c>
      <c r="P435">
        <v>4.8</v>
      </c>
      <c r="Q435">
        <v>1.6</v>
      </c>
      <c r="R435">
        <v>4</v>
      </c>
      <c r="S435">
        <v>1</v>
      </c>
      <c r="T435">
        <v>4</v>
      </c>
      <c r="U435" t="s">
        <v>30</v>
      </c>
      <c r="V435">
        <v>3</v>
      </c>
      <c r="W435">
        <v>1</v>
      </c>
    </row>
    <row r="436" spans="1:23" x14ac:dyDescent="0.35">
      <c r="A436" t="s">
        <v>630</v>
      </c>
      <c r="B436" s="6">
        <v>44862</v>
      </c>
      <c r="D436" t="s">
        <v>23</v>
      </c>
      <c r="E436">
        <v>26</v>
      </c>
      <c r="F436" t="s">
        <v>24</v>
      </c>
      <c r="G436" t="s">
        <v>25</v>
      </c>
      <c r="H436" t="s">
        <v>32</v>
      </c>
      <c r="I436" t="s">
        <v>59</v>
      </c>
      <c r="J436" t="s">
        <v>150</v>
      </c>
      <c r="K436">
        <v>1</v>
      </c>
      <c r="L436" t="s">
        <v>66</v>
      </c>
      <c r="M436">
        <v>23000</v>
      </c>
      <c r="N436">
        <v>12.8</v>
      </c>
      <c r="O436">
        <v>6.5</v>
      </c>
      <c r="P436">
        <v>3.2</v>
      </c>
      <c r="Q436">
        <v>0.8</v>
      </c>
      <c r="R436">
        <v>3</v>
      </c>
      <c r="S436">
        <v>3</v>
      </c>
      <c r="T436">
        <v>3</v>
      </c>
      <c r="U436" t="s">
        <v>23</v>
      </c>
      <c r="V436">
        <v>4</v>
      </c>
      <c r="W436">
        <v>1</v>
      </c>
    </row>
    <row r="437" spans="1:23" x14ac:dyDescent="0.35">
      <c r="A437" t="s">
        <v>1022</v>
      </c>
      <c r="B437" s="6">
        <v>42392</v>
      </c>
      <c r="D437" t="s">
        <v>23</v>
      </c>
      <c r="E437">
        <v>32</v>
      </c>
      <c r="F437" t="s">
        <v>24</v>
      </c>
      <c r="G437" t="s">
        <v>25</v>
      </c>
      <c r="H437" t="s">
        <v>32</v>
      </c>
      <c r="I437" t="s">
        <v>48</v>
      </c>
      <c r="J437" t="s">
        <v>49</v>
      </c>
      <c r="K437">
        <v>3</v>
      </c>
      <c r="L437" t="s">
        <v>84</v>
      </c>
      <c r="M437">
        <v>78000</v>
      </c>
      <c r="N437">
        <v>9.3000000000000007</v>
      </c>
      <c r="O437">
        <v>16.399999999999999</v>
      </c>
      <c r="P437">
        <v>9.9</v>
      </c>
      <c r="Q437">
        <v>5.0999999999999996</v>
      </c>
      <c r="R437">
        <v>3</v>
      </c>
      <c r="S437">
        <v>4</v>
      </c>
      <c r="T437">
        <v>4</v>
      </c>
      <c r="U437" t="s">
        <v>23</v>
      </c>
      <c r="V437">
        <v>4</v>
      </c>
      <c r="W437">
        <v>1</v>
      </c>
    </row>
    <row r="438" spans="1:23" x14ac:dyDescent="0.35">
      <c r="A438" t="s">
        <v>369</v>
      </c>
      <c r="B438" s="6">
        <v>45325</v>
      </c>
      <c r="D438" t="s">
        <v>23</v>
      </c>
      <c r="E438">
        <v>27</v>
      </c>
      <c r="F438" t="s">
        <v>36</v>
      </c>
      <c r="G438" t="s">
        <v>42</v>
      </c>
      <c r="H438" t="s">
        <v>32</v>
      </c>
      <c r="I438" t="s">
        <v>48</v>
      </c>
      <c r="J438" t="s">
        <v>49</v>
      </c>
      <c r="K438">
        <v>1</v>
      </c>
      <c r="L438" t="s">
        <v>84</v>
      </c>
      <c r="M438">
        <v>37000</v>
      </c>
      <c r="N438">
        <v>12.9</v>
      </c>
      <c r="O438">
        <v>5.2</v>
      </c>
      <c r="P438">
        <v>1.9</v>
      </c>
      <c r="Q438">
        <v>1.6</v>
      </c>
      <c r="R438">
        <v>4</v>
      </c>
      <c r="S438">
        <v>4</v>
      </c>
      <c r="T438">
        <v>3</v>
      </c>
      <c r="U438" t="s">
        <v>23</v>
      </c>
      <c r="V438">
        <v>4</v>
      </c>
      <c r="W438">
        <v>1</v>
      </c>
    </row>
    <row r="439" spans="1:23" x14ac:dyDescent="0.35">
      <c r="A439" t="s">
        <v>711</v>
      </c>
      <c r="B439" s="6">
        <v>45428</v>
      </c>
      <c r="D439" t="s">
        <v>23</v>
      </c>
      <c r="E439">
        <v>34</v>
      </c>
      <c r="F439" t="s">
        <v>24</v>
      </c>
      <c r="G439" t="s">
        <v>42</v>
      </c>
      <c r="H439" t="s">
        <v>32</v>
      </c>
      <c r="I439" t="s">
        <v>45</v>
      </c>
      <c r="J439" t="s">
        <v>97</v>
      </c>
      <c r="K439">
        <v>2</v>
      </c>
      <c r="L439" t="s">
        <v>50</v>
      </c>
      <c r="M439">
        <v>59000</v>
      </c>
      <c r="N439">
        <v>0</v>
      </c>
      <c r="O439">
        <v>5.3</v>
      </c>
      <c r="P439">
        <v>1.6</v>
      </c>
      <c r="Q439">
        <v>0.9</v>
      </c>
      <c r="R439">
        <v>2</v>
      </c>
      <c r="S439">
        <v>3</v>
      </c>
      <c r="T439">
        <v>3</v>
      </c>
      <c r="U439" t="s">
        <v>30</v>
      </c>
      <c r="V439">
        <v>1</v>
      </c>
      <c r="W439">
        <v>1</v>
      </c>
    </row>
    <row r="440" spans="1:23" x14ac:dyDescent="0.35">
      <c r="A440" t="s">
        <v>926</v>
      </c>
      <c r="B440" s="6">
        <v>45418</v>
      </c>
      <c r="D440" t="s">
        <v>23</v>
      </c>
      <c r="E440">
        <v>28</v>
      </c>
      <c r="F440" t="s">
        <v>36</v>
      </c>
      <c r="G440" t="s">
        <v>42</v>
      </c>
      <c r="H440" t="s">
        <v>26</v>
      </c>
      <c r="I440" t="s">
        <v>68</v>
      </c>
      <c r="J440" t="s">
        <v>69</v>
      </c>
      <c r="K440">
        <v>3</v>
      </c>
      <c r="L440" t="s">
        <v>34</v>
      </c>
      <c r="M440">
        <v>60000</v>
      </c>
      <c r="N440">
        <v>11</v>
      </c>
      <c r="O440">
        <v>1.8</v>
      </c>
      <c r="P440">
        <v>1.7</v>
      </c>
      <c r="Q440">
        <v>1.5</v>
      </c>
      <c r="R440">
        <v>4</v>
      </c>
      <c r="S440">
        <v>2</v>
      </c>
      <c r="T440">
        <v>3</v>
      </c>
      <c r="U440" t="s">
        <v>23</v>
      </c>
      <c r="V440">
        <v>4</v>
      </c>
      <c r="W440">
        <v>1</v>
      </c>
    </row>
    <row r="441" spans="1:23" x14ac:dyDescent="0.35">
      <c r="A441" t="s">
        <v>913</v>
      </c>
      <c r="B441" s="6">
        <v>43473</v>
      </c>
      <c r="D441" t="s">
        <v>23</v>
      </c>
      <c r="E441">
        <v>32</v>
      </c>
      <c r="F441" t="s">
        <v>62</v>
      </c>
      <c r="G441" t="s">
        <v>37</v>
      </c>
      <c r="H441" t="s">
        <v>58</v>
      </c>
      <c r="I441" t="s">
        <v>59</v>
      </c>
      <c r="J441" t="s">
        <v>86</v>
      </c>
      <c r="K441">
        <v>2</v>
      </c>
      <c r="L441" t="s">
        <v>84</v>
      </c>
      <c r="M441">
        <v>60000</v>
      </c>
      <c r="N441">
        <v>15.4</v>
      </c>
      <c r="O441">
        <v>11.6</v>
      </c>
      <c r="P441">
        <v>7</v>
      </c>
      <c r="Q441">
        <v>4.7</v>
      </c>
      <c r="R441">
        <v>2</v>
      </c>
      <c r="S441">
        <v>3</v>
      </c>
      <c r="T441">
        <v>3</v>
      </c>
      <c r="U441" t="s">
        <v>23</v>
      </c>
      <c r="V441">
        <v>2</v>
      </c>
      <c r="W441">
        <v>1</v>
      </c>
    </row>
    <row r="442" spans="1:23" x14ac:dyDescent="0.35">
      <c r="A442" t="s">
        <v>1034</v>
      </c>
      <c r="B442" s="6">
        <v>42734</v>
      </c>
      <c r="C442">
        <v>45767</v>
      </c>
      <c r="D442" t="s">
        <v>30</v>
      </c>
      <c r="E442">
        <v>44</v>
      </c>
      <c r="F442" t="s">
        <v>36</v>
      </c>
      <c r="G442" t="s">
        <v>25</v>
      </c>
      <c r="H442" t="s">
        <v>26</v>
      </c>
      <c r="I442" t="s">
        <v>59</v>
      </c>
      <c r="J442" t="s">
        <v>60</v>
      </c>
      <c r="K442">
        <v>4</v>
      </c>
      <c r="L442" t="s">
        <v>84</v>
      </c>
      <c r="M442">
        <v>115000</v>
      </c>
      <c r="N442">
        <v>9.3000000000000007</v>
      </c>
      <c r="O442">
        <v>16.100000000000001</v>
      </c>
      <c r="P442">
        <v>8.3000000000000007</v>
      </c>
      <c r="Q442">
        <v>2.6</v>
      </c>
      <c r="R442">
        <v>2</v>
      </c>
      <c r="S442">
        <v>3</v>
      </c>
      <c r="T442">
        <v>3</v>
      </c>
      <c r="U442" t="s">
        <v>23</v>
      </c>
      <c r="V442">
        <v>3</v>
      </c>
      <c r="W442">
        <v>1</v>
      </c>
    </row>
    <row r="443" spans="1:23" x14ac:dyDescent="0.35">
      <c r="A443" t="s">
        <v>826</v>
      </c>
      <c r="B443" s="6">
        <v>44950</v>
      </c>
      <c r="C443">
        <v>45901</v>
      </c>
      <c r="D443" t="s">
        <v>30</v>
      </c>
      <c r="E443">
        <v>31</v>
      </c>
      <c r="F443" t="s">
        <v>62</v>
      </c>
      <c r="H443" t="s">
        <v>26</v>
      </c>
      <c r="I443" t="s">
        <v>27</v>
      </c>
      <c r="J443" t="s">
        <v>33</v>
      </c>
      <c r="K443">
        <v>3</v>
      </c>
      <c r="L443" t="s">
        <v>29</v>
      </c>
      <c r="M443">
        <v>66000</v>
      </c>
      <c r="N443">
        <v>17.7</v>
      </c>
      <c r="O443">
        <v>8.3000000000000007</v>
      </c>
      <c r="P443">
        <v>2.6</v>
      </c>
      <c r="Q443">
        <v>2.1</v>
      </c>
      <c r="R443">
        <v>4</v>
      </c>
      <c r="S443">
        <v>1</v>
      </c>
      <c r="T443">
        <v>4</v>
      </c>
      <c r="U443" t="s">
        <v>30</v>
      </c>
      <c r="V443">
        <v>4</v>
      </c>
      <c r="W443">
        <v>1</v>
      </c>
    </row>
    <row r="444" spans="1:23" x14ac:dyDescent="0.35">
      <c r="A444" t="s">
        <v>166</v>
      </c>
      <c r="B444" s="6">
        <v>44269</v>
      </c>
      <c r="D444" t="s">
        <v>23</v>
      </c>
      <c r="E444">
        <v>34</v>
      </c>
      <c r="F444" t="s">
        <v>36</v>
      </c>
      <c r="G444" t="s">
        <v>42</v>
      </c>
      <c r="H444" t="s">
        <v>58</v>
      </c>
      <c r="I444" t="s">
        <v>59</v>
      </c>
      <c r="J444" t="s">
        <v>86</v>
      </c>
      <c r="K444">
        <v>2</v>
      </c>
      <c r="L444" t="s">
        <v>50</v>
      </c>
      <c r="M444">
        <v>57000</v>
      </c>
      <c r="N444">
        <v>9.1999999999999993</v>
      </c>
      <c r="O444">
        <v>10.3</v>
      </c>
      <c r="P444">
        <v>4.8</v>
      </c>
      <c r="Q444">
        <v>2.6</v>
      </c>
      <c r="R444">
        <v>3</v>
      </c>
      <c r="S444">
        <v>2</v>
      </c>
      <c r="T444">
        <v>3</v>
      </c>
      <c r="U444" t="s">
        <v>23</v>
      </c>
      <c r="V444">
        <v>1</v>
      </c>
      <c r="W444">
        <v>1</v>
      </c>
    </row>
    <row r="445" spans="1:23" x14ac:dyDescent="0.35">
      <c r="A445" t="s">
        <v>156</v>
      </c>
      <c r="B445" s="6">
        <v>43182</v>
      </c>
      <c r="D445" t="s">
        <v>23</v>
      </c>
      <c r="E445">
        <v>29</v>
      </c>
      <c r="F445" t="s">
        <v>36</v>
      </c>
      <c r="G445" t="s">
        <v>42</v>
      </c>
      <c r="H445" t="s">
        <v>54</v>
      </c>
      <c r="I445" t="s">
        <v>59</v>
      </c>
      <c r="J445" t="s">
        <v>86</v>
      </c>
      <c r="K445">
        <v>2</v>
      </c>
      <c r="L445" t="s">
        <v>84</v>
      </c>
      <c r="M445">
        <v>53000</v>
      </c>
      <c r="N445">
        <v>6</v>
      </c>
      <c r="O445">
        <v>14.3</v>
      </c>
      <c r="P445">
        <v>7.8</v>
      </c>
      <c r="Q445">
        <v>3.9</v>
      </c>
      <c r="R445">
        <v>3</v>
      </c>
      <c r="S445">
        <v>4</v>
      </c>
      <c r="T445">
        <v>3</v>
      </c>
      <c r="U445" t="s">
        <v>30</v>
      </c>
      <c r="V445">
        <v>2</v>
      </c>
      <c r="W445">
        <v>1</v>
      </c>
    </row>
    <row r="446" spans="1:23" x14ac:dyDescent="0.35">
      <c r="A446" t="s">
        <v>1434</v>
      </c>
      <c r="B446" s="6">
        <v>43306</v>
      </c>
      <c r="D446" t="s">
        <v>23</v>
      </c>
      <c r="E446">
        <v>29</v>
      </c>
      <c r="F446" t="s">
        <v>24</v>
      </c>
      <c r="G446" t="s">
        <v>37</v>
      </c>
      <c r="H446" t="s">
        <v>32</v>
      </c>
      <c r="I446" t="s">
        <v>45</v>
      </c>
      <c r="J446" t="s">
        <v>46</v>
      </c>
      <c r="K446">
        <v>4</v>
      </c>
      <c r="L446" t="s">
        <v>29</v>
      </c>
      <c r="M446">
        <v>103000</v>
      </c>
      <c r="N446">
        <v>7.3</v>
      </c>
      <c r="O446">
        <v>10.3</v>
      </c>
      <c r="P446">
        <v>7.4</v>
      </c>
      <c r="Q446">
        <v>3.6</v>
      </c>
      <c r="R446">
        <v>3</v>
      </c>
      <c r="S446">
        <v>4</v>
      </c>
      <c r="T446">
        <v>3</v>
      </c>
      <c r="U446" t="s">
        <v>23</v>
      </c>
      <c r="V446">
        <v>3</v>
      </c>
      <c r="W446">
        <v>1</v>
      </c>
    </row>
    <row r="447" spans="1:23" x14ac:dyDescent="0.35">
      <c r="A447" t="s">
        <v>1530</v>
      </c>
      <c r="B447" s="6">
        <v>45910</v>
      </c>
      <c r="D447" t="s">
        <v>23</v>
      </c>
      <c r="E447">
        <v>23</v>
      </c>
      <c r="F447" t="s">
        <v>24</v>
      </c>
      <c r="G447" t="s">
        <v>25</v>
      </c>
      <c r="H447" t="s">
        <v>54</v>
      </c>
      <c r="I447" t="s">
        <v>48</v>
      </c>
      <c r="J447" t="s">
        <v>49</v>
      </c>
      <c r="K447">
        <v>1</v>
      </c>
      <c r="L447" t="s">
        <v>84</v>
      </c>
      <c r="M447">
        <v>34000</v>
      </c>
      <c r="N447">
        <v>3</v>
      </c>
      <c r="O447">
        <v>1.2</v>
      </c>
      <c r="P447">
        <v>0.3</v>
      </c>
      <c r="Q447">
        <v>0</v>
      </c>
      <c r="R447">
        <v>3</v>
      </c>
      <c r="S447">
        <v>3</v>
      </c>
      <c r="T447">
        <v>4</v>
      </c>
      <c r="U447" t="s">
        <v>30</v>
      </c>
      <c r="V447">
        <v>4</v>
      </c>
      <c r="W447">
        <v>1</v>
      </c>
    </row>
    <row r="448" spans="1:23" x14ac:dyDescent="0.35">
      <c r="A448" t="s">
        <v>1511</v>
      </c>
      <c r="B448" s="6">
        <v>45342</v>
      </c>
      <c r="D448" t="s">
        <v>23</v>
      </c>
      <c r="E448">
        <v>34</v>
      </c>
      <c r="F448" t="s">
        <v>62</v>
      </c>
      <c r="G448" t="s">
        <v>37</v>
      </c>
      <c r="H448" t="s">
        <v>26</v>
      </c>
      <c r="I448" t="s">
        <v>48</v>
      </c>
      <c r="J448" t="s">
        <v>201</v>
      </c>
      <c r="K448">
        <v>4</v>
      </c>
      <c r="L448" t="s">
        <v>50</v>
      </c>
      <c r="M448">
        <v>102000</v>
      </c>
      <c r="N448">
        <v>7.8</v>
      </c>
      <c r="O448">
        <v>4.0999999999999996</v>
      </c>
      <c r="P448">
        <v>1.9</v>
      </c>
      <c r="Q448">
        <v>0.2</v>
      </c>
      <c r="R448">
        <v>3</v>
      </c>
      <c r="S448">
        <v>3</v>
      </c>
      <c r="T448">
        <v>3</v>
      </c>
      <c r="U448" t="s">
        <v>30</v>
      </c>
      <c r="V448">
        <v>3</v>
      </c>
      <c r="W448">
        <v>1</v>
      </c>
    </row>
    <row r="449" spans="1:23" x14ac:dyDescent="0.35">
      <c r="A449" t="s">
        <v>392</v>
      </c>
      <c r="B449" s="6">
        <v>41750</v>
      </c>
      <c r="D449" t="s">
        <v>23</v>
      </c>
      <c r="E449">
        <v>35</v>
      </c>
      <c r="F449" t="s">
        <v>62</v>
      </c>
      <c r="G449" t="s">
        <v>37</v>
      </c>
      <c r="H449" t="s">
        <v>26</v>
      </c>
      <c r="I449" t="s">
        <v>27</v>
      </c>
      <c r="J449" t="s">
        <v>95</v>
      </c>
      <c r="K449">
        <v>4</v>
      </c>
      <c r="L449" t="s">
        <v>29</v>
      </c>
      <c r="M449">
        <v>118000</v>
      </c>
      <c r="N449">
        <v>1.5</v>
      </c>
      <c r="O449">
        <v>14.9</v>
      </c>
      <c r="P449">
        <v>11.7</v>
      </c>
      <c r="Q449">
        <v>2.6</v>
      </c>
      <c r="R449">
        <v>3</v>
      </c>
      <c r="S449">
        <v>3</v>
      </c>
      <c r="T449">
        <v>2</v>
      </c>
      <c r="U449" t="s">
        <v>30</v>
      </c>
      <c r="V449">
        <v>3</v>
      </c>
      <c r="W449">
        <v>1</v>
      </c>
    </row>
    <row r="450" spans="1:23" x14ac:dyDescent="0.35">
      <c r="A450" t="s">
        <v>1292</v>
      </c>
      <c r="B450" s="6">
        <v>41946</v>
      </c>
      <c r="D450" t="s">
        <v>23</v>
      </c>
      <c r="E450">
        <v>32</v>
      </c>
      <c r="F450" t="s">
        <v>36</v>
      </c>
      <c r="G450" t="s">
        <v>37</v>
      </c>
      <c r="H450" t="s">
        <v>54</v>
      </c>
      <c r="I450" t="s">
        <v>27</v>
      </c>
      <c r="J450" t="s">
        <v>33</v>
      </c>
      <c r="K450">
        <v>3</v>
      </c>
      <c r="L450" t="s">
        <v>40</v>
      </c>
      <c r="M450">
        <v>80000</v>
      </c>
      <c r="N450">
        <v>9.9</v>
      </c>
      <c r="O450">
        <v>12.8</v>
      </c>
      <c r="P450">
        <v>11.2</v>
      </c>
      <c r="Q450">
        <v>5.7</v>
      </c>
      <c r="R450">
        <v>3</v>
      </c>
      <c r="S450">
        <v>4</v>
      </c>
      <c r="T450">
        <v>3</v>
      </c>
      <c r="U450" t="s">
        <v>23</v>
      </c>
      <c r="V450">
        <v>4</v>
      </c>
      <c r="W450">
        <v>1</v>
      </c>
    </row>
    <row r="451" spans="1:23" x14ac:dyDescent="0.35">
      <c r="A451" t="s">
        <v>1581</v>
      </c>
      <c r="B451" s="6">
        <v>44807</v>
      </c>
      <c r="D451" t="s">
        <v>23</v>
      </c>
      <c r="E451">
        <v>31</v>
      </c>
      <c r="F451" t="s">
        <v>36</v>
      </c>
      <c r="G451" t="s">
        <v>25</v>
      </c>
      <c r="H451" t="s">
        <v>54</v>
      </c>
      <c r="I451" t="s">
        <v>27</v>
      </c>
      <c r="J451" t="s">
        <v>95</v>
      </c>
      <c r="K451">
        <v>5</v>
      </c>
      <c r="L451" t="s">
        <v>50</v>
      </c>
      <c r="M451">
        <v>140000</v>
      </c>
      <c r="N451">
        <v>13.3</v>
      </c>
      <c r="O451">
        <v>4.5</v>
      </c>
      <c r="P451">
        <v>3.3</v>
      </c>
      <c r="Q451">
        <v>1</v>
      </c>
      <c r="R451">
        <v>3</v>
      </c>
      <c r="S451">
        <v>3</v>
      </c>
      <c r="T451">
        <v>3</v>
      </c>
      <c r="U451" t="s">
        <v>23</v>
      </c>
      <c r="V451">
        <v>5</v>
      </c>
      <c r="W451">
        <v>1</v>
      </c>
    </row>
    <row r="452" spans="1:23" x14ac:dyDescent="0.35">
      <c r="A452" t="s">
        <v>727</v>
      </c>
      <c r="B452" s="6">
        <v>44532</v>
      </c>
      <c r="D452" t="s">
        <v>23</v>
      </c>
      <c r="E452">
        <v>46</v>
      </c>
      <c r="F452" t="s">
        <v>36</v>
      </c>
      <c r="G452" t="s">
        <v>37</v>
      </c>
      <c r="H452" t="s">
        <v>54</v>
      </c>
      <c r="I452" t="s">
        <v>38</v>
      </c>
      <c r="J452" t="s">
        <v>52</v>
      </c>
      <c r="K452">
        <v>2</v>
      </c>
      <c r="L452" t="s">
        <v>84</v>
      </c>
      <c r="M452">
        <v>59000</v>
      </c>
      <c r="N452">
        <v>6.2</v>
      </c>
      <c r="O452">
        <v>9.6999999999999993</v>
      </c>
      <c r="P452">
        <v>4.0999999999999996</v>
      </c>
      <c r="Q452">
        <v>3</v>
      </c>
      <c r="S452">
        <v>3</v>
      </c>
      <c r="T452">
        <v>2</v>
      </c>
      <c r="U452" t="s">
        <v>23</v>
      </c>
      <c r="V452">
        <v>2</v>
      </c>
      <c r="W452">
        <v>1</v>
      </c>
    </row>
    <row r="453" spans="1:23" x14ac:dyDescent="0.35">
      <c r="A453" t="s">
        <v>881</v>
      </c>
      <c r="B453" s="6">
        <v>45912</v>
      </c>
      <c r="D453" t="s">
        <v>23</v>
      </c>
      <c r="E453">
        <v>21</v>
      </c>
      <c r="F453" t="s">
        <v>24</v>
      </c>
      <c r="G453" t="s">
        <v>25</v>
      </c>
      <c r="H453" t="s">
        <v>54</v>
      </c>
      <c r="I453" t="s">
        <v>27</v>
      </c>
      <c r="J453" t="s">
        <v>43</v>
      </c>
      <c r="K453">
        <v>1</v>
      </c>
      <c r="L453" t="s">
        <v>84</v>
      </c>
      <c r="M453">
        <v>22000</v>
      </c>
      <c r="N453">
        <v>10.1</v>
      </c>
      <c r="O453">
        <v>5.7</v>
      </c>
      <c r="P453">
        <v>0.3</v>
      </c>
      <c r="Q453">
        <v>0</v>
      </c>
      <c r="R453">
        <v>3</v>
      </c>
      <c r="S453">
        <v>4</v>
      </c>
      <c r="T453">
        <v>1</v>
      </c>
      <c r="U453" t="s">
        <v>23</v>
      </c>
      <c r="V453">
        <v>3</v>
      </c>
      <c r="W453">
        <v>1</v>
      </c>
    </row>
    <row r="454" spans="1:23" x14ac:dyDescent="0.35">
      <c r="A454" t="s">
        <v>1023</v>
      </c>
      <c r="B454" s="6">
        <v>45857</v>
      </c>
      <c r="D454" t="s">
        <v>23</v>
      </c>
      <c r="E454">
        <v>22</v>
      </c>
      <c r="F454" t="s">
        <v>36</v>
      </c>
      <c r="G454" t="s">
        <v>42</v>
      </c>
      <c r="H454" t="s">
        <v>58</v>
      </c>
      <c r="I454" t="s">
        <v>48</v>
      </c>
      <c r="J454" t="s">
        <v>49</v>
      </c>
      <c r="K454">
        <v>1</v>
      </c>
      <c r="L454" t="s">
        <v>84</v>
      </c>
      <c r="M454">
        <v>43000</v>
      </c>
      <c r="N454">
        <v>7.1</v>
      </c>
      <c r="O454">
        <v>3</v>
      </c>
      <c r="P454">
        <v>0.5</v>
      </c>
      <c r="Q454">
        <v>0</v>
      </c>
      <c r="R454">
        <v>3</v>
      </c>
      <c r="S454">
        <v>3</v>
      </c>
      <c r="T454">
        <v>4</v>
      </c>
      <c r="U454" t="s">
        <v>23</v>
      </c>
      <c r="V454">
        <v>3</v>
      </c>
      <c r="W454">
        <v>1</v>
      </c>
    </row>
    <row r="455" spans="1:23" x14ac:dyDescent="0.35">
      <c r="A455" t="s">
        <v>71</v>
      </c>
      <c r="B455" s="6">
        <v>44051</v>
      </c>
      <c r="D455" t="s">
        <v>23</v>
      </c>
      <c r="E455">
        <v>44</v>
      </c>
      <c r="F455" t="s">
        <v>24</v>
      </c>
      <c r="G455" t="s">
        <v>37</v>
      </c>
      <c r="H455" t="s">
        <v>26</v>
      </c>
      <c r="I455" t="s">
        <v>27</v>
      </c>
      <c r="J455" t="s">
        <v>28</v>
      </c>
      <c r="K455">
        <v>3</v>
      </c>
      <c r="L455" t="s">
        <v>40</v>
      </c>
      <c r="M455">
        <v>82000</v>
      </c>
      <c r="N455">
        <v>7.9</v>
      </c>
      <c r="O455">
        <v>13</v>
      </c>
      <c r="P455">
        <v>5.4</v>
      </c>
      <c r="Q455">
        <v>3</v>
      </c>
      <c r="R455">
        <v>4</v>
      </c>
      <c r="S455">
        <v>4</v>
      </c>
      <c r="T455">
        <v>3</v>
      </c>
      <c r="U455" t="s">
        <v>30</v>
      </c>
      <c r="V455">
        <v>3</v>
      </c>
      <c r="W455">
        <v>1</v>
      </c>
    </row>
    <row r="456" spans="1:23" x14ac:dyDescent="0.35">
      <c r="A456" t="s">
        <v>584</v>
      </c>
      <c r="B456" s="6">
        <v>45793</v>
      </c>
      <c r="C456">
        <v>45979</v>
      </c>
      <c r="D456" t="s">
        <v>30</v>
      </c>
      <c r="E456">
        <v>21</v>
      </c>
      <c r="F456" t="s">
        <v>62</v>
      </c>
      <c r="G456" t="s">
        <v>37</v>
      </c>
      <c r="H456" t="s">
        <v>26</v>
      </c>
      <c r="I456" t="s">
        <v>55</v>
      </c>
      <c r="J456" t="s">
        <v>56</v>
      </c>
      <c r="K456">
        <v>1</v>
      </c>
      <c r="M456">
        <v>33000</v>
      </c>
      <c r="N456">
        <v>8.1999999999999993</v>
      </c>
      <c r="O456">
        <v>0.8</v>
      </c>
      <c r="P456">
        <v>0.5</v>
      </c>
      <c r="Q456">
        <v>0</v>
      </c>
      <c r="R456">
        <v>3</v>
      </c>
      <c r="S456">
        <v>3</v>
      </c>
      <c r="T456">
        <v>3</v>
      </c>
      <c r="U456" t="s">
        <v>30</v>
      </c>
      <c r="V456">
        <v>3</v>
      </c>
      <c r="W456">
        <v>1</v>
      </c>
    </row>
    <row r="457" spans="1:23" x14ac:dyDescent="0.35">
      <c r="A457" t="s">
        <v>1070</v>
      </c>
      <c r="B457" s="6">
        <v>45141</v>
      </c>
      <c r="D457" t="s">
        <v>23</v>
      </c>
      <c r="E457">
        <v>32</v>
      </c>
      <c r="F457" t="s">
        <v>62</v>
      </c>
      <c r="G457" t="s">
        <v>37</v>
      </c>
      <c r="H457" t="s">
        <v>54</v>
      </c>
      <c r="I457" t="s">
        <v>38</v>
      </c>
      <c r="J457" t="s">
        <v>139</v>
      </c>
      <c r="K457">
        <v>4</v>
      </c>
      <c r="L457" t="s">
        <v>50</v>
      </c>
      <c r="M457">
        <v>125000</v>
      </c>
      <c r="N457">
        <v>8.1</v>
      </c>
      <c r="O457">
        <v>9.5</v>
      </c>
      <c r="P457">
        <v>2.4</v>
      </c>
      <c r="Q457">
        <v>1.4</v>
      </c>
      <c r="R457">
        <v>3</v>
      </c>
      <c r="S457">
        <v>3</v>
      </c>
      <c r="T457">
        <v>4</v>
      </c>
      <c r="U457" t="s">
        <v>30</v>
      </c>
      <c r="V457">
        <v>4</v>
      </c>
      <c r="W457">
        <v>1</v>
      </c>
    </row>
    <row r="458" spans="1:23" x14ac:dyDescent="0.35">
      <c r="A458" t="s">
        <v>295</v>
      </c>
      <c r="B458" s="6">
        <v>42121</v>
      </c>
      <c r="D458" t="s">
        <v>23</v>
      </c>
      <c r="E458">
        <v>34</v>
      </c>
      <c r="F458" t="s">
        <v>24</v>
      </c>
      <c r="G458" t="s">
        <v>42</v>
      </c>
      <c r="H458" t="s">
        <v>54</v>
      </c>
      <c r="I458" t="s">
        <v>55</v>
      </c>
      <c r="J458" t="s">
        <v>80</v>
      </c>
      <c r="K458">
        <v>3</v>
      </c>
      <c r="L458" t="s">
        <v>34</v>
      </c>
      <c r="M458">
        <v>94000</v>
      </c>
      <c r="N458">
        <v>4.5999999999999996</v>
      </c>
      <c r="O458">
        <v>13.8</v>
      </c>
      <c r="P458">
        <v>10.7</v>
      </c>
      <c r="Q458">
        <v>3.5</v>
      </c>
      <c r="R458">
        <v>3</v>
      </c>
      <c r="S458">
        <v>4</v>
      </c>
      <c r="T458">
        <v>4</v>
      </c>
      <c r="U458" t="s">
        <v>30</v>
      </c>
      <c r="V458">
        <v>2</v>
      </c>
      <c r="W458">
        <v>1</v>
      </c>
    </row>
    <row r="459" spans="1:23" x14ac:dyDescent="0.35">
      <c r="A459" t="s">
        <v>867</v>
      </c>
      <c r="B459" s="6">
        <v>45888</v>
      </c>
      <c r="D459" t="s">
        <v>23</v>
      </c>
      <c r="E459">
        <v>32</v>
      </c>
      <c r="F459" t="s">
        <v>24</v>
      </c>
      <c r="G459" t="s">
        <v>37</v>
      </c>
      <c r="H459" t="s">
        <v>58</v>
      </c>
      <c r="I459" t="s">
        <v>45</v>
      </c>
      <c r="J459" t="s">
        <v>77</v>
      </c>
      <c r="K459">
        <v>3</v>
      </c>
      <c r="L459" t="s">
        <v>84</v>
      </c>
      <c r="M459">
        <v>72000</v>
      </c>
      <c r="N459">
        <v>11.8</v>
      </c>
      <c r="O459">
        <v>3</v>
      </c>
      <c r="P459">
        <v>0.4</v>
      </c>
      <c r="Q459">
        <v>0</v>
      </c>
      <c r="R459">
        <v>3</v>
      </c>
      <c r="S459">
        <v>3</v>
      </c>
      <c r="T459">
        <v>4</v>
      </c>
      <c r="U459" t="s">
        <v>23</v>
      </c>
      <c r="V459">
        <v>4</v>
      </c>
      <c r="W459">
        <v>1</v>
      </c>
    </row>
    <row r="460" spans="1:23" x14ac:dyDescent="0.35">
      <c r="A460" t="s">
        <v>1416</v>
      </c>
      <c r="B460" s="6">
        <v>43575</v>
      </c>
      <c r="D460" t="s">
        <v>23</v>
      </c>
      <c r="E460">
        <v>40</v>
      </c>
      <c r="F460" t="s">
        <v>36</v>
      </c>
      <c r="G460" t="s">
        <v>42</v>
      </c>
      <c r="H460" t="s">
        <v>58</v>
      </c>
      <c r="I460" t="s">
        <v>59</v>
      </c>
      <c r="J460" t="s">
        <v>75</v>
      </c>
      <c r="K460">
        <v>3</v>
      </c>
      <c r="L460" t="s">
        <v>29</v>
      </c>
      <c r="M460">
        <v>78000</v>
      </c>
      <c r="N460">
        <v>6.6</v>
      </c>
      <c r="O460">
        <v>8.6</v>
      </c>
      <c r="P460">
        <v>6.7</v>
      </c>
      <c r="Q460">
        <v>4.5999999999999996</v>
      </c>
      <c r="R460">
        <v>2</v>
      </c>
      <c r="S460">
        <v>3</v>
      </c>
      <c r="T460">
        <v>1</v>
      </c>
      <c r="U460" t="s">
        <v>23</v>
      </c>
      <c r="V460">
        <v>3</v>
      </c>
      <c r="W460">
        <v>1</v>
      </c>
    </row>
    <row r="461" spans="1:23" x14ac:dyDescent="0.35">
      <c r="A461" t="s">
        <v>1077</v>
      </c>
      <c r="B461" s="6">
        <v>45706</v>
      </c>
      <c r="D461" t="s">
        <v>23</v>
      </c>
      <c r="E461">
        <v>25</v>
      </c>
      <c r="F461" t="s">
        <v>62</v>
      </c>
      <c r="G461" t="s">
        <v>37</v>
      </c>
      <c r="H461" t="s">
        <v>54</v>
      </c>
      <c r="I461" t="s">
        <v>59</v>
      </c>
      <c r="J461" t="s">
        <v>86</v>
      </c>
      <c r="K461">
        <v>1</v>
      </c>
      <c r="L461" t="s">
        <v>34</v>
      </c>
      <c r="M461">
        <v>34000</v>
      </c>
      <c r="N461">
        <v>8.9</v>
      </c>
      <c r="O461">
        <v>3.3</v>
      </c>
      <c r="P461">
        <v>0.9</v>
      </c>
      <c r="Q461">
        <v>0</v>
      </c>
      <c r="R461">
        <v>3</v>
      </c>
      <c r="S461">
        <v>2</v>
      </c>
      <c r="T461">
        <v>3</v>
      </c>
      <c r="U461" t="s">
        <v>23</v>
      </c>
      <c r="V461">
        <v>4</v>
      </c>
      <c r="W461">
        <v>1</v>
      </c>
    </row>
    <row r="462" spans="1:23" x14ac:dyDescent="0.35">
      <c r="A462" t="s">
        <v>1344</v>
      </c>
      <c r="B462" s="6">
        <v>43347</v>
      </c>
      <c r="D462" t="s">
        <v>23</v>
      </c>
      <c r="E462">
        <v>32</v>
      </c>
      <c r="F462" t="s">
        <v>62</v>
      </c>
      <c r="G462" t="s">
        <v>37</v>
      </c>
      <c r="H462" t="s">
        <v>32</v>
      </c>
      <c r="I462" t="s">
        <v>48</v>
      </c>
      <c r="J462" t="s">
        <v>201</v>
      </c>
      <c r="K462">
        <v>2</v>
      </c>
      <c r="L462" t="s">
        <v>34</v>
      </c>
      <c r="M462">
        <v>38000</v>
      </c>
      <c r="N462">
        <v>6.8</v>
      </c>
      <c r="O462">
        <v>8.8000000000000007</v>
      </c>
      <c r="P462">
        <v>7.3</v>
      </c>
      <c r="Q462">
        <v>3.8</v>
      </c>
      <c r="R462">
        <v>3</v>
      </c>
      <c r="S462">
        <v>2</v>
      </c>
      <c r="T462">
        <v>3</v>
      </c>
      <c r="U462" t="s">
        <v>30</v>
      </c>
      <c r="V462">
        <v>5</v>
      </c>
      <c r="W462">
        <v>1</v>
      </c>
    </row>
    <row r="463" spans="1:23" x14ac:dyDescent="0.35">
      <c r="A463" t="s">
        <v>1004</v>
      </c>
      <c r="B463" s="6">
        <v>44044</v>
      </c>
      <c r="D463" t="s">
        <v>23</v>
      </c>
      <c r="E463">
        <v>34</v>
      </c>
      <c r="F463" t="s">
        <v>24</v>
      </c>
      <c r="G463" t="s">
        <v>25</v>
      </c>
      <c r="H463" t="s">
        <v>26</v>
      </c>
      <c r="I463" t="s">
        <v>27</v>
      </c>
      <c r="J463" t="s">
        <v>43</v>
      </c>
      <c r="K463">
        <v>2</v>
      </c>
      <c r="L463" t="s">
        <v>50</v>
      </c>
      <c r="M463">
        <v>41000</v>
      </c>
      <c r="N463">
        <v>14.1</v>
      </c>
      <c r="O463">
        <v>6.4</v>
      </c>
      <c r="P463">
        <v>5.4</v>
      </c>
      <c r="Q463">
        <v>4.9000000000000004</v>
      </c>
      <c r="R463">
        <v>3</v>
      </c>
      <c r="S463">
        <v>4</v>
      </c>
      <c r="T463">
        <v>3</v>
      </c>
      <c r="U463" t="s">
        <v>23</v>
      </c>
      <c r="V463">
        <v>3</v>
      </c>
      <c r="W463">
        <v>1</v>
      </c>
    </row>
    <row r="464" spans="1:23" x14ac:dyDescent="0.35">
      <c r="A464" t="s">
        <v>900</v>
      </c>
      <c r="B464" s="6">
        <v>44148</v>
      </c>
      <c r="D464" t="s">
        <v>23</v>
      </c>
      <c r="E464">
        <v>40</v>
      </c>
      <c r="F464" t="s">
        <v>36</v>
      </c>
      <c r="G464" t="s">
        <v>37</v>
      </c>
      <c r="H464" t="s">
        <v>32</v>
      </c>
      <c r="I464" t="s">
        <v>27</v>
      </c>
      <c r="J464" t="s">
        <v>43</v>
      </c>
      <c r="K464">
        <v>3</v>
      </c>
      <c r="L464" t="s">
        <v>34</v>
      </c>
      <c r="M464">
        <v>77000</v>
      </c>
      <c r="N464">
        <v>6.4</v>
      </c>
      <c r="O464">
        <v>8</v>
      </c>
      <c r="P464">
        <v>5.0999999999999996</v>
      </c>
      <c r="Q464">
        <v>3</v>
      </c>
      <c r="R464">
        <v>3</v>
      </c>
      <c r="S464">
        <v>4</v>
      </c>
      <c r="T464">
        <v>1</v>
      </c>
      <c r="U464" t="s">
        <v>23</v>
      </c>
      <c r="V464">
        <v>4</v>
      </c>
      <c r="W464">
        <v>1</v>
      </c>
    </row>
    <row r="465" spans="1:23" x14ac:dyDescent="0.35">
      <c r="A465" t="s">
        <v>190</v>
      </c>
      <c r="B465" s="6">
        <v>45198</v>
      </c>
      <c r="D465" t="s">
        <v>23</v>
      </c>
      <c r="E465">
        <v>25</v>
      </c>
      <c r="F465" t="s">
        <v>24</v>
      </c>
      <c r="G465" t="s">
        <v>37</v>
      </c>
      <c r="H465" t="s">
        <v>32</v>
      </c>
      <c r="I465" t="s">
        <v>38</v>
      </c>
      <c r="J465" t="s">
        <v>118</v>
      </c>
      <c r="K465">
        <v>1</v>
      </c>
      <c r="L465" t="s">
        <v>50</v>
      </c>
      <c r="M465">
        <v>46000</v>
      </c>
      <c r="N465">
        <v>13</v>
      </c>
      <c r="O465">
        <v>8.3000000000000007</v>
      </c>
      <c r="P465">
        <v>2.2999999999999998</v>
      </c>
      <c r="Q465">
        <v>1</v>
      </c>
      <c r="R465">
        <v>3</v>
      </c>
      <c r="S465">
        <v>4</v>
      </c>
      <c r="T465">
        <v>3</v>
      </c>
      <c r="U465" t="s">
        <v>23</v>
      </c>
      <c r="V465">
        <v>5</v>
      </c>
      <c r="W465">
        <v>1</v>
      </c>
    </row>
    <row r="466" spans="1:23" x14ac:dyDescent="0.35">
      <c r="A466" t="s">
        <v>923</v>
      </c>
      <c r="B466" s="6">
        <v>45459</v>
      </c>
      <c r="C466">
        <v>45745</v>
      </c>
      <c r="D466" t="s">
        <v>30</v>
      </c>
      <c r="E466">
        <v>43</v>
      </c>
      <c r="F466" t="s">
        <v>62</v>
      </c>
      <c r="G466" t="s">
        <v>42</v>
      </c>
      <c r="H466" t="s">
        <v>58</v>
      </c>
      <c r="I466" t="s">
        <v>45</v>
      </c>
      <c r="J466" t="s">
        <v>77</v>
      </c>
      <c r="K466">
        <v>4</v>
      </c>
      <c r="L466" t="s">
        <v>66</v>
      </c>
      <c r="M466">
        <v>101000</v>
      </c>
      <c r="N466">
        <v>10.199999999999999</v>
      </c>
      <c r="O466">
        <v>6</v>
      </c>
      <c r="P466">
        <v>0.8</v>
      </c>
      <c r="Q466">
        <v>0</v>
      </c>
      <c r="R466">
        <v>1</v>
      </c>
      <c r="S466">
        <v>3</v>
      </c>
      <c r="T466">
        <v>3</v>
      </c>
      <c r="U466" t="s">
        <v>23</v>
      </c>
      <c r="V466">
        <v>4</v>
      </c>
      <c r="W466">
        <v>1</v>
      </c>
    </row>
    <row r="467" spans="1:23" x14ac:dyDescent="0.35">
      <c r="A467" t="s">
        <v>933</v>
      </c>
      <c r="B467" s="6">
        <v>41797</v>
      </c>
      <c r="C467">
        <v>45727</v>
      </c>
      <c r="D467" t="s">
        <v>30</v>
      </c>
      <c r="E467">
        <v>32</v>
      </c>
      <c r="F467" t="s">
        <v>24</v>
      </c>
      <c r="G467" t="s">
        <v>42</v>
      </c>
      <c r="H467" t="s">
        <v>32</v>
      </c>
      <c r="I467" t="s">
        <v>59</v>
      </c>
      <c r="J467" t="s">
        <v>150</v>
      </c>
      <c r="K467">
        <v>3</v>
      </c>
      <c r="L467" t="s">
        <v>29</v>
      </c>
      <c r="M467">
        <v>82000</v>
      </c>
      <c r="N467">
        <v>12.2</v>
      </c>
      <c r="O467">
        <v>10.9</v>
      </c>
      <c r="P467">
        <v>10.8</v>
      </c>
      <c r="Q467">
        <v>0.7</v>
      </c>
      <c r="R467">
        <v>4</v>
      </c>
      <c r="S467">
        <v>1</v>
      </c>
      <c r="T467">
        <v>4</v>
      </c>
      <c r="U467" t="s">
        <v>23</v>
      </c>
      <c r="V467">
        <v>4</v>
      </c>
      <c r="W467">
        <v>1</v>
      </c>
    </row>
    <row r="468" spans="1:23" x14ac:dyDescent="0.35">
      <c r="A468" t="s">
        <v>607</v>
      </c>
      <c r="B468" s="6">
        <v>42246</v>
      </c>
      <c r="D468" t="s">
        <v>23</v>
      </c>
      <c r="E468">
        <v>42</v>
      </c>
      <c r="F468" t="s">
        <v>36</v>
      </c>
      <c r="G468" t="s">
        <v>42</v>
      </c>
      <c r="H468" t="s">
        <v>54</v>
      </c>
      <c r="I468" t="s">
        <v>55</v>
      </c>
      <c r="J468" t="s">
        <v>80</v>
      </c>
      <c r="K468">
        <v>4</v>
      </c>
      <c r="L468" t="s">
        <v>50</v>
      </c>
      <c r="M468">
        <v>114000</v>
      </c>
      <c r="N468">
        <v>13.1</v>
      </c>
      <c r="O468">
        <v>11.5</v>
      </c>
      <c r="P468">
        <v>10.3</v>
      </c>
      <c r="Q468">
        <v>2.5</v>
      </c>
      <c r="R468">
        <v>2</v>
      </c>
      <c r="S468">
        <v>2</v>
      </c>
      <c r="T468">
        <v>4</v>
      </c>
      <c r="U468" t="s">
        <v>23</v>
      </c>
      <c r="V468">
        <v>4</v>
      </c>
      <c r="W468">
        <v>1</v>
      </c>
    </row>
    <row r="469" spans="1:23" x14ac:dyDescent="0.35">
      <c r="A469" t="s">
        <v>57</v>
      </c>
      <c r="B469" s="6">
        <v>44908</v>
      </c>
      <c r="D469" t="s">
        <v>23</v>
      </c>
      <c r="E469">
        <v>25</v>
      </c>
      <c r="F469" t="s">
        <v>36</v>
      </c>
      <c r="G469" t="s">
        <v>25</v>
      </c>
      <c r="H469" t="s">
        <v>58</v>
      </c>
      <c r="I469" t="s">
        <v>59</v>
      </c>
      <c r="J469" t="s">
        <v>60</v>
      </c>
      <c r="K469">
        <v>1</v>
      </c>
      <c r="L469" t="s">
        <v>50</v>
      </c>
      <c r="M469">
        <v>29000</v>
      </c>
      <c r="N469">
        <v>4.5999999999999996</v>
      </c>
      <c r="O469">
        <v>3.5</v>
      </c>
      <c r="P469">
        <v>3</v>
      </c>
      <c r="Q469">
        <v>0</v>
      </c>
      <c r="R469">
        <v>3</v>
      </c>
      <c r="S469">
        <v>3</v>
      </c>
      <c r="T469">
        <v>3</v>
      </c>
      <c r="U469" t="s">
        <v>30</v>
      </c>
      <c r="V469">
        <v>5</v>
      </c>
      <c r="W469">
        <v>1</v>
      </c>
    </row>
    <row r="470" spans="1:23" x14ac:dyDescent="0.35">
      <c r="A470" t="s">
        <v>904</v>
      </c>
      <c r="B470" s="6">
        <v>43603</v>
      </c>
      <c r="D470" t="s">
        <v>23</v>
      </c>
      <c r="E470">
        <v>31</v>
      </c>
      <c r="F470" t="s">
        <v>24</v>
      </c>
      <c r="G470" t="s">
        <v>42</v>
      </c>
      <c r="H470" t="s">
        <v>54</v>
      </c>
      <c r="I470" t="s">
        <v>48</v>
      </c>
      <c r="J470" t="s">
        <v>201</v>
      </c>
      <c r="K470">
        <v>3</v>
      </c>
      <c r="L470" t="s">
        <v>34</v>
      </c>
      <c r="M470">
        <v>87000</v>
      </c>
      <c r="N470">
        <v>14.2</v>
      </c>
      <c r="O470">
        <v>10.5</v>
      </c>
      <c r="P470">
        <v>6.6</v>
      </c>
      <c r="Q470">
        <v>4.3</v>
      </c>
      <c r="R470">
        <v>3</v>
      </c>
      <c r="S470">
        <v>3</v>
      </c>
      <c r="T470">
        <v>3</v>
      </c>
      <c r="U470" t="s">
        <v>23</v>
      </c>
      <c r="V470">
        <v>3</v>
      </c>
      <c r="W470">
        <v>1</v>
      </c>
    </row>
    <row r="471" spans="1:23" x14ac:dyDescent="0.35">
      <c r="A471" t="s">
        <v>860</v>
      </c>
      <c r="B471" s="6">
        <v>43860</v>
      </c>
      <c r="D471" t="s">
        <v>23</v>
      </c>
      <c r="E471">
        <v>29</v>
      </c>
      <c r="F471" t="s">
        <v>62</v>
      </c>
      <c r="G471" t="s">
        <v>42</v>
      </c>
      <c r="H471" t="s">
        <v>54</v>
      </c>
      <c r="I471" t="s">
        <v>38</v>
      </c>
      <c r="J471" t="s">
        <v>52</v>
      </c>
      <c r="K471">
        <v>3</v>
      </c>
      <c r="L471" t="s">
        <v>40</v>
      </c>
      <c r="M471">
        <v>85000</v>
      </c>
      <c r="N471">
        <v>2.2999999999999998</v>
      </c>
      <c r="O471">
        <v>11.7</v>
      </c>
      <c r="P471">
        <v>5.9</v>
      </c>
      <c r="Q471">
        <v>2.8</v>
      </c>
      <c r="R471">
        <v>3</v>
      </c>
      <c r="S471">
        <v>3</v>
      </c>
      <c r="T471">
        <v>3</v>
      </c>
      <c r="U471" t="s">
        <v>23</v>
      </c>
      <c r="V471">
        <v>4</v>
      </c>
      <c r="W471">
        <v>1</v>
      </c>
    </row>
    <row r="472" spans="1:23" x14ac:dyDescent="0.35">
      <c r="A472" t="s">
        <v>1259</v>
      </c>
      <c r="B472" s="6">
        <v>42353</v>
      </c>
      <c r="D472" t="s">
        <v>23</v>
      </c>
      <c r="E472">
        <v>40</v>
      </c>
      <c r="F472" t="s">
        <v>62</v>
      </c>
      <c r="G472" t="s">
        <v>42</v>
      </c>
      <c r="H472" t="s">
        <v>32</v>
      </c>
      <c r="I472" t="s">
        <v>68</v>
      </c>
      <c r="J472" t="s">
        <v>121</v>
      </c>
      <c r="K472">
        <v>5</v>
      </c>
      <c r="L472" t="s">
        <v>40</v>
      </c>
      <c r="M472">
        <v>168000</v>
      </c>
      <c r="N472">
        <v>4.0999999999999996</v>
      </c>
      <c r="O472">
        <v>16.399999999999999</v>
      </c>
      <c r="P472">
        <v>10</v>
      </c>
      <c r="Q472">
        <v>5.0999999999999996</v>
      </c>
      <c r="R472">
        <v>4</v>
      </c>
      <c r="S472">
        <v>3</v>
      </c>
      <c r="T472">
        <v>3</v>
      </c>
      <c r="U472" t="s">
        <v>23</v>
      </c>
      <c r="V472">
        <v>4</v>
      </c>
      <c r="W472">
        <v>1</v>
      </c>
    </row>
    <row r="473" spans="1:23" x14ac:dyDescent="0.35">
      <c r="A473" t="s">
        <v>396</v>
      </c>
      <c r="B473" s="6">
        <v>45482</v>
      </c>
      <c r="D473" t="s">
        <v>23</v>
      </c>
      <c r="E473">
        <v>33</v>
      </c>
      <c r="F473" t="s">
        <v>24</v>
      </c>
      <c r="G473" t="s">
        <v>37</v>
      </c>
      <c r="H473" t="s">
        <v>26</v>
      </c>
      <c r="I473" t="s">
        <v>55</v>
      </c>
      <c r="J473" t="s">
        <v>179</v>
      </c>
      <c r="K473">
        <v>3</v>
      </c>
      <c r="L473" t="s">
        <v>50</v>
      </c>
      <c r="M473">
        <v>92000</v>
      </c>
      <c r="N473">
        <v>5.8</v>
      </c>
      <c r="O473">
        <v>3.2</v>
      </c>
      <c r="P473">
        <v>1.5</v>
      </c>
      <c r="Q473">
        <v>0.1</v>
      </c>
      <c r="R473">
        <v>4</v>
      </c>
      <c r="S473">
        <v>1</v>
      </c>
      <c r="T473">
        <v>4</v>
      </c>
      <c r="U473" t="s">
        <v>23</v>
      </c>
      <c r="V473">
        <v>3</v>
      </c>
      <c r="W473">
        <v>1</v>
      </c>
    </row>
    <row r="474" spans="1:23" x14ac:dyDescent="0.35">
      <c r="A474" t="s">
        <v>396</v>
      </c>
      <c r="B474" s="6">
        <v>45482</v>
      </c>
      <c r="D474" t="s">
        <v>23</v>
      </c>
      <c r="E474">
        <v>33</v>
      </c>
      <c r="F474" t="s">
        <v>24</v>
      </c>
      <c r="G474" t="s">
        <v>37</v>
      </c>
      <c r="H474" t="s">
        <v>26</v>
      </c>
      <c r="I474" t="s">
        <v>55</v>
      </c>
      <c r="J474" t="s">
        <v>179</v>
      </c>
      <c r="K474">
        <v>3</v>
      </c>
      <c r="L474" t="s">
        <v>50</v>
      </c>
      <c r="M474">
        <v>92000</v>
      </c>
      <c r="N474">
        <v>5.8</v>
      </c>
      <c r="O474">
        <v>3.2</v>
      </c>
      <c r="P474">
        <v>1.5</v>
      </c>
      <c r="Q474">
        <v>0.1</v>
      </c>
      <c r="R474">
        <v>4</v>
      </c>
      <c r="S474">
        <v>1</v>
      </c>
      <c r="T474">
        <v>4</v>
      </c>
      <c r="U474" t="s">
        <v>23</v>
      </c>
      <c r="V474">
        <v>3</v>
      </c>
      <c r="W474">
        <v>2</v>
      </c>
    </row>
    <row r="475" spans="1:23" x14ac:dyDescent="0.35">
      <c r="A475" t="s">
        <v>536</v>
      </c>
      <c r="B475" s="6">
        <v>45110</v>
      </c>
      <c r="D475" t="s">
        <v>23</v>
      </c>
      <c r="E475">
        <v>30</v>
      </c>
      <c r="F475" t="s">
        <v>62</v>
      </c>
      <c r="G475" t="s">
        <v>25</v>
      </c>
      <c r="H475" t="s">
        <v>26</v>
      </c>
      <c r="I475" t="s">
        <v>68</v>
      </c>
      <c r="J475" t="s">
        <v>121</v>
      </c>
      <c r="K475">
        <v>2</v>
      </c>
      <c r="L475" t="s">
        <v>29</v>
      </c>
      <c r="M475">
        <v>53000</v>
      </c>
      <c r="N475">
        <v>11.2</v>
      </c>
      <c r="O475">
        <v>8.8000000000000007</v>
      </c>
      <c r="P475">
        <v>2.5</v>
      </c>
      <c r="Q475">
        <v>1.9</v>
      </c>
      <c r="R475">
        <v>3</v>
      </c>
      <c r="S475">
        <v>4</v>
      </c>
      <c r="T475">
        <v>3</v>
      </c>
      <c r="U475" t="s">
        <v>23</v>
      </c>
      <c r="V475">
        <v>5</v>
      </c>
      <c r="W475">
        <v>1</v>
      </c>
    </row>
    <row r="476" spans="1:23" x14ac:dyDescent="0.35">
      <c r="A476" t="s">
        <v>876</v>
      </c>
      <c r="B476" s="6">
        <v>42502</v>
      </c>
      <c r="D476" t="s">
        <v>23</v>
      </c>
      <c r="E476">
        <v>30</v>
      </c>
      <c r="F476" t="s">
        <v>24</v>
      </c>
      <c r="G476" t="s">
        <v>25</v>
      </c>
      <c r="H476" t="s">
        <v>26</v>
      </c>
      <c r="I476" t="s">
        <v>38</v>
      </c>
      <c r="J476" t="s">
        <v>52</v>
      </c>
      <c r="K476">
        <v>3</v>
      </c>
      <c r="L476" t="s">
        <v>40</v>
      </c>
      <c r="M476">
        <v>85000</v>
      </c>
      <c r="N476">
        <v>8.6</v>
      </c>
      <c r="O476">
        <v>14.5</v>
      </c>
      <c r="P476">
        <v>9.6</v>
      </c>
      <c r="Q476">
        <v>5.2</v>
      </c>
      <c r="R476">
        <v>4</v>
      </c>
      <c r="S476">
        <v>2</v>
      </c>
      <c r="T476">
        <v>3</v>
      </c>
      <c r="U476" t="s">
        <v>23</v>
      </c>
      <c r="V476">
        <v>3</v>
      </c>
      <c r="W476">
        <v>1</v>
      </c>
    </row>
    <row r="477" spans="1:23" x14ac:dyDescent="0.35">
      <c r="A477" t="s">
        <v>625</v>
      </c>
      <c r="B477" s="6">
        <v>43145</v>
      </c>
      <c r="D477" t="s">
        <v>23</v>
      </c>
      <c r="E477">
        <v>31</v>
      </c>
      <c r="F477" t="s">
        <v>36</v>
      </c>
      <c r="G477" t="s">
        <v>37</v>
      </c>
      <c r="H477" t="s">
        <v>32</v>
      </c>
      <c r="I477" t="s">
        <v>68</v>
      </c>
      <c r="J477" t="s">
        <v>109</v>
      </c>
      <c r="K477">
        <v>3</v>
      </c>
      <c r="L477" t="s">
        <v>34</v>
      </c>
      <c r="M477">
        <v>91000</v>
      </c>
      <c r="N477">
        <v>11.2</v>
      </c>
      <c r="O477">
        <v>9.1</v>
      </c>
      <c r="P477">
        <v>7.9</v>
      </c>
      <c r="Q477">
        <v>2.2000000000000002</v>
      </c>
      <c r="R477">
        <v>3</v>
      </c>
      <c r="S477">
        <v>4</v>
      </c>
      <c r="T477">
        <v>2</v>
      </c>
      <c r="U477" t="s">
        <v>23</v>
      </c>
      <c r="V477">
        <v>3</v>
      </c>
      <c r="W477">
        <v>1</v>
      </c>
    </row>
    <row r="478" spans="1:23" x14ac:dyDescent="0.35">
      <c r="A478" t="s">
        <v>1479</v>
      </c>
      <c r="B478" s="6">
        <v>45549</v>
      </c>
      <c r="D478" t="s">
        <v>23</v>
      </c>
      <c r="E478">
        <v>38</v>
      </c>
      <c r="F478" t="s">
        <v>36</v>
      </c>
      <c r="G478" t="s">
        <v>42</v>
      </c>
      <c r="H478" t="s">
        <v>54</v>
      </c>
      <c r="I478" t="s">
        <v>68</v>
      </c>
      <c r="J478" t="s">
        <v>69</v>
      </c>
      <c r="K478">
        <v>3</v>
      </c>
      <c r="L478" t="s">
        <v>34</v>
      </c>
      <c r="M478">
        <v>74000</v>
      </c>
      <c r="N478">
        <v>13.7</v>
      </c>
      <c r="O478">
        <v>6.6</v>
      </c>
      <c r="P478">
        <v>1.3</v>
      </c>
      <c r="Q478">
        <v>0.2</v>
      </c>
      <c r="R478">
        <v>4</v>
      </c>
      <c r="S478">
        <v>4</v>
      </c>
      <c r="T478">
        <v>3</v>
      </c>
      <c r="U478" t="s">
        <v>23</v>
      </c>
      <c r="V478">
        <v>3</v>
      </c>
      <c r="W478">
        <v>1</v>
      </c>
    </row>
    <row r="479" spans="1:23" x14ac:dyDescent="0.35">
      <c r="A479" t="s">
        <v>589</v>
      </c>
      <c r="B479" s="6">
        <v>44022</v>
      </c>
      <c r="D479" t="s">
        <v>23</v>
      </c>
      <c r="E479">
        <v>32</v>
      </c>
      <c r="F479" t="s">
        <v>36</v>
      </c>
      <c r="G479" t="s">
        <v>37</v>
      </c>
      <c r="H479" t="s">
        <v>32</v>
      </c>
      <c r="I479" t="s">
        <v>59</v>
      </c>
      <c r="J479" t="s">
        <v>150</v>
      </c>
      <c r="K479">
        <v>4</v>
      </c>
      <c r="L479" t="s">
        <v>66</v>
      </c>
      <c r="M479">
        <v>112000</v>
      </c>
      <c r="N479">
        <v>2.7</v>
      </c>
      <c r="O479">
        <v>6</v>
      </c>
      <c r="P479">
        <v>5.5</v>
      </c>
      <c r="Q479">
        <v>1.9</v>
      </c>
      <c r="R479">
        <v>3</v>
      </c>
      <c r="S479">
        <v>3</v>
      </c>
      <c r="T479">
        <v>4</v>
      </c>
      <c r="U479" t="s">
        <v>23</v>
      </c>
      <c r="V479">
        <v>3</v>
      </c>
      <c r="W479">
        <v>1</v>
      </c>
    </row>
    <row r="480" spans="1:23" x14ac:dyDescent="0.35">
      <c r="A480" t="s">
        <v>872</v>
      </c>
      <c r="B480" s="6">
        <v>45193</v>
      </c>
      <c r="D480" t="s">
        <v>23</v>
      </c>
      <c r="E480">
        <v>25</v>
      </c>
      <c r="F480" t="s">
        <v>62</v>
      </c>
      <c r="G480" t="s">
        <v>37</v>
      </c>
      <c r="H480" t="s">
        <v>54</v>
      </c>
      <c r="I480" t="s">
        <v>38</v>
      </c>
      <c r="J480" t="s">
        <v>39</v>
      </c>
      <c r="K480">
        <v>1</v>
      </c>
      <c r="L480" t="s">
        <v>34</v>
      </c>
      <c r="M480">
        <v>39000</v>
      </c>
      <c r="N480">
        <v>15.9</v>
      </c>
      <c r="O480">
        <v>8</v>
      </c>
      <c r="P480">
        <v>2.2999999999999998</v>
      </c>
      <c r="Q480">
        <v>0.7</v>
      </c>
      <c r="R480">
        <v>3</v>
      </c>
      <c r="S480">
        <v>3</v>
      </c>
      <c r="T480">
        <v>4</v>
      </c>
      <c r="U480" t="s">
        <v>23</v>
      </c>
      <c r="V480">
        <v>5</v>
      </c>
      <c r="W480">
        <v>1</v>
      </c>
    </row>
    <row r="481" spans="1:23" x14ac:dyDescent="0.35">
      <c r="A481" t="s">
        <v>326</v>
      </c>
      <c r="B481" s="6">
        <v>43245</v>
      </c>
      <c r="D481" t="s">
        <v>23</v>
      </c>
      <c r="E481">
        <v>37</v>
      </c>
      <c r="F481" t="s">
        <v>62</v>
      </c>
      <c r="G481" t="s">
        <v>42</v>
      </c>
      <c r="H481" t="s">
        <v>54</v>
      </c>
      <c r="I481" t="s">
        <v>45</v>
      </c>
      <c r="J481" t="s">
        <v>97</v>
      </c>
      <c r="K481">
        <v>4</v>
      </c>
      <c r="L481" t="s">
        <v>29</v>
      </c>
      <c r="M481">
        <v>108000</v>
      </c>
      <c r="N481">
        <v>1.8</v>
      </c>
      <c r="O481">
        <v>14.1</v>
      </c>
      <c r="P481">
        <v>7.6</v>
      </c>
      <c r="Q481">
        <v>3.9</v>
      </c>
      <c r="R481">
        <v>3</v>
      </c>
      <c r="S481">
        <v>4</v>
      </c>
      <c r="T481">
        <v>4</v>
      </c>
      <c r="U481" t="s">
        <v>23</v>
      </c>
      <c r="V481">
        <v>2</v>
      </c>
      <c r="W481">
        <v>1</v>
      </c>
    </row>
    <row r="482" spans="1:23" x14ac:dyDescent="0.35">
      <c r="A482" t="s">
        <v>1360</v>
      </c>
      <c r="B482" s="6">
        <v>44639</v>
      </c>
      <c r="D482" t="s">
        <v>23</v>
      </c>
      <c r="E482">
        <v>27</v>
      </c>
      <c r="F482" t="s">
        <v>62</v>
      </c>
      <c r="G482" t="s">
        <v>25</v>
      </c>
      <c r="H482" t="s">
        <v>58</v>
      </c>
      <c r="I482" t="s">
        <v>45</v>
      </c>
      <c r="J482" t="s">
        <v>97</v>
      </c>
      <c r="K482">
        <v>1</v>
      </c>
      <c r="L482" t="s">
        <v>40</v>
      </c>
      <c r="M482">
        <v>26000</v>
      </c>
      <c r="N482">
        <v>8.3000000000000007</v>
      </c>
      <c r="O482">
        <v>6.3</v>
      </c>
      <c r="P482">
        <v>3.8</v>
      </c>
      <c r="Q482">
        <v>1.3</v>
      </c>
      <c r="R482">
        <v>2</v>
      </c>
      <c r="S482">
        <v>3</v>
      </c>
      <c r="T482">
        <v>1</v>
      </c>
      <c r="U482" t="s">
        <v>23</v>
      </c>
      <c r="V482">
        <v>5</v>
      </c>
      <c r="W482">
        <v>1</v>
      </c>
    </row>
    <row r="483" spans="1:23" x14ac:dyDescent="0.35">
      <c r="A483" t="s">
        <v>447</v>
      </c>
      <c r="B483" s="6">
        <v>45727</v>
      </c>
      <c r="C483">
        <v>45882</v>
      </c>
      <c r="D483" t="s">
        <v>30</v>
      </c>
      <c r="E483">
        <v>21</v>
      </c>
      <c r="F483" t="s">
        <v>36</v>
      </c>
      <c r="G483" t="s">
        <v>42</v>
      </c>
      <c r="H483" t="s">
        <v>26</v>
      </c>
      <c r="I483" t="s">
        <v>59</v>
      </c>
      <c r="J483" t="s">
        <v>150</v>
      </c>
      <c r="K483">
        <v>1</v>
      </c>
      <c r="L483" t="s">
        <v>34</v>
      </c>
      <c r="M483">
        <v>40000</v>
      </c>
      <c r="N483">
        <v>4.7</v>
      </c>
      <c r="O483">
        <v>2.5</v>
      </c>
      <c r="P483">
        <v>0.4</v>
      </c>
      <c r="Q483">
        <v>0</v>
      </c>
      <c r="R483">
        <v>2</v>
      </c>
      <c r="S483">
        <v>2</v>
      </c>
      <c r="T483">
        <v>3</v>
      </c>
      <c r="U483" t="s">
        <v>23</v>
      </c>
      <c r="V483">
        <v>5</v>
      </c>
      <c r="W483">
        <v>1</v>
      </c>
    </row>
    <row r="484" spans="1:23" x14ac:dyDescent="0.35">
      <c r="A484" t="s">
        <v>213</v>
      </c>
      <c r="B484" s="6">
        <v>41687</v>
      </c>
      <c r="D484" t="s">
        <v>23</v>
      </c>
      <c r="E484">
        <v>48</v>
      </c>
      <c r="F484" t="s">
        <v>62</v>
      </c>
      <c r="G484" t="s">
        <v>25</v>
      </c>
      <c r="H484" t="s">
        <v>32</v>
      </c>
      <c r="I484" t="s">
        <v>68</v>
      </c>
      <c r="J484" t="s">
        <v>109</v>
      </c>
      <c r="K484">
        <v>4</v>
      </c>
      <c r="L484" t="s">
        <v>29</v>
      </c>
      <c r="M484">
        <v>102000</v>
      </c>
      <c r="N484">
        <v>0</v>
      </c>
      <c r="O484">
        <v>16.100000000000001</v>
      </c>
      <c r="P484">
        <v>11.9</v>
      </c>
      <c r="Q484">
        <v>3.6</v>
      </c>
      <c r="R484">
        <v>4</v>
      </c>
      <c r="S484">
        <v>3</v>
      </c>
      <c r="T484">
        <v>3</v>
      </c>
      <c r="U484" t="s">
        <v>23</v>
      </c>
      <c r="V484">
        <v>4</v>
      </c>
      <c r="W484">
        <v>1</v>
      </c>
    </row>
    <row r="485" spans="1:23" x14ac:dyDescent="0.35">
      <c r="A485" t="s">
        <v>432</v>
      </c>
      <c r="B485" s="6">
        <v>43706</v>
      </c>
      <c r="D485" t="s">
        <v>23</v>
      </c>
      <c r="E485">
        <v>41</v>
      </c>
      <c r="F485" t="s">
        <v>24</v>
      </c>
      <c r="G485" t="s">
        <v>42</v>
      </c>
      <c r="H485" t="s">
        <v>32</v>
      </c>
      <c r="I485" t="s">
        <v>48</v>
      </c>
      <c r="J485" t="s">
        <v>49</v>
      </c>
      <c r="K485">
        <v>2</v>
      </c>
      <c r="L485" t="s">
        <v>34</v>
      </c>
      <c r="M485">
        <v>73000</v>
      </c>
      <c r="N485">
        <v>4.0999999999999996</v>
      </c>
      <c r="O485">
        <v>7.5</v>
      </c>
      <c r="P485">
        <v>6.3</v>
      </c>
      <c r="Q485">
        <v>2.6</v>
      </c>
      <c r="R485">
        <v>4</v>
      </c>
      <c r="S485">
        <v>3</v>
      </c>
      <c r="T485">
        <v>2</v>
      </c>
      <c r="U485" t="s">
        <v>30</v>
      </c>
      <c r="V485">
        <v>3</v>
      </c>
      <c r="W485">
        <v>1</v>
      </c>
    </row>
    <row r="486" spans="1:23" x14ac:dyDescent="0.35">
      <c r="A486" t="s">
        <v>687</v>
      </c>
      <c r="B486" s="6">
        <v>44486</v>
      </c>
      <c r="D486" t="s">
        <v>23</v>
      </c>
      <c r="E486">
        <v>30</v>
      </c>
      <c r="F486" t="s">
        <v>62</v>
      </c>
      <c r="G486" t="s">
        <v>42</v>
      </c>
      <c r="H486" t="s">
        <v>32</v>
      </c>
      <c r="I486" t="s">
        <v>38</v>
      </c>
      <c r="J486" t="s">
        <v>39</v>
      </c>
      <c r="K486">
        <v>3</v>
      </c>
      <c r="L486" t="s">
        <v>40</v>
      </c>
      <c r="M486">
        <v>85000</v>
      </c>
      <c r="N486">
        <v>19.600000000000001</v>
      </c>
      <c r="O486">
        <v>8.9</v>
      </c>
      <c r="P486">
        <v>4.2</v>
      </c>
      <c r="Q486">
        <v>2.7</v>
      </c>
      <c r="R486">
        <v>4</v>
      </c>
      <c r="S486">
        <v>4</v>
      </c>
      <c r="T486">
        <v>3</v>
      </c>
      <c r="U486" t="s">
        <v>23</v>
      </c>
      <c r="V486">
        <v>5</v>
      </c>
      <c r="W486">
        <v>1</v>
      </c>
    </row>
    <row r="487" spans="1:23" x14ac:dyDescent="0.35">
      <c r="A487" t="s">
        <v>1407</v>
      </c>
      <c r="B487" s="6">
        <v>43957</v>
      </c>
      <c r="D487" t="s">
        <v>23</v>
      </c>
      <c r="E487">
        <v>35</v>
      </c>
      <c r="F487" t="s">
        <v>24</v>
      </c>
      <c r="G487" t="s">
        <v>25</v>
      </c>
      <c r="H487" t="s">
        <v>54</v>
      </c>
      <c r="I487" t="s">
        <v>27</v>
      </c>
      <c r="J487" t="s">
        <v>95</v>
      </c>
      <c r="K487">
        <v>3</v>
      </c>
      <c r="L487" t="s">
        <v>50</v>
      </c>
      <c r="M487">
        <v>78000</v>
      </c>
      <c r="N487">
        <v>13.3</v>
      </c>
      <c r="O487">
        <v>11.2</v>
      </c>
      <c r="P487">
        <v>5.7</v>
      </c>
      <c r="Q487">
        <v>2.6</v>
      </c>
      <c r="R487">
        <v>3</v>
      </c>
      <c r="S487">
        <v>1</v>
      </c>
      <c r="T487">
        <v>2</v>
      </c>
      <c r="U487" t="s">
        <v>23</v>
      </c>
      <c r="V487">
        <v>4</v>
      </c>
      <c r="W487">
        <v>1</v>
      </c>
    </row>
    <row r="488" spans="1:23" x14ac:dyDescent="0.35">
      <c r="A488" t="s">
        <v>89</v>
      </c>
      <c r="B488" s="6">
        <v>45741</v>
      </c>
      <c r="D488" t="s">
        <v>23</v>
      </c>
      <c r="E488">
        <v>35</v>
      </c>
      <c r="F488" t="s">
        <v>24</v>
      </c>
      <c r="G488" t="s">
        <v>42</v>
      </c>
      <c r="H488" t="s">
        <v>58</v>
      </c>
      <c r="I488" t="s">
        <v>38</v>
      </c>
      <c r="J488" t="s">
        <v>39</v>
      </c>
      <c r="K488">
        <v>3</v>
      </c>
      <c r="L488" t="s">
        <v>40</v>
      </c>
      <c r="M488">
        <v>83000</v>
      </c>
      <c r="N488">
        <v>10.1</v>
      </c>
      <c r="O488">
        <v>3.2</v>
      </c>
      <c r="P488">
        <v>0.8</v>
      </c>
      <c r="Q488">
        <v>0</v>
      </c>
      <c r="R488">
        <v>3</v>
      </c>
      <c r="S488">
        <v>4</v>
      </c>
      <c r="T488">
        <v>2</v>
      </c>
      <c r="U488" t="s">
        <v>30</v>
      </c>
      <c r="V488">
        <v>4</v>
      </c>
      <c r="W488">
        <v>1</v>
      </c>
    </row>
    <row r="489" spans="1:23" x14ac:dyDescent="0.35">
      <c r="A489" t="s">
        <v>1345</v>
      </c>
      <c r="B489" s="6">
        <v>43573</v>
      </c>
      <c r="D489" t="s">
        <v>23</v>
      </c>
      <c r="E489">
        <v>37</v>
      </c>
      <c r="F489" t="s">
        <v>62</v>
      </c>
      <c r="G489" t="s">
        <v>37</v>
      </c>
      <c r="H489" t="s">
        <v>32</v>
      </c>
      <c r="I489" t="s">
        <v>55</v>
      </c>
      <c r="J489" t="s">
        <v>80</v>
      </c>
      <c r="K489">
        <v>1</v>
      </c>
      <c r="L489" t="s">
        <v>66</v>
      </c>
      <c r="M489">
        <v>36000</v>
      </c>
      <c r="N489">
        <v>10.5</v>
      </c>
      <c r="O489">
        <v>9.1999999999999993</v>
      </c>
      <c r="P489">
        <v>6.7</v>
      </c>
      <c r="Q489">
        <v>2.7</v>
      </c>
      <c r="R489">
        <v>1</v>
      </c>
      <c r="S489">
        <v>3</v>
      </c>
      <c r="T489">
        <v>3</v>
      </c>
      <c r="U489" t="s">
        <v>30</v>
      </c>
      <c r="V489">
        <v>4</v>
      </c>
      <c r="W489">
        <v>1</v>
      </c>
    </row>
    <row r="490" spans="1:23" x14ac:dyDescent="0.35">
      <c r="A490" t="s">
        <v>1073</v>
      </c>
      <c r="B490" s="6">
        <v>43062</v>
      </c>
      <c r="C490">
        <v>45977</v>
      </c>
      <c r="D490" t="s">
        <v>30</v>
      </c>
      <c r="E490">
        <v>41</v>
      </c>
      <c r="F490" t="s">
        <v>62</v>
      </c>
      <c r="G490" t="s">
        <v>42</v>
      </c>
      <c r="H490" t="s">
        <v>58</v>
      </c>
      <c r="I490" t="s">
        <v>45</v>
      </c>
      <c r="J490" t="s">
        <v>46</v>
      </c>
      <c r="K490">
        <v>3</v>
      </c>
      <c r="L490" t="s">
        <v>29</v>
      </c>
      <c r="M490">
        <v>72000</v>
      </c>
      <c r="N490">
        <v>1.9</v>
      </c>
      <c r="O490">
        <v>13.3</v>
      </c>
      <c r="P490">
        <v>8</v>
      </c>
      <c r="Q490">
        <v>2.5</v>
      </c>
      <c r="R490">
        <v>3</v>
      </c>
      <c r="S490">
        <v>2</v>
      </c>
      <c r="T490">
        <v>3</v>
      </c>
      <c r="U490" t="s">
        <v>30</v>
      </c>
      <c r="V490">
        <v>4</v>
      </c>
      <c r="W490">
        <v>1</v>
      </c>
    </row>
    <row r="491" spans="1:23" x14ac:dyDescent="0.35">
      <c r="A491" t="s">
        <v>806</v>
      </c>
      <c r="B491" s="6">
        <v>44182</v>
      </c>
      <c r="D491" t="s">
        <v>23</v>
      </c>
      <c r="E491">
        <v>27</v>
      </c>
      <c r="F491" t="s">
        <v>62</v>
      </c>
      <c r="G491" t="s">
        <v>37</v>
      </c>
      <c r="H491" t="s">
        <v>32</v>
      </c>
      <c r="I491" t="s">
        <v>38</v>
      </c>
      <c r="J491" t="s">
        <v>139</v>
      </c>
      <c r="K491">
        <v>1</v>
      </c>
      <c r="L491" t="s">
        <v>34</v>
      </c>
      <c r="M491">
        <v>32000</v>
      </c>
      <c r="N491">
        <v>6.6</v>
      </c>
      <c r="O491">
        <v>9.5</v>
      </c>
      <c r="P491">
        <v>5</v>
      </c>
      <c r="Q491">
        <v>0.6</v>
      </c>
      <c r="R491">
        <v>4</v>
      </c>
      <c r="S491">
        <v>3</v>
      </c>
      <c r="T491">
        <v>2</v>
      </c>
      <c r="U491" t="s">
        <v>23</v>
      </c>
      <c r="V491">
        <v>4</v>
      </c>
      <c r="W491">
        <v>1</v>
      </c>
    </row>
    <row r="492" spans="1:23" x14ac:dyDescent="0.35">
      <c r="A492" t="s">
        <v>822</v>
      </c>
      <c r="B492" s="6">
        <v>45882</v>
      </c>
      <c r="C492">
        <v>45968</v>
      </c>
      <c r="D492" t="s">
        <v>30</v>
      </c>
      <c r="E492">
        <v>21</v>
      </c>
      <c r="F492" t="s">
        <v>62</v>
      </c>
      <c r="G492" t="s">
        <v>42</v>
      </c>
      <c r="H492" t="s">
        <v>54</v>
      </c>
      <c r="I492" t="s">
        <v>27</v>
      </c>
      <c r="J492" t="s">
        <v>43</v>
      </c>
      <c r="K492">
        <v>1</v>
      </c>
      <c r="L492" t="s">
        <v>66</v>
      </c>
      <c r="M492">
        <v>60000</v>
      </c>
      <c r="N492">
        <v>13.2</v>
      </c>
      <c r="O492">
        <v>2.2000000000000002</v>
      </c>
      <c r="P492">
        <v>0.2</v>
      </c>
      <c r="Q492">
        <v>0</v>
      </c>
      <c r="R492">
        <v>2</v>
      </c>
      <c r="S492">
        <v>4</v>
      </c>
      <c r="T492">
        <v>3</v>
      </c>
      <c r="U492" t="s">
        <v>23</v>
      </c>
      <c r="V492">
        <v>4</v>
      </c>
      <c r="W492">
        <v>1</v>
      </c>
    </row>
    <row r="493" spans="1:23" x14ac:dyDescent="0.35">
      <c r="A493" t="s">
        <v>1525</v>
      </c>
      <c r="B493" s="6">
        <v>45814</v>
      </c>
      <c r="D493" t="s">
        <v>23</v>
      </c>
      <c r="E493">
        <v>33</v>
      </c>
      <c r="F493" t="s">
        <v>24</v>
      </c>
      <c r="G493" t="s">
        <v>37</v>
      </c>
      <c r="H493" t="s">
        <v>58</v>
      </c>
      <c r="I493" t="s">
        <v>38</v>
      </c>
      <c r="J493" t="s">
        <v>52</v>
      </c>
      <c r="K493">
        <v>4</v>
      </c>
      <c r="L493" t="s">
        <v>50</v>
      </c>
      <c r="M493">
        <v>127000</v>
      </c>
      <c r="N493">
        <v>11.1</v>
      </c>
      <c r="O493">
        <v>3.1</v>
      </c>
      <c r="P493">
        <v>0.6</v>
      </c>
      <c r="Q493">
        <v>0</v>
      </c>
      <c r="R493">
        <v>3</v>
      </c>
      <c r="S493">
        <v>2</v>
      </c>
      <c r="T493">
        <v>2</v>
      </c>
      <c r="U493" t="s">
        <v>23</v>
      </c>
      <c r="V493">
        <v>2</v>
      </c>
      <c r="W493">
        <v>1</v>
      </c>
    </row>
    <row r="494" spans="1:23" x14ac:dyDescent="0.35">
      <c r="A494" t="s">
        <v>385</v>
      </c>
      <c r="B494" s="6">
        <v>43013</v>
      </c>
      <c r="D494" t="s">
        <v>23</v>
      </c>
      <c r="E494">
        <v>37</v>
      </c>
      <c r="F494" t="s">
        <v>36</v>
      </c>
      <c r="G494" t="s">
        <v>42</v>
      </c>
      <c r="H494" t="s">
        <v>26</v>
      </c>
      <c r="I494" t="s">
        <v>55</v>
      </c>
      <c r="J494" t="s">
        <v>88</v>
      </c>
      <c r="K494">
        <v>5</v>
      </c>
      <c r="L494" t="s">
        <v>50</v>
      </c>
      <c r="M494">
        <v>180000</v>
      </c>
      <c r="N494">
        <v>8.1999999999999993</v>
      </c>
      <c r="O494">
        <v>13.9</v>
      </c>
      <c r="P494">
        <v>8.1999999999999993</v>
      </c>
      <c r="Q494">
        <v>1.8</v>
      </c>
      <c r="R494">
        <v>4</v>
      </c>
      <c r="S494">
        <v>2</v>
      </c>
      <c r="T494">
        <v>2</v>
      </c>
      <c r="U494" t="s">
        <v>30</v>
      </c>
      <c r="V494">
        <v>5</v>
      </c>
      <c r="W494">
        <v>1</v>
      </c>
    </row>
    <row r="495" spans="1:23" x14ac:dyDescent="0.35">
      <c r="A495" t="s">
        <v>1349</v>
      </c>
      <c r="B495" s="6">
        <v>43409</v>
      </c>
      <c r="D495" t="s">
        <v>23</v>
      </c>
      <c r="E495">
        <v>32</v>
      </c>
      <c r="F495" t="s">
        <v>36</v>
      </c>
      <c r="G495" t="s">
        <v>25</v>
      </c>
      <c r="H495" t="s">
        <v>32</v>
      </c>
      <c r="I495" t="s">
        <v>55</v>
      </c>
      <c r="J495" t="s">
        <v>179</v>
      </c>
      <c r="K495">
        <v>3</v>
      </c>
      <c r="L495" t="s">
        <v>50</v>
      </c>
      <c r="M495">
        <v>100000</v>
      </c>
      <c r="N495">
        <v>11.4</v>
      </c>
      <c r="O495">
        <v>8.1</v>
      </c>
      <c r="P495">
        <v>7.2</v>
      </c>
      <c r="Q495">
        <v>0.4</v>
      </c>
      <c r="R495">
        <v>4</v>
      </c>
      <c r="S495">
        <v>3</v>
      </c>
      <c r="T495">
        <v>3</v>
      </c>
      <c r="U495" t="s">
        <v>23</v>
      </c>
      <c r="V495">
        <v>3</v>
      </c>
      <c r="W495">
        <v>1</v>
      </c>
    </row>
    <row r="496" spans="1:23" x14ac:dyDescent="0.35">
      <c r="A496" t="s">
        <v>922</v>
      </c>
      <c r="B496" s="6">
        <v>43542</v>
      </c>
      <c r="D496" t="s">
        <v>23</v>
      </c>
      <c r="E496">
        <v>38</v>
      </c>
      <c r="F496" t="s">
        <v>24</v>
      </c>
      <c r="G496" t="s">
        <v>37</v>
      </c>
      <c r="H496" t="s">
        <v>54</v>
      </c>
      <c r="I496" t="s">
        <v>68</v>
      </c>
      <c r="J496" t="s">
        <v>102</v>
      </c>
      <c r="K496">
        <v>2</v>
      </c>
      <c r="L496" t="s">
        <v>66</v>
      </c>
      <c r="M496">
        <v>55000</v>
      </c>
      <c r="N496">
        <v>8.9</v>
      </c>
      <c r="O496">
        <v>7.5</v>
      </c>
      <c r="P496">
        <v>6.8</v>
      </c>
      <c r="Q496">
        <v>3.8</v>
      </c>
      <c r="R496">
        <v>3</v>
      </c>
      <c r="S496">
        <v>2</v>
      </c>
      <c r="T496">
        <v>4</v>
      </c>
      <c r="U496" t="s">
        <v>23</v>
      </c>
      <c r="V496">
        <v>3</v>
      </c>
      <c r="W496">
        <v>1</v>
      </c>
    </row>
    <row r="497" spans="1:23" x14ac:dyDescent="0.35">
      <c r="A497" t="s">
        <v>801</v>
      </c>
      <c r="B497" s="6">
        <v>43927</v>
      </c>
      <c r="D497" t="s">
        <v>23</v>
      </c>
      <c r="E497">
        <v>41</v>
      </c>
      <c r="F497" t="s">
        <v>36</v>
      </c>
      <c r="G497" t="s">
        <v>42</v>
      </c>
      <c r="H497" t="s">
        <v>32</v>
      </c>
      <c r="I497" t="s">
        <v>48</v>
      </c>
      <c r="J497" t="s">
        <v>63</v>
      </c>
      <c r="K497">
        <v>1</v>
      </c>
      <c r="L497" t="s">
        <v>66</v>
      </c>
      <c r="M497">
        <v>44000</v>
      </c>
      <c r="N497">
        <v>5.9</v>
      </c>
      <c r="O497">
        <v>5.7</v>
      </c>
      <c r="P497">
        <v>5.7</v>
      </c>
      <c r="Q497">
        <v>5.3</v>
      </c>
      <c r="R497">
        <v>3</v>
      </c>
      <c r="S497">
        <v>3</v>
      </c>
      <c r="T497">
        <v>3</v>
      </c>
      <c r="U497" t="s">
        <v>23</v>
      </c>
      <c r="V497">
        <v>4</v>
      </c>
      <c r="W497">
        <v>1</v>
      </c>
    </row>
    <row r="498" spans="1:23" x14ac:dyDescent="0.35">
      <c r="A498" t="s">
        <v>388</v>
      </c>
      <c r="B498" s="6">
        <v>45818</v>
      </c>
      <c r="D498" t="s">
        <v>23</v>
      </c>
      <c r="E498">
        <v>26</v>
      </c>
      <c r="F498" t="s">
        <v>36</v>
      </c>
      <c r="G498" t="s">
        <v>37</v>
      </c>
      <c r="H498" t="s">
        <v>58</v>
      </c>
      <c r="I498" t="s">
        <v>59</v>
      </c>
      <c r="J498" t="s">
        <v>150</v>
      </c>
      <c r="K498">
        <v>1</v>
      </c>
      <c r="L498" t="s">
        <v>29</v>
      </c>
      <c r="M498">
        <v>22000</v>
      </c>
      <c r="N498">
        <v>6.5</v>
      </c>
      <c r="O498">
        <v>3.7</v>
      </c>
      <c r="P498">
        <v>0.6</v>
      </c>
      <c r="Q498">
        <v>0</v>
      </c>
      <c r="R498">
        <v>3</v>
      </c>
      <c r="S498">
        <v>2</v>
      </c>
      <c r="T498">
        <v>3</v>
      </c>
      <c r="U498" t="s">
        <v>23</v>
      </c>
      <c r="V498">
        <v>3</v>
      </c>
      <c r="W498">
        <v>1</v>
      </c>
    </row>
    <row r="499" spans="1:23" x14ac:dyDescent="0.35">
      <c r="A499" t="s">
        <v>1097</v>
      </c>
      <c r="B499" s="6">
        <v>42888</v>
      </c>
      <c r="D499" t="s">
        <v>23</v>
      </c>
      <c r="E499">
        <v>40</v>
      </c>
      <c r="F499" t="s">
        <v>24</v>
      </c>
      <c r="G499" t="s">
        <v>25</v>
      </c>
      <c r="H499" t="s">
        <v>54</v>
      </c>
      <c r="I499" t="s">
        <v>68</v>
      </c>
      <c r="J499" t="s">
        <v>69</v>
      </c>
      <c r="K499">
        <v>5</v>
      </c>
      <c r="L499" t="s">
        <v>50</v>
      </c>
      <c r="M499">
        <v>158000</v>
      </c>
      <c r="N499">
        <v>11.9</v>
      </c>
      <c r="O499">
        <v>10.3</v>
      </c>
      <c r="P499">
        <v>8.6</v>
      </c>
      <c r="Q499">
        <v>5.8</v>
      </c>
      <c r="R499">
        <v>3</v>
      </c>
      <c r="S499">
        <v>3</v>
      </c>
      <c r="T499">
        <v>4</v>
      </c>
      <c r="U499" t="s">
        <v>30</v>
      </c>
      <c r="V499">
        <v>2</v>
      </c>
      <c r="W499">
        <v>1</v>
      </c>
    </row>
    <row r="500" spans="1:23" x14ac:dyDescent="0.35">
      <c r="A500" t="s">
        <v>1124</v>
      </c>
      <c r="B500" s="6">
        <v>43068</v>
      </c>
      <c r="D500" t="s">
        <v>23</v>
      </c>
      <c r="E500">
        <v>29</v>
      </c>
      <c r="F500" t="s">
        <v>62</v>
      </c>
      <c r="G500" t="s">
        <v>42</v>
      </c>
      <c r="H500" t="s">
        <v>26</v>
      </c>
      <c r="I500" t="s">
        <v>38</v>
      </c>
      <c r="J500" t="s">
        <v>139</v>
      </c>
      <c r="K500">
        <v>2</v>
      </c>
      <c r="L500" t="s">
        <v>84</v>
      </c>
      <c r="M500">
        <v>63000</v>
      </c>
      <c r="N500">
        <v>12.2</v>
      </c>
      <c r="O500">
        <v>14.4</v>
      </c>
      <c r="P500">
        <v>8.1</v>
      </c>
      <c r="Q500">
        <v>3.9</v>
      </c>
      <c r="R500">
        <v>4</v>
      </c>
      <c r="S500">
        <v>2</v>
      </c>
      <c r="T500">
        <v>1</v>
      </c>
      <c r="U500" t="s">
        <v>23</v>
      </c>
      <c r="V500">
        <v>4</v>
      </c>
      <c r="W500">
        <v>1</v>
      </c>
    </row>
    <row r="501" spans="1:23" x14ac:dyDescent="0.35">
      <c r="A501" t="s">
        <v>1099</v>
      </c>
      <c r="B501" s="6">
        <v>44383</v>
      </c>
      <c r="D501" t="s">
        <v>23</v>
      </c>
      <c r="E501">
        <v>41</v>
      </c>
      <c r="F501" t="s">
        <v>24</v>
      </c>
      <c r="G501" t="s">
        <v>42</v>
      </c>
      <c r="H501" t="s">
        <v>58</v>
      </c>
      <c r="I501" t="s">
        <v>59</v>
      </c>
      <c r="J501" t="s">
        <v>60</v>
      </c>
      <c r="K501">
        <v>4</v>
      </c>
      <c r="L501" t="s">
        <v>40</v>
      </c>
      <c r="M501">
        <v>114000</v>
      </c>
      <c r="N501">
        <v>10.4</v>
      </c>
      <c r="O501">
        <v>4.5999999999999996</v>
      </c>
      <c r="P501">
        <v>4.5</v>
      </c>
      <c r="Q501">
        <v>2.1</v>
      </c>
      <c r="R501">
        <v>4</v>
      </c>
      <c r="S501">
        <v>4</v>
      </c>
      <c r="T501">
        <v>3</v>
      </c>
      <c r="U501" t="s">
        <v>30</v>
      </c>
      <c r="V501">
        <v>3</v>
      </c>
      <c r="W501">
        <v>1</v>
      </c>
    </row>
    <row r="502" spans="1:23" x14ac:dyDescent="0.35">
      <c r="A502" t="s">
        <v>799</v>
      </c>
      <c r="B502" s="6">
        <v>44968</v>
      </c>
      <c r="C502">
        <v>45910</v>
      </c>
      <c r="D502" t="s">
        <v>30</v>
      </c>
      <c r="E502">
        <v>33</v>
      </c>
      <c r="F502" t="s">
        <v>36</v>
      </c>
      <c r="H502" t="s">
        <v>58</v>
      </c>
      <c r="I502" t="s">
        <v>38</v>
      </c>
      <c r="J502" t="s">
        <v>39</v>
      </c>
      <c r="K502">
        <v>4</v>
      </c>
      <c r="L502" t="s">
        <v>66</v>
      </c>
      <c r="M502">
        <v>116000</v>
      </c>
      <c r="N502">
        <v>8.3000000000000007</v>
      </c>
      <c r="O502">
        <v>9.8000000000000007</v>
      </c>
      <c r="P502">
        <v>2.6</v>
      </c>
      <c r="Q502">
        <v>1.8</v>
      </c>
      <c r="R502">
        <v>4</v>
      </c>
      <c r="S502">
        <v>2</v>
      </c>
      <c r="T502">
        <v>2</v>
      </c>
      <c r="U502" t="s">
        <v>23</v>
      </c>
      <c r="V502">
        <v>4</v>
      </c>
      <c r="W502">
        <v>1</v>
      </c>
    </row>
    <row r="503" spans="1:23" x14ac:dyDescent="0.35">
      <c r="A503" t="s">
        <v>411</v>
      </c>
      <c r="B503" s="6">
        <v>45368</v>
      </c>
      <c r="D503" t="s">
        <v>23</v>
      </c>
      <c r="E503">
        <v>28</v>
      </c>
      <c r="F503" t="s">
        <v>24</v>
      </c>
      <c r="G503" t="s">
        <v>25</v>
      </c>
      <c r="H503" t="s">
        <v>58</v>
      </c>
      <c r="I503" t="s">
        <v>27</v>
      </c>
      <c r="J503" t="s">
        <v>33</v>
      </c>
      <c r="K503">
        <v>2</v>
      </c>
      <c r="L503" t="s">
        <v>40</v>
      </c>
      <c r="M503">
        <v>49000</v>
      </c>
      <c r="N503">
        <v>5.8</v>
      </c>
      <c r="O503">
        <v>3.2</v>
      </c>
      <c r="P503">
        <v>1.8</v>
      </c>
      <c r="Q503">
        <v>1.1000000000000001</v>
      </c>
      <c r="R503">
        <v>3</v>
      </c>
      <c r="S503">
        <v>4</v>
      </c>
      <c r="T503">
        <v>2</v>
      </c>
      <c r="U503" t="s">
        <v>23</v>
      </c>
      <c r="V503">
        <v>5</v>
      </c>
      <c r="W503">
        <v>1</v>
      </c>
    </row>
    <row r="504" spans="1:23" x14ac:dyDescent="0.35">
      <c r="A504" t="s">
        <v>791</v>
      </c>
      <c r="B504" s="6">
        <v>45659</v>
      </c>
      <c r="D504" t="s">
        <v>23</v>
      </c>
      <c r="E504">
        <v>21</v>
      </c>
      <c r="F504" t="s">
        <v>24</v>
      </c>
      <c r="G504" t="s">
        <v>42</v>
      </c>
      <c r="H504" t="s">
        <v>54</v>
      </c>
      <c r="I504" t="s">
        <v>59</v>
      </c>
      <c r="J504" t="s">
        <v>75</v>
      </c>
      <c r="K504">
        <v>1</v>
      </c>
      <c r="L504" t="s">
        <v>34</v>
      </c>
      <c r="M504">
        <v>35000</v>
      </c>
      <c r="N504">
        <v>9</v>
      </c>
      <c r="O504">
        <v>5.5</v>
      </c>
      <c r="P504">
        <v>1</v>
      </c>
      <c r="Q504">
        <v>0.5</v>
      </c>
      <c r="R504">
        <v>3</v>
      </c>
      <c r="S504">
        <v>4</v>
      </c>
      <c r="T504">
        <v>3</v>
      </c>
      <c r="U504" t="s">
        <v>23</v>
      </c>
      <c r="V504">
        <v>5</v>
      </c>
      <c r="W504">
        <v>1</v>
      </c>
    </row>
    <row r="505" spans="1:23" x14ac:dyDescent="0.35">
      <c r="A505" t="s">
        <v>514</v>
      </c>
      <c r="B505" s="6">
        <v>43919</v>
      </c>
      <c r="D505" t="s">
        <v>23</v>
      </c>
      <c r="E505">
        <v>38</v>
      </c>
      <c r="F505" t="s">
        <v>24</v>
      </c>
      <c r="G505" t="s">
        <v>42</v>
      </c>
      <c r="H505" t="s">
        <v>26</v>
      </c>
      <c r="I505" t="s">
        <v>68</v>
      </c>
      <c r="J505" t="s">
        <v>102</v>
      </c>
      <c r="K505">
        <v>3</v>
      </c>
      <c r="L505" t="s">
        <v>66</v>
      </c>
      <c r="M505">
        <v>85000</v>
      </c>
      <c r="N505">
        <v>2.6</v>
      </c>
      <c r="O505">
        <v>7.6</v>
      </c>
      <c r="P505">
        <v>5.8</v>
      </c>
      <c r="Q505">
        <v>1.6</v>
      </c>
      <c r="R505">
        <v>4</v>
      </c>
      <c r="S505">
        <v>3</v>
      </c>
      <c r="T505">
        <v>3</v>
      </c>
      <c r="U505" t="s">
        <v>23</v>
      </c>
      <c r="V505">
        <v>1</v>
      </c>
      <c r="W505">
        <v>1</v>
      </c>
    </row>
    <row r="506" spans="1:23" x14ac:dyDescent="0.35">
      <c r="A506" t="s">
        <v>1472</v>
      </c>
      <c r="B506" s="6">
        <v>45278</v>
      </c>
      <c r="D506" t="s">
        <v>23</v>
      </c>
      <c r="E506">
        <v>28</v>
      </c>
      <c r="F506" t="s">
        <v>36</v>
      </c>
      <c r="G506" t="s">
        <v>37</v>
      </c>
      <c r="H506" t="s">
        <v>58</v>
      </c>
      <c r="I506" t="s">
        <v>59</v>
      </c>
      <c r="J506" t="s">
        <v>75</v>
      </c>
      <c r="K506">
        <v>5</v>
      </c>
      <c r="L506" t="s">
        <v>84</v>
      </c>
      <c r="M506">
        <v>142000</v>
      </c>
      <c r="N506">
        <v>12.3</v>
      </c>
      <c r="O506">
        <v>3.6</v>
      </c>
      <c r="P506">
        <v>2</v>
      </c>
      <c r="Q506">
        <v>0.7</v>
      </c>
      <c r="R506">
        <v>4</v>
      </c>
      <c r="S506">
        <v>1</v>
      </c>
      <c r="T506">
        <v>3</v>
      </c>
      <c r="U506" t="s">
        <v>23</v>
      </c>
      <c r="V506">
        <v>1</v>
      </c>
      <c r="W506">
        <v>1</v>
      </c>
    </row>
    <row r="507" spans="1:23" x14ac:dyDescent="0.35">
      <c r="A507" t="s">
        <v>539</v>
      </c>
      <c r="B507" s="6">
        <v>42166</v>
      </c>
      <c r="D507" t="s">
        <v>23</v>
      </c>
      <c r="E507">
        <v>31</v>
      </c>
      <c r="F507" t="s">
        <v>36</v>
      </c>
      <c r="G507" t="s">
        <v>25</v>
      </c>
      <c r="H507" t="s">
        <v>26</v>
      </c>
      <c r="I507" t="s">
        <v>55</v>
      </c>
      <c r="J507" t="s">
        <v>56</v>
      </c>
      <c r="K507">
        <v>3</v>
      </c>
      <c r="L507" t="s">
        <v>50</v>
      </c>
      <c r="M507">
        <v>72000</v>
      </c>
      <c r="N507">
        <v>11.5</v>
      </c>
      <c r="O507">
        <v>12.5</v>
      </c>
      <c r="P507">
        <v>10.6</v>
      </c>
      <c r="Q507">
        <v>0.4</v>
      </c>
      <c r="R507">
        <v>4</v>
      </c>
      <c r="S507">
        <v>3</v>
      </c>
      <c r="T507">
        <v>3</v>
      </c>
      <c r="U507" t="s">
        <v>23</v>
      </c>
      <c r="V507">
        <v>2</v>
      </c>
      <c r="W507">
        <v>1</v>
      </c>
    </row>
    <row r="508" spans="1:23" x14ac:dyDescent="0.35">
      <c r="A508" t="s">
        <v>1570</v>
      </c>
      <c r="B508" s="6">
        <v>42109</v>
      </c>
      <c r="C508">
        <v>45884</v>
      </c>
      <c r="D508" t="s">
        <v>30</v>
      </c>
      <c r="E508">
        <v>33</v>
      </c>
      <c r="F508" t="s">
        <v>24</v>
      </c>
      <c r="G508" t="s">
        <v>42</v>
      </c>
      <c r="H508" t="s">
        <v>54</v>
      </c>
      <c r="I508" t="s">
        <v>38</v>
      </c>
      <c r="J508" t="s">
        <v>118</v>
      </c>
      <c r="K508">
        <v>2</v>
      </c>
      <c r="L508" t="s">
        <v>34</v>
      </c>
      <c r="M508">
        <v>62000</v>
      </c>
      <c r="N508">
        <v>14.4</v>
      </c>
      <c r="O508">
        <v>10.8</v>
      </c>
      <c r="P508">
        <v>10.3</v>
      </c>
      <c r="Q508">
        <v>3.7</v>
      </c>
      <c r="R508">
        <v>4</v>
      </c>
      <c r="S508">
        <v>3</v>
      </c>
      <c r="T508">
        <v>2</v>
      </c>
      <c r="U508" t="s">
        <v>23</v>
      </c>
      <c r="V508">
        <v>2</v>
      </c>
      <c r="W508">
        <v>1</v>
      </c>
    </row>
    <row r="509" spans="1:23" x14ac:dyDescent="0.35">
      <c r="A509" t="s">
        <v>662</v>
      </c>
      <c r="B509" s="6">
        <v>45853</v>
      </c>
      <c r="C509">
        <v>45962</v>
      </c>
      <c r="D509" t="s">
        <v>30</v>
      </c>
      <c r="E509">
        <v>21</v>
      </c>
      <c r="F509" t="s">
        <v>62</v>
      </c>
      <c r="G509" t="s">
        <v>37</v>
      </c>
      <c r="H509" t="s">
        <v>54</v>
      </c>
      <c r="I509" t="s">
        <v>38</v>
      </c>
      <c r="J509" t="s">
        <v>52</v>
      </c>
      <c r="K509">
        <v>1</v>
      </c>
      <c r="L509" t="s">
        <v>66</v>
      </c>
      <c r="M509">
        <v>39000</v>
      </c>
      <c r="N509">
        <v>16.2</v>
      </c>
      <c r="O509">
        <v>4</v>
      </c>
      <c r="P509">
        <v>0.3</v>
      </c>
      <c r="Q509">
        <v>0</v>
      </c>
      <c r="R509">
        <v>3</v>
      </c>
      <c r="S509">
        <v>3</v>
      </c>
      <c r="T509">
        <v>2</v>
      </c>
      <c r="U509" t="s">
        <v>23</v>
      </c>
      <c r="V509">
        <v>4</v>
      </c>
      <c r="W509">
        <v>1</v>
      </c>
    </row>
    <row r="510" spans="1:23" x14ac:dyDescent="0.35">
      <c r="A510" t="s">
        <v>1111</v>
      </c>
      <c r="B510" s="6">
        <v>45860</v>
      </c>
      <c r="D510" t="s">
        <v>23</v>
      </c>
      <c r="E510">
        <v>34</v>
      </c>
      <c r="F510" t="s">
        <v>62</v>
      </c>
      <c r="G510" t="s">
        <v>42</v>
      </c>
      <c r="H510" t="s">
        <v>32</v>
      </c>
      <c r="I510" t="s">
        <v>68</v>
      </c>
      <c r="J510" t="s">
        <v>109</v>
      </c>
      <c r="K510">
        <v>2</v>
      </c>
      <c r="L510" t="s">
        <v>40</v>
      </c>
      <c r="M510">
        <v>48000</v>
      </c>
      <c r="N510">
        <v>12.2</v>
      </c>
      <c r="O510">
        <v>7.7</v>
      </c>
      <c r="P510">
        <v>0.4</v>
      </c>
      <c r="Q510">
        <v>0</v>
      </c>
      <c r="R510">
        <v>3</v>
      </c>
      <c r="S510">
        <v>3</v>
      </c>
      <c r="T510">
        <v>3</v>
      </c>
      <c r="U510" t="s">
        <v>23</v>
      </c>
      <c r="V510">
        <v>3</v>
      </c>
      <c r="W510">
        <v>1</v>
      </c>
    </row>
    <row r="511" spans="1:23" x14ac:dyDescent="0.35">
      <c r="A511" t="s">
        <v>1196</v>
      </c>
      <c r="B511" s="6">
        <v>44581</v>
      </c>
      <c r="D511" t="s">
        <v>23</v>
      </c>
      <c r="E511">
        <v>36</v>
      </c>
      <c r="F511" t="s">
        <v>36</v>
      </c>
      <c r="G511" t="s">
        <v>42</v>
      </c>
      <c r="H511" t="s">
        <v>58</v>
      </c>
      <c r="I511" t="s">
        <v>55</v>
      </c>
      <c r="J511" t="s">
        <v>56</v>
      </c>
      <c r="K511">
        <v>1</v>
      </c>
      <c r="L511" t="s">
        <v>50</v>
      </c>
      <c r="M511">
        <v>44000</v>
      </c>
      <c r="N511">
        <v>13.2</v>
      </c>
      <c r="O511">
        <v>6.4</v>
      </c>
      <c r="P511">
        <v>3.9</v>
      </c>
      <c r="Q511">
        <v>3.5</v>
      </c>
      <c r="R511">
        <v>4</v>
      </c>
      <c r="S511">
        <v>4</v>
      </c>
      <c r="T511">
        <v>2</v>
      </c>
      <c r="U511" t="s">
        <v>23</v>
      </c>
      <c r="V511">
        <v>3</v>
      </c>
      <c r="W511">
        <v>1</v>
      </c>
    </row>
    <row r="512" spans="1:23" x14ac:dyDescent="0.35">
      <c r="A512" t="s">
        <v>572</v>
      </c>
      <c r="B512" s="6">
        <v>43746</v>
      </c>
      <c r="D512" t="s">
        <v>23</v>
      </c>
      <c r="E512">
        <v>36</v>
      </c>
      <c r="F512" t="s">
        <v>62</v>
      </c>
      <c r="G512" t="s">
        <v>42</v>
      </c>
      <c r="H512" t="s">
        <v>54</v>
      </c>
      <c r="I512" t="s">
        <v>27</v>
      </c>
      <c r="J512" t="s">
        <v>95</v>
      </c>
      <c r="K512">
        <v>1</v>
      </c>
      <c r="L512" t="s">
        <v>66</v>
      </c>
      <c r="M512">
        <v>28000</v>
      </c>
      <c r="N512">
        <v>8.9</v>
      </c>
      <c r="O512">
        <v>7.8</v>
      </c>
      <c r="P512">
        <v>6.2</v>
      </c>
      <c r="Q512">
        <v>1.2</v>
      </c>
      <c r="R512">
        <v>4</v>
      </c>
      <c r="S512">
        <v>4</v>
      </c>
      <c r="T512">
        <v>4</v>
      </c>
      <c r="U512" t="s">
        <v>23</v>
      </c>
      <c r="V512">
        <v>3</v>
      </c>
      <c r="W512">
        <v>1</v>
      </c>
    </row>
    <row r="513" spans="1:23" x14ac:dyDescent="0.35">
      <c r="A513" t="s">
        <v>1267</v>
      </c>
      <c r="B513" s="6">
        <v>44321</v>
      </c>
      <c r="D513" t="s">
        <v>23</v>
      </c>
      <c r="E513">
        <v>28</v>
      </c>
      <c r="F513" t="s">
        <v>62</v>
      </c>
      <c r="G513" t="s">
        <v>37</v>
      </c>
      <c r="H513" t="s">
        <v>32</v>
      </c>
      <c r="I513" t="s">
        <v>45</v>
      </c>
      <c r="J513" t="s">
        <v>77</v>
      </c>
      <c r="K513">
        <v>4</v>
      </c>
      <c r="L513" t="s">
        <v>34</v>
      </c>
      <c r="M513">
        <v>100000</v>
      </c>
      <c r="N513">
        <v>6.9</v>
      </c>
      <c r="O513">
        <v>5.5</v>
      </c>
      <c r="P513">
        <v>4.7</v>
      </c>
      <c r="Q513">
        <v>4.0999999999999996</v>
      </c>
      <c r="R513">
        <v>3</v>
      </c>
      <c r="S513">
        <v>4</v>
      </c>
      <c r="T513">
        <v>3</v>
      </c>
      <c r="U513" t="s">
        <v>23</v>
      </c>
      <c r="V513">
        <v>5</v>
      </c>
      <c r="W513">
        <v>1</v>
      </c>
    </row>
    <row r="514" spans="1:23" x14ac:dyDescent="0.35">
      <c r="A514" t="s">
        <v>1163</v>
      </c>
      <c r="B514" s="6">
        <v>45328</v>
      </c>
      <c r="D514" t="s">
        <v>23</v>
      </c>
      <c r="E514">
        <v>27</v>
      </c>
      <c r="F514" t="s">
        <v>24</v>
      </c>
      <c r="G514" t="s">
        <v>42</v>
      </c>
      <c r="H514" t="s">
        <v>26</v>
      </c>
      <c r="I514" t="s">
        <v>27</v>
      </c>
      <c r="J514" t="s">
        <v>95</v>
      </c>
      <c r="K514">
        <v>1</v>
      </c>
      <c r="L514" t="s">
        <v>66</v>
      </c>
      <c r="M514">
        <v>42000</v>
      </c>
      <c r="N514">
        <v>9</v>
      </c>
      <c r="O514">
        <v>7.8</v>
      </c>
      <c r="P514">
        <v>1.9</v>
      </c>
      <c r="Q514">
        <v>0.4</v>
      </c>
      <c r="R514">
        <v>4</v>
      </c>
      <c r="S514">
        <v>2</v>
      </c>
      <c r="T514">
        <v>4</v>
      </c>
      <c r="U514" t="s">
        <v>23</v>
      </c>
      <c r="V514">
        <v>3</v>
      </c>
      <c r="W514">
        <v>1</v>
      </c>
    </row>
    <row r="515" spans="1:23" x14ac:dyDescent="0.35">
      <c r="A515" t="s">
        <v>415</v>
      </c>
      <c r="B515" s="6">
        <v>45153</v>
      </c>
      <c r="C515">
        <v>45673</v>
      </c>
      <c r="D515" t="s">
        <v>30</v>
      </c>
      <c r="E515">
        <v>31</v>
      </c>
      <c r="F515" t="s">
        <v>62</v>
      </c>
      <c r="G515" t="s">
        <v>37</v>
      </c>
      <c r="H515" t="s">
        <v>32</v>
      </c>
      <c r="I515" t="s">
        <v>38</v>
      </c>
      <c r="J515" t="s">
        <v>139</v>
      </c>
      <c r="K515">
        <v>2</v>
      </c>
      <c r="L515" t="s">
        <v>40</v>
      </c>
      <c r="M515">
        <v>61000</v>
      </c>
      <c r="N515">
        <v>12.3</v>
      </c>
      <c r="O515">
        <v>3</v>
      </c>
      <c r="P515">
        <v>1.4</v>
      </c>
      <c r="Q515">
        <v>0.4</v>
      </c>
      <c r="R515">
        <v>4</v>
      </c>
      <c r="S515">
        <v>2</v>
      </c>
      <c r="T515">
        <v>3</v>
      </c>
      <c r="U515" t="s">
        <v>23</v>
      </c>
      <c r="V515">
        <v>3</v>
      </c>
      <c r="W515">
        <v>1</v>
      </c>
    </row>
    <row r="516" spans="1:23" x14ac:dyDescent="0.35">
      <c r="A516" t="s">
        <v>1147</v>
      </c>
      <c r="B516" s="6">
        <v>43352</v>
      </c>
      <c r="D516" t="s">
        <v>23</v>
      </c>
      <c r="E516">
        <v>28</v>
      </c>
      <c r="F516" t="s">
        <v>36</v>
      </c>
      <c r="G516" t="s">
        <v>25</v>
      </c>
      <c r="H516" t="s">
        <v>32</v>
      </c>
      <c r="I516" t="s">
        <v>38</v>
      </c>
      <c r="J516" t="s">
        <v>139</v>
      </c>
      <c r="K516">
        <v>4</v>
      </c>
      <c r="L516" t="s">
        <v>66</v>
      </c>
      <c r="M516">
        <v>121000</v>
      </c>
      <c r="N516">
        <v>3.6</v>
      </c>
      <c r="O516">
        <v>13.6</v>
      </c>
      <c r="P516">
        <v>7.3</v>
      </c>
      <c r="Q516">
        <v>0.7</v>
      </c>
      <c r="R516">
        <v>3</v>
      </c>
      <c r="S516">
        <v>4</v>
      </c>
      <c r="T516">
        <v>3</v>
      </c>
      <c r="U516" t="s">
        <v>30</v>
      </c>
      <c r="V516">
        <v>3</v>
      </c>
      <c r="W516">
        <v>1</v>
      </c>
    </row>
    <row r="517" spans="1:23" x14ac:dyDescent="0.35">
      <c r="A517" t="s">
        <v>1132</v>
      </c>
      <c r="B517" s="6">
        <v>45681</v>
      </c>
      <c r="D517" t="s">
        <v>23</v>
      </c>
      <c r="E517">
        <v>30</v>
      </c>
      <c r="F517" t="s">
        <v>24</v>
      </c>
      <c r="G517" t="s">
        <v>37</v>
      </c>
      <c r="H517" t="s">
        <v>32</v>
      </c>
      <c r="I517" t="s">
        <v>59</v>
      </c>
      <c r="J517" t="s">
        <v>60</v>
      </c>
      <c r="K517">
        <v>4</v>
      </c>
      <c r="L517" t="s">
        <v>66</v>
      </c>
      <c r="M517">
        <v>116000</v>
      </c>
      <c r="N517">
        <v>10.1</v>
      </c>
      <c r="O517">
        <v>2.5</v>
      </c>
      <c r="P517">
        <v>0.9</v>
      </c>
      <c r="Q517">
        <v>0</v>
      </c>
      <c r="R517">
        <v>4</v>
      </c>
      <c r="S517">
        <v>3</v>
      </c>
      <c r="T517">
        <v>3</v>
      </c>
      <c r="U517" t="s">
        <v>30</v>
      </c>
      <c r="V517">
        <v>5</v>
      </c>
      <c r="W517">
        <v>1</v>
      </c>
    </row>
    <row r="518" spans="1:23" x14ac:dyDescent="0.35">
      <c r="A518" t="s">
        <v>221</v>
      </c>
      <c r="B518" s="6">
        <v>45685</v>
      </c>
      <c r="D518" t="s">
        <v>23</v>
      </c>
      <c r="E518">
        <v>39</v>
      </c>
      <c r="F518" t="s">
        <v>62</v>
      </c>
      <c r="G518" t="s">
        <v>25</v>
      </c>
      <c r="H518" t="s">
        <v>26</v>
      </c>
      <c r="I518" t="s">
        <v>68</v>
      </c>
      <c r="J518" t="s">
        <v>109</v>
      </c>
      <c r="K518">
        <v>2</v>
      </c>
      <c r="L518" t="s">
        <v>40</v>
      </c>
      <c r="M518">
        <v>52000</v>
      </c>
      <c r="N518">
        <v>10.6</v>
      </c>
      <c r="O518">
        <v>8.6999999999999993</v>
      </c>
      <c r="P518">
        <v>0.9</v>
      </c>
      <c r="Q518">
        <v>0</v>
      </c>
      <c r="R518">
        <v>4</v>
      </c>
      <c r="S518">
        <v>2</v>
      </c>
      <c r="T518">
        <v>2</v>
      </c>
      <c r="U518" t="s">
        <v>23</v>
      </c>
      <c r="V518">
        <v>3</v>
      </c>
      <c r="W518">
        <v>1</v>
      </c>
    </row>
    <row r="519" spans="1:23" x14ac:dyDescent="0.35">
      <c r="A519" t="s">
        <v>1095</v>
      </c>
      <c r="B519" s="6">
        <v>43156</v>
      </c>
      <c r="D519" t="s">
        <v>23</v>
      </c>
      <c r="E519">
        <v>35</v>
      </c>
      <c r="F519" t="s">
        <v>36</v>
      </c>
      <c r="G519" t="s">
        <v>25</v>
      </c>
      <c r="H519" t="s">
        <v>54</v>
      </c>
      <c r="I519" t="s">
        <v>27</v>
      </c>
      <c r="J519" t="s">
        <v>33</v>
      </c>
      <c r="K519">
        <v>3</v>
      </c>
      <c r="L519" t="s">
        <v>29</v>
      </c>
      <c r="M519">
        <v>68000</v>
      </c>
      <c r="N519">
        <v>0</v>
      </c>
      <c r="O519">
        <v>10.4</v>
      </c>
      <c r="P519">
        <v>7.8</v>
      </c>
      <c r="Q519">
        <v>2.2000000000000002</v>
      </c>
      <c r="R519">
        <v>3</v>
      </c>
      <c r="S519">
        <v>3</v>
      </c>
      <c r="T519">
        <v>3</v>
      </c>
      <c r="U519" t="s">
        <v>23</v>
      </c>
      <c r="V519">
        <v>3</v>
      </c>
      <c r="W519">
        <v>1</v>
      </c>
    </row>
    <row r="520" spans="1:23" x14ac:dyDescent="0.35">
      <c r="A520" t="s">
        <v>1440</v>
      </c>
      <c r="B520" s="6">
        <v>42089</v>
      </c>
      <c r="D520" t="s">
        <v>23</v>
      </c>
      <c r="E520">
        <v>43</v>
      </c>
      <c r="F520" t="s">
        <v>24</v>
      </c>
      <c r="G520" t="s">
        <v>37</v>
      </c>
      <c r="H520" t="s">
        <v>26</v>
      </c>
      <c r="I520" t="s">
        <v>59</v>
      </c>
      <c r="J520" t="s">
        <v>75</v>
      </c>
      <c r="K520">
        <v>2</v>
      </c>
      <c r="L520" t="s">
        <v>84</v>
      </c>
      <c r="M520">
        <v>60000</v>
      </c>
      <c r="N520">
        <v>12.9</v>
      </c>
      <c r="O520">
        <v>14.2</v>
      </c>
      <c r="P520">
        <v>10.8</v>
      </c>
      <c r="Q520">
        <v>2.2999999999999998</v>
      </c>
      <c r="R520">
        <v>2</v>
      </c>
      <c r="S520">
        <v>2</v>
      </c>
      <c r="T520">
        <v>4</v>
      </c>
      <c r="U520" t="s">
        <v>23</v>
      </c>
      <c r="V520">
        <v>3</v>
      </c>
      <c r="W520">
        <v>1</v>
      </c>
    </row>
    <row r="521" spans="1:23" x14ac:dyDescent="0.35">
      <c r="A521" t="s">
        <v>757</v>
      </c>
      <c r="B521" s="6">
        <v>45737</v>
      </c>
      <c r="D521" t="s">
        <v>23</v>
      </c>
      <c r="E521">
        <v>34</v>
      </c>
      <c r="F521" t="s">
        <v>36</v>
      </c>
      <c r="G521" t="s">
        <v>37</v>
      </c>
      <c r="H521" t="s">
        <v>58</v>
      </c>
      <c r="I521" t="s">
        <v>48</v>
      </c>
      <c r="J521" t="s">
        <v>129</v>
      </c>
      <c r="K521">
        <v>2</v>
      </c>
      <c r="L521" t="s">
        <v>29</v>
      </c>
      <c r="M521">
        <v>57000</v>
      </c>
      <c r="N521">
        <v>6.5</v>
      </c>
      <c r="O521">
        <v>4.2</v>
      </c>
      <c r="P521">
        <v>0.8</v>
      </c>
      <c r="Q521">
        <v>0</v>
      </c>
      <c r="R521">
        <v>3</v>
      </c>
      <c r="S521">
        <v>3</v>
      </c>
      <c r="T521">
        <v>3</v>
      </c>
      <c r="U521" t="s">
        <v>23</v>
      </c>
      <c r="V521">
        <v>1</v>
      </c>
      <c r="W521">
        <v>1</v>
      </c>
    </row>
    <row r="522" spans="1:23" x14ac:dyDescent="0.35">
      <c r="A522" t="s">
        <v>378</v>
      </c>
      <c r="B522" s="6">
        <v>44654</v>
      </c>
      <c r="C522">
        <v>45799</v>
      </c>
      <c r="D522" t="s">
        <v>30</v>
      </c>
      <c r="E522">
        <v>37</v>
      </c>
      <c r="F522" t="s">
        <v>24</v>
      </c>
      <c r="G522" t="s">
        <v>25</v>
      </c>
      <c r="H522" t="s">
        <v>58</v>
      </c>
      <c r="I522" t="s">
        <v>38</v>
      </c>
      <c r="J522" t="s">
        <v>39</v>
      </c>
      <c r="K522">
        <v>4</v>
      </c>
      <c r="L522" t="s">
        <v>84</v>
      </c>
      <c r="M522">
        <v>135000</v>
      </c>
      <c r="N522">
        <v>8.4</v>
      </c>
      <c r="O522">
        <v>10.5</v>
      </c>
      <c r="P522">
        <v>3.1</v>
      </c>
      <c r="Q522">
        <v>0.3</v>
      </c>
      <c r="R522">
        <v>3</v>
      </c>
      <c r="S522">
        <v>2</v>
      </c>
      <c r="T522">
        <v>1</v>
      </c>
      <c r="U522" t="s">
        <v>23</v>
      </c>
      <c r="V522">
        <v>3</v>
      </c>
      <c r="W522">
        <v>1</v>
      </c>
    </row>
    <row r="523" spans="1:23" x14ac:dyDescent="0.35">
      <c r="A523" t="s">
        <v>445</v>
      </c>
      <c r="B523" s="6">
        <v>43332</v>
      </c>
      <c r="D523" t="s">
        <v>23</v>
      </c>
      <c r="E523">
        <v>33</v>
      </c>
      <c r="F523" t="s">
        <v>36</v>
      </c>
      <c r="G523" t="s">
        <v>42</v>
      </c>
      <c r="H523" t="s">
        <v>26</v>
      </c>
      <c r="I523" t="s">
        <v>68</v>
      </c>
      <c r="J523" t="s">
        <v>69</v>
      </c>
      <c r="K523">
        <v>2</v>
      </c>
      <c r="L523" t="s">
        <v>34</v>
      </c>
      <c r="M523">
        <v>58000</v>
      </c>
      <c r="N523">
        <v>3.2</v>
      </c>
      <c r="O523">
        <v>11.7</v>
      </c>
      <c r="P523">
        <v>7.4</v>
      </c>
      <c r="Q523">
        <v>1.6</v>
      </c>
      <c r="R523">
        <v>4</v>
      </c>
      <c r="S523">
        <v>4</v>
      </c>
      <c r="T523">
        <v>3</v>
      </c>
      <c r="U523" t="s">
        <v>30</v>
      </c>
      <c r="V523">
        <v>3</v>
      </c>
      <c r="W523">
        <v>1</v>
      </c>
    </row>
    <row r="524" spans="1:23" x14ac:dyDescent="0.35">
      <c r="A524" t="s">
        <v>1403</v>
      </c>
      <c r="B524" s="6">
        <v>45190</v>
      </c>
      <c r="D524" t="s">
        <v>23</v>
      </c>
      <c r="E524">
        <v>29</v>
      </c>
      <c r="F524" t="s">
        <v>24</v>
      </c>
      <c r="G524" t="s">
        <v>42</v>
      </c>
      <c r="H524" t="s">
        <v>32</v>
      </c>
      <c r="I524" t="s">
        <v>45</v>
      </c>
      <c r="J524" t="s">
        <v>97</v>
      </c>
      <c r="K524">
        <v>4</v>
      </c>
      <c r="L524" t="s">
        <v>34</v>
      </c>
      <c r="M524">
        <v>93000</v>
      </c>
      <c r="N524">
        <v>7</v>
      </c>
      <c r="O524">
        <v>7</v>
      </c>
      <c r="P524">
        <v>2.2999999999999998</v>
      </c>
      <c r="Q524">
        <v>1.3</v>
      </c>
      <c r="R524">
        <v>2</v>
      </c>
      <c r="S524">
        <v>3</v>
      </c>
      <c r="T524">
        <v>4</v>
      </c>
      <c r="U524" t="s">
        <v>23</v>
      </c>
      <c r="V524">
        <v>3</v>
      </c>
      <c r="W524">
        <v>1</v>
      </c>
    </row>
    <row r="525" spans="1:23" x14ac:dyDescent="0.35">
      <c r="A525" t="s">
        <v>595</v>
      </c>
      <c r="B525" s="6">
        <v>44319</v>
      </c>
      <c r="D525" t="s">
        <v>23</v>
      </c>
      <c r="E525">
        <v>30</v>
      </c>
      <c r="F525" t="s">
        <v>36</v>
      </c>
      <c r="G525" t="s">
        <v>37</v>
      </c>
      <c r="H525" t="s">
        <v>54</v>
      </c>
      <c r="I525" t="s">
        <v>59</v>
      </c>
      <c r="J525" t="s">
        <v>60</v>
      </c>
      <c r="K525">
        <v>2</v>
      </c>
      <c r="L525" t="s">
        <v>34</v>
      </c>
      <c r="M525">
        <v>65000</v>
      </c>
      <c r="N525">
        <v>10.3</v>
      </c>
      <c r="O525">
        <v>5.7</v>
      </c>
      <c r="P525">
        <v>4.7</v>
      </c>
      <c r="Q525">
        <v>4.4000000000000004</v>
      </c>
      <c r="R525">
        <v>3</v>
      </c>
      <c r="S525">
        <v>1</v>
      </c>
      <c r="T525">
        <v>4</v>
      </c>
      <c r="U525" t="s">
        <v>23</v>
      </c>
      <c r="V525">
        <v>4</v>
      </c>
      <c r="W525">
        <v>1</v>
      </c>
    </row>
    <row r="526" spans="1:23" x14ac:dyDescent="0.35">
      <c r="A526" t="s">
        <v>346</v>
      </c>
      <c r="B526" s="6">
        <v>42962</v>
      </c>
      <c r="D526" t="s">
        <v>23</v>
      </c>
      <c r="E526">
        <v>37</v>
      </c>
      <c r="F526" t="s">
        <v>62</v>
      </c>
      <c r="G526" t="s">
        <v>25</v>
      </c>
      <c r="H526" t="s">
        <v>54</v>
      </c>
      <c r="I526" t="s">
        <v>45</v>
      </c>
      <c r="J526" t="s">
        <v>46</v>
      </c>
      <c r="K526">
        <v>3</v>
      </c>
      <c r="L526" t="s">
        <v>34</v>
      </c>
      <c r="M526">
        <v>62000</v>
      </c>
      <c r="N526">
        <v>13.2</v>
      </c>
      <c r="O526">
        <v>8.6</v>
      </c>
      <c r="P526">
        <v>8.4</v>
      </c>
      <c r="Q526">
        <v>0.8</v>
      </c>
      <c r="R526">
        <v>3</v>
      </c>
      <c r="S526">
        <v>4</v>
      </c>
      <c r="T526">
        <v>4</v>
      </c>
      <c r="U526" t="s">
        <v>23</v>
      </c>
      <c r="V526">
        <v>4</v>
      </c>
      <c r="W526">
        <v>1</v>
      </c>
    </row>
    <row r="527" spans="1:23" x14ac:dyDescent="0.35">
      <c r="A527" t="s">
        <v>859</v>
      </c>
      <c r="B527" s="6">
        <v>44262</v>
      </c>
      <c r="D527" t="s">
        <v>23</v>
      </c>
      <c r="E527">
        <v>38</v>
      </c>
      <c r="F527" t="s">
        <v>62</v>
      </c>
      <c r="G527" t="s">
        <v>25</v>
      </c>
      <c r="H527" t="s">
        <v>54</v>
      </c>
      <c r="I527" t="s">
        <v>55</v>
      </c>
      <c r="J527" t="s">
        <v>80</v>
      </c>
      <c r="K527">
        <v>1</v>
      </c>
      <c r="L527" t="s">
        <v>50</v>
      </c>
      <c r="M527">
        <v>30000</v>
      </c>
      <c r="N527">
        <v>2.8</v>
      </c>
      <c r="O527">
        <v>9.9</v>
      </c>
      <c r="P527">
        <v>4.8</v>
      </c>
      <c r="Q527">
        <v>1.5</v>
      </c>
      <c r="R527">
        <v>3</v>
      </c>
      <c r="S527">
        <v>2</v>
      </c>
      <c r="T527">
        <v>3</v>
      </c>
      <c r="U527" t="s">
        <v>23</v>
      </c>
      <c r="V527">
        <v>3</v>
      </c>
      <c r="W527">
        <v>1</v>
      </c>
    </row>
    <row r="528" spans="1:23" x14ac:dyDescent="0.35">
      <c r="A528" t="s">
        <v>254</v>
      </c>
      <c r="B528" s="6">
        <v>41798</v>
      </c>
      <c r="D528" t="s">
        <v>23</v>
      </c>
      <c r="E528">
        <v>36</v>
      </c>
      <c r="F528" t="s">
        <v>36</v>
      </c>
      <c r="G528" t="s">
        <v>42</v>
      </c>
      <c r="H528" t="s">
        <v>32</v>
      </c>
      <c r="I528" t="s">
        <v>255</v>
      </c>
      <c r="J528" t="s">
        <v>179</v>
      </c>
      <c r="K528">
        <v>1</v>
      </c>
      <c r="L528" t="s">
        <v>50</v>
      </c>
      <c r="M528">
        <v>31000</v>
      </c>
      <c r="N528">
        <v>5.5</v>
      </c>
      <c r="O528">
        <v>12.1</v>
      </c>
      <c r="P528">
        <v>11.6</v>
      </c>
      <c r="Q528">
        <v>0.3</v>
      </c>
      <c r="R528">
        <v>2</v>
      </c>
      <c r="S528">
        <v>3</v>
      </c>
      <c r="T528">
        <v>2</v>
      </c>
      <c r="U528" t="s">
        <v>23</v>
      </c>
      <c r="V528">
        <v>4</v>
      </c>
      <c r="W528">
        <v>1</v>
      </c>
    </row>
    <row r="529" spans="1:23" x14ac:dyDescent="0.35">
      <c r="A529" t="s">
        <v>896</v>
      </c>
      <c r="B529" s="6">
        <v>45092</v>
      </c>
      <c r="D529" t="s">
        <v>23</v>
      </c>
      <c r="E529">
        <v>25</v>
      </c>
      <c r="F529" t="s">
        <v>62</v>
      </c>
      <c r="G529" t="s">
        <v>25</v>
      </c>
      <c r="H529" t="s">
        <v>58</v>
      </c>
      <c r="I529" t="s">
        <v>55</v>
      </c>
      <c r="J529" t="s">
        <v>80</v>
      </c>
      <c r="K529">
        <v>1</v>
      </c>
      <c r="L529" t="s">
        <v>66</v>
      </c>
      <c r="M529">
        <v>54000</v>
      </c>
      <c r="N529">
        <v>5.4</v>
      </c>
      <c r="O529">
        <v>3.6</v>
      </c>
      <c r="P529">
        <v>2.5</v>
      </c>
      <c r="Q529">
        <v>0.5</v>
      </c>
      <c r="R529">
        <v>4</v>
      </c>
      <c r="S529">
        <v>3</v>
      </c>
      <c r="T529">
        <v>3</v>
      </c>
      <c r="U529" t="s">
        <v>30</v>
      </c>
      <c r="V529">
        <v>3</v>
      </c>
      <c r="W529">
        <v>1</v>
      </c>
    </row>
    <row r="530" spans="1:23" x14ac:dyDescent="0.35">
      <c r="A530" t="s">
        <v>794</v>
      </c>
      <c r="B530" s="6">
        <v>45884</v>
      </c>
      <c r="D530" t="s">
        <v>23</v>
      </c>
      <c r="E530">
        <v>31</v>
      </c>
      <c r="F530" t="s">
        <v>62</v>
      </c>
      <c r="G530" t="s">
        <v>37</v>
      </c>
      <c r="H530" t="s">
        <v>26</v>
      </c>
      <c r="I530" t="s">
        <v>55</v>
      </c>
      <c r="J530" t="s">
        <v>80</v>
      </c>
      <c r="K530">
        <v>2</v>
      </c>
      <c r="L530" t="s">
        <v>84</v>
      </c>
      <c r="M530">
        <v>67000</v>
      </c>
      <c r="N530">
        <v>6.8</v>
      </c>
      <c r="O530">
        <v>6.8</v>
      </c>
      <c r="P530">
        <v>0.4</v>
      </c>
      <c r="Q530">
        <v>0</v>
      </c>
      <c r="R530">
        <v>1</v>
      </c>
      <c r="S530">
        <v>4</v>
      </c>
      <c r="T530">
        <v>4</v>
      </c>
      <c r="U530" t="s">
        <v>30</v>
      </c>
      <c r="V530">
        <v>3</v>
      </c>
      <c r="W530">
        <v>1</v>
      </c>
    </row>
    <row r="531" spans="1:23" x14ac:dyDescent="0.35">
      <c r="A531" t="s">
        <v>44</v>
      </c>
      <c r="B531" s="6">
        <v>42312</v>
      </c>
      <c r="D531" t="s">
        <v>23</v>
      </c>
      <c r="E531">
        <v>33</v>
      </c>
      <c r="F531" t="s">
        <v>36</v>
      </c>
      <c r="G531" t="s">
        <v>25</v>
      </c>
      <c r="H531" t="s">
        <v>32</v>
      </c>
      <c r="I531" t="s">
        <v>45</v>
      </c>
      <c r="J531" t="s">
        <v>46</v>
      </c>
      <c r="K531">
        <v>2</v>
      </c>
      <c r="L531" t="s">
        <v>29</v>
      </c>
      <c r="M531">
        <v>40000</v>
      </c>
      <c r="N531">
        <v>12</v>
      </c>
      <c r="O531">
        <v>17</v>
      </c>
      <c r="P531">
        <v>10.199999999999999</v>
      </c>
      <c r="Q531">
        <v>2.5</v>
      </c>
      <c r="R531">
        <v>3</v>
      </c>
      <c r="S531">
        <v>2</v>
      </c>
      <c r="T531">
        <v>3</v>
      </c>
      <c r="U531" t="s">
        <v>23</v>
      </c>
      <c r="V531">
        <v>3</v>
      </c>
      <c r="W531">
        <v>1</v>
      </c>
    </row>
    <row r="532" spans="1:23" x14ac:dyDescent="0.35">
      <c r="A532" t="s">
        <v>451</v>
      </c>
      <c r="B532" s="6">
        <v>42217</v>
      </c>
      <c r="D532" t="s">
        <v>23</v>
      </c>
      <c r="E532">
        <v>31</v>
      </c>
      <c r="F532" t="s">
        <v>24</v>
      </c>
      <c r="G532" t="s">
        <v>42</v>
      </c>
      <c r="H532" t="s">
        <v>54</v>
      </c>
      <c r="I532" t="s">
        <v>27</v>
      </c>
      <c r="J532" t="s">
        <v>43</v>
      </c>
      <c r="K532">
        <v>2</v>
      </c>
      <c r="L532" t="s">
        <v>66</v>
      </c>
      <c r="M532">
        <v>42000</v>
      </c>
      <c r="N532">
        <v>0</v>
      </c>
      <c r="O532">
        <v>15.4</v>
      </c>
      <c r="P532">
        <v>10.4</v>
      </c>
      <c r="Q532">
        <v>1.8</v>
      </c>
      <c r="R532">
        <v>4</v>
      </c>
      <c r="S532">
        <v>4</v>
      </c>
      <c r="T532">
        <v>3</v>
      </c>
      <c r="U532" t="s">
        <v>30</v>
      </c>
      <c r="V532">
        <v>4</v>
      </c>
      <c r="W532">
        <v>1</v>
      </c>
    </row>
    <row r="533" spans="1:23" x14ac:dyDescent="0.35">
      <c r="A533" t="s">
        <v>194</v>
      </c>
      <c r="B533" s="6">
        <v>45463</v>
      </c>
      <c r="D533" t="s">
        <v>23</v>
      </c>
      <c r="E533">
        <v>50</v>
      </c>
      <c r="F533" t="s">
        <v>62</v>
      </c>
      <c r="G533" t="s">
        <v>42</v>
      </c>
      <c r="H533" t="s">
        <v>54</v>
      </c>
      <c r="I533" t="s">
        <v>38</v>
      </c>
      <c r="J533" t="s">
        <v>39</v>
      </c>
      <c r="K533">
        <v>1</v>
      </c>
      <c r="L533" t="s">
        <v>84</v>
      </c>
      <c r="M533">
        <v>45000</v>
      </c>
      <c r="N533">
        <v>8.9</v>
      </c>
      <c r="O533">
        <v>3.6</v>
      </c>
      <c r="P533">
        <v>1.5</v>
      </c>
      <c r="Q533">
        <v>0.8</v>
      </c>
      <c r="R533">
        <v>3</v>
      </c>
      <c r="S533">
        <v>3</v>
      </c>
      <c r="T533">
        <v>2</v>
      </c>
      <c r="U533" t="s">
        <v>23</v>
      </c>
      <c r="V533">
        <v>4</v>
      </c>
      <c r="W533">
        <v>1</v>
      </c>
    </row>
    <row r="534" spans="1:23" x14ac:dyDescent="0.35">
      <c r="A534" t="s">
        <v>1552</v>
      </c>
      <c r="B534" s="6">
        <v>44218</v>
      </c>
      <c r="D534" t="s">
        <v>23</v>
      </c>
      <c r="E534">
        <v>33</v>
      </c>
      <c r="F534" t="s">
        <v>24</v>
      </c>
      <c r="G534" t="s">
        <v>25</v>
      </c>
      <c r="H534" t="s">
        <v>54</v>
      </c>
      <c r="I534" t="s">
        <v>45</v>
      </c>
      <c r="J534" t="s">
        <v>46</v>
      </c>
      <c r="K534">
        <v>4</v>
      </c>
      <c r="L534" t="s">
        <v>40</v>
      </c>
      <c r="M534">
        <v>108000</v>
      </c>
      <c r="N534">
        <v>4.3</v>
      </c>
      <c r="O534">
        <v>7.6</v>
      </c>
      <c r="P534">
        <v>4.9000000000000004</v>
      </c>
      <c r="Q534">
        <v>3.7</v>
      </c>
      <c r="R534">
        <v>2</v>
      </c>
      <c r="S534">
        <v>3</v>
      </c>
      <c r="T534">
        <v>2</v>
      </c>
      <c r="U534" t="s">
        <v>30</v>
      </c>
      <c r="V534">
        <v>4</v>
      </c>
      <c r="W534">
        <v>1</v>
      </c>
    </row>
    <row r="535" spans="1:23" x14ac:dyDescent="0.35">
      <c r="A535" t="s">
        <v>620</v>
      </c>
      <c r="B535" s="6">
        <v>45184</v>
      </c>
      <c r="C535">
        <v>45154</v>
      </c>
      <c r="D535" t="s">
        <v>30</v>
      </c>
      <c r="E535">
        <v>38</v>
      </c>
      <c r="F535" t="s">
        <v>24</v>
      </c>
      <c r="G535" t="s">
        <v>42</v>
      </c>
      <c r="H535" t="s">
        <v>58</v>
      </c>
      <c r="I535" t="s">
        <v>48</v>
      </c>
      <c r="J535" t="s">
        <v>129</v>
      </c>
      <c r="K535">
        <v>4</v>
      </c>
      <c r="L535" t="s">
        <v>40</v>
      </c>
      <c r="M535">
        <v>121000</v>
      </c>
      <c r="N535">
        <v>10.8</v>
      </c>
      <c r="O535">
        <v>6.6</v>
      </c>
      <c r="P535">
        <v>2.2999999999999998</v>
      </c>
      <c r="Q535">
        <v>0.9</v>
      </c>
      <c r="R535">
        <v>2</v>
      </c>
      <c r="S535">
        <v>2</v>
      </c>
      <c r="T535">
        <v>4</v>
      </c>
      <c r="U535" t="s">
        <v>30</v>
      </c>
      <c r="V535">
        <v>4</v>
      </c>
      <c r="W535">
        <v>1</v>
      </c>
    </row>
    <row r="536" spans="1:23" x14ac:dyDescent="0.35">
      <c r="A536" t="s">
        <v>865</v>
      </c>
      <c r="B536" s="6">
        <v>43638</v>
      </c>
      <c r="D536" t="s">
        <v>23</v>
      </c>
      <c r="E536">
        <v>38</v>
      </c>
      <c r="F536" t="s">
        <v>36</v>
      </c>
      <c r="G536" t="s">
        <v>37</v>
      </c>
      <c r="H536" t="s">
        <v>26</v>
      </c>
      <c r="I536" t="s">
        <v>55</v>
      </c>
      <c r="J536" t="s">
        <v>56</v>
      </c>
      <c r="K536">
        <v>4</v>
      </c>
      <c r="L536" t="s">
        <v>50</v>
      </c>
      <c r="M536">
        <v>134000</v>
      </c>
      <c r="N536">
        <v>7.6</v>
      </c>
      <c r="O536">
        <v>10.7</v>
      </c>
      <c r="P536">
        <v>6.5</v>
      </c>
      <c r="Q536">
        <v>4</v>
      </c>
      <c r="R536">
        <v>1</v>
      </c>
      <c r="S536">
        <v>3</v>
      </c>
      <c r="T536">
        <v>2</v>
      </c>
      <c r="U536" t="s">
        <v>23</v>
      </c>
      <c r="V536">
        <v>4</v>
      </c>
      <c r="W536">
        <v>1</v>
      </c>
    </row>
    <row r="537" spans="1:23" x14ac:dyDescent="0.35">
      <c r="A537" t="s">
        <v>279</v>
      </c>
      <c r="B537" s="6">
        <v>41944</v>
      </c>
      <c r="C537">
        <v>45873</v>
      </c>
      <c r="D537" t="s">
        <v>30</v>
      </c>
      <c r="E537">
        <v>34</v>
      </c>
      <c r="F537" t="s">
        <v>24</v>
      </c>
      <c r="G537" t="s">
        <v>25</v>
      </c>
      <c r="H537" t="s">
        <v>32</v>
      </c>
      <c r="I537" t="s">
        <v>59</v>
      </c>
      <c r="J537" t="s">
        <v>60</v>
      </c>
      <c r="K537">
        <v>3</v>
      </c>
      <c r="L537" t="s">
        <v>29</v>
      </c>
      <c r="M537">
        <v>89000</v>
      </c>
      <c r="N537">
        <v>4</v>
      </c>
      <c r="O537">
        <v>11</v>
      </c>
      <c r="P537">
        <v>10.8</v>
      </c>
      <c r="Q537">
        <v>0.1</v>
      </c>
      <c r="R537">
        <v>2</v>
      </c>
      <c r="S537">
        <v>4</v>
      </c>
      <c r="T537">
        <v>3</v>
      </c>
      <c r="U537" t="s">
        <v>23</v>
      </c>
      <c r="V537">
        <v>2</v>
      </c>
      <c r="W537">
        <v>1</v>
      </c>
    </row>
    <row r="538" spans="1:23" x14ac:dyDescent="0.35">
      <c r="A538" t="s">
        <v>1505</v>
      </c>
      <c r="B538" s="6">
        <v>45453</v>
      </c>
      <c r="D538" t="s">
        <v>23</v>
      </c>
      <c r="E538">
        <v>34</v>
      </c>
      <c r="F538" t="s">
        <v>36</v>
      </c>
      <c r="G538" t="s">
        <v>42</v>
      </c>
      <c r="H538" t="s">
        <v>32</v>
      </c>
      <c r="I538" t="s">
        <v>55</v>
      </c>
      <c r="J538" t="s">
        <v>56</v>
      </c>
      <c r="K538">
        <v>2</v>
      </c>
      <c r="L538" t="s">
        <v>50</v>
      </c>
      <c r="M538">
        <v>62000</v>
      </c>
      <c r="N538">
        <v>9.6999999999999993</v>
      </c>
      <c r="O538">
        <v>3.2</v>
      </c>
      <c r="P538">
        <v>1.6</v>
      </c>
      <c r="Q538">
        <v>0.9</v>
      </c>
      <c r="R538">
        <v>3</v>
      </c>
      <c r="S538">
        <v>4</v>
      </c>
      <c r="T538">
        <v>2</v>
      </c>
      <c r="U538" t="s">
        <v>23</v>
      </c>
      <c r="V538">
        <v>3</v>
      </c>
      <c r="W538">
        <v>1</v>
      </c>
    </row>
    <row r="539" spans="1:23" x14ac:dyDescent="0.35">
      <c r="A539" t="s">
        <v>252</v>
      </c>
      <c r="B539" s="6">
        <v>45081</v>
      </c>
      <c r="D539" t="s">
        <v>23</v>
      </c>
      <c r="E539">
        <v>31</v>
      </c>
      <c r="F539" t="s">
        <v>36</v>
      </c>
      <c r="G539" t="s">
        <v>37</v>
      </c>
      <c r="H539" t="s">
        <v>32</v>
      </c>
      <c r="I539" t="s">
        <v>48</v>
      </c>
      <c r="J539" t="s">
        <v>129</v>
      </c>
      <c r="K539">
        <v>1</v>
      </c>
      <c r="L539" t="s">
        <v>84</v>
      </c>
      <c r="M539">
        <v>48000</v>
      </c>
      <c r="N539">
        <v>2.6</v>
      </c>
      <c r="O539">
        <v>7.6</v>
      </c>
      <c r="P539">
        <v>2.6</v>
      </c>
      <c r="Q539">
        <v>0.1</v>
      </c>
      <c r="R539">
        <v>3</v>
      </c>
      <c r="S539">
        <v>4</v>
      </c>
      <c r="T539">
        <v>3</v>
      </c>
      <c r="U539" t="s">
        <v>30</v>
      </c>
      <c r="V539">
        <v>4</v>
      </c>
      <c r="W539">
        <v>1</v>
      </c>
    </row>
    <row r="540" spans="1:23" x14ac:dyDescent="0.35">
      <c r="A540" t="s">
        <v>1476</v>
      </c>
      <c r="B540" s="6">
        <v>42937</v>
      </c>
      <c r="D540" t="s">
        <v>23</v>
      </c>
      <c r="E540">
        <v>32</v>
      </c>
      <c r="F540" t="s">
        <v>36</v>
      </c>
      <c r="G540" t="s">
        <v>37</v>
      </c>
      <c r="H540" t="s">
        <v>58</v>
      </c>
      <c r="I540" t="s">
        <v>38</v>
      </c>
      <c r="J540" t="s">
        <v>39</v>
      </c>
      <c r="K540">
        <v>5</v>
      </c>
      <c r="L540" t="s">
        <v>50</v>
      </c>
      <c r="M540">
        <v>158000</v>
      </c>
      <c r="N540">
        <v>8.3000000000000007</v>
      </c>
      <c r="O540">
        <v>11.1</v>
      </c>
      <c r="P540">
        <v>8.4</v>
      </c>
      <c r="Q540">
        <v>3.8</v>
      </c>
      <c r="R540">
        <v>4</v>
      </c>
      <c r="S540">
        <v>4</v>
      </c>
      <c r="T540">
        <v>3</v>
      </c>
      <c r="U540" t="s">
        <v>23</v>
      </c>
      <c r="V540">
        <v>4</v>
      </c>
      <c r="W540">
        <v>1</v>
      </c>
    </row>
    <row r="541" spans="1:23" x14ac:dyDescent="0.35">
      <c r="A541" t="s">
        <v>940</v>
      </c>
      <c r="B541" s="6">
        <v>43175</v>
      </c>
      <c r="D541" t="s">
        <v>23</v>
      </c>
      <c r="E541">
        <v>33</v>
      </c>
      <c r="F541" t="s">
        <v>24</v>
      </c>
      <c r="G541" t="s">
        <v>25</v>
      </c>
      <c r="H541" t="s">
        <v>26</v>
      </c>
      <c r="I541" t="s">
        <v>27</v>
      </c>
      <c r="J541" t="s">
        <v>33</v>
      </c>
      <c r="K541">
        <v>2</v>
      </c>
      <c r="L541" t="s">
        <v>50</v>
      </c>
      <c r="M541">
        <v>53000</v>
      </c>
      <c r="N541">
        <v>4</v>
      </c>
      <c r="O541">
        <v>9.6999999999999993</v>
      </c>
      <c r="P541">
        <v>7.8</v>
      </c>
      <c r="Q541">
        <v>3.7</v>
      </c>
      <c r="R541">
        <v>3</v>
      </c>
      <c r="S541">
        <v>4</v>
      </c>
      <c r="T541">
        <v>3</v>
      </c>
      <c r="U541" t="s">
        <v>30</v>
      </c>
      <c r="V541">
        <v>4</v>
      </c>
      <c r="W541">
        <v>1</v>
      </c>
    </row>
    <row r="542" spans="1:23" x14ac:dyDescent="0.35">
      <c r="A542" t="s">
        <v>238</v>
      </c>
      <c r="B542" s="6">
        <v>45197</v>
      </c>
      <c r="D542" t="s">
        <v>23</v>
      </c>
      <c r="E542">
        <v>30</v>
      </c>
      <c r="F542" t="s">
        <v>36</v>
      </c>
      <c r="G542" t="s">
        <v>25</v>
      </c>
      <c r="H542" t="s">
        <v>26</v>
      </c>
      <c r="I542" t="s">
        <v>55</v>
      </c>
      <c r="J542" t="s">
        <v>88</v>
      </c>
      <c r="K542">
        <v>3</v>
      </c>
      <c r="L542" t="s">
        <v>66</v>
      </c>
      <c r="M542">
        <v>87000</v>
      </c>
      <c r="N542">
        <v>14.1</v>
      </c>
      <c r="O542">
        <v>8.1</v>
      </c>
      <c r="P542">
        <v>2.2999999999999998</v>
      </c>
      <c r="Q542">
        <v>2.2999999999999998</v>
      </c>
      <c r="R542">
        <v>3</v>
      </c>
      <c r="S542">
        <v>3</v>
      </c>
      <c r="T542">
        <v>4</v>
      </c>
      <c r="U542" t="s">
        <v>23</v>
      </c>
      <c r="V542">
        <v>2</v>
      </c>
      <c r="W542">
        <v>1</v>
      </c>
    </row>
    <row r="543" spans="1:23" x14ac:dyDescent="0.35">
      <c r="A543" t="s">
        <v>1213</v>
      </c>
      <c r="B543" s="6">
        <v>44800</v>
      </c>
      <c r="D543" t="s">
        <v>23</v>
      </c>
      <c r="E543">
        <v>25</v>
      </c>
      <c r="F543" t="s">
        <v>24</v>
      </c>
      <c r="G543" t="s">
        <v>25</v>
      </c>
      <c r="H543" t="s">
        <v>32</v>
      </c>
      <c r="I543" t="s">
        <v>59</v>
      </c>
      <c r="J543" t="s">
        <v>60</v>
      </c>
      <c r="K543">
        <v>1</v>
      </c>
      <c r="L543" t="s">
        <v>66</v>
      </c>
      <c r="M543">
        <v>35000</v>
      </c>
      <c r="N543">
        <v>11</v>
      </c>
      <c r="O543">
        <v>6</v>
      </c>
      <c r="P543">
        <v>3.3</v>
      </c>
      <c r="Q543">
        <v>0.8</v>
      </c>
      <c r="R543">
        <v>1</v>
      </c>
      <c r="S543">
        <v>3</v>
      </c>
      <c r="T543">
        <v>4</v>
      </c>
      <c r="U543" t="s">
        <v>23</v>
      </c>
      <c r="V543">
        <v>4</v>
      </c>
      <c r="W543">
        <v>1</v>
      </c>
    </row>
    <row r="544" spans="1:23" x14ac:dyDescent="0.35">
      <c r="A544" t="s">
        <v>438</v>
      </c>
      <c r="B544" s="6">
        <v>45129</v>
      </c>
      <c r="D544" t="s">
        <v>23</v>
      </c>
      <c r="E544">
        <v>44</v>
      </c>
      <c r="F544" t="s">
        <v>24</v>
      </c>
      <c r="G544" t="s">
        <v>25</v>
      </c>
      <c r="H544" t="s">
        <v>32</v>
      </c>
      <c r="I544" t="s">
        <v>59</v>
      </c>
      <c r="J544" t="s">
        <v>60</v>
      </c>
      <c r="K544">
        <v>3</v>
      </c>
      <c r="L544" t="s">
        <v>40</v>
      </c>
      <c r="M544">
        <v>66000</v>
      </c>
      <c r="N544">
        <v>5.8</v>
      </c>
      <c r="O544">
        <v>10.1</v>
      </c>
      <c r="P544">
        <v>2.4</v>
      </c>
      <c r="Q544">
        <v>0.1</v>
      </c>
      <c r="R544">
        <v>1</v>
      </c>
      <c r="S544">
        <v>4</v>
      </c>
      <c r="T544">
        <v>4</v>
      </c>
      <c r="U544" t="s">
        <v>23</v>
      </c>
      <c r="V544">
        <v>2</v>
      </c>
      <c r="W544">
        <v>1</v>
      </c>
    </row>
    <row r="545" spans="1:23" x14ac:dyDescent="0.35">
      <c r="A545" t="s">
        <v>232</v>
      </c>
      <c r="B545" s="6">
        <v>44088</v>
      </c>
      <c r="D545" t="s">
        <v>23</v>
      </c>
      <c r="E545">
        <v>31</v>
      </c>
      <c r="F545" t="s">
        <v>36</v>
      </c>
      <c r="G545" t="s">
        <v>37</v>
      </c>
      <c r="H545" t="s">
        <v>58</v>
      </c>
      <c r="I545" t="s">
        <v>27</v>
      </c>
      <c r="J545" t="s">
        <v>43</v>
      </c>
      <c r="K545">
        <v>2</v>
      </c>
      <c r="L545" t="s">
        <v>34</v>
      </c>
      <c r="M545">
        <v>55000</v>
      </c>
      <c r="N545">
        <v>12.9</v>
      </c>
      <c r="O545">
        <v>10.1</v>
      </c>
      <c r="P545">
        <v>5.3</v>
      </c>
      <c r="Q545">
        <v>1.6</v>
      </c>
      <c r="R545">
        <v>2</v>
      </c>
      <c r="S545">
        <v>3</v>
      </c>
      <c r="T545">
        <v>4</v>
      </c>
      <c r="U545" t="s">
        <v>30</v>
      </c>
      <c r="V545">
        <v>3</v>
      </c>
      <c r="W545">
        <v>1</v>
      </c>
    </row>
    <row r="546" spans="1:23" x14ac:dyDescent="0.35">
      <c r="A546" t="s">
        <v>919</v>
      </c>
      <c r="B546" s="6">
        <v>44261</v>
      </c>
      <c r="D546" t="s">
        <v>23</v>
      </c>
      <c r="E546">
        <v>31</v>
      </c>
      <c r="F546" t="s">
        <v>36</v>
      </c>
      <c r="G546" t="s">
        <v>25</v>
      </c>
      <c r="H546" t="s">
        <v>32</v>
      </c>
      <c r="I546" t="s">
        <v>48</v>
      </c>
      <c r="J546" t="s">
        <v>49</v>
      </c>
      <c r="K546">
        <v>3</v>
      </c>
      <c r="L546" t="s">
        <v>66</v>
      </c>
      <c r="M546">
        <v>81000</v>
      </c>
      <c r="N546">
        <v>5.7</v>
      </c>
      <c r="O546">
        <v>12.5</v>
      </c>
      <c r="P546">
        <v>4.8</v>
      </c>
      <c r="Q546">
        <v>2.2999999999999998</v>
      </c>
      <c r="R546">
        <v>3</v>
      </c>
      <c r="S546">
        <v>4</v>
      </c>
      <c r="T546">
        <v>3</v>
      </c>
      <c r="U546" t="s">
        <v>23</v>
      </c>
      <c r="V546">
        <v>2</v>
      </c>
      <c r="W546">
        <v>1</v>
      </c>
    </row>
    <row r="547" spans="1:23" x14ac:dyDescent="0.35">
      <c r="A547" t="s">
        <v>717</v>
      </c>
      <c r="B547" s="6">
        <v>45753</v>
      </c>
      <c r="D547" t="s">
        <v>23</v>
      </c>
      <c r="E547">
        <v>22</v>
      </c>
      <c r="F547" t="s">
        <v>24</v>
      </c>
      <c r="G547" t="s">
        <v>37</v>
      </c>
      <c r="H547" t="s">
        <v>26</v>
      </c>
      <c r="I547" t="s">
        <v>45</v>
      </c>
      <c r="J547" t="s">
        <v>97</v>
      </c>
      <c r="K547">
        <v>1</v>
      </c>
      <c r="L547" t="s">
        <v>66</v>
      </c>
      <c r="M547">
        <v>33000</v>
      </c>
      <c r="N547">
        <v>17.100000000000001</v>
      </c>
      <c r="O547">
        <v>5.6</v>
      </c>
      <c r="P547">
        <v>0.7</v>
      </c>
      <c r="Q547">
        <v>0</v>
      </c>
      <c r="R547">
        <v>3</v>
      </c>
      <c r="S547">
        <v>2</v>
      </c>
      <c r="T547">
        <v>3</v>
      </c>
      <c r="U547" t="s">
        <v>23</v>
      </c>
      <c r="V547">
        <v>2</v>
      </c>
      <c r="W547">
        <v>1</v>
      </c>
    </row>
    <row r="548" spans="1:23" x14ac:dyDescent="0.35">
      <c r="A548" t="s">
        <v>1384</v>
      </c>
      <c r="B548" s="6">
        <v>41957</v>
      </c>
      <c r="D548" t="s">
        <v>23</v>
      </c>
      <c r="E548">
        <v>32</v>
      </c>
      <c r="F548" t="s">
        <v>24</v>
      </c>
      <c r="G548" t="s">
        <v>42</v>
      </c>
      <c r="H548" t="s">
        <v>32</v>
      </c>
      <c r="I548" t="s">
        <v>45</v>
      </c>
      <c r="J548" t="s">
        <v>77</v>
      </c>
      <c r="K548">
        <v>3</v>
      </c>
      <c r="L548" t="s">
        <v>40</v>
      </c>
      <c r="M548">
        <v>69000</v>
      </c>
      <c r="N548">
        <v>8.3000000000000007</v>
      </c>
      <c r="O548">
        <v>15</v>
      </c>
      <c r="P548">
        <v>11.1</v>
      </c>
      <c r="Q548">
        <v>3.8</v>
      </c>
      <c r="R548">
        <v>4</v>
      </c>
      <c r="S548">
        <v>3</v>
      </c>
      <c r="T548">
        <v>3</v>
      </c>
      <c r="U548" t="s">
        <v>23</v>
      </c>
      <c r="V548">
        <v>1</v>
      </c>
      <c r="W548">
        <v>1</v>
      </c>
    </row>
    <row r="549" spans="1:23" x14ac:dyDescent="0.35">
      <c r="A549" t="s">
        <v>961</v>
      </c>
      <c r="B549" s="6">
        <v>45668</v>
      </c>
      <c r="D549" t="s">
        <v>23</v>
      </c>
      <c r="E549">
        <v>21</v>
      </c>
      <c r="F549" t="s">
        <v>36</v>
      </c>
      <c r="G549" t="s">
        <v>25</v>
      </c>
      <c r="H549" t="s">
        <v>32</v>
      </c>
      <c r="I549" t="s">
        <v>59</v>
      </c>
      <c r="J549" t="s">
        <v>60</v>
      </c>
      <c r="K549">
        <v>1</v>
      </c>
      <c r="L549" t="s">
        <v>40</v>
      </c>
      <c r="M549">
        <v>47000</v>
      </c>
      <c r="N549">
        <v>3.3</v>
      </c>
      <c r="O549">
        <v>6.6</v>
      </c>
      <c r="P549">
        <v>1</v>
      </c>
      <c r="Q549">
        <v>0.6</v>
      </c>
      <c r="R549">
        <v>4</v>
      </c>
      <c r="S549">
        <v>3</v>
      </c>
      <c r="T549">
        <v>1</v>
      </c>
      <c r="U549" t="s">
        <v>23</v>
      </c>
      <c r="V549">
        <v>3</v>
      </c>
      <c r="W549">
        <v>1</v>
      </c>
    </row>
    <row r="550" spans="1:23" x14ac:dyDescent="0.35">
      <c r="A550" t="s">
        <v>61</v>
      </c>
      <c r="B550" s="6">
        <v>44632</v>
      </c>
      <c r="D550" t="s">
        <v>23</v>
      </c>
      <c r="E550">
        <v>30</v>
      </c>
      <c r="F550" t="s">
        <v>62</v>
      </c>
      <c r="G550" t="s">
        <v>25</v>
      </c>
      <c r="H550" t="s">
        <v>32</v>
      </c>
      <c r="I550" t="s">
        <v>48</v>
      </c>
      <c r="J550" t="s">
        <v>63</v>
      </c>
      <c r="K550">
        <v>4</v>
      </c>
      <c r="L550" t="s">
        <v>50</v>
      </c>
      <c r="M550">
        <v>120000</v>
      </c>
      <c r="N550">
        <v>2.6</v>
      </c>
      <c r="O550">
        <v>5</v>
      </c>
      <c r="P550">
        <v>3.8</v>
      </c>
      <c r="Q550">
        <v>2.2999999999999998</v>
      </c>
      <c r="R550">
        <v>1</v>
      </c>
      <c r="S550">
        <v>4</v>
      </c>
      <c r="T550">
        <v>2</v>
      </c>
      <c r="U550" t="s">
        <v>23</v>
      </c>
      <c r="V550">
        <v>3</v>
      </c>
      <c r="W550">
        <v>1</v>
      </c>
    </row>
    <row r="551" spans="1:23" x14ac:dyDescent="0.35">
      <c r="A551" t="s">
        <v>61</v>
      </c>
      <c r="B551" s="6">
        <v>44632</v>
      </c>
      <c r="D551" t="s">
        <v>23</v>
      </c>
      <c r="E551">
        <v>30</v>
      </c>
      <c r="F551" t="s">
        <v>62</v>
      </c>
      <c r="G551" t="s">
        <v>25</v>
      </c>
      <c r="H551" t="s">
        <v>32</v>
      </c>
      <c r="I551" t="s">
        <v>48</v>
      </c>
      <c r="J551" t="s">
        <v>63</v>
      </c>
      <c r="K551">
        <v>4</v>
      </c>
      <c r="L551" t="s">
        <v>50</v>
      </c>
      <c r="M551">
        <v>120000</v>
      </c>
      <c r="N551">
        <v>2.6</v>
      </c>
      <c r="O551">
        <v>5</v>
      </c>
      <c r="P551">
        <v>3.8</v>
      </c>
      <c r="Q551">
        <v>2.2999999999999998</v>
      </c>
      <c r="R551">
        <v>1</v>
      </c>
      <c r="S551">
        <v>4</v>
      </c>
      <c r="T551">
        <v>2</v>
      </c>
      <c r="U551" t="s">
        <v>23</v>
      </c>
      <c r="V551">
        <v>3</v>
      </c>
      <c r="W551">
        <v>2</v>
      </c>
    </row>
    <row r="552" spans="1:23" x14ac:dyDescent="0.35">
      <c r="A552" t="s">
        <v>263</v>
      </c>
      <c r="B552" s="6">
        <v>41995</v>
      </c>
      <c r="D552" t="s">
        <v>23</v>
      </c>
      <c r="E552">
        <v>47</v>
      </c>
      <c r="F552" t="s">
        <v>36</v>
      </c>
      <c r="G552" t="s">
        <v>25</v>
      </c>
      <c r="H552" t="s">
        <v>54</v>
      </c>
      <c r="I552" t="s">
        <v>38</v>
      </c>
      <c r="J552" t="s">
        <v>118</v>
      </c>
      <c r="K552">
        <v>3</v>
      </c>
      <c r="L552" t="s">
        <v>66</v>
      </c>
      <c r="M552">
        <v>74000</v>
      </c>
      <c r="N552">
        <v>9.8000000000000007</v>
      </c>
      <c r="O552">
        <v>15.2</v>
      </c>
      <c r="P552">
        <v>11</v>
      </c>
      <c r="Q552">
        <v>1.1000000000000001</v>
      </c>
      <c r="R552">
        <v>3</v>
      </c>
      <c r="S552">
        <v>3</v>
      </c>
      <c r="T552">
        <v>4</v>
      </c>
      <c r="U552" t="s">
        <v>23</v>
      </c>
      <c r="V552">
        <v>3</v>
      </c>
      <c r="W552">
        <v>1</v>
      </c>
    </row>
    <row r="553" spans="1:23" x14ac:dyDescent="0.35">
      <c r="A553" t="s">
        <v>1036</v>
      </c>
      <c r="B553" s="6">
        <v>41963</v>
      </c>
      <c r="D553" t="s">
        <v>23</v>
      </c>
      <c r="E553">
        <v>36</v>
      </c>
      <c r="F553" t="s">
        <v>62</v>
      </c>
      <c r="G553" t="s">
        <v>42</v>
      </c>
      <c r="H553" t="s">
        <v>26</v>
      </c>
      <c r="I553" t="s">
        <v>68</v>
      </c>
      <c r="J553" t="s">
        <v>121</v>
      </c>
      <c r="K553">
        <v>3</v>
      </c>
      <c r="L553" t="s">
        <v>40</v>
      </c>
      <c r="M553">
        <v>77000</v>
      </c>
      <c r="N553">
        <v>6.4</v>
      </c>
      <c r="O553">
        <v>17.5</v>
      </c>
      <c r="P553">
        <v>11.1</v>
      </c>
      <c r="Q553">
        <v>4.9000000000000004</v>
      </c>
      <c r="R553">
        <v>2</v>
      </c>
      <c r="S553">
        <v>3</v>
      </c>
      <c r="T553">
        <v>2</v>
      </c>
      <c r="U553" t="s">
        <v>23</v>
      </c>
      <c r="V553">
        <v>4</v>
      </c>
      <c r="W553">
        <v>1</v>
      </c>
    </row>
    <row r="554" spans="1:23" x14ac:dyDescent="0.35">
      <c r="A554" t="s">
        <v>1280</v>
      </c>
      <c r="B554" s="6">
        <v>45614</v>
      </c>
      <c r="D554" t="s">
        <v>23</v>
      </c>
      <c r="E554">
        <v>46</v>
      </c>
      <c r="F554" t="s">
        <v>24</v>
      </c>
      <c r="G554" t="s">
        <v>25</v>
      </c>
      <c r="H554" t="s">
        <v>26</v>
      </c>
      <c r="I554" t="s">
        <v>59</v>
      </c>
      <c r="J554" t="s">
        <v>60</v>
      </c>
      <c r="K554">
        <v>1</v>
      </c>
      <c r="L554" t="s">
        <v>34</v>
      </c>
      <c r="M554">
        <v>31000</v>
      </c>
      <c r="N554">
        <v>11.9</v>
      </c>
      <c r="O554">
        <v>7</v>
      </c>
      <c r="P554">
        <v>1.1000000000000001</v>
      </c>
      <c r="Q554">
        <v>0.2</v>
      </c>
      <c r="R554">
        <v>3</v>
      </c>
      <c r="S554">
        <v>3</v>
      </c>
      <c r="T554">
        <v>3</v>
      </c>
      <c r="U554" t="s">
        <v>23</v>
      </c>
      <c r="V554">
        <v>3</v>
      </c>
      <c r="W554">
        <v>1</v>
      </c>
    </row>
    <row r="555" spans="1:23" x14ac:dyDescent="0.35">
      <c r="A555" t="s">
        <v>855</v>
      </c>
      <c r="B555" s="6">
        <v>45526</v>
      </c>
      <c r="D555" t="s">
        <v>23</v>
      </c>
      <c r="E555">
        <v>26</v>
      </c>
      <c r="F555" t="s">
        <v>62</v>
      </c>
      <c r="G555" t="s">
        <v>37</v>
      </c>
      <c r="H555" t="s">
        <v>26</v>
      </c>
      <c r="I555" t="s">
        <v>27</v>
      </c>
      <c r="J555" t="s">
        <v>95</v>
      </c>
      <c r="K555">
        <v>1</v>
      </c>
      <c r="L555" t="s">
        <v>84</v>
      </c>
      <c r="M555">
        <v>36000</v>
      </c>
      <c r="N555">
        <v>14.9</v>
      </c>
      <c r="O555">
        <v>3.4</v>
      </c>
      <c r="P555">
        <v>1.4</v>
      </c>
      <c r="Q555">
        <v>1.3</v>
      </c>
      <c r="R555">
        <v>2</v>
      </c>
      <c r="S555">
        <v>3</v>
      </c>
      <c r="T555">
        <v>3</v>
      </c>
      <c r="U555" t="s">
        <v>30</v>
      </c>
      <c r="V555">
        <v>4</v>
      </c>
      <c r="W555">
        <v>1</v>
      </c>
    </row>
    <row r="556" spans="1:23" x14ac:dyDescent="0.35">
      <c r="A556" t="s">
        <v>712</v>
      </c>
      <c r="B556" s="6">
        <v>45662</v>
      </c>
      <c r="D556" t="s">
        <v>23</v>
      </c>
      <c r="E556">
        <v>31</v>
      </c>
      <c r="F556" t="s">
        <v>24</v>
      </c>
      <c r="G556" t="s">
        <v>37</v>
      </c>
      <c r="H556" t="s">
        <v>32</v>
      </c>
      <c r="I556" t="s">
        <v>38</v>
      </c>
      <c r="J556" t="s">
        <v>52</v>
      </c>
      <c r="K556">
        <v>2</v>
      </c>
      <c r="L556" t="s">
        <v>66</v>
      </c>
      <c r="M556">
        <v>59000</v>
      </c>
      <c r="N556">
        <v>4</v>
      </c>
      <c r="O556">
        <v>7.1</v>
      </c>
      <c r="P556">
        <v>1</v>
      </c>
      <c r="Q556">
        <v>0</v>
      </c>
      <c r="R556">
        <v>2</v>
      </c>
      <c r="S556">
        <v>3</v>
      </c>
      <c r="T556">
        <v>4</v>
      </c>
      <c r="U556" t="s">
        <v>30</v>
      </c>
      <c r="V556">
        <v>4</v>
      </c>
      <c r="W556">
        <v>1</v>
      </c>
    </row>
    <row r="557" spans="1:23" x14ac:dyDescent="0.35">
      <c r="A557" t="s">
        <v>934</v>
      </c>
      <c r="B557" s="6">
        <v>43690</v>
      </c>
      <c r="D557" t="s">
        <v>23</v>
      </c>
      <c r="E557">
        <v>39</v>
      </c>
      <c r="F557" t="s">
        <v>36</v>
      </c>
      <c r="G557" t="s">
        <v>37</v>
      </c>
      <c r="H557" t="s">
        <v>58</v>
      </c>
      <c r="I557" t="s">
        <v>59</v>
      </c>
      <c r="J557" t="s">
        <v>75</v>
      </c>
      <c r="K557">
        <v>2</v>
      </c>
      <c r="L557" t="s">
        <v>29</v>
      </c>
      <c r="M557">
        <v>48000</v>
      </c>
      <c r="N557">
        <v>7.1</v>
      </c>
      <c r="O557">
        <v>12.4</v>
      </c>
      <c r="P557">
        <v>6.4</v>
      </c>
      <c r="Q557">
        <v>3.6</v>
      </c>
      <c r="R557">
        <v>3</v>
      </c>
      <c r="S557">
        <v>3</v>
      </c>
      <c r="T557">
        <v>3</v>
      </c>
      <c r="U557" t="s">
        <v>23</v>
      </c>
      <c r="V557">
        <v>3</v>
      </c>
      <c r="W557">
        <v>1</v>
      </c>
    </row>
    <row r="558" spans="1:23" x14ac:dyDescent="0.35">
      <c r="A558" t="s">
        <v>1382</v>
      </c>
      <c r="B558" s="6">
        <v>42457</v>
      </c>
      <c r="C558">
        <v>46015</v>
      </c>
      <c r="D558" t="s">
        <v>30</v>
      </c>
      <c r="E558">
        <v>30</v>
      </c>
      <c r="F558" t="s">
        <v>62</v>
      </c>
      <c r="G558" t="s">
        <v>42</v>
      </c>
      <c r="H558" t="s">
        <v>32</v>
      </c>
      <c r="I558" t="s">
        <v>48</v>
      </c>
      <c r="J558" t="s">
        <v>201</v>
      </c>
      <c r="K558">
        <v>3</v>
      </c>
      <c r="L558" t="s">
        <v>84</v>
      </c>
      <c r="M558">
        <v>79000</v>
      </c>
      <c r="N558">
        <v>17.399999999999999</v>
      </c>
      <c r="O558">
        <v>13</v>
      </c>
      <c r="P558">
        <v>9.6999999999999993</v>
      </c>
      <c r="Q558">
        <v>5</v>
      </c>
      <c r="R558">
        <v>4</v>
      </c>
      <c r="S558">
        <v>4</v>
      </c>
      <c r="T558">
        <v>1</v>
      </c>
      <c r="U558" t="s">
        <v>23</v>
      </c>
      <c r="V558">
        <v>2</v>
      </c>
      <c r="W558">
        <v>1</v>
      </c>
    </row>
    <row r="559" spans="1:23" x14ac:dyDescent="0.35">
      <c r="A559" t="s">
        <v>980</v>
      </c>
      <c r="B559" s="6">
        <v>43574</v>
      </c>
      <c r="D559" t="s">
        <v>23</v>
      </c>
      <c r="E559">
        <v>30</v>
      </c>
      <c r="F559" t="s">
        <v>62</v>
      </c>
      <c r="G559" t="s">
        <v>42</v>
      </c>
      <c r="H559" t="s">
        <v>32</v>
      </c>
      <c r="I559" t="s">
        <v>48</v>
      </c>
      <c r="J559" t="s">
        <v>201</v>
      </c>
      <c r="K559">
        <v>3</v>
      </c>
      <c r="L559" t="s">
        <v>66</v>
      </c>
      <c r="M559">
        <v>74000</v>
      </c>
      <c r="N559">
        <v>12</v>
      </c>
      <c r="O559">
        <v>9.3000000000000007</v>
      </c>
      <c r="P559">
        <v>6.7</v>
      </c>
      <c r="Q559">
        <v>3.8</v>
      </c>
      <c r="R559">
        <v>3</v>
      </c>
      <c r="S559">
        <v>4</v>
      </c>
      <c r="T559">
        <v>4</v>
      </c>
      <c r="U559" t="s">
        <v>30</v>
      </c>
      <c r="V559">
        <v>4</v>
      </c>
      <c r="W559">
        <v>1</v>
      </c>
    </row>
    <row r="560" spans="1:23" x14ac:dyDescent="0.35">
      <c r="A560" t="s">
        <v>1156</v>
      </c>
      <c r="B560" s="6">
        <v>43680</v>
      </c>
      <c r="D560" t="s">
        <v>23</v>
      </c>
      <c r="E560">
        <v>28</v>
      </c>
      <c r="F560" t="s">
        <v>62</v>
      </c>
      <c r="G560" t="s">
        <v>37</v>
      </c>
      <c r="H560" t="s">
        <v>32</v>
      </c>
      <c r="I560" t="s">
        <v>48</v>
      </c>
      <c r="J560" t="s">
        <v>201</v>
      </c>
      <c r="K560">
        <v>3</v>
      </c>
      <c r="L560" t="s">
        <v>66</v>
      </c>
      <c r="M560">
        <v>92000</v>
      </c>
      <c r="N560">
        <v>14.7</v>
      </c>
      <c r="O560">
        <v>10.199999999999999</v>
      </c>
      <c r="P560">
        <v>6.4</v>
      </c>
      <c r="Q560">
        <v>4</v>
      </c>
      <c r="R560">
        <v>4</v>
      </c>
      <c r="S560">
        <v>3</v>
      </c>
      <c r="T560">
        <v>2</v>
      </c>
      <c r="U560" t="s">
        <v>23</v>
      </c>
      <c r="V560">
        <v>3</v>
      </c>
      <c r="W560">
        <v>1</v>
      </c>
    </row>
    <row r="561" spans="1:23" x14ac:dyDescent="0.35">
      <c r="A561" t="s">
        <v>1260</v>
      </c>
      <c r="B561" s="6">
        <v>45880</v>
      </c>
      <c r="D561" t="s">
        <v>23</v>
      </c>
      <c r="E561">
        <v>21</v>
      </c>
      <c r="F561" t="s">
        <v>62</v>
      </c>
      <c r="G561" t="s">
        <v>25</v>
      </c>
      <c r="H561" t="s">
        <v>32</v>
      </c>
      <c r="I561" t="s">
        <v>27</v>
      </c>
      <c r="J561" t="s">
        <v>43</v>
      </c>
      <c r="K561">
        <v>1</v>
      </c>
      <c r="L561" t="s">
        <v>40</v>
      </c>
      <c r="M561">
        <v>41000</v>
      </c>
      <c r="N561">
        <v>6.3</v>
      </c>
      <c r="O561">
        <v>4.8</v>
      </c>
      <c r="P561">
        <v>0.4</v>
      </c>
      <c r="Q561">
        <v>0</v>
      </c>
      <c r="R561">
        <v>3</v>
      </c>
      <c r="S561">
        <v>2</v>
      </c>
      <c r="T561">
        <v>3</v>
      </c>
      <c r="U561" t="s">
        <v>23</v>
      </c>
      <c r="V561">
        <v>2</v>
      </c>
      <c r="W561">
        <v>1</v>
      </c>
    </row>
    <row r="562" spans="1:23" x14ac:dyDescent="0.35">
      <c r="A562" t="s">
        <v>668</v>
      </c>
      <c r="B562" s="6">
        <v>45720</v>
      </c>
      <c r="D562" t="s">
        <v>23</v>
      </c>
      <c r="E562">
        <v>21</v>
      </c>
      <c r="F562" t="s">
        <v>24</v>
      </c>
      <c r="G562" t="s">
        <v>25</v>
      </c>
      <c r="H562" t="s">
        <v>58</v>
      </c>
      <c r="I562" t="s">
        <v>55</v>
      </c>
      <c r="J562" t="s">
        <v>179</v>
      </c>
      <c r="K562">
        <v>1</v>
      </c>
      <c r="L562" t="s">
        <v>29</v>
      </c>
      <c r="M562">
        <v>47000</v>
      </c>
      <c r="N562">
        <v>4.2</v>
      </c>
      <c r="O562">
        <v>6.6</v>
      </c>
      <c r="P562">
        <v>0.8</v>
      </c>
      <c r="Q562">
        <v>0</v>
      </c>
      <c r="R562">
        <v>2</v>
      </c>
      <c r="S562">
        <v>4</v>
      </c>
      <c r="T562">
        <v>4</v>
      </c>
      <c r="U562" t="s">
        <v>23</v>
      </c>
      <c r="V562">
        <v>4</v>
      </c>
      <c r="W562">
        <v>1</v>
      </c>
    </row>
    <row r="563" spans="1:23" x14ac:dyDescent="0.35">
      <c r="A563" t="s">
        <v>312</v>
      </c>
      <c r="B563" s="6">
        <v>41970</v>
      </c>
      <c r="D563" t="s">
        <v>23</v>
      </c>
      <c r="E563">
        <v>33</v>
      </c>
      <c r="F563" t="s">
        <v>36</v>
      </c>
      <c r="G563" t="s">
        <v>42</v>
      </c>
      <c r="H563" t="s">
        <v>54</v>
      </c>
      <c r="I563" t="s">
        <v>48</v>
      </c>
      <c r="J563" t="s">
        <v>63</v>
      </c>
      <c r="K563">
        <v>3</v>
      </c>
      <c r="L563" t="s">
        <v>29</v>
      </c>
      <c r="M563">
        <v>71000</v>
      </c>
      <c r="N563">
        <v>7.4</v>
      </c>
      <c r="O563">
        <v>13.8</v>
      </c>
      <c r="P563">
        <v>11.1</v>
      </c>
      <c r="Q563">
        <v>1.3</v>
      </c>
      <c r="R563">
        <v>3</v>
      </c>
      <c r="S563">
        <v>3</v>
      </c>
      <c r="T563">
        <v>4</v>
      </c>
      <c r="U563" t="s">
        <v>23</v>
      </c>
      <c r="V563">
        <v>2</v>
      </c>
      <c r="W563">
        <v>1</v>
      </c>
    </row>
    <row r="564" spans="1:23" x14ac:dyDescent="0.35">
      <c r="A564" t="s">
        <v>531</v>
      </c>
      <c r="B564" s="6">
        <v>44958</v>
      </c>
      <c r="C564">
        <v>45961</v>
      </c>
      <c r="D564" t="s">
        <v>30</v>
      </c>
      <c r="E564">
        <v>34</v>
      </c>
      <c r="F564" t="s">
        <v>36</v>
      </c>
      <c r="G564" t="s">
        <v>25</v>
      </c>
      <c r="H564" t="s">
        <v>26</v>
      </c>
      <c r="I564" t="s">
        <v>45</v>
      </c>
      <c r="J564" t="s">
        <v>46</v>
      </c>
      <c r="K564">
        <v>4</v>
      </c>
      <c r="L564" t="s">
        <v>84</v>
      </c>
      <c r="M564">
        <v>109000</v>
      </c>
      <c r="N564">
        <v>16.899999999999999</v>
      </c>
      <c r="O564">
        <v>10.199999999999999</v>
      </c>
      <c r="P564">
        <v>2.7</v>
      </c>
      <c r="Q564">
        <v>2</v>
      </c>
      <c r="R564">
        <v>2</v>
      </c>
      <c r="S564">
        <v>2</v>
      </c>
      <c r="T564">
        <v>3</v>
      </c>
      <c r="U564" t="s">
        <v>30</v>
      </c>
      <c r="V564">
        <v>4</v>
      </c>
      <c r="W564">
        <v>1</v>
      </c>
    </row>
    <row r="565" spans="1:23" x14ac:dyDescent="0.35">
      <c r="A565" t="s">
        <v>984</v>
      </c>
      <c r="B565" s="6">
        <v>41726</v>
      </c>
      <c r="D565" t="s">
        <v>23</v>
      </c>
      <c r="E565">
        <v>44</v>
      </c>
      <c r="F565" t="s">
        <v>62</v>
      </c>
      <c r="G565" t="s">
        <v>42</v>
      </c>
      <c r="H565" t="s">
        <v>58</v>
      </c>
      <c r="I565" t="s">
        <v>38</v>
      </c>
      <c r="J565" t="s">
        <v>139</v>
      </c>
      <c r="K565">
        <v>4</v>
      </c>
      <c r="L565" t="s">
        <v>40</v>
      </c>
      <c r="M565">
        <v>125000</v>
      </c>
      <c r="N565">
        <v>5.4</v>
      </c>
      <c r="O565">
        <v>18.100000000000001</v>
      </c>
      <c r="P565">
        <v>11.8</v>
      </c>
      <c r="Q565">
        <v>3.1</v>
      </c>
      <c r="R565">
        <v>3</v>
      </c>
      <c r="S565">
        <v>3</v>
      </c>
      <c r="T565">
        <v>2</v>
      </c>
      <c r="U565" t="s">
        <v>23</v>
      </c>
      <c r="V565">
        <v>3</v>
      </c>
      <c r="W565">
        <v>1</v>
      </c>
    </row>
    <row r="566" spans="1:23" x14ac:dyDescent="0.35">
      <c r="A566" t="s">
        <v>165</v>
      </c>
      <c r="B566" s="6">
        <v>43777</v>
      </c>
      <c r="D566" t="s">
        <v>23</v>
      </c>
      <c r="E566">
        <v>32</v>
      </c>
      <c r="F566" t="s">
        <v>62</v>
      </c>
      <c r="G566" t="s">
        <v>37</v>
      </c>
      <c r="H566" t="s">
        <v>58</v>
      </c>
      <c r="I566" t="s">
        <v>59</v>
      </c>
      <c r="J566" t="s">
        <v>150</v>
      </c>
      <c r="K566">
        <v>4</v>
      </c>
      <c r="L566" t="s">
        <v>29</v>
      </c>
      <c r="M566">
        <v>116000</v>
      </c>
      <c r="N566">
        <v>8.5</v>
      </c>
      <c r="O566">
        <v>11.5</v>
      </c>
      <c r="P566">
        <v>6.1</v>
      </c>
      <c r="Q566">
        <v>4.8</v>
      </c>
      <c r="R566">
        <v>3</v>
      </c>
      <c r="S566">
        <v>3</v>
      </c>
      <c r="T566">
        <v>3</v>
      </c>
      <c r="U566" t="s">
        <v>23</v>
      </c>
      <c r="V566">
        <v>3</v>
      </c>
      <c r="W566">
        <v>1</v>
      </c>
    </row>
    <row r="567" spans="1:23" x14ac:dyDescent="0.35">
      <c r="A567" t="s">
        <v>1138</v>
      </c>
      <c r="B567" s="6">
        <v>45291</v>
      </c>
      <c r="D567" t="s">
        <v>23</v>
      </c>
      <c r="E567">
        <v>23</v>
      </c>
      <c r="F567" t="s">
        <v>24</v>
      </c>
      <c r="G567" t="s">
        <v>25</v>
      </c>
      <c r="H567" t="s">
        <v>26</v>
      </c>
      <c r="I567" t="s">
        <v>27</v>
      </c>
      <c r="J567" t="s">
        <v>33</v>
      </c>
      <c r="K567">
        <v>1</v>
      </c>
      <c r="L567" t="s">
        <v>40</v>
      </c>
      <c r="M567">
        <v>32000</v>
      </c>
      <c r="N567">
        <v>4</v>
      </c>
      <c r="O567">
        <v>2.5</v>
      </c>
      <c r="P567">
        <v>2</v>
      </c>
      <c r="Q567">
        <v>1.6</v>
      </c>
      <c r="R567">
        <v>3</v>
      </c>
      <c r="S567">
        <v>2</v>
      </c>
      <c r="T567">
        <v>3</v>
      </c>
      <c r="U567" t="s">
        <v>30</v>
      </c>
      <c r="V567">
        <v>4</v>
      </c>
      <c r="W567">
        <v>1</v>
      </c>
    </row>
    <row r="568" spans="1:23" x14ac:dyDescent="0.35">
      <c r="A568" t="s">
        <v>856</v>
      </c>
      <c r="B568" s="6">
        <v>44635</v>
      </c>
      <c r="D568" t="s">
        <v>23</v>
      </c>
      <c r="E568">
        <v>39</v>
      </c>
      <c r="F568" t="s">
        <v>36</v>
      </c>
      <c r="G568" t="s">
        <v>42</v>
      </c>
      <c r="H568" t="s">
        <v>26</v>
      </c>
      <c r="I568" t="s">
        <v>59</v>
      </c>
      <c r="J568" t="s">
        <v>60</v>
      </c>
      <c r="K568">
        <v>3</v>
      </c>
      <c r="L568" t="s">
        <v>66</v>
      </c>
      <c r="M568">
        <v>71000</v>
      </c>
      <c r="N568">
        <v>0</v>
      </c>
      <c r="O568">
        <v>4</v>
      </c>
      <c r="P568">
        <v>3.8</v>
      </c>
      <c r="Q568">
        <v>1.5</v>
      </c>
      <c r="R568">
        <v>4</v>
      </c>
      <c r="S568">
        <v>3</v>
      </c>
      <c r="T568">
        <v>3</v>
      </c>
      <c r="U568" t="s">
        <v>23</v>
      </c>
      <c r="V568">
        <v>3</v>
      </c>
      <c r="W568">
        <v>1</v>
      </c>
    </row>
    <row r="569" spans="1:23" x14ac:dyDescent="0.35">
      <c r="A569" t="s">
        <v>564</v>
      </c>
      <c r="B569" s="6">
        <v>41968</v>
      </c>
      <c r="C569">
        <v>45823</v>
      </c>
      <c r="D569" t="s">
        <v>30</v>
      </c>
      <c r="E569">
        <v>36</v>
      </c>
      <c r="F569" t="s">
        <v>36</v>
      </c>
      <c r="G569" t="s">
        <v>25</v>
      </c>
      <c r="H569" t="s">
        <v>32</v>
      </c>
      <c r="I569" t="s">
        <v>45</v>
      </c>
      <c r="J569" t="s">
        <v>77</v>
      </c>
      <c r="K569">
        <v>2</v>
      </c>
      <c r="L569" t="s">
        <v>66</v>
      </c>
      <c r="M569">
        <v>53000</v>
      </c>
      <c r="N569">
        <v>13.9</v>
      </c>
      <c r="O569">
        <v>16.600000000000001</v>
      </c>
      <c r="P569">
        <v>10.6</v>
      </c>
      <c r="Q569">
        <v>3.5</v>
      </c>
      <c r="R569">
        <v>3</v>
      </c>
      <c r="S569">
        <v>4</v>
      </c>
      <c r="T569">
        <v>4</v>
      </c>
      <c r="U569" t="s">
        <v>23</v>
      </c>
      <c r="V569">
        <v>4</v>
      </c>
      <c r="W569">
        <v>1</v>
      </c>
    </row>
    <row r="570" spans="1:23" x14ac:dyDescent="0.35">
      <c r="A570" t="s">
        <v>776</v>
      </c>
      <c r="B570" s="6">
        <v>44669</v>
      </c>
      <c r="D570" t="s">
        <v>23</v>
      </c>
      <c r="E570">
        <v>38</v>
      </c>
      <c r="F570" t="s">
        <v>24</v>
      </c>
      <c r="G570" t="s">
        <v>42</v>
      </c>
      <c r="H570" t="s">
        <v>54</v>
      </c>
      <c r="I570" t="s">
        <v>55</v>
      </c>
      <c r="J570" t="s">
        <v>80</v>
      </c>
      <c r="K570">
        <v>3</v>
      </c>
      <c r="L570" t="s">
        <v>29</v>
      </c>
      <c r="M570">
        <v>100000</v>
      </c>
      <c r="N570">
        <v>1.9</v>
      </c>
      <c r="O570">
        <v>9.6</v>
      </c>
      <c r="P570">
        <v>3.7</v>
      </c>
      <c r="Q570">
        <v>0</v>
      </c>
      <c r="R570">
        <v>2</v>
      </c>
      <c r="S570">
        <v>3</v>
      </c>
      <c r="T570">
        <v>3</v>
      </c>
      <c r="U570" t="s">
        <v>30</v>
      </c>
      <c r="V570">
        <v>4</v>
      </c>
      <c r="W570">
        <v>1</v>
      </c>
    </row>
    <row r="571" spans="1:23" x14ac:dyDescent="0.35">
      <c r="A571" t="s">
        <v>1130</v>
      </c>
      <c r="B571" s="6">
        <v>45608</v>
      </c>
      <c r="C571">
        <v>45931</v>
      </c>
      <c r="D571" t="s">
        <v>30</v>
      </c>
      <c r="E571">
        <v>29</v>
      </c>
      <c r="F571" t="s">
        <v>24</v>
      </c>
      <c r="G571" t="s">
        <v>37</v>
      </c>
      <c r="H571" t="s">
        <v>32</v>
      </c>
      <c r="I571" t="s">
        <v>59</v>
      </c>
      <c r="J571" t="s">
        <v>86</v>
      </c>
      <c r="K571">
        <v>4</v>
      </c>
      <c r="L571" t="s">
        <v>34</v>
      </c>
      <c r="M571">
        <v>107000</v>
      </c>
      <c r="N571">
        <v>10.4</v>
      </c>
      <c r="O571">
        <v>6.1</v>
      </c>
      <c r="P571">
        <v>0.9</v>
      </c>
      <c r="Q571">
        <v>0</v>
      </c>
      <c r="R571">
        <v>2</v>
      </c>
      <c r="S571">
        <v>4</v>
      </c>
      <c r="T571">
        <v>3</v>
      </c>
      <c r="U571" t="s">
        <v>23</v>
      </c>
      <c r="V571">
        <v>3</v>
      </c>
      <c r="W571">
        <v>1</v>
      </c>
    </row>
    <row r="572" spans="1:23" x14ac:dyDescent="0.35">
      <c r="A572" t="s">
        <v>486</v>
      </c>
      <c r="B572" s="6">
        <v>43228</v>
      </c>
      <c r="D572" t="s">
        <v>23</v>
      </c>
      <c r="E572">
        <v>28</v>
      </c>
      <c r="F572" t="s">
        <v>36</v>
      </c>
      <c r="G572" t="s">
        <v>25</v>
      </c>
      <c r="H572" t="s">
        <v>54</v>
      </c>
      <c r="I572" t="s">
        <v>48</v>
      </c>
      <c r="J572" t="s">
        <v>129</v>
      </c>
      <c r="K572">
        <v>3</v>
      </c>
      <c r="L572" t="s">
        <v>84</v>
      </c>
      <c r="M572">
        <v>80000</v>
      </c>
      <c r="N572">
        <v>4.7</v>
      </c>
      <c r="O572">
        <v>14</v>
      </c>
      <c r="P572">
        <v>7.6</v>
      </c>
      <c r="Q572">
        <v>4</v>
      </c>
      <c r="R572">
        <v>3</v>
      </c>
      <c r="S572">
        <v>4</v>
      </c>
      <c r="T572">
        <v>4</v>
      </c>
      <c r="U572" t="s">
        <v>23</v>
      </c>
      <c r="V572">
        <v>4</v>
      </c>
      <c r="W572">
        <v>1</v>
      </c>
    </row>
    <row r="573" spans="1:23" x14ac:dyDescent="0.35">
      <c r="A573" t="s">
        <v>117</v>
      </c>
      <c r="B573" s="6">
        <v>45391</v>
      </c>
      <c r="D573" t="s">
        <v>23</v>
      </c>
      <c r="E573">
        <v>38</v>
      </c>
      <c r="F573" t="s">
        <v>62</v>
      </c>
      <c r="G573" t="s">
        <v>37</v>
      </c>
      <c r="H573" t="s">
        <v>54</v>
      </c>
      <c r="I573" t="s">
        <v>38</v>
      </c>
      <c r="J573" t="s">
        <v>118</v>
      </c>
      <c r="K573">
        <v>2</v>
      </c>
      <c r="L573" t="s">
        <v>34</v>
      </c>
      <c r="M573">
        <v>49000</v>
      </c>
      <c r="N573">
        <v>11.7</v>
      </c>
      <c r="O573">
        <v>6.4</v>
      </c>
      <c r="P573">
        <v>1.7</v>
      </c>
      <c r="Q573">
        <v>1.7</v>
      </c>
      <c r="R573">
        <v>4</v>
      </c>
      <c r="S573">
        <v>3</v>
      </c>
      <c r="T573">
        <v>3</v>
      </c>
      <c r="U573" t="s">
        <v>23</v>
      </c>
      <c r="V573">
        <v>2</v>
      </c>
      <c r="W573">
        <v>1</v>
      </c>
    </row>
    <row r="574" spans="1:23" x14ac:dyDescent="0.35">
      <c r="A574" t="s">
        <v>646</v>
      </c>
      <c r="B574" s="6">
        <v>45837</v>
      </c>
      <c r="D574" t="s">
        <v>23</v>
      </c>
      <c r="E574">
        <v>21</v>
      </c>
      <c r="F574" t="s">
        <v>62</v>
      </c>
      <c r="G574" t="s">
        <v>25</v>
      </c>
      <c r="H574" t="s">
        <v>54</v>
      </c>
      <c r="I574" t="s">
        <v>45</v>
      </c>
      <c r="J574" t="s">
        <v>46</v>
      </c>
      <c r="K574">
        <v>1</v>
      </c>
      <c r="L574" t="s">
        <v>50</v>
      </c>
      <c r="M574">
        <v>25000</v>
      </c>
      <c r="N574">
        <v>13.8</v>
      </c>
      <c r="O574">
        <v>7.4</v>
      </c>
      <c r="P574">
        <v>0.5</v>
      </c>
      <c r="Q574">
        <v>0</v>
      </c>
      <c r="R574">
        <v>3</v>
      </c>
      <c r="S574">
        <v>3</v>
      </c>
      <c r="T574">
        <v>3</v>
      </c>
      <c r="U574" t="s">
        <v>30</v>
      </c>
      <c r="V574">
        <v>3</v>
      </c>
      <c r="W574">
        <v>1</v>
      </c>
    </row>
    <row r="575" spans="1:23" x14ac:dyDescent="0.35">
      <c r="A575" t="s">
        <v>733</v>
      </c>
      <c r="B575" s="6">
        <v>45178</v>
      </c>
      <c r="D575" t="s">
        <v>23</v>
      </c>
      <c r="E575">
        <v>30</v>
      </c>
      <c r="F575" t="s">
        <v>62</v>
      </c>
      <c r="G575" t="s">
        <v>37</v>
      </c>
      <c r="H575" t="s">
        <v>32</v>
      </c>
      <c r="I575" t="s">
        <v>27</v>
      </c>
      <c r="J575" t="s">
        <v>43</v>
      </c>
      <c r="K575">
        <v>3</v>
      </c>
      <c r="L575" t="s">
        <v>50</v>
      </c>
      <c r="M575">
        <v>78000</v>
      </c>
      <c r="N575">
        <v>12.1</v>
      </c>
      <c r="O575">
        <v>7.9</v>
      </c>
      <c r="P575">
        <v>2.2999999999999998</v>
      </c>
      <c r="Q575">
        <v>0</v>
      </c>
      <c r="R575">
        <v>2</v>
      </c>
      <c r="S575">
        <v>3</v>
      </c>
      <c r="T575">
        <v>3</v>
      </c>
      <c r="U575" t="s">
        <v>23</v>
      </c>
      <c r="V575">
        <v>1</v>
      </c>
      <c r="W575">
        <v>1</v>
      </c>
    </row>
    <row r="576" spans="1:23" x14ac:dyDescent="0.35">
      <c r="A576" t="s">
        <v>849</v>
      </c>
      <c r="B576" s="6">
        <v>45802</v>
      </c>
      <c r="D576" t="s">
        <v>23</v>
      </c>
      <c r="E576">
        <v>29</v>
      </c>
      <c r="F576" t="s">
        <v>62</v>
      </c>
      <c r="G576" t="s">
        <v>42</v>
      </c>
      <c r="H576" t="s">
        <v>54</v>
      </c>
      <c r="I576" t="s">
        <v>27</v>
      </c>
      <c r="J576" t="s">
        <v>28</v>
      </c>
      <c r="K576">
        <v>4</v>
      </c>
      <c r="L576" t="s">
        <v>40</v>
      </c>
      <c r="M576">
        <v>119000</v>
      </c>
      <c r="N576">
        <v>16</v>
      </c>
      <c r="O576">
        <v>5</v>
      </c>
      <c r="P576">
        <v>0.6</v>
      </c>
      <c r="Q576">
        <v>0</v>
      </c>
      <c r="R576">
        <v>3</v>
      </c>
      <c r="S576">
        <v>4</v>
      </c>
      <c r="T576">
        <v>1</v>
      </c>
      <c r="U576" t="s">
        <v>23</v>
      </c>
      <c r="V576">
        <v>3</v>
      </c>
      <c r="W576">
        <v>1</v>
      </c>
    </row>
    <row r="577" spans="1:23" x14ac:dyDescent="0.35">
      <c r="A577" t="s">
        <v>1240</v>
      </c>
      <c r="B577" s="6">
        <v>43679</v>
      </c>
      <c r="D577" t="s">
        <v>23</v>
      </c>
      <c r="E577">
        <v>34</v>
      </c>
      <c r="F577" t="s">
        <v>36</v>
      </c>
      <c r="G577" t="s">
        <v>37</v>
      </c>
      <c r="H577" t="s">
        <v>32</v>
      </c>
      <c r="I577" t="s">
        <v>27</v>
      </c>
      <c r="J577" t="s">
        <v>33</v>
      </c>
      <c r="K577">
        <v>3</v>
      </c>
      <c r="L577" t="s">
        <v>66</v>
      </c>
      <c r="M577">
        <v>66000</v>
      </c>
      <c r="N577">
        <v>5.7</v>
      </c>
      <c r="O577">
        <v>8.1</v>
      </c>
      <c r="P577">
        <v>6.4</v>
      </c>
      <c r="Q577">
        <v>0.6</v>
      </c>
      <c r="R577">
        <v>3</v>
      </c>
      <c r="S577">
        <v>4</v>
      </c>
      <c r="T577">
        <v>2</v>
      </c>
      <c r="U577" t="s">
        <v>23</v>
      </c>
      <c r="V577">
        <v>3</v>
      </c>
      <c r="W577">
        <v>1</v>
      </c>
    </row>
    <row r="578" spans="1:23" x14ac:dyDescent="0.35">
      <c r="A578" t="s">
        <v>683</v>
      </c>
      <c r="B578" s="6">
        <v>44727</v>
      </c>
      <c r="D578" t="s">
        <v>23</v>
      </c>
      <c r="E578">
        <v>36</v>
      </c>
      <c r="F578" t="s">
        <v>62</v>
      </c>
      <c r="G578" t="s">
        <v>42</v>
      </c>
      <c r="H578" t="s">
        <v>32</v>
      </c>
      <c r="I578" t="s">
        <v>27</v>
      </c>
      <c r="J578" t="s">
        <v>95</v>
      </c>
      <c r="K578">
        <v>3</v>
      </c>
      <c r="L578" t="s">
        <v>66</v>
      </c>
      <c r="M578">
        <v>86000</v>
      </c>
      <c r="N578">
        <v>11.6</v>
      </c>
      <c r="O578">
        <v>5.6</v>
      </c>
      <c r="P578">
        <v>3.5</v>
      </c>
      <c r="Q578">
        <v>2.2999999999999998</v>
      </c>
      <c r="R578">
        <v>3</v>
      </c>
      <c r="S578">
        <v>2</v>
      </c>
      <c r="T578">
        <v>3</v>
      </c>
      <c r="U578" t="s">
        <v>23</v>
      </c>
      <c r="V578">
        <v>5</v>
      </c>
      <c r="W578">
        <v>1</v>
      </c>
    </row>
    <row r="579" spans="1:23" x14ac:dyDescent="0.35">
      <c r="A579" t="s">
        <v>1239</v>
      </c>
      <c r="B579" s="6">
        <v>44762</v>
      </c>
      <c r="D579" t="s">
        <v>23</v>
      </c>
      <c r="E579">
        <v>40</v>
      </c>
      <c r="F579" t="s">
        <v>36</v>
      </c>
      <c r="G579" t="s">
        <v>42</v>
      </c>
      <c r="H579" t="s">
        <v>54</v>
      </c>
      <c r="I579" t="s">
        <v>55</v>
      </c>
      <c r="J579" t="s">
        <v>56</v>
      </c>
      <c r="K579">
        <v>3</v>
      </c>
      <c r="L579" t="s">
        <v>50</v>
      </c>
      <c r="M579">
        <v>81000</v>
      </c>
      <c r="N579">
        <v>7.5</v>
      </c>
      <c r="O579">
        <v>8</v>
      </c>
      <c r="P579">
        <v>3.4</v>
      </c>
      <c r="Q579">
        <v>2.2000000000000002</v>
      </c>
      <c r="R579">
        <v>3</v>
      </c>
      <c r="S579">
        <v>3</v>
      </c>
      <c r="T579">
        <v>2</v>
      </c>
      <c r="U579" t="s">
        <v>23</v>
      </c>
      <c r="V579">
        <v>4</v>
      </c>
      <c r="W579">
        <v>1</v>
      </c>
    </row>
    <row r="580" spans="1:23" x14ac:dyDescent="0.35">
      <c r="A580" t="s">
        <v>309</v>
      </c>
      <c r="B580" s="6">
        <v>45380</v>
      </c>
      <c r="C580">
        <v>45985</v>
      </c>
      <c r="D580" t="s">
        <v>30</v>
      </c>
      <c r="E580">
        <v>47</v>
      </c>
      <c r="F580" t="s">
        <v>36</v>
      </c>
      <c r="G580" t="s">
        <v>37</v>
      </c>
      <c r="H580" t="s">
        <v>26</v>
      </c>
      <c r="I580" t="s">
        <v>27</v>
      </c>
      <c r="J580" t="s">
        <v>95</v>
      </c>
      <c r="K580">
        <v>1</v>
      </c>
      <c r="L580" t="s">
        <v>34</v>
      </c>
      <c r="M580">
        <v>60000</v>
      </c>
      <c r="N580">
        <v>11.4</v>
      </c>
      <c r="O580">
        <v>2.4</v>
      </c>
      <c r="P580">
        <v>1.7</v>
      </c>
      <c r="Q580">
        <v>1.5</v>
      </c>
      <c r="R580">
        <v>3</v>
      </c>
      <c r="S580">
        <v>4</v>
      </c>
      <c r="T580">
        <v>2</v>
      </c>
      <c r="U580" t="s">
        <v>30</v>
      </c>
      <c r="V580">
        <v>4</v>
      </c>
      <c r="W580">
        <v>1</v>
      </c>
    </row>
    <row r="581" spans="1:23" x14ac:dyDescent="0.35">
      <c r="A581" t="s">
        <v>1054</v>
      </c>
      <c r="B581" s="6">
        <v>42568</v>
      </c>
      <c r="D581" t="s">
        <v>23</v>
      </c>
      <c r="E581">
        <v>37</v>
      </c>
      <c r="F581" t="s">
        <v>36</v>
      </c>
      <c r="G581" t="s">
        <v>25</v>
      </c>
      <c r="H581" t="s">
        <v>58</v>
      </c>
      <c r="I581" t="s">
        <v>55</v>
      </c>
      <c r="J581" t="s">
        <v>80</v>
      </c>
      <c r="K581">
        <v>5</v>
      </c>
      <c r="L581" t="s">
        <v>66</v>
      </c>
      <c r="M581">
        <v>187000</v>
      </c>
      <c r="N581">
        <v>7.7</v>
      </c>
      <c r="O581">
        <v>14.2</v>
      </c>
      <c r="P581">
        <v>9.5</v>
      </c>
      <c r="Q581">
        <v>4.8</v>
      </c>
      <c r="R581">
        <v>3</v>
      </c>
      <c r="S581">
        <v>2</v>
      </c>
      <c r="T581">
        <v>3</v>
      </c>
      <c r="U581" t="s">
        <v>30</v>
      </c>
      <c r="V581">
        <v>4</v>
      </c>
      <c r="W581">
        <v>1</v>
      </c>
    </row>
    <row r="582" spans="1:23" x14ac:dyDescent="0.35">
      <c r="A582" t="s">
        <v>460</v>
      </c>
      <c r="B582" s="6">
        <v>41868</v>
      </c>
      <c r="D582" t="s">
        <v>23</v>
      </c>
      <c r="E582">
        <v>35</v>
      </c>
      <c r="F582" t="s">
        <v>24</v>
      </c>
      <c r="G582" t="s">
        <v>42</v>
      </c>
      <c r="H582" t="s">
        <v>26</v>
      </c>
      <c r="I582" t="s">
        <v>38</v>
      </c>
      <c r="J582" t="s">
        <v>118</v>
      </c>
      <c r="K582">
        <v>2</v>
      </c>
      <c r="L582" t="s">
        <v>29</v>
      </c>
      <c r="M582">
        <v>64000</v>
      </c>
      <c r="N582">
        <v>11.7</v>
      </c>
      <c r="O582">
        <v>19.100000000000001</v>
      </c>
      <c r="P582">
        <v>11.4</v>
      </c>
      <c r="Q582">
        <v>3.2</v>
      </c>
      <c r="R582">
        <v>3</v>
      </c>
      <c r="S582">
        <v>3</v>
      </c>
      <c r="T582">
        <v>4</v>
      </c>
      <c r="U582" t="s">
        <v>23</v>
      </c>
      <c r="V582">
        <v>3</v>
      </c>
      <c r="W582">
        <v>1</v>
      </c>
    </row>
    <row r="583" spans="1:23" x14ac:dyDescent="0.35">
      <c r="A583" t="s">
        <v>522</v>
      </c>
      <c r="B583" s="6">
        <v>45303</v>
      </c>
      <c r="D583" t="s">
        <v>23</v>
      </c>
      <c r="E583">
        <v>39</v>
      </c>
      <c r="F583" t="s">
        <v>36</v>
      </c>
      <c r="G583" t="s">
        <v>37</v>
      </c>
      <c r="H583" t="s">
        <v>54</v>
      </c>
      <c r="I583" t="s">
        <v>27</v>
      </c>
      <c r="J583" t="s">
        <v>95</v>
      </c>
      <c r="K583">
        <v>3</v>
      </c>
      <c r="L583" t="s">
        <v>84</v>
      </c>
      <c r="M583">
        <v>68000</v>
      </c>
      <c r="N583">
        <v>6.8</v>
      </c>
      <c r="O583">
        <v>7.1</v>
      </c>
      <c r="P583">
        <v>2</v>
      </c>
      <c r="Q583">
        <v>0.7</v>
      </c>
      <c r="R583">
        <v>3</v>
      </c>
      <c r="S583">
        <v>4</v>
      </c>
      <c r="T583">
        <v>3</v>
      </c>
      <c r="U583" t="s">
        <v>23</v>
      </c>
      <c r="V583">
        <v>3</v>
      </c>
      <c r="W583">
        <v>1</v>
      </c>
    </row>
    <row r="584" spans="1:23" x14ac:dyDescent="0.35">
      <c r="A584" t="s">
        <v>422</v>
      </c>
      <c r="B584" s="6">
        <v>44734</v>
      </c>
      <c r="D584" t="s">
        <v>23</v>
      </c>
      <c r="E584">
        <v>36</v>
      </c>
      <c r="F584" t="s">
        <v>36</v>
      </c>
      <c r="G584" t="s">
        <v>37</v>
      </c>
      <c r="H584" t="s">
        <v>26</v>
      </c>
      <c r="I584" t="s">
        <v>59</v>
      </c>
      <c r="J584" t="s">
        <v>60</v>
      </c>
      <c r="K584">
        <v>3</v>
      </c>
      <c r="L584" t="s">
        <v>50</v>
      </c>
      <c r="M584">
        <v>82000</v>
      </c>
      <c r="N584">
        <v>10.8</v>
      </c>
      <c r="O584">
        <v>10</v>
      </c>
      <c r="P584">
        <v>3.5</v>
      </c>
      <c r="Q584">
        <v>1.1000000000000001</v>
      </c>
      <c r="R584">
        <v>4</v>
      </c>
      <c r="S584">
        <v>4</v>
      </c>
      <c r="T584">
        <v>4</v>
      </c>
      <c r="U584" t="s">
        <v>23</v>
      </c>
      <c r="V584">
        <v>3</v>
      </c>
      <c r="W584">
        <v>1</v>
      </c>
    </row>
    <row r="585" spans="1:23" x14ac:dyDescent="0.35">
      <c r="A585" t="s">
        <v>206</v>
      </c>
      <c r="B585" s="6">
        <v>45207</v>
      </c>
      <c r="D585" t="s">
        <v>23</v>
      </c>
      <c r="E585">
        <v>33</v>
      </c>
      <c r="F585" t="s">
        <v>62</v>
      </c>
      <c r="G585" t="s">
        <v>37</v>
      </c>
      <c r="H585" t="s">
        <v>54</v>
      </c>
      <c r="I585" t="s">
        <v>45</v>
      </c>
      <c r="J585" t="s">
        <v>97</v>
      </c>
      <c r="K585">
        <v>4</v>
      </c>
      <c r="L585" t="s">
        <v>34</v>
      </c>
      <c r="M585">
        <v>110000</v>
      </c>
      <c r="N585">
        <v>4.5999999999999996</v>
      </c>
      <c r="O585">
        <v>6.2</v>
      </c>
      <c r="P585">
        <v>2.2000000000000002</v>
      </c>
      <c r="Q585">
        <v>1.9</v>
      </c>
      <c r="R585">
        <v>4</v>
      </c>
      <c r="S585">
        <v>4</v>
      </c>
      <c r="T585">
        <v>3</v>
      </c>
      <c r="U585" t="s">
        <v>30</v>
      </c>
      <c r="V585">
        <v>3</v>
      </c>
      <c r="W585">
        <v>1</v>
      </c>
    </row>
    <row r="586" spans="1:23" x14ac:dyDescent="0.35">
      <c r="A586" t="s">
        <v>928</v>
      </c>
      <c r="B586" s="6">
        <v>43279</v>
      </c>
      <c r="D586" t="s">
        <v>23</v>
      </c>
      <c r="E586">
        <v>38</v>
      </c>
      <c r="F586" t="s">
        <v>62</v>
      </c>
      <c r="G586" t="s">
        <v>25</v>
      </c>
      <c r="H586" t="s">
        <v>26</v>
      </c>
      <c r="I586" t="s">
        <v>27</v>
      </c>
      <c r="J586" t="s">
        <v>43</v>
      </c>
      <c r="K586">
        <v>2</v>
      </c>
      <c r="L586" t="s">
        <v>66</v>
      </c>
      <c r="M586">
        <v>58000</v>
      </c>
      <c r="N586">
        <v>7.8</v>
      </c>
      <c r="O586">
        <v>13.1</v>
      </c>
      <c r="P586">
        <v>7.5</v>
      </c>
      <c r="Q586">
        <v>4.5</v>
      </c>
      <c r="R586">
        <v>4</v>
      </c>
      <c r="S586">
        <v>2</v>
      </c>
      <c r="T586">
        <v>3</v>
      </c>
      <c r="U586" t="s">
        <v>23</v>
      </c>
      <c r="V586">
        <v>5</v>
      </c>
      <c r="W586">
        <v>1</v>
      </c>
    </row>
    <row r="587" spans="1:23" x14ac:dyDescent="0.35">
      <c r="A587" t="s">
        <v>888</v>
      </c>
      <c r="B587" s="6">
        <v>45494</v>
      </c>
      <c r="C587">
        <v>45696</v>
      </c>
      <c r="D587" t="s">
        <v>30</v>
      </c>
      <c r="E587">
        <v>22</v>
      </c>
      <c r="F587" t="s">
        <v>24</v>
      </c>
      <c r="G587" t="s">
        <v>42</v>
      </c>
      <c r="H587" t="s">
        <v>26</v>
      </c>
      <c r="I587" t="s">
        <v>48</v>
      </c>
      <c r="J587" t="s">
        <v>49</v>
      </c>
      <c r="K587">
        <v>1</v>
      </c>
      <c r="L587" t="s">
        <v>84</v>
      </c>
      <c r="M587">
        <v>32000</v>
      </c>
      <c r="N587">
        <v>12.6</v>
      </c>
      <c r="O587">
        <v>3.5</v>
      </c>
      <c r="P587">
        <v>0.6</v>
      </c>
      <c r="Q587">
        <v>0</v>
      </c>
      <c r="R587">
        <v>3</v>
      </c>
      <c r="S587">
        <v>3</v>
      </c>
      <c r="T587">
        <v>1</v>
      </c>
      <c r="U587" t="s">
        <v>23</v>
      </c>
      <c r="V587">
        <v>3</v>
      </c>
      <c r="W587">
        <v>1</v>
      </c>
    </row>
    <row r="588" spans="1:23" x14ac:dyDescent="0.35">
      <c r="A588" t="s">
        <v>1088</v>
      </c>
      <c r="B588" s="6">
        <v>42277</v>
      </c>
      <c r="D588" t="s">
        <v>23</v>
      </c>
      <c r="E588">
        <v>37</v>
      </c>
      <c r="F588" t="s">
        <v>62</v>
      </c>
      <c r="G588" t="s">
        <v>25</v>
      </c>
      <c r="H588" t="s">
        <v>26</v>
      </c>
      <c r="I588" t="s">
        <v>45</v>
      </c>
      <c r="J588" t="s">
        <v>97</v>
      </c>
      <c r="K588">
        <v>4</v>
      </c>
      <c r="L588" t="s">
        <v>34</v>
      </c>
      <c r="M588">
        <v>104000</v>
      </c>
      <c r="N588">
        <v>9</v>
      </c>
      <c r="O588">
        <v>12.4</v>
      </c>
      <c r="P588">
        <v>10.3</v>
      </c>
      <c r="Q588">
        <v>0</v>
      </c>
      <c r="R588">
        <v>3</v>
      </c>
      <c r="S588">
        <v>3</v>
      </c>
      <c r="T588">
        <v>3</v>
      </c>
      <c r="U588" t="s">
        <v>23</v>
      </c>
      <c r="V588">
        <v>5</v>
      </c>
      <c r="W588">
        <v>1</v>
      </c>
    </row>
    <row r="589" spans="1:23" x14ac:dyDescent="0.35">
      <c r="A589" t="s">
        <v>31</v>
      </c>
      <c r="B589" s="6">
        <v>45888</v>
      </c>
      <c r="C589">
        <v>45992</v>
      </c>
      <c r="D589" t="s">
        <v>30</v>
      </c>
      <c r="E589">
        <v>38</v>
      </c>
      <c r="F589" t="s">
        <v>24</v>
      </c>
      <c r="G589" t="s">
        <v>25</v>
      </c>
      <c r="H589" t="s">
        <v>32</v>
      </c>
      <c r="I589" t="s">
        <v>27</v>
      </c>
      <c r="J589" t="s">
        <v>33</v>
      </c>
      <c r="K589">
        <v>1</v>
      </c>
      <c r="L589" t="s">
        <v>34</v>
      </c>
      <c r="M589">
        <v>36000</v>
      </c>
      <c r="N589">
        <v>11</v>
      </c>
      <c r="O589">
        <v>7.4</v>
      </c>
      <c r="P589">
        <v>0.3</v>
      </c>
      <c r="Q589">
        <v>0</v>
      </c>
      <c r="R589">
        <v>3</v>
      </c>
      <c r="S589">
        <v>3</v>
      </c>
      <c r="T589">
        <v>2</v>
      </c>
      <c r="U589" t="s">
        <v>23</v>
      </c>
      <c r="V589">
        <v>3</v>
      </c>
      <c r="W589">
        <v>1</v>
      </c>
    </row>
    <row r="590" spans="1:23" x14ac:dyDescent="0.35">
      <c r="A590" t="s">
        <v>500</v>
      </c>
      <c r="B590" s="6">
        <v>45911</v>
      </c>
      <c r="D590" t="s">
        <v>23</v>
      </c>
      <c r="E590">
        <v>21</v>
      </c>
      <c r="F590" t="s">
        <v>36</v>
      </c>
      <c r="G590" t="s">
        <v>25</v>
      </c>
      <c r="H590" t="s">
        <v>54</v>
      </c>
      <c r="I590" t="s">
        <v>38</v>
      </c>
      <c r="J590" t="s">
        <v>52</v>
      </c>
      <c r="K590">
        <v>1</v>
      </c>
      <c r="M590">
        <v>48000</v>
      </c>
      <c r="N590">
        <v>7.1</v>
      </c>
      <c r="O590">
        <v>3.3</v>
      </c>
      <c r="P590">
        <v>0.3</v>
      </c>
      <c r="Q590">
        <v>0</v>
      </c>
      <c r="R590">
        <v>3</v>
      </c>
      <c r="S590">
        <v>4</v>
      </c>
      <c r="T590">
        <v>3</v>
      </c>
      <c r="U590" t="s">
        <v>23</v>
      </c>
      <c r="V590">
        <v>3</v>
      </c>
      <c r="W590">
        <v>1</v>
      </c>
    </row>
    <row r="591" spans="1:23" x14ac:dyDescent="0.35">
      <c r="A591" t="s">
        <v>308</v>
      </c>
      <c r="B591" s="6">
        <v>45888</v>
      </c>
      <c r="C591">
        <v>45984</v>
      </c>
      <c r="D591" t="s">
        <v>30</v>
      </c>
      <c r="E591">
        <v>38</v>
      </c>
      <c r="F591" t="s">
        <v>24</v>
      </c>
      <c r="G591" t="s">
        <v>42</v>
      </c>
      <c r="H591" t="s">
        <v>58</v>
      </c>
      <c r="I591" t="s">
        <v>55</v>
      </c>
      <c r="J591" t="s">
        <v>88</v>
      </c>
      <c r="K591">
        <v>3</v>
      </c>
      <c r="L591" t="s">
        <v>50</v>
      </c>
      <c r="M591">
        <v>86000</v>
      </c>
      <c r="N591">
        <v>13.2</v>
      </c>
      <c r="O591">
        <v>0.6</v>
      </c>
      <c r="P591">
        <v>0.3</v>
      </c>
      <c r="Q591">
        <v>0</v>
      </c>
      <c r="R591">
        <v>3</v>
      </c>
      <c r="S591">
        <v>4</v>
      </c>
      <c r="T591">
        <v>4</v>
      </c>
      <c r="U591" t="s">
        <v>23</v>
      </c>
      <c r="V591">
        <v>2</v>
      </c>
      <c r="W591">
        <v>1</v>
      </c>
    </row>
    <row r="592" spans="1:23" x14ac:dyDescent="0.35">
      <c r="A592" t="s">
        <v>871</v>
      </c>
      <c r="B592" s="6">
        <v>42495</v>
      </c>
      <c r="D592" t="s">
        <v>23</v>
      </c>
      <c r="E592">
        <v>38</v>
      </c>
      <c r="F592" t="s">
        <v>24</v>
      </c>
      <c r="G592" t="s">
        <v>37</v>
      </c>
      <c r="H592" t="s">
        <v>26</v>
      </c>
      <c r="I592" t="s">
        <v>48</v>
      </c>
      <c r="J592" t="s">
        <v>201</v>
      </c>
      <c r="K592">
        <v>3</v>
      </c>
      <c r="L592" t="s">
        <v>40</v>
      </c>
      <c r="M592">
        <v>68000</v>
      </c>
      <c r="N592">
        <v>13.8</v>
      </c>
      <c r="O592">
        <v>16.7</v>
      </c>
      <c r="P592">
        <v>9.6999999999999993</v>
      </c>
      <c r="Q592">
        <v>3</v>
      </c>
      <c r="R592">
        <v>3</v>
      </c>
      <c r="S592">
        <v>4</v>
      </c>
      <c r="T592">
        <v>4</v>
      </c>
      <c r="U592" t="s">
        <v>23</v>
      </c>
      <c r="V592">
        <v>3</v>
      </c>
      <c r="W592">
        <v>1</v>
      </c>
    </row>
    <row r="593" spans="1:23" x14ac:dyDescent="0.35">
      <c r="A593" t="s">
        <v>1464</v>
      </c>
      <c r="B593" s="6">
        <v>43194</v>
      </c>
      <c r="D593" t="s">
        <v>23</v>
      </c>
      <c r="E593">
        <v>30</v>
      </c>
      <c r="F593" t="s">
        <v>36</v>
      </c>
      <c r="G593" t="s">
        <v>37</v>
      </c>
      <c r="H593" t="s">
        <v>32</v>
      </c>
      <c r="I593" t="s">
        <v>55</v>
      </c>
      <c r="J593" t="s">
        <v>88</v>
      </c>
      <c r="K593">
        <v>3</v>
      </c>
      <c r="L593" t="s">
        <v>29</v>
      </c>
      <c r="M593">
        <v>91000</v>
      </c>
      <c r="N593">
        <v>1.9</v>
      </c>
      <c r="O593">
        <v>15.6</v>
      </c>
      <c r="P593">
        <v>7.7</v>
      </c>
      <c r="Q593">
        <v>4.4000000000000004</v>
      </c>
      <c r="R593">
        <v>3</v>
      </c>
      <c r="S593">
        <v>3</v>
      </c>
      <c r="T593">
        <v>3</v>
      </c>
      <c r="U593" t="s">
        <v>30</v>
      </c>
      <c r="V593">
        <v>3</v>
      </c>
      <c r="W593">
        <v>1</v>
      </c>
    </row>
    <row r="594" spans="1:23" x14ac:dyDescent="0.35">
      <c r="A594" t="s">
        <v>698</v>
      </c>
      <c r="B594" s="6">
        <v>45394</v>
      </c>
      <c r="D594" t="s">
        <v>23</v>
      </c>
      <c r="E594">
        <v>26</v>
      </c>
      <c r="F594" t="s">
        <v>62</v>
      </c>
      <c r="G594" t="s">
        <v>25</v>
      </c>
      <c r="H594" t="s">
        <v>32</v>
      </c>
      <c r="I594" t="s">
        <v>27</v>
      </c>
      <c r="J594" t="s">
        <v>95</v>
      </c>
      <c r="K594">
        <v>1</v>
      </c>
      <c r="L594" t="s">
        <v>40</v>
      </c>
      <c r="M594">
        <v>22000</v>
      </c>
      <c r="N594">
        <v>2.9</v>
      </c>
      <c r="O594">
        <v>3.7</v>
      </c>
      <c r="P594">
        <v>1.7</v>
      </c>
      <c r="Q594">
        <v>1.4</v>
      </c>
      <c r="R594">
        <v>4</v>
      </c>
      <c r="S594">
        <v>2</v>
      </c>
      <c r="T594">
        <v>3</v>
      </c>
      <c r="U594" t="s">
        <v>23</v>
      </c>
      <c r="V594">
        <v>4</v>
      </c>
      <c r="W594">
        <v>1</v>
      </c>
    </row>
    <row r="595" spans="1:23" x14ac:dyDescent="0.35">
      <c r="A595" t="s">
        <v>1567</v>
      </c>
      <c r="B595" s="6">
        <v>45493</v>
      </c>
      <c r="D595" t="s">
        <v>23</v>
      </c>
      <c r="E595">
        <v>29</v>
      </c>
      <c r="F595" t="s">
        <v>36</v>
      </c>
      <c r="G595" t="s">
        <v>25</v>
      </c>
      <c r="H595" t="s">
        <v>32</v>
      </c>
      <c r="I595" t="s">
        <v>59</v>
      </c>
      <c r="J595" t="s">
        <v>86</v>
      </c>
      <c r="K595">
        <v>2</v>
      </c>
      <c r="L595" t="s">
        <v>40</v>
      </c>
      <c r="M595">
        <v>66000</v>
      </c>
      <c r="N595">
        <v>6.9</v>
      </c>
      <c r="O595">
        <v>4.9000000000000004</v>
      </c>
      <c r="P595">
        <v>1.4</v>
      </c>
      <c r="Q595">
        <v>0.9</v>
      </c>
      <c r="R595">
        <v>4</v>
      </c>
      <c r="S595">
        <v>2</v>
      </c>
      <c r="T595">
        <v>1</v>
      </c>
      <c r="U595" t="s">
        <v>30</v>
      </c>
      <c r="V595">
        <v>3</v>
      </c>
      <c r="W595">
        <v>1</v>
      </c>
    </row>
    <row r="596" spans="1:23" x14ac:dyDescent="0.35">
      <c r="A596" t="s">
        <v>1234</v>
      </c>
      <c r="B596" s="6">
        <v>45090</v>
      </c>
      <c r="D596" t="s">
        <v>23</v>
      </c>
      <c r="E596">
        <v>25</v>
      </c>
      <c r="F596" t="s">
        <v>24</v>
      </c>
      <c r="G596" t="s">
        <v>37</v>
      </c>
      <c r="H596" t="s">
        <v>26</v>
      </c>
      <c r="I596" t="s">
        <v>68</v>
      </c>
      <c r="J596" t="s">
        <v>121</v>
      </c>
      <c r="K596">
        <v>1</v>
      </c>
      <c r="L596" t="s">
        <v>50</v>
      </c>
      <c r="M596">
        <v>45000</v>
      </c>
      <c r="N596">
        <v>8.4</v>
      </c>
      <c r="O596">
        <v>4.7</v>
      </c>
      <c r="P596">
        <v>2.6</v>
      </c>
      <c r="Q596">
        <v>0.7</v>
      </c>
      <c r="R596">
        <v>3</v>
      </c>
      <c r="S596">
        <v>3</v>
      </c>
      <c r="T596">
        <v>3</v>
      </c>
      <c r="U596" t="s">
        <v>23</v>
      </c>
      <c r="V596">
        <v>3</v>
      </c>
      <c r="W596">
        <v>1</v>
      </c>
    </row>
    <row r="597" spans="1:23" x14ac:dyDescent="0.35">
      <c r="A597" t="s">
        <v>739</v>
      </c>
      <c r="B597" s="6">
        <v>43896</v>
      </c>
      <c r="D597" t="s">
        <v>23</v>
      </c>
      <c r="E597">
        <v>34</v>
      </c>
      <c r="F597" t="s">
        <v>62</v>
      </c>
      <c r="G597" t="s">
        <v>37</v>
      </c>
      <c r="H597" t="s">
        <v>58</v>
      </c>
      <c r="I597" t="s">
        <v>38</v>
      </c>
      <c r="J597" t="s">
        <v>39</v>
      </c>
      <c r="K597">
        <v>2</v>
      </c>
      <c r="L597" t="s">
        <v>84</v>
      </c>
      <c r="M597">
        <v>64000</v>
      </c>
      <c r="N597">
        <v>13.5</v>
      </c>
      <c r="O597">
        <v>13.4</v>
      </c>
      <c r="P597">
        <v>5.8</v>
      </c>
      <c r="Q597">
        <v>2.1</v>
      </c>
      <c r="R597">
        <v>2</v>
      </c>
      <c r="S597">
        <v>3</v>
      </c>
      <c r="T597">
        <v>2</v>
      </c>
      <c r="U597" t="s">
        <v>23</v>
      </c>
      <c r="V597">
        <v>1</v>
      </c>
      <c r="W597">
        <v>1</v>
      </c>
    </row>
    <row r="598" spans="1:23" x14ac:dyDescent="0.35">
      <c r="A598" t="s">
        <v>513</v>
      </c>
      <c r="B598" s="6">
        <v>43826</v>
      </c>
      <c r="D598" t="s">
        <v>23</v>
      </c>
      <c r="E598">
        <v>30</v>
      </c>
      <c r="F598" t="s">
        <v>24</v>
      </c>
      <c r="G598" t="s">
        <v>25</v>
      </c>
      <c r="H598" t="s">
        <v>32</v>
      </c>
      <c r="I598" t="s">
        <v>45</v>
      </c>
      <c r="J598" t="s">
        <v>77</v>
      </c>
      <c r="K598">
        <v>3</v>
      </c>
      <c r="L598" t="s">
        <v>40</v>
      </c>
      <c r="M598">
        <v>60000</v>
      </c>
      <c r="N598">
        <v>7.3</v>
      </c>
      <c r="O598">
        <v>10.7</v>
      </c>
      <c r="P598">
        <v>6</v>
      </c>
      <c r="Q598">
        <v>0.5</v>
      </c>
      <c r="R598">
        <v>2</v>
      </c>
      <c r="S598">
        <v>2</v>
      </c>
      <c r="T598">
        <v>3</v>
      </c>
      <c r="U598" t="s">
        <v>23</v>
      </c>
      <c r="V598">
        <v>4</v>
      </c>
      <c r="W598">
        <v>1</v>
      </c>
    </row>
    <row r="599" spans="1:23" x14ac:dyDescent="0.35">
      <c r="A599" t="s">
        <v>1093</v>
      </c>
      <c r="B599" s="6">
        <v>43986</v>
      </c>
      <c r="D599" t="s">
        <v>23</v>
      </c>
      <c r="E599">
        <v>26</v>
      </c>
      <c r="F599" t="s">
        <v>24</v>
      </c>
      <c r="G599" t="s">
        <v>42</v>
      </c>
      <c r="H599" t="s">
        <v>58</v>
      </c>
      <c r="I599" t="s">
        <v>45</v>
      </c>
      <c r="J599" t="s">
        <v>46</v>
      </c>
      <c r="K599">
        <v>1</v>
      </c>
      <c r="L599" t="s">
        <v>66</v>
      </c>
      <c r="M599">
        <v>23000</v>
      </c>
      <c r="N599">
        <v>10.4</v>
      </c>
      <c r="O599">
        <v>11.4</v>
      </c>
      <c r="P599">
        <v>5.6</v>
      </c>
      <c r="Q599">
        <v>5.5</v>
      </c>
      <c r="R599">
        <v>3</v>
      </c>
      <c r="S599">
        <v>2</v>
      </c>
      <c r="T599">
        <v>3</v>
      </c>
      <c r="U599" t="s">
        <v>30</v>
      </c>
      <c r="V599">
        <v>1</v>
      </c>
      <c r="W599">
        <v>1</v>
      </c>
    </row>
    <row r="600" spans="1:23" x14ac:dyDescent="0.35">
      <c r="A600" t="s">
        <v>91</v>
      </c>
      <c r="B600" s="6">
        <v>42847</v>
      </c>
      <c r="D600" t="s">
        <v>23</v>
      </c>
      <c r="E600">
        <v>33</v>
      </c>
      <c r="F600" t="s">
        <v>24</v>
      </c>
      <c r="G600" t="s">
        <v>42</v>
      </c>
      <c r="H600" t="s">
        <v>26</v>
      </c>
      <c r="I600" t="s">
        <v>68</v>
      </c>
      <c r="J600" t="s">
        <v>69</v>
      </c>
      <c r="K600">
        <v>2</v>
      </c>
      <c r="L600" t="s">
        <v>66</v>
      </c>
      <c r="M600">
        <v>46000</v>
      </c>
      <c r="N600">
        <v>8.1</v>
      </c>
      <c r="O600">
        <v>16.100000000000001</v>
      </c>
      <c r="P600">
        <v>8.6999999999999993</v>
      </c>
      <c r="Q600">
        <v>3</v>
      </c>
      <c r="R600">
        <v>1</v>
      </c>
      <c r="S600">
        <v>1</v>
      </c>
      <c r="T600">
        <v>3</v>
      </c>
      <c r="U600" t="s">
        <v>23</v>
      </c>
      <c r="V600">
        <v>4</v>
      </c>
      <c r="W600">
        <v>1</v>
      </c>
    </row>
    <row r="601" spans="1:23" x14ac:dyDescent="0.35">
      <c r="A601" t="s">
        <v>332</v>
      </c>
      <c r="B601" s="6">
        <v>44214</v>
      </c>
      <c r="D601" t="s">
        <v>23</v>
      </c>
      <c r="E601">
        <v>39</v>
      </c>
      <c r="F601" t="s">
        <v>36</v>
      </c>
      <c r="G601" t="s">
        <v>37</v>
      </c>
      <c r="H601" t="s">
        <v>32</v>
      </c>
      <c r="I601" t="s">
        <v>38</v>
      </c>
      <c r="J601" t="s">
        <v>139</v>
      </c>
      <c r="K601">
        <v>3</v>
      </c>
      <c r="L601" t="s">
        <v>50</v>
      </c>
      <c r="M601">
        <v>96000</v>
      </c>
      <c r="N601">
        <v>1.6</v>
      </c>
      <c r="O601">
        <v>6.3</v>
      </c>
      <c r="P601">
        <v>5</v>
      </c>
      <c r="Q601">
        <v>3.8</v>
      </c>
      <c r="R601">
        <v>4</v>
      </c>
      <c r="T601">
        <v>4</v>
      </c>
      <c r="U601" t="s">
        <v>23</v>
      </c>
      <c r="V601">
        <v>3</v>
      </c>
      <c r="W601">
        <v>1</v>
      </c>
    </row>
    <row r="602" spans="1:23" x14ac:dyDescent="0.35">
      <c r="A602" t="s">
        <v>420</v>
      </c>
      <c r="B602" s="6">
        <v>45329</v>
      </c>
      <c r="D602" t="s">
        <v>23</v>
      </c>
      <c r="E602">
        <v>23</v>
      </c>
      <c r="F602" t="s">
        <v>36</v>
      </c>
      <c r="G602" t="s">
        <v>25</v>
      </c>
      <c r="H602" t="s">
        <v>26</v>
      </c>
      <c r="I602" t="s">
        <v>55</v>
      </c>
      <c r="J602" t="s">
        <v>179</v>
      </c>
      <c r="K602">
        <v>1</v>
      </c>
      <c r="L602" t="s">
        <v>40</v>
      </c>
      <c r="M602">
        <v>33000</v>
      </c>
      <c r="N602">
        <v>8.6999999999999993</v>
      </c>
      <c r="O602">
        <v>5.9</v>
      </c>
      <c r="P602">
        <v>1.9</v>
      </c>
      <c r="Q602">
        <v>1.4</v>
      </c>
      <c r="R602">
        <v>4</v>
      </c>
      <c r="S602">
        <v>3</v>
      </c>
      <c r="T602">
        <v>4</v>
      </c>
      <c r="U602" t="s">
        <v>30</v>
      </c>
      <c r="V602">
        <v>3</v>
      </c>
      <c r="W602">
        <v>1</v>
      </c>
    </row>
    <row r="603" spans="1:23" x14ac:dyDescent="0.35">
      <c r="A603" t="s">
        <v>1354</v>
      </c>
      <c r="B603" s="6">
        <v>44607</v>
      </c>
      <c r="D603" t="s">
        <v>23</v>
      </c>
      <c r="E603">
        <v>27</v>
      </c>
      <c r="F603" t="s">
        <v>24</v>
      </c>
      <c r="G603" t="s">
        <v>25</v>
      </c>
      <c r="H603" t="s">
        <v>26</v>
      </c>
      <c r="I603" t="s">
        <v>55</v>
      </c>
      <c r="J603" t="s">
        <v>56</v>
      </c>
      <c r="K603">
        <v>1</v>
      </c>
      <c r="L603" t="s">
        <v>50</v>
      </c>
      <c r="M603">
        <v>30000</v>
      </c>
      <c r="N603">
        <v>9.8000000000000007</v>
      </c>
      <c r="O603">
        <v>6.1</v>
      </c>
      <c r="P603">
        <v>3.9</v>
      </c>
      <c r="Q603">
        <v>0.5</v>
      </c>
      <c r="R603">
        <v>3</v>
      </c>
      <c r="S603">
        <v>4</v>
      </c>
      <c r="T603">
        <v>1</v>
      </c>
      <c r="U603" t="s">
        <v>23</v>
      </c>
      <c r="V603">
        <v>5</v>
      </c>
      <c r="W603">
        <v>1</v>
      </c>
    </row>
    <row r="604" spans="1:23" x14ac:dyDescent="0.35">
      <c r="A604" t="s">
        <v>526</v>
      </c>
      <c r="B604" s="6">
        <v>43179</v>
      </c>
      <c r="D604" t="s">
        <v>23</v>
      </c>
      <c r="E604">
        <v>28</v>
      </c>
      <c r="F604" t="s">
        <v>62</v>
      </c>
      <c r="G604" t="s">
        <v>37</v>
      </c>
      <c r="H604" t="s">
        <v>58</v>
      </c>
      <c r="I604" t="s">
        <v>45</v>
      </c>
      <c r="J604" t="s">
        <v>77</v>
      </c>
      <c r="K604">
        <v>3</v>
      </c>
      <c r="L604" t="s">
        <v>40</v>
      </c>
      <c r="M604">
        <v>74000</v>
      </c>
      <c r="N604">
        <v>6.8</v>
      </c>
      <c r="O604">
        <v>9.9</v>
      </c>
      <c r="P604">
        <v>7.8</v>
      </c>
      <c r="Q604">
        <v>0.8</v>
      </c>
      <c r="R604">
        <v>4</v>
      </c>
      <c r="S604">
        <v>4</v>
      </c>
      <c r="T604">
        <v>3</v>
      </c>
      <c r="U604" t="s">
        <v>23</v>
      </c>
      <c r="V604">
        <v>5</v>
      </c>
      <c r="W604">
        <v>1</v>
      </c>
    </row>
    <row r="605" spans="1:23" x14ac:dyDescent="0.35">
      <c r="A605" t="s">
        <v>1370</v>
      </c>
      <c r="B605" s="6">
        <v>41761</v>
      </c>
      <c r="D605" t="s">
        <v>23</v>
      </c>
      <c r="E605">
        <v>45</v>
      </c>
      <c r="F605" t="s">
        <v>62</v>
      </c>
      <c r="G605" t="s">
        <v>25</v>
      </c>
      <c r="H605" t="s">
        <v>32</v>
      </c>
      <c r="I605" t="s">
        <v>45</v>
      </c>
      <c r="J605" t="s">
        <v>77</v>
      </c>
      <c r="K605">
        <v>2</v>
      </c>
      <c r="L605" t="s">
        <v>34</v>
      </c>
      <c r="M605">
        <v>62000</v>
      </c>
      <c r="N605">
        <v>3.8</v>
      </c>
      <c r="O605">
        <v>17.899999999999999</v>
      </c>
      <c r="P605">
        <v>11.7</v>
      </c>
      <c r="Q605">
        <v>0.6</v>
      </c>
      <c r="R605">
        <v>4</v>
      </c>
      <c r="S605">
        <v>4</v>
      </c>
      <c r="T605">
        <v>3</v>
      </c>
      <c r="U605" t="s">
        <v>23</v>
      </c>
      <c r="V605">
        <v>4</v>
      </c>
      <c r="W605">
        <v>1</v>
      </c>
    </row>
    <row r="606" spans="1:23" x14ac:dyDescent="0.35">
      <c r="A606" t="s">
        <v>216</v>
      </c>
      <c r="B606" s="6">
        <v>43427</v>
      </c>
      <c r="D606" t="s">
        <v>23</v>
      </c>
      <c r="E606">
        <v>39</v>
      </c>
      <c r="F606" t="s">
        <v>24</v>
      </c>
      <c r="G606" t="s">
        <v>42</v>
      </c>
      <c r="H606" t="s">
        <v>32</v>
      </c>
      <c r="I606" t="s">
        <v>55</v>
      </c>
      <c r="J606" t="s">
        <v>88</v>
      </c>
      <c r="K606">
        <v>2</v>
      </c>
      <c r="L606" t="s">
        <v>40</v>
      </c>
      <c r="M606">
        <v>51000</v>
      </c>
      <c r="N606">
        <v>12.3</v>
      </c>
      <c r="O606">
        <v>9</v>
      </c>
      <c r="P606">
        <v>7.1</v>
      </c>
      <c r="Q606">
        <v>4.4000000000000004</v>
      </c>
      <c r="R606">
        <v>4</v>
      </c>
      <c r="S606">
        <v>3</v>
      </c>
      <c r="T606">
        <v>4</v>
      </c>
      <c r="U606" t="s">
        <v>23</v>
      </c>
      <c r="V606">
        <v>2</v>
      </c>
      <c r="W606">
        <v>1</v>
      </c>
    </row>
    <row r="607" spans="1:23" x14ac:dyDescent="0.35">
      <c r="A607" t="s">
        <v>659</v>
      </c>
      <c r="B607" s="6">
        <v>44293</v>
      </c>
      <c r="D607" t="s">
        <v>23</v>
      </c>
      <c r="E607">
        <v>25</v>
      </c>
      <c r="F607" t="s">
        <v>36</v>
      </c>
      <c r="G607" t="s">
        <v>37</v>
      </c>
      <c r="H607" t="s">
        <v>54</v>
      </c>
      <c r="I607" t="s">
        <v>55</v>
      </c>
      <c r="J607" t="s">
        <v>80</v>
      </c>
      <c r="K607">
        <v>1</v>
      </c>
      <c r="L607" t="s">
        <v>29</v>
      </c>
      <c r="M607">
        <v>31000</v>
      </c>
      <c r="N607">
        <v>13.1</v>
      </c>
      <c r="O607">
        <v>11.8</v>
      </c>
      <c r="P607">
        <v>4.7</v>
      </c>
      <c r="Q607">
        <v>3.8</v>
      </c>
      <c r="R607">
        <v>3</v>
      </c>
      <c r="S607">
        <v>3</v>
      </c>
      <c r="T607">
        <v>2</v>
      </c>
      <c r="U607" t="s">
        <v>30</v>
      </c>
      <c r="V607">
        <v>2</v>
      </c>
      <c r="W607">
        <v>1</v>
      </c>
    </row>
    <row r="608" spans="1:23" x14ac:dyDescent="0.35">
      <c r="A608" t="s">
        <v>1277</v>
      </c>
      <c r="B608" s="6">
        <v>45326</v>
      </c>
      <c r="C608">
        <v>45854</v>
      </c>
      <c r="D608" t="s">
        <v>30</v>
      </c>
      <c r="E608">
        <v>37</v>
      </c>
      <c r="F608" t="s">
        <v>24</v>
      </c>
      <c r="G608" t="s">
        <v>37</v>
      </c>
      <c r="H608" t="s">
        <v>58</v>
      </c>
      <c r="I608" t="s">
        <v>48</v>
      </c>
      <c r="J608" t="s">
        <v>63</v>
      </c>
      <c r="K608">
        <v>3</v>
      </c>
      <c r="L608" t="s">
        <v>40</v>
      </c>
      <c r="M608">
        <v>83000</v>
      </c>
      <c r="N608">
        <v>10.6</v>
      </c>
      <c r="O608">
        <v>1.6</v>
      </c>
      <c r="P608">
        <v>1.4</v>
      </c>
      <c r="Q608">
        <v>1.2</v>
      </c>
      <c r="R608">
        <v>1</v>
      </c>
      <c r="S608">
        <v>4</v>
      </c>
      <c r="T608">
        <v>3</v>
      </c>
      <c r="U608" t="s">
        <v>23</v>
      </c>
      <c r="V608">
        <v>1</v>
      </c>
      <c r="W608">
        <v>1</v>
      </c>
    </row>
    <row r="609" spans="1:23" x14ac:dyDescent="0.35">
      <c r="A609" t="s">
        <v>965</v>
      </c>
      <c r="B609" s="6">
        <v>45873</v>
      </c>
      <c r="D609" t="s">
        <v>23</v>
      </c>
      <c r="E609">
        <v>40</v>
      </c>
      <c r="F609" t="s">
        <v>24</v>
      </c>
      <c r="G609" t="s">
        <v>42</v>
      </c>
      <c r="H609" t="s">
        <v>58</v>
      </c>
      <c r="I609" t="s">
        <v>45</v>
      </c>
      <c r="J609" t="s">
        <v>164</v>
      </c>
      <c r="K609">
        <v>3</v>
      </c>
      <c r="L609" t="s">
        <v>34</v>
      </c>
      <c r="M609">
        <v>83000</v>
      </c>
      <c r="N609">
        <v>8.1</v>
      </c>
      <c r="O609">
        <v>7.2</v>
      </c>
      <c r="P609">
        <v>0.4</v>
      </c>
      <c r="Q609">
        <v>0</v>
      </c>
      <c r="R609">
        <v>3</v>
      </c>
      <c r="S609">
        <v>2</v>
      </c>
      <c r="T609">
        <v>3</v>
      </c>
      <c r="U609" t="s">
        <v>23</v>
      </c>
      <c r="V609">
        <v>5</v>
      </c>
      <c r="W609">
        <v>1</v>
      </c>
    </row>
    <row r="610" spans="1:23" x14ac:dyDescent="0.35">
      <c r="A610" t="s">
        <v>701</v>
      </c>
      <c r="B610" s="6">
        <v>45878</v>
      </c>
      <c r="C610">
        <v>45943</v>
      </c>
      <c r="D610" t="s">
        <v>30</v>
      </c>
      <c r="E610">
        <v>22</v>
      </c>
      <c r="F610" t="s">
        <v>24</v>
      </c>
      <c r="G610" t="s">
        <v>37</v>
      </c>
      <c r="H610" t="s">
        <v>32</v>
      </c>
      <c r="I610" t="s">
        <v>55</v>
      </c>
      <c r="J610" t="s">
        <v>179</v>
      </c>
      <c r="K610">
        <v>1</v>
      </c>
      <c r="L610" t="s">
        <v>34</v>
      </c>
      <c r="M610">
        <v>44000</v>
      </c>
      <c r="N610">
        <v>11.3</v>
      </c>
      <c r="O610">
        <v>1</v>
      </c>
      <c r="P610">
        <v>0.2</v>
      </c>
      <c r="Q610">
        <v>0</v>
      </c>
      <c r="R610">
        <v>3</v>
      </c>
      <c r="S610">
        <v>3</v>
      </c>
      <c r="T610">
        <v>4</v>
      </c>
      <c r="U610" t="s">
        <v>23</v>
      </c>
      <c r="V610">
        <v>2</v>
      </c>
      <c r="W610">
        <v>1</v>
      </c>
    </row>
    <row r="611" spans="1:23" x14ac:dyDescent="0.35">
      <c r="A611" t="s">
        <v>1198</v>
      </c>
      <c r="B611" s="6">
        <v>44687</v>
      </c>
      <c r="D611" t="s">
        <v>23</v>
      </c>
      <c r="E611">
        <v>41</v>
      </c>
      <c r="F611" t="s">
        <v>36</v>
      </c>
      <c r="G611" t="s">
        <v>42</v>
      </c>
      <c r="H611" t="s">
        <v>26</v>
      </c>
      <c r="I611" t="s">
        <v>48</v>
      </c>
      <c r="J611" t="s">
        <v>49</v>
      </c>
      <c r="K611">
        <v>2</v>
      </c>
      <c r="L611" t="s">
        <v>66</v>
      </c>
      <c r="M611">
        <v>52000</v>
      </c>
      <c r="N611">
        <v>11.3</v>
      </c>
      <c r="O611">
        <v>9.4</v>
      </c>
      <c r="P611">
        <v>3.7</v>
      </c>
      <c r="Q611">
        <v>3.3</v>
      </c>
      <c r="R611">
        <v>3</v>
      </c>
      <c r="S611">
        <v>3</v>
      </c>
      <c r="T611">
        <v>4</v>
      </c>
      <c r="U611" t="s">
        <v>23</v>
      </c>
      <c r="V611">
        <v>3</v>
      </c>
      <c r="W611">
        <v>1</v>
      </c>
    </row>
    <row r="612" spans="1:23" x14ac:dyDescent="0.35">
      <c r="A612" t="s">
        <v>1168</v>
      </c>
      <c r="B612" s="6">
        <v>41961</v>
      </c>
      <c r="C612">
        <v>45877</v>
      </c>
      <c r="D612" t="s">
        <v>30</v>
      </c>
      <c r="E612">
        <v>33</v>
      </c>
      <c r="F612" t="s">
        <v>36</v>
      </c>
      <c r="G612" t="s">
        <v>25</v>
      </c>
      <c r="H612" t="s">
        <v>58</v>
      </c>
      <c r="I612" t="s">
        <v>68</v>
      </c>
      <c r="J612" t="s">
        <v>102</v>
      </c>
      <c r="K612">
        <v>2</v>
      </c>
      <c r="L612" t="s">
        <v>84</v>
      </c>
      <c r="M612">
        <v>51000</v>
      </c>
      <c r="N612">
        <v>9.9</v>
      </c>
      <c r="O612">
        <v>15</v>
      </c>
      <c r="P612">
        <v>10.7</v>
      </c>
      <c r="Q612">
        <v>3.6</v>
      </c>
      <c r="R612">
        <v>1</v>
      </c>
      <c r="S612">
        <v>3</v>
      </c>
      <c r="T612">
        <v>2</v>
      </c>
      <c r="U612" t="s">
        <v>30</v>
      </c>
      <c r="V612">
        <v>4</v>
      </c>
      <c r="W612">
        <v>1</v>
      </c>
    </row>
    <row r="613" spans="1:23" x14ac:dyDescent="0.35">
      <c r="A613" t="s">
        <v>1215</v>
      </c>
      <c r="B613" s="6">
        <v>43085</v>
      </c>
      <c r="D613" t="s">
        <v>23</v>
      </c>
      <c r="E613">
        <v>32</v>
      </c>
      <c r="F613" t="s">
        <v>36</v>
      </c>
      <c r="G613" t="s">
        <v>37</v>
      </c>
      <c r="H613" t="s">
        <v>54</v>
      </c>
      <c r="I613" t="s">
        <v>38</v>
      </c>
      <c r="J613" t="s">
        <v>39</v>
      </c>
      <c r="K613">
        <v>4</v>
      </c>
      <c r="L613" t="s">
        <v>34</v>
      </c>
      <c r="M613" t="s">
        <v>1216</v>
      </c>
      <c r="N613">
        <v>7.3</v>
      </c>
      <c r="O613">
        <v>8.6999999999999993</v>
      </c>
      <c r="P613">
        <v>8</v>
      </c>
      <c r="Q613">
        <v>0</v>
      </c>
      <c r="R613">
        <v>4</v>
      </c>
      <c r="S613">
        <v>4</v>
      </c>
      <c r="T613">
        <v>2</v>
      </c>
      <c r="U613" t="s">
        <v>23</v>
      </c>
      <c r="V613">
        <v>4</v>
      </c>
      <c r="W613">
        <v>1</v>
      </c>
    </row>
    <row r="614" spans="1:23" x14ac:dyDescent="0.35">
      <c r="A614" t="s">
        <v>358</v>
      </c>
      <c r="B614" s="6">
        <v>45429</v>
      </c>
      <c r="D614" t="s">
        <v>23</v>
      </c>
      <c r="E614">
        <v>45</v>
      </c>
      <c r="F614" t="s">
        <v>36</v>
      </c>
      <c r="G614" t="s">
        <v>25</v>
      </c>
      <c r="H614" t="s">
        <v>54</v>
      </c>
      <c r="I614" t="s">
        <v>45</v>
      </c>
      <c r="J614" t="s">
        <v>46</v>
      </c>
      <c r="K614">
        <v>4</v>
      </c>
      <c r="L614" t="s">
        <v>66</v>
      </c>
      <c r="M614">
        <v>116000</v>
      </c>
      <c r="N614">
        <v>3.8</v>
      </c>
      <c r="O614">
        <v>4.2</v>
      </c>
      <c r="P614">
        <v>1.6</v>
      </c>
      <c r="Q614">
        <v>0.2</v>
      </c>
      <c r="R614">
        <v>3</v>
      </c>
      <c r="S614">
        <v>4</v>
      </c>
      <c r="T614">
        <v>3</v>
      </c>
      <c r="U614" t="s">
        <v>23</v>
      </c>
      <c r="V614">
        <v>3</v>
      </c>
      <c r="W614">
        <v>1</v>
      </c>
    </row>
    <row r="615" spans="1:23" x14ac:dyDescent="0.35">
      <c r="A615" t="s">
        <v>952</v>
      </c>
      <c r="B615" s="6">
        <v>42913</v>
      </c>
      <c r="D615" t="s">
        <v>23</v>
      </c>
      <c r="E615">
        <v>29</v>
      </c>
      <c r="F615" t="s">
        <v>62</v>
      </c>
      <c r="G615" t="s">
        <v>42</v>
      </c>
      <c r="H615" t="s">
        <v>32</v>
      </c>
      <c r="I615" t="s">
        <v>59</v>
      </c>
      <c r="J615" t="s">
        <v>150</v>
      </c>
      <c r="K615">
        <v>2</v>
      </c>
      <c r="L615" t="s">
        <v>29</v>
      </c>
      <c r="M615">
        <v>54000</v>
      </c>
      <c r="N615">
        <v>10.199999999999999</v>
      </c>
      <c r="O615">
        <v>12.8</v>
      </c>
      <c r="P615">
        <v>8.5</v>
      </c>
      <c r="Q615">
        <v>3</v>
      </c>
      <c r="R615">
        <v>3</v>
      </c>
      <c r="S615">
        <v>3</v>
      </c>
      <c r="T615">
        <v>2</v>
      </c>
      <c r="U615" t="s">
        <v>23</v>
      </c>
      <c r="V615">
        <v>2</v>
      </c>
      <c r="W615">
        <v>1</v>
      </c>
    </row>
    <row r="616" spans="1:23" x14ac:dyDescent="0.35">
      <c r="A616" t="s">
        <v>145</v>
      </c>
      <c r="B616" s="6">
        <v>45341</v>
      </c>
      <c r="D616" t="s">
        <v>23</v>
      </c>
      <c r="E616">
        <v>28</v>
      </c>
      <c r="F616" t="s">
        <v>24</v>
      </c>
      <c r="G616" t="s">
        <v>42</v>
      </c>
      <c r="H616" t="s">
        <v>54</v>
      </c>
      <c r="I616" t="s">
        <v>38</v>
      </c>
      <c r="J616" t="s">
        <v>139</v>
      </c>
      <c r="K616">
        <v>2</v>
      </c>
      <c r="L616" t="s">
        <v>40</v>
      </c>
      <c r="M616">
        <v>53000</v>
      </c>
      <c r="N616">
        <v>5.3</v>
      </c>
      <c r="O616">
        <v>2.9</v>
      </c>
      <c r="P616">
        <v>1.9</v>
      </c>
      <c r="Q616">
        <v>0.2</v>
      </c>
      <c r="R616">
        <v>3</v>
      </c>
      <c r="S616">
        <v>4</v>
      </c>
      <c r="T616">
        <v>3</v>
      </c>
      <c r="U616" t="s">
        <v>23</v>
      </c>
      <c r="V616">
        <v>4</v>
      </c>
      <c r="W616">
        <v>1</v>
      </c>
    </row>
    <row r="617" spans="1:23" x14ac:dyDescent="0.35">
      <c r="A617" t="s">
        <v>1326</v>
      </c>
      <c r="B617" s="6">
        <v>42375</v>
      </c>
      <c r="D617" t="s">
        <v>23</v>
      </c>
      <c r="E617">
        <v>33</v>
      </c>
      <c r="F617" t="s">
        <v>62</v>
      </c>
      <c r="G617" t="s">
        <v>37</v>
      </c>
      <c r="H617" t="s">
        <v>26</v>
      </c>
      <c r="I617" t="s">
        <v>59</v>
      </c>
      <c r="J617" t="s">
        <v>60</v>
      </c>
      <c r="K617">
        <v>2</v>
      </c>
      <c r="L617" t="s">
        <v>34</v>
      </c>
      <c r="M617">
        <v>45000</v>
      </c>
      <c r="N617">
        <v>11.7</v>
      </c>
      <c r="O617">
        <v>15.6</v>
      </c>
      <c r="P617">
        <v>10</v>
      </c>
      <c r="Q617">
        <v>2.2999999999999998</v>
      </c>
      <c r="R617">
        <v>2</v>
      </c>
      <c r="S617">
        <v>1</v>
      </c>
      <c r="T617">
        <v>4</v>
      </c>
      <c r="U617" t="s">
        <v>30</v>
      </c>
      <c r="V617">
        <v>3</v>
      </c>
      <c r="W617">
        <v>1</v>
      </c>
    </row>
    <row r="618" spans="1:23" x14ac:dyDescent="0.35">
      <c r="A618" t="s">
        <v>1050</v>
      </c>
      <c r="B618" s="6">
        <v>44752</v>
      </c>
      <c r="D618" t="s">
        <v>23</v>
      </c>
      <c r="E618">
        <v>29</v>
      </c>
      <c r="F618" t="s">
        <v>62</v>
      </c>
      <c r="G618" t="s">
        <v>42</v>
      </c>
      <c r="H618" t="s">
        <v>54</v>
      </c>
      <c r="I618" t="s">
        <v>59</v>
      </c>
      <c r="J618" t="s">
        <v>86</v>
      </c>
      <c r="K618">
        <v>1</v>
      </c>
      <c r="L618" t="s">
        <v>34</v>
      </c>
      <c r="M618">
        <v>35000</v>
      </c>
      <c r="N618">
        <v>11</v>
      </c>
      <c r="O618">
        <v>10</v>
      </c>
      <c r="P618">
        <v>3.5</v>
      </c>
      <c r="Q618">
        <v>0.5</v>
      </c>
      <c r="R618">
        <v>1</v>
      </c>
      <c r="S618">
        <v>2</v>
      </c>
      <c r="T618">
        <v>3</v>
      </c>
      <c r="U618" t="s">
        <v>30</v>
      </c>
      <c r="V618">
        <v>4</v>
      </c>
      <c r="W618">
        <v>1</v>
      </c>
    </row>
    <row r="619" spans="1:23" x14ac:dyDescent="0.35">
      <c r="A619" t="s">
        <v>570</v>
      </c>
      <c r="B619" s="6">
        <v>43157</v>
      </c>
      <c r="C619">
        <v>45986</v>
      </c>
      <c r="D619" t="s">
        <v>30</v>
      </c>
      <c r="E619">
        <v>34</v>
      </c>
      <c r="F619" t="s">
        <v>62</v>
      </c>
      <c r="G619" t="s">
        <v>42</v>
      </c>
      <c r="H619" t="s">
        <v>58</v>
      </c>
      <c r="I619" t="s">
        <v>45</v>
      </c>
      <c r="J619" t="s">
        <v>77</v>
      </c>
      <c r="K619">
        <v>2</v>
      </c>
      <c r="L619" t="s">
        <v>66</v>
      </c>
      <c r="M619">
        <v>56000</v>
      </c>
      <c r="N619">
        <v>10.9</v>
      </c>
      <c r="O619">
        <v>8</v>
      </c>
      <c r="P619">
        <v>7.7</v>
      </c>
      <c r="Q619">
        <v>4.5</v>
      </c>
      <c r="R619">
        <v>2</v>
      </c>
      <c r="S619">
        <v>3</v>
      </c>
      <c r="T619">
        <v>1</v>
      </c>
      <c r="U619" t="s">
        <v>30</v>
      </c>
      <c r="V619">
        <v>4</v>
      </c>
      <c r="W619">
        <v>1</v>
      </c>
    </row>
    <row r="620" spans="1:23" x14ac:dyDescent="0.35">
      <c r="A620" t="s">
        <v>22</v>
      </c>
      <c r="B620" s="6">
        <v>44102</v>
      </c>
      <c r="D620" t="s">
        <v>23</v>
      </c>
      <c r="E620">
        <v>39</v>
      </c>
      <c r="F620" t="s">
        <v>24</v>
      </c>
      <c r="G620" t="s">
        <v>25</v>
      </c>
      <c r="H620" t="s">
        <v>26</v>
      </c>
      <c r="I620" t="s">
        <v>27</v>
      </c>
      <c r="J620" t="s">
        <v>28</v>
      </c>
      <c r="K620">
        <v>3</v>
      </c>
      <c r="L620" t="s">
        <v>29</v>
      </c>
      <c r="M620">
        <v>82000</v>
      </c>
      <c r="N620">
        <v>5.9</v>
      </c>
      <c r="O620">
        <v>13.1</v>
      </c>
      <c r="P620">
        <v>5.3</v>
      </c>
      <c r="Q620">
        <v>0.7</v>
      </c>
      <c r="R620">
        <v>4</v>
      </c>
      <c r="S620">
        <v>2</v>
      </c>
      <c r="T620">
        <v>3</v>
      </c>
      <c r="U620" t="s">
        <v>30</v>
      </c>
      <c r="V620">
        <v>3</v>
      </c>
      <c r="W620">
        <v>1</v>
      </c>
    </row>
    <row r="621" spans="1:23" x14ac:dyDescent="0.35">
      <c r="A621" t="s">
        <v>333</v>
      </c>
      <c r="B621" s="6">
        <v>43170</v>
      </c>
      <c r="D621" t="s">
        <v>23</v>
      </c>
      <c r="E621">
        <v>38</v>
      </c>
      <c r="F621" t="s">
        <v>36</v>
      </c>
      <c r="H621" t="s">
        <v>32</v>
      </c>
      <c r="I621" t="s">
        <v>48</v>
      </c>
      <c r="J621" t="s">
        <v>201</v>
      </c>
      <c r="K621">
        <v>2</v>
      </c>
      <c r="L621" t="s">
        <v>84</v>
      </c>
      <c r="M621">
        <v>53000</v>
      </c>
      <c r="N621">
        <v>13.3</v>
      </c>
      <c r="O621">
        <v>13</v>
      </c>
      <c r="P621">
        <v>7.8</v>
      </c>
      <c r="Q621">
        <v>1.2</v>
      </c>
      <c r="R621">
        <v>2</v>
      </c>
      <c r="S621">
        <v>2</v>
      </c>
      <c r="T621">
        <v>2</v>
      </c>
      <c r="U621" t="s">
        <v>334</v>
      </c>
      <c r="V621">
        <v>4</v>
      </c>
      <c r="W621">
        <v>1</v>
      </c>
    </row>
    <row r="622" spans="1:23" x14ac:dyDescent="0.35">
      <c r="A622" t="s">
        <v>242</v>
      </c>
      <c r="B622" s="6">
        <v>45753</v>
      </c>
      <c r="D622" t="s">
        <v>23</v>
      </c>
      <c r="E622">
        <v>27</v>
      </c>
      <c r="F622" t="s">
        <v>62</v>
      </c>
      <c r="G622" t="s">
        <v>37</v>
      </c>
      <c r="H622" t="s">
        <v>54</v>
      </c>
      <c r="I622" t="s">
        <v>55</v>
      </c>
      <c r="J622" t="s">
        <v>56</v>
      </c>
      <c r="K622">
        <v>1</v>
      </c>
      <c r="L622" t="s">
        <v>50</v>
      </c>
      <c r="M622">
        <v>27000</v>
      </c>
      <c r="N622">
        <v>10.199999999999999</v>
      </c>
      <c r="O622">
        <v>5.2</v>
      </c>
      <c r="P622">
        <v>0.7</v>
      </c>
      <c r="Q622">
        <v>0</v>
      </c>
      <c r="R622">
        <v>4</v>
      </c>
      <c r="S622">
        <v>1</v>
      </c>
      <c r="T622">
        <v>3</v>
      </c>
      <c r="U622" t="s">
        <v>23</v>
      </c>
      <c r="V622">
        <v>5</v>
      </c>
      <c r="W622">
        <v>1</v>
      </c>
    </row>
    <row r="623" spans="1:23" x14ac:dyDescent="0.35">
      <c r="A623" t="s">
        <v>344</v>
      </c>
      <c r="B623" s="6">
        <v>44707</v>
      </c>
      <c r="D623" t="s">
        <v>23</v>
      </c>
      <c r="E623">
        <v>31</v>
      </c>
      <c r="F623" t="s">
        <v>62</v>
      </c>
      <c r="G623" t="s">
        <v>37</v>
      </c>
      <c r="H623" t="s">
        <v>58</v>
      </c>
      <c r="I623" t="s">
        <v>38</v>
      </c>
      <c r="J623" t="s">
        <v>39</v>
      </c>
      <c r="K623">
        <v>1</v>
      </c>
      <c r="L623" t="s">
        <v>34</v>
      </c>
      <c r="M623">
        <v>51000</v>
      </c>
      <c r="N623">
        <v>3.6</v>
      </c>
      <c r="O623">
        <v>7.6</v>
      </c>
      <c r="P623">
        <v>3.6</v>
      </c>
      <c r="Q623">
        <v>1.1000000000000001</v>
      </c>
      <c r="R623">
        <v>4</v>
      </c>
      <c r="S623">
        <v>3</v>
      </c>
      <c r="T623">
        <v>3</v>
      </c>
      <c r="U623" t="s">
        <v>23</v>
      </c>
      <c r="V623">
        <v>2</v>
      </c>
      <c r="W623">
        <v>1</v>
      </c>
    </row>
    <row r="624" spans="1:23" x14ac:dyDescent="0.35">
      <c r="A624" t="s">
        <v>1470</v>
      </c>
      <c r="B624" s="6">
        <v>43450</v>
      </c>
      <c r="D624" t="s">
        <v>23</v>
      </c>
      <c r="E624">
        <v>29</v>
      </c>
      <c r="F624" t="s">
        <v>62</v>
      </c>
      <c r="G624" t="s">
        <v>37</v>
      </c>
      <c r="H624" t="s">
        <v>32</v>
      </c>
      <c r="I624" t="s">
        <v>45</v>
      </c>
      <c r="J624" t="s">
        <v>164</v>
      </c>
      <c r="K624">
        <v>3</v>
      </c>
      <c r="L624" t="s">
        <v>40</v>
      </c>
      <c r="M624">
        <v>87000</v>
      </c>
      <c r="N624">
        <v>17</v>
      </c>
      <c r="O624">
        <v>14</v>
      </c>
      <c r="P624">
        <v>7</v>
      </c>
      <c r="Q624">
        <v>0.2</v>
      </c>
      <c r="R624">
        <v>4</v>
      </c>
      <c r="S624">
        <v>2</v>
      </c>
      <c r="T624">
        <v>3</v>
      </c>
      <c r="U624" t="s">
        <v>30</v>
      </c>
      <c r="V624">
        <v>2</v>
      </c>
      <c r="W624">
        <v>1</v>
      </c>
    </row>
    <row r="625" spans="1:23" x14ac:dyDescent="0.35">
      <c r="A625" t="s">
        <v>1519</v>
      </c>
      <c r="B625" s="6">
        <v>45401</v>
      </c>
      <c r="D625" t="s">
        <v>23</v>
      </c>
      <c r="E625">
        <v>29</v>
      </c>
      <c r="F625" t="s">
        <v>36</v>
      </c>
      <c r="G625" t="s">
        <v>25</v>
      </c>
      <c r="H625" t="s">
        <v>54</v>
      </c>
      <c r="I625" t="s">
        <v>59</v>
      </c>
      <c r="J625" t="s">
        <v>86</v>
      </c>
      <c r="K625">
        <v>3</v>
      </c>
      <c r="L625" t="s">
        <v>50</v>
      </c>
      <c r="M625">
        <v>83000</v>
      </c>
      <c r="N625">
        <v>7.5</v>
      </c>
      <c r="O625">
        <v>6.9</v>
      </c>
      <c r="P625">
        <v>1.7</v>
      </c>
      <c r="Q625">
        <v>1.6</v>
      </c>
      <c r="R625">
        <v>3</v>
      </c>
      <c r="S625">
        <v>3</v>
      </c>
      <c r="T625">
        <v>4</v>
      </c>
      <c r="U625" t="s">
        <v>23</v>
      </c>
      <c r="V625">
        <v>3</v>
      </c>
      <c r="W625">
        <v>1</v>
      </c>
    </row>
    <row r="626" spans="1:23" x14ac:dyDescent="0.35">
      <c r="A626" t="s">
        <v>1342</v>
      </c>
      <c r="B626" s="6">
        <v>41652</v>
      </c>
      <c r="D626" t="s">
        <v>23</v>
      </c>
      <c r="E626">
        <v>33</v>
      </c>
      <c r="F626" t="s">
        <v>24</v>
      </c>
      <c r="G626" t="s">
        <v>42</v>
      </c>
      <c r="H626" t="s">
        <v>26</v>
      </c>
      <c r="I626" t="s">
        <v>45</v>
      </c>
      <c r="J626" t="s">
        <v>46</v>
      </c>
      <c r="K626">
        <v>2</v>
      </c>
      <c r="L626" t="s">
        <v>34</v>
      </c>
      <c r="M626">
        <v>32000</v>
      </c>
      <c r="N626">
        <v>8.9</v>
      </c>
      <c r="O626">
        <v>19.899999999999999</v>
      </c>
      <c r="P626">
        <v>12</v>
      </c>
      <c r="Q626">
        <v>0.6</v>
      </c>
      <c r="R626">
        <v>4</v>
      </c>
      <c r="S626">
        <v>1</v>
      </c>
      <c r="T626">
        <v>4</v>
      </c>
      <c r="U626" t="s">
        <v>23</v>
      </c>
      <c r="V626">
        <v>3</v>
      </c>
      <c r="W626">
        <v>1</v>
      </c>
    </row>
    <row r="627" spans="1:23" x14ac:dyDescent="0.35">
      <c r="A627" t="s">
        <v>228</v>
      </c>
      <c r="B627" s="6">
        <v>45341</v>
      </c>
      <c r="C627">
        <v>45749</v>
      </c>
      <c r="D627" t="s">
        <v>30</v>
      </c>
      <c r="E627">
        <v>30</v>
      </c>
      <c r="F627" t="s">
        <v>36</v>
      </c>
      <c r="G627" t="s">
        <v>25</v>
      </c>
      <c r="H627" t="s">
        <v>32</v>
      </c>
      <c r="I627" t="s">
        <v>68</v>
      </c>
      <c r="J627" t="s">
        <v>109</v>
      </c>
      <c r="K627">
        <v>4</v>
      </c>
      <c r="L627" t="s">
        <v>50</v>
      </c>
      <c r="M627">
        <v>123000</v>
      </c>
      <c r="N627">
        <v>4</v>
      </c>
      <c r="O627">
        <v>6.8</v>
      </c>
      <c r="P627">
        <v>1.1000000000000001</v>
      </c>
      <c r="Q627">
        <v>0.5</v>
      </c>
      <c r="R627">
        <v>3</v>
      </c>
      <c r="S627">
        <v>4</v>
      </c>
      <c r="T627">
        <v>4</v>
      </c>
      <c r="U627" t="s">
        <v>23</v>
      </c>
      <c r="V627">
        <v>4</v>
      </c>
      <c r="W627">
        <v>1</v>
      </c>
    </row>
    <row r="628" spans="1:23" x14ac:dyDescent="0.35">
      <c r="A628" t="s">
        <v>192</v>
      </c>
      <c r="B628" s="6">
        <v>42556</v>
      </c>
      <c r="D628" t="s">
        <v>23</v>
      </c>
      <c r="E628">
        <v>31</v>
      </c>
      <c r="F628" t="s">
        <v>62</v>
      </c>
      <c r="G628" t="s">
        <v>42</v>
      </c>
      <c r="H628" t="s">
        <v>54</v>
      </c>
      <c r="I628" t="s">
        <v>27</v>
      </c>
      <c r="J628" t="s">
        <v>33</v>
      </c>
      <c r="K628">
        <v>1</v>
      </c>
      <c r="L628" t="s">
        <v>84</v>
      </c>
      <c r="M628">
        <v>30000</v>
      </c>
      <c r="N628">
        <v>12.2</v>
      </c>
      <c r="O628">
        <v>10.5</v>
      </c>
      <c r="P628">
        <v>9.5</v>
      </c>
      <c r="Q628">
        <v>2.2000000000000002</v>
      </c>
      <c r="R628">
        <v>4</v>
      </c>
      <c r="S628">
        <v>4</v>
      </c>
      <c r="T628">
        <v>4</v>
      </c>
      <c r="U628" t="s">
        <v>23</v>
      </c>
      <c r="V628">
        <v>3</v>
      </c>
      <c r="W628">
        <v>1</v>
      </c>
    </row>
    <row r="629" spans="1:23" x14ac:dyDescent="0.35">
      <c r="A629" t="s">
        <v>267</v>
      </c>
      <c r="B629" s="6">
        <v>43161</v>
      </c>
      <c r="D629" t="s">
        <v>23</v>
      </c>
      <c r="E629">
        <v>37</v>
      </c>
      <c r="F629" t="s">
        <v>24</v>
      </c>
      <c r="G629" t="s">
        <v>37</v>
      </c>
      <c r="H629" t="s">
        <v>54</v>
      </c>
      <c r="I629" t="s">
        <v>45</v>
      </c>
      <c r="J629" t="s">
        <v>164</v>
      </c>
      <c r="K629">
        <v>3</v>
      </c>
      <c r="L629" t="s">
        <v>34</v>
      </c>
      <c r="M629">
        <v>81000</v>
      </c>
      <c r="N629">
        <v>7.7</v>
      </c>
      <c r="O629">
        <v>7.9</v>
      </c>
      <c r="P629">
        <v>7.8</v>
      </c>
      <c r="Q629">
        <v>5.0999999999999996</v>
      </c>
      <c r="R629">
        <v>2</v>
      </c>
      <c r="S629">
        <v>3</v>
      </c>
      <c r="T629">
        <v>2</v>
      </c>
      <c r="U629" t="s">
        <v>23</v>
      </c>
      <c r="V629">
        <v>3</v>
      </c>
      <c r="W629">
        <v>1</v>
      </c>
    </row>
    <row r="630" spans="1:23" x14ac:dyDescent="0.35">
      <c r="A630" t="s">
        <v>1534</v>
      </c>
      <c r="B630" s="6">
        <v>45314</v>
      </c>
      <c r="D630" t="s">
        <v>23</v>
      </c>
      <c r="E630">
        <v>25</v>
      </c>
      <c r="F630" t="s">
        <v>36</v>
      </c>
      <c r="G630" t="s">
        <v>37</v>
      </c>
      <c r="H630" t="s">
        <v>54</v>
      </c>
      <c r="I630" t="s">
        <v>45</v>
      </c>
      <c r="J630" t="s">
        <v>164</v>
      </c>
      <c r="K630">
        <v>1</v>
      </c>
      <c r="L630" t="s">
        <v>84</v>
      </c>
      <c r="M630">
        <v>24000</v>
      </c>
      <c r="N630">
        <v>20.8</v>
      </c>
      <c r="O630">
        <v>2.8</v>
      </c>
      <c r="P630">
        <v>1.9</v>
      </c>
      <c r="Q630">
        <v>0.3</v>
      </c>
      <c r="R630">
        <v>3</v>
      </c>
      <c r="S630">
        <v>2</v>
      </c>
      <c r="T630">
        <v>4</v>
      </c>
      <c r="U630" t="s">
        <v>23</v>
      </c>
      <c r="V630">
        <v>3</v>
      </c>
      <c r="W630">
        <v>1</v>
      </c>
    </row>
    <row r="631" spans="1:23" x14ac:dyDescent="0.35">
      <c r="A631" t="s">
        <v>740</v>
      </c>
      <c r="B631" s="6">
        <v>45450</v>
      </c>
      <c r="D631" t="s">
        <v>23</v>
      </c>
      <c r="E631">
        <v>24</v>
      </c>
      <c r="F631" t="s">
        <v>24</v>
      </c>
      <c r="G631" t="s">
        <v>42</v>
      </c>
      <c r="H631" t="s">
        <v>26</v>
      </c>
      <c r="I631" t="s">
        <v>38</v>
      </c>
      <c r="J631" t="s">
        <v>39</v>
      </c>
      <c r="K631">
        <v>1</v>
      </c>
      <c r="L631" t="s">
        <v>66</v>
      </c>
      <c r="M631">
        <v>26000</v>
      </c>
      <c r="N631">
        <v>10.9</v>
      </c>
      <c r="O631">
        <v>2.5</v>
      </c>
      <c r="P631">
        <v>1.6</v>
      </c>
      <c r="Q631">
        <v>0.7</v>
      </c>
      <c r="R631">
        <v>2</v>
      </c>
      <c r="S631">
        <v>3</v>
      </c>
      <c r="T631">
        <v>4</v>
      </c>
      <c r="U631" t="s">
        <v>23</v>
      </c>
      <c r="V631">
        <v>2</v>
      </c>
      <c r="W631">
        <v>1</v>
      </c>
    </row>
    <row r="632" spans="1:23" x14ac:dyDescent="0.35">
      <c r="A632" t="s">
        <v>511</v>
      </c>
      <c r="B632" s="6">
        <v>42458</v>
      </c>
      <c r="D632" t="s">
        <v>23</v>
      </c>
      <c r="E632">
        <v>37</v>
      </c>
      <c r="F632" t="s">
        <v>24</v>
      </c>
      <c r="G632" t="s">
        <v>37</v>
      </c>
      <c r="H632" t="s">
        <v>32</v>
      </c>
      <c r="I632" t="s">
        <v>59</v>
      </c>
      <c r="J632" t="s">
        <v>60</v>
      </c>
      <c r="K632">
        <v>1</v>
      </c>
      <c r="L632" t="s">
        <v>50</v>
      </c>
      <c r="M632">
        <v>31000</v>
      </c>
      <c r="N632">
        <v>8.5</v>
      </c>
      <c r="O632">
        <v>11.4</v>
      </c>
      <c r="P632">
        <v>9.8000000000000007</v>
      </c>
      <c r="Q632">
        <v>0.1</v>
      </c>
      <c r="R632">
        <v>4</v>
      </c>
      <c r="S632">
        <v>4</v>
      </c>
      <c r="T632">
        <v>3</v>
      </c>
      <c r="U632" t="s">
        <v>23</v>
      </c>
      <c r="V632">
        <v>3</v>
      </c>
      <c r="W632">
        <v>1</v>
      </c>
    </row>
    <row r="633" spans="1:23" x14ac:dyDescent="0.35">
      <c r="A633" t="s">
        <v>1181</v>
      </c>
      <c r="B633" s="6">
        <v>42179</v>
      </c>
      <c r="D633" t="s">
        <v>23</v>
      </c>
      <c r="E633">
        <v>34</v>
      </c>
      <c r="F633" t="s">
        <v>36</v>
      </c>
      <c r="G633" t="s">
        <v>37</v>
      </c>
      <c r="H633" t="s">
        <v>32</v>
      </c>
      <c r="I633" t="s">
        <v>68</v>
      </c>
      <c r="J633" t="s">
        <v>121</v>
      </c>
      <c r="K633">
        <v>1</v>
      </c>
      <c r="L633" t="s">
        <v>84</v>
      </c>
      <c r="M633">
        <v>22000</v>
      </c>
      <c r="N633">
        <v>8.1</v>
      </c>
      <c r="O633">
        <v>17.7</v>
      </c>
      <c r="P633">
        <v>10.5</v>
      </c>
      <c r="Q633">
        <v>1.1000000000000001</v>
      </c>
      <c r="R633">
        <v>3</v>
      </c>
      <c r="S633">
        <v>1</v>
      </c>
      <c r="T633">
        <v>4</v>
      </c>
      <c r="U633" t="s">
        <v>23</v>
      </c>
      <c r="V633">
        <v>3</v>
      </c>
      <c r="W633">
        <v>1</v>
      </c>
    </row>
    <row r="634" spans="1:23" x14ac:dyDescent="0.35">
      <c r="A634" t="s">
        <v>976</v>
      </c>
      <c r="B634" s="6">
        <v>42969</v>
      </c>
      <c r="D634" t="s">
        <v>23</v>
      </c>
      <c r="E634">
        <v>34</v>
      </c>
      <c r="F634" t="s">
        <v>24</v>
      </c>
      <c r="G634" t="s">
        <v>25</v>
      </c>
      <c r="H634" t="s">
        <v>32</v>
      </c>
      <c r="I634" t="s">
        <v>48</v>
      </c>
      <c r="J634" t="s">
        <v>201</v>
      </c>
      <c r="K634">
        <v>3</v>
      </c>
      <c r="L634" t="s">
        <v>84</v>
      </c>
      <c r="M634">
        <v>107000</v>
      </c>
      <c r="N634">
        <v>10.5</v>
      </c>
      <c r="O634">
        <v>13.9</v>
      </c>
      <c r="P634">
        <v>8.4</v>
      </c>
      <c r="Q634">
        <v>2.2999999999999998</v>
      </c>
      <c r="R634">
        <v>3</v>
      </c>
      <c r="S634">
        <v>1</v>
      </c>
      <c r="T634">
        <v>4</v>
      </c>
      <c r="U634" t="s">
        <v>30</v>
      </c>
      <c r="V634">
        <v>4</v>
      </c>
      <c r="W634">
        <v>1</v>
      </c>
    </row>
    <row r="635" spans="1:23" x14ac:dyDescent="0.35">
      <c r="A635" t="s">
        <v>827</v>
      </c>
      <c r="B635" s="6">
        <v>42082</v>
      </c>
      <c r="D635" t="s">
        <v>23</v>
      </c>
      <c r="E635">
        <v>39</v>
      </c>
      <c r="F635" t="s">
        <v>24</v>
      </c>
      <c r="G635" t="s">
        <v>25</v>
      </c>
      <c r="H635" t="s">
        <v>54</v>
      </c>
      <c r="I635" t="s">
        <v>45</v>
      </c>
      <c r="J635" t="s">
        <v>77</v>
      </c>
      <c r="K635">
        <v>1</v>
      </c>
      <c r="L635" t="s">
        <v>29</v>
      </c>
      <c r="M635">
        <v>36000</v>
      </c>
      <c r="N635">
        <v>10.7</v>
      </c>
      <c r="O635">
        <v>17.100000000000001</v>
      </c>
      <c r="P635">
        <v>10.8</v>
      </c>
      <c r="Q635">
        <v>4</v>
      </c>
      <c r="R635">
        <v>3</v>
      </c>
      <c r="S635">
        <v>3</v>
      </c>
      <c r="T635">
        <v>3</v>
      </c>
      <c r="U635" t="s">
        <v>23</v>
      </c>
      <c r="V635">
        <v>5</v>
      </c>
      <c r="W635">
        <v>1</v>
      </c>
    </row>
    <row r="636" spans="1:23" x14ac:dyDescent="0.35">
      <c r="A636" t="s">
        <v>1145</v>
      </c>
      <c r="B636" s="6">
        <v>42726</v>
      </c>
      <c r="D636" t="s">
        <v>23</v>
      </c>
      <c r="E636">
        <v>47</v>
      </c>
      <c r="F636" t="s">
        <v>24</v>
      </c>
      <c r="G636" t="s">
        <v>42</v>
      </c>
      <c r="H636" t="s">
        <v>58</v>
      </c>
      <c r="I636" t="s">
        <v>27</v>
      </c>
      <c r="J636" t="s">
        <v>43</v>
      </c>
      <c r="K636">
        <v>1</v>
      </c>
      <c r="L636" t="s">
        <v>50</v>
      </c>
      <c r="M636">
        <v>22000</v>
      </c>
      <c r="N636">
        <v>10.9</v>
      </c>
      <c r="O636">
        <v>13.8</v>
      </c>
      <c r="P636">
        <v>9</v>
      </c>
      <c r="Q636">
        <v>1.3</v>
      </c>
      <c r="R636">
        <v>3</v>
      </c>
      <c r="S636">
        <v>2</v>
      </c>
      <c r="T636">
        <v>2</v>
      </c>
      <c r="U636" t="s">
        <v>30</v>
      </c>
      <c r="V636">
        <v>4</v>
      </c>
      <c r="W636">
        <v>1</v>
      </c>
    </row>
    <row r="637" spans="1:23" x14ac:dyDescent="0.35">
      <c r="A637" t="s">
        <v>1258</v>
      </c>
      <c r="B637" s="6">
        <v>42205</v>
      </c>
      <c r="D637" t="s">
        <v>23</v>
      </c>
      <c r="E637">
        <v>37</v>
      </c>
      <c r="F637" t="s">
        <v>24</v>
      </c>
      <c r="G637" t="s">
        <v>37</v>
      </c>
      <c r="H637" t="s">
        <v>54</v>
      </c>
      <c r="I637" t="s">
        <v>68</v>
      </c>
      <c r="J637" t="s">
        <v>69</v>
      </c>
      <c r="K637">
        <v>3</v>
      </c>
      <c r="L637" t="s">
        <v>34</v>
      </c>
      <c r="M637">
        <v>69000</v>
      </c>
      <c r="N637">
        <v>7.3</v>
      </c>
      <c r="O637">
        <v>13.7</v>
      </c>
      <c r="P637">
        <v>10.5</v>
      </c>
      <c r="Q637">
        <v>2.1</v>
      </c>
      <c r="R637">
        <v>3</v>
      </c>
      <c r="S637">
        <v>3</v>
      </c>
      <c r="T637">
        <v>3</v>
      </c>
      <c r="U637" t="s">
        <v>23</v>
      </c>
      <c r="V637">
        <v>4</v>
      </c>
      <c r="W637">
        <v>1</v>
      </c>
    </row>
    <row r="638" spans="1:23" x14ac:dyDescent="0.35">
      <c r="A638" t="s">
        <v>1520</v>
      </c>
      <c r="B638" s="6">
        <v>45218</v>
      </c>
      <c r="D638" t="s">
        <v>23</v>
      </c>
      <c r="E638">
        <v>40</v>
      </c>
      <c r="F638" t="s">
        <v>24</v>
      </c>
      <c r="G638" t="s">
        <v>37</v>
      </c>
      <c r="H638" t="s">
        <v>26</v>
      </c>
      <c r="I638" t="s">
        <v>68</v>
      </c>
      <c r="J638" t="s">
        <v>109</v>
      </c>
      <c r="K638">
        <v>3</v>
      </c>
      <c r="L638" t="s">
        <v>50</v>
      </c>
      <c r="M638">
        <v>85000</v>
      </c>
      <c r="N638">
        <v>4</v>
      </c>
      <c r="O638">
        <v>7.6</v>
      </c>
      <c r="P638">
        <v>2.2000000000000002</v>
      </c>
      <c r="Q638">
        <v>1.4</v>
      </c>
      <c r="R638">
        <v>3</v>
      </c>
      <c r="S638">
        <v>3</v>
      </c>
      <c r="T638">
        <v>4</v>
      </c>
      <c r="U638" t="s">
        <v>23</v>
      </c>
      <c r="V638">
        <v>5</v>
      </c>
      <c r="W638">
        <v>1</v>
      </c>
    </row>
    <row r="639" spans="1:23" x14ac:dyDescent="0.35">
      <c r="A639" t="s">
        <v>1150</v>
      </c>
      <c r="B639" s="6">
        <v>44756</v>
      </c>
      <c r="D639" t="s">
        <v>23</v>
      </c>
      <c r="E639">
        <v>28</v>
      </c>
      <c r="F639" t="s">
        <v>36</v>
      </c>
      <c r="G639" t="s">
        <v>37</v>
      </c>
      <c r="H639" t="s">
        <v>32</v>
      </c>
      <c r="I639" t="s">
        <v>45</v>
      </c>
      <c r="J639" t="s">
        <v>164</v>
      </c>
      <c r="K639">
        <v>3</v>
      </c>
      <c r="L639" t="s">
        <v>34</v>
      </c>
      <c r="M639">
        <v>61000</v>
      </c>
      <c r="O639">
        <v>4.3</v>
      </c>
      <c r="P639">
        <v>3.5</v>
      </c>
      <c r="Q639">
        <v>1.6</v>
      </c>
      <c r="R639">
        <v>4</v>
      </c>
      <c r="S639">
        <v>3</v>
      </c>
      <c r="T639">
        <v>1</v>
      </c>
      <c r="U639" t="s">
        <v>23</v>
      </c>
      <c r="V639">
        <v>3</v>
      </c>
      <c r="W639">
        <v>1</v>
      </c>
    </row>
    <row r="640" spans="1:23" x14ac:dyDescent="0.35">
      <c r="A640" t="s">
        <v>555</v>
      </c>
      <c r="B640" s="6">
        <v>42253</v>
      </c>
      <c r="D640" t="s">
        <v>23</v>
      </c>
      <c r="E640">
        <v>50</v>
      </c>
      <c r="F640" t="s">
        <v>36</v>
      </c>
      <c r="G640" t="s">
        <v>37</v>
      </c>
      <c r="H640" t="s">
        <v>58</v>
      </c>
      <c r="I640" t="s">
        <v>27</v>
      </c>
      <c r="J640" t="s">
        <v>33</v>
      </c>
      <c r="K640">
        <v>2</v>
      </c>
      <c r="L640" t="s">
        <v>84</v>
      </c>
      <c r="M640">
        <v>54000</v>
      </c>
      <c r="N640">
        <v>3.5</v>
      </c>
      <c r="O640">
        <v>14</v>
      </c>
      <c r="P640">
        <v>10.3</v>
      </c>
      <c r="Q640">
        <v>5.4</v>
      </c>
      <c r="R640">
        <v>3</v>
      </c>
      <c r="S640">
        <v>3</v>
      </c>
      <c r="T640">
        <v>4</v>
      </c>
      <c r="U640" t="s">
        <v>23</v>
      </c>
      <c r="V640">
        <v>3</v>
      </c>
      <c r="W640">
        <v>1</v>
      </c>
    </row>
    <row r="641" spans="1:23" x14ac:dyDescent="0.35">
      <c r="A641" t="s">
        <v>407</v>
      </c>
      <c r="B641" s="6">
        <v>42055</v>
      </c>
      <c r="C641">
        <v>45870</v>
      </c>
      <c r="D641" t="s">
        <v>30</v>
      </c>
      <c r="E641">
        <v>40</v>
      </c>
      <c r="F641" t="s">
        <v>62</v>
      </c>
      <c r="G641" t="s">
        <v>25</v>
      </c>
      <c r="H641" t="s">
        <v>58</v>
      </c>
      <c r="I641" t="s">
        <v>45</v>
      </c>
      <c r="J641" t="s">
        <v>77</v>
      </c>
      <c r="K641">
        <v>2</v>
      </c>
      <c r="L641" t="s">
        <v>84</v>
      </c>
      <c r="M641">
        <v>68000</v>
      </c>
      <c r="N641">
        <v>2.7</v>
      </c>
      <c r="O641">
        <v>10.7</v>
      </c>
      <c r="P641">
        <v>10.4</v>
      </c>
      <c r="Q641">
        <v>0.2</v>
      </c>
      <c r="R641">
        <v>3</v>
      </c>
      <c r="S641">
        <v>4</v>
      </c>
      <c r="T641">
        <v>4</v>
      </c>
      <c r="U641" t="s">
        <v>23</v>
      </c>
      <c r="V641">
        <v>3</v>
      </c>
      <c r="W641">
        <v>1</v>
      </c>
    </row>
    <row r="642" spans="1:23" x14ac:dyDescent="0.35">
      <c r="A642" t="s">
        <v>202</v>
      </c>
      <c r="B642" s="6">
        <v>41753</v>
      </c>
      <c r="D642" t="s">
        <v>23</v>
      </c>
      <c r="E642">
        <v>46</v>
      </c>
      <c r="F642" t="s">
        <v>24</v>
      </c>
      <c r="G642" t="s">
        <v>42</v>
      </c>
      <c r="H642" t="s">
        <v>58</v>
      </c>
      <c r="I642" t="s">
        <v>55</v>
      </c>
      <c r="J642" t="s">
        <v>80</v>
      </c>
      <c r="K642">
        <v>2</v>
      </c>
      <c r="L642" t="s">
        <v>66</v>
      </c>
      <c r="M642">
        <v>65000</v>
      </c>
      <c r="N642">
        <v>5.5</v>
      </c>
      <c r="O642">
        <v>18.100000000000001</v>
      </c>
      <c r="P642">
        <v>11.7</v>
      </c>
      <c r="Q642">
        <v>3.5</v>
      </c>
      <c r="R642">
        <v>3</v>
      </c>
      <c r="S642">
        <v>2</v>
      </c>
      <c r="T642">
        <v>3</v>
      </c>
      <c r="U642" t="s">
        <v>30</v>
      </c>
      <c r="V642">
        <v>5</v>
      </c>
      <c r="W642">
        <v>1</v>
      </c>
    </row>
    <row r="643" spans="1:23" x14ac:dyDescent="0.35">
      <c r="A643" t="s">
        <v>202</v>
      </c>
      <c r="B643" s="6">
        <v>41753</v>
      </c>
      <c r="D643" t="s">
        <v>23</v>
      </c>
      <c r="E643">
        <v>46</v>
      </c>
      <c r="F643" t="s">
        <v>24</v>
      </c>
      <c r="G643" t="s">
        <v>42</v>
      </c>
      <c r="H643" t="s">
        <v>58</v>
      </c>
      <c r="I643" t="s">
        <v>55</v>
      </c>
      <c r="J643" t="s">
        <v>80</v>
      </c>
      <c r="K643">
        <v>2</v>
      </c>
      <c r="L643" t="s">
        <v>66</v>
      </c>
      <c r="M643">
        <v>65000</v>
      </c>
      <c r="N643">
        <v>5.5</v>
      </c>
      <c r="O643">
        <v>18.100000000000001</v>
      </c>
      <c r="P643">
        <v>11.7</v>
      </c>
      <c r="Q643">
        <v>3.5</v>
      </c>
      <c r="R643">
        <v>3</v>
      </c>
      <c r="S643">
        <v>2</v>
      </c>
      <c r="T643">
        <v>3</v>
      </c>
      <c r="U643" t="s">
        <v>30</v>
      </c>
      <c r="V643">
        <v>5</v>
      </c>
      <c r="W643">
        <v>2</v>
      </c>
    </row>
    <row r="644" spans="1:23" x14ac:dyDescent="0.35">
      <c r="A644" t="s">
        <v>829</v>
      </c>
      <c r="B644" s="6">
        <v>45854</v>
      </c>
      <c r="C644">
        <v>45987</v>
      </c>
      <c r="D644" t="s">
        <v>30</v>
      </c>
      <c r="E644">
        <v>21</v>
      </c>
      <c r="F644" t="s">
        <v>36</v>
      </c>
      <c r="G644" t="s">
        <v>37</v>
      </c>
      <c r="H644" t="s">
        <v>26</v>
      </c>
      <c r="I644" t="s">
        <v>55</v>
      </c>
      <c r="J644" t="s">
        <v>80</v>
      </c>
      <c r="K644">
        <v>1</v>
      </c>
      <c r="L644" t="s">
        <v>50</v>
      </c>
      <c r="M644">
        <v>39000</v>
      </c>
      <c r="N644">
        <v>10.3</v>
      </c>
      <c r="O644">
        <v>6.6</v>
      </c>
      <c r="P644">
        <v>0.4</v>
      </c>
      <c r="Q644">
        <v>0</v>
      </c>
      <c r="R644">
        <v>2</v>
      </c>
      <c r="S644">
        <v>3</v>
      </c>
      <c r="T644">
        <v>3</v>
      </c>
      <c r="U644" t="s">
        <v>23</v>
      </c>
      <c r="V644">
        <v>4</v>
      </c>
      <c r="W644">
        <v>1</v>
      </c>
    </row>
    <row r="645" spans="1:23" x14ac:dyDescent="0.35">
      <c r="A645" t="s">
        <v>93</v>
      </c>
      <c r="B645" s="6">
        <v>45889</v>
      </c>
      <c r="D645" t="s">
        <v>23</v>
      </c>
      <c r="E645">
        <v>26</v>
      </c>
      <c r="F645" t="s">
        <v>36</v>
      </c>
      <c r="G645" t="s">
        <v>25</v>
      </c>
      <c r="H645" t="s">
        <v>58</v>
      </c>
      <c r="I645" t="s">
        <v>38</v>
      </c>
      <c r="J645" t="s">
        <v>52</v>
      </c>
      <c r="K645">
        <v>1</v>
      </c>
      <c r="L645" t="s">
        <v>40</v>
      </c>
      <c r="M645">
        <v>39000</v>
      </c>
      <c r="N645">
        <v>5.3</v>
      </c>
      <c r="O645">
        <v>4.7</v>
      </c>
      <c r="P645">
        <v>0.4</v>
      </c>
      <c r="Q645">
        <v>0</v>
      </c>
      <c r="R645">
        <v>2</v>
      </c>
      <c r="S645">
        <v>3</v>
      </c>
      <c r="T645">
        <v>1</v>
      </c>
      <c r="U645" t="s">
        <v>23</v>
      </c>
      <c r="V645">
        <v>4</v>
      </c>
      <c r="W645">
        <v>1</v>
      </c>
    </row>
    <row r="646" spans="1:23" x14ac:dyDescent="0.35">
      <c r="A646" t="s">
        <v>1591</v>
      </c>
      <c r="B646" s="6">
        <v>45186</v>
      </c>
      <c r="D646" t="s">
        <v>23</v>
      </c>
      <c r="E646">
        <v>27</v>
      </c>
      <c r="F646" t="s">
        <v>62</v>
      </c>
      <c r="G646" t="s">
        <v>37</v>
      </c>
      <c r="H646" t="s">
        <v>26</v>
      </c>
      <c r="I646" t="s">
        <v>55</v>
      </c>
      <c r="J646" t="s">
        <v>179</v>
      </c>
      <c r="K646">
        <v>1</v>
      </c>
      <c r="L646" t="s">
        <v>50</v>
      </c>
      <c r="M646">
        <v>36000</v>
      </c>
      <c r="N646">
        <v>5</v>
      </c>
      <c r="O646">
        <v>8.6</v>
      </c>
      <c r="P646">
        <v>2.2999999999999998</v>
      </c>
      <c r="Q646">
        <v>1.8</v>
      </c>
      <c r="R646">
        <v>2</v>
      </c>
      <c r="T646">
        <v>3</v>
      </c>
      <c r="U646" t="s">
        <v>23</v>
      </c>
      <c r="V646">
        <v>5</v>
      </c>
      <c r="W646">
        <v>1</v>
      </c>
    </row>
    <row r="647" spans="1:23" x14ac:dyDescent="0.35">
      <c r="A647" t="s">
        <v>1226</v>
      </c>
      <c r="B647" s="6">
        <v>44706</v>
      </c>
      <c r="D647" t="s">
        <v>23</v>
      </c>
      <c r="E647">
        <v>39</v>
      </c>
      <c r="F647" t="s">
        <v>24</v>
      </c>
      <c r="G647" t="s">
        <v>42</v>
      </c>
      <c r="H647" t="s">
        <v>26</v>
      </c>
      <c r="I647" t="s">
        <v>48</v>
      </c>
      <c r="J647" t="s">
        <v>63</v>
      </c>
      <c r="K647">
        <v>2</v>
      </c>
      <c r="L647" t="s">
        <v>40</v>
      </c>
      <c r="M647">
        <v>53000</v>
      </c>
      <c r="N647">
        <v>9.1999999999999993</v>
      </c>
      <c r="O647">
        <v>6.5</v>
      </c>
      <c r="P647">
        <v>3.6</v>
      </c>
      <c r="Q647">
        <v>3</v>
      </c>
      <c r="R647">
        <v>2</v>
      </c>
      <c r="S647">
        <v>3</v>
      </c>
      <c r="T647">
        <v>3</v>
      </c>
      <c r="U647" t="s">
        <v>23</v>
      </c>
      <c r="V647">
        <v>1</v>
      </c>
      <c r="W647">
        <v>1</v>
      </c>
    </row>
    <row r="648" spans="1:23" x14ac:dyDescent="0.35">
      <c r="A648" t="s">
        <v>674</v>
      </c>
      <c r="B648" s="6">
        <v>44687</v>
      </c>
      <c r="D648" t="s">
        <v>23</v>
      </c>
      <c r="E648">
        <v>31</v>
      </c>
      <c r="F648" t="s">
        <v>36</v>
      </c>
      <c r="G648" t="s">
        <v>42</v>
      </c>
      <c r="H648" t="s">
        <v>54</v>
      </c>
      <c r="I648" t="s">
        <v>45</v>
      </c>
      <c r="J648" t="s">
        <v>46</v>
      </c>
      <c r="K648">
        <v>2</v>
      </c>
      <c r="L648" t="s">
        <v>66</v>
      </c>
      <c r="M648">
        <v>49000</v>
      </c>
      <c r="N648">
        <v>19.5</v>
      </c>
      <c r="O648">
        <v>3.7</v>
      </c>
      <c r="P648">
        <v>3.7</v>
      </c>
      <c r="Q648">
        <v>0.7</v>
      </c>
      <c r="R648">
        <v>4</v>
      </c>
      <c r="S648">
        <v>3</v>
      </c>
      <c r="T648">
        <v>3</v>
      </c>
      <c r="U648" t="s">
        <v>23</v>
      </c>
      <c r="V648">
        <v>1</v>
      </c>
      <c r="W648">
        <v>1</v>
      </c>
    </row>
    <row r="649" spans="1:23" x14ac:dyDescent="0.35">
      <c r="A649" t="s">
        <v>368</v>
      </c>
      <c r="B649" s="6">
        <v>42743</v>
      </c>
      <c r="C649">
        <v>45669</v>
      </c>
      <c r="D649" t="s">
        <v>30</v>
      </c>
      <c r="E649">
        <v>43</v>
      </c>
      <c r="F649" t="s">
        <v>24</v>
      </c>
      <c r="G649" t="s">
        <v>42</v>
      </c>
      <c r="H649" t="s">
        <v>32</v>
      </c>
      <c r="I649" t="s">
        <v>27</v>
      </c>
      <c r="J649" t="s">
        <v>43</v>
      </c>
      <c r="K649">
        <v>2</v>
      </c>
      <c r="L649" t="s">
        <v>40</v>
      </c>
      <c r="M649">
        <v>60000</v>
      </c>
      <c r="N649">
        <v>10.1</v>
      </c>
      <c r="O649">
        <v>12.2</v>
      </c>
      <c r="P649">
        <v>8</v>
      </c>
      <c r="Q649">
        <v>4.5999999999999996</v>
      </c>
      <c r="R649">
        <v>2</v>
      </c>
      <c r="S649">
        <v>2</v>
      </c>
      <c r="T649">
        <v>3</v>
      </c>
      <c r="U649" t="s">
        <v>23</v>
      </c>
      <c r="V649">
        <v>5</v>
      </c>
      <c r="W649">
        <v>1</v>
      </c>
    </row>
    <row r="650" spans="1:23" x14ac:dyDescent="0.35">
      <c r="A650" t="s">
        <v>138</v>
      </c>
      <c r="B650" s="6">
        <v>43855</v>
      </c>
      <c r="D650" t="s">
        <v>23</v>
      </c>
      <c r="E650">
        <v>36</v>
      </c>
      <c r="F650" t="s">
        <v>24</v>
      </c>
      <c r="G650" t="s">
        <v>42</v>
      </c>
      <c r="H650" t="s">
        <v>32</v>
      </c>
      <c r="I650" t="s">
        <v>38</v>
      </c>
      <c r="J650" t="s">
        <v>139</v>
      </c>
      <c r="K650">
        <v>2</v>
      </c>
      <c r="L650" t="s">
        <v>40</v>
      </c>
      <c r="M650">
        <v>63000</v>
      </c>
      <c r="N650">
        <v>8.8000000000000007</v>
      </c>
      <c r="O650">
        <v>8.3000000000000007</v>
      </c>
      <c r="P650">
        <v>5.9</v>
      </c>
      <c r="Q650">
        <v>4.4000000000000004</v>
      </c>
      <c r="R650">
        <v>3</v>
      </c>
      <c r="S650">
        <v>3</v>
      </c>
      <c r="T650">
        <v>3</v>
      </c>
      <c r="U650" t="s">
        <v>23</v>
      </c>
      <c r="V650">
        <v>3</v>
      </c>
      <c r="W650">
        <v>1</v>
      </c>
    </row>
    <row r="651" spans="1:23" x14ac:dyDescent="0.35">
      <c r="A651" t="s">
        <v>809</v>
      </c>
      <c r="B651" s="6">
        <v>45473</v>
      </c>
      <c r="D651" t="s">
        <v>23</v>
      </c>
      <c r="E651">
        <v>41</v>
      </c>
      <c r="F651" t="s">
        <v>36</v>
      </c>
      <c r="G651" t="s">
        <v>42</v>
      </c>
      <c r="H651" t="s">
        <v>26</v>
      </c>
      <c r="I651" t="s">
        <v>45</v>
      </c>
      <c r="J651" t="s">
        <v>77</v>
      </c>
      <c r="K651">
        <v>5</v>
      </c>
      <c r="L651" t="s">
        <v>66</v>
      </c>
      <c r="M651">
        <v>138000</v>
      </c>
      <c r="N651">
        <v>3.7</v>
      </c>
      <c r="O651">
        <v>3.1</v>
      </c>
      <c r="P651">
        <v>1.5</v>
      </c>
      <c r="Q651">
        <v>1.1000000000000001</v>
      </c>
      <c r="R651">
        <v>3</v>
      </c>
      <c r="S651">
        <v>3</v>
      </c>
      <c r="T651">
        <v>3</v>
      </c>
      <c r="U651" t="s">
        <v>23</v>
      </c>
      <c r="V651">
        <v>4</v>
      </c>
      <c r="W651">
        <v>1</v>
      </c>
    </row>
    <row r="652" spans="1:23" x14ac:dyDescent="0.35">
      <c r="A652" t="s">
        <v>905</v>
      </c>
      <c r="B652" s="6">
        <v>45424</v>
      </c>
      <c r="D652" t="s">
        <v>23</v>
      </c>
      <c r="E652">
        <v>27</v>
      </c>
      <c r="F652" t="s">
        <v>62</v>
      </c>
      <c r="G652" t="s">
        <v>25</v>
      </c>
      <c r="H652" t="s">
        <v>58</v>
      </c>
      <c r="I652" t="s">
        <v>48</v>
      </c>
      <c r="J652" t="s">
        <v>201</v>
      </c>
      <c r="K652">
        <v>1</v>
      </c>
      <c r="L652" t="s">
        <v>34</v>
      </c>
      <c r="M652">
        <v>34000</v>
      </c>
      <c r="N652">
        <v>13.9</v>
      </c>
      <c r="O652">
        <v>5.2</v>
      </c>
      <c r="P652">
        <v>1.6</v>
      </c>
      <c r="Q652">
        <v>1.4</v>
      </c>
      <c r="R652">
        <v>4</v>
      </c>
      <c r="S652">
        <v>4</v>
      </c>
      <c r="T652">
        <v>2</v>
      </c>
      <c r="U652" t="s">
        <v>23</v>
      </c>
      <c r="V652">
        <v>3</v>
      </c>
      <c r="W652">
        <v>1</v>
      </c>
    </row>
    <row r="653" spans="1:23" x14ac:dyDescent="0.35">
      <c r="A653" t="s">
        <v>441</v>
      </c>
      <c r="B653" s="6">
        <v>44534</v>
      </c>
      <c r="C653">
        <v>45994</v>
      </c>
      <c r="D653" t="s">
        <v>30</v>
      </c>
      <c r="E653">
        <v>33</v>
      </c>
      <c r="F653" t="s">
        <v>62</v>
      </c>
      <c r="G653" t="s">
        <v>42</v>
      </c>
      <c r="H653" t="s">
        <v>32</v>
      </c>
      <c r="I653" t="s">
        <v>38</v>
      </c>
      <c r="J653" t="s">
        <v>118</v>
      </c>
      <c r="K653">
        <v>2</v>
      </c>
      <c r="L653" t="s">
        <v>34</v>
      </c>
      <c r="M653">
        <v>60000</v>
      </c>
      <c r="N653">
        <v>12.4</v>
      </c>
      <c r="O653">
        <v>7</v>
      </c>
      <c r="P653">
        <v>4</v>
      </c>
      <c r="Q653">
        <v>0.6</v>
      </c>
      <c r="R653">
        <v>3</v>
      </c>
      <c r="S653">
        <v>3</v>
      </c>
      <c r="T653">
        <v>1</v>
      </c>
      <c r="U653" t="s">
        <v>23</v>
      </c>
      <c r="V653">
        <v>4</v>
      </c>
      <c r="W653">
        <v>1</v>
      </c>
    </row>
    <row r="654" spans="1:23" x14ac:dyDescent="0.35">
      <c r="A654" t="s">
        <v>635</v>
      </c>
      <c r="B654" s="6">
        <v>44128</v>
      </c>
      <c r="D654" t="s">
        <v>23</v>
      </c>
      <c r="E654">
        <v>29</v>
      </c>
      <c r="F654" t="s">
        <v>24</v>
      </c>
      <c r="G654" t="s">
        <v>25</v>
      </c>
      <c r="H654" t="s">
        <v>54</v>
      </c>
      <c r="I654" t="s">
        <v>27</v>
      </c>
      <c r="J654" t="s">
        <v>28</v>
      </c>
      <c r="K654">
        <v>4</v>
      </c>
      <c r="L654" t="s">
        <v>29</v>
      </c>
      <c r="M654">
        <v>108000</v>
      </c>
      <c r="N654">
        <v>13.8</v>
      </c>
      <c r="O654">
        <v>6</v>
      </c>
      <c r="P654">
        <v>5.2</v>
      </c>
      <c r="Q654">
        <v>1.4</v>
      </c>
      <c r="R654">
        <v>3</v>
      </c>
      <c r="S654">
        <v>3</v>
      </c>
      <c r="T654">
        <v>4</v>
      </c>
      <c r="U654" t="s">
        <v>23</v>
      </c>
      <c r="V654">
        <v>4</v>
      </c>
      <c r="W654">
        <v>1</v>
      </c>
    </row>
    <row r="655" spans="1:23" x14ac:dyDescent="0.35">
      <c r="A655" t="s">
        <v>1471</v>
      </c>
      <c r="B655" s="6">
        <v>45832</v>
      </c>
      <c r="D655" t="s">
        <v>23</v>
      </c>
      <c r="E655">
        <v>21</v>
      </c>
      <c r="F655" t="s">
        <v>36</v>
      </c>
      <c r="G655" t="s">
        <v>25</v>
      </c>
      <c r="H655" t="s">
        <v>54</v>
      </c>
      <c r="I655" t="s">
        <v>59</v>
      </c>
      <c r="J655" t="s">
        <v>60</v>
      </c>
      <c r="K655">
        <v>1</v>
      </c>
      <c r="L655" t="s">
        <v>40</v>
      </c>
      <c r="M655">
        <v>38000</v>
      </c>
      <c r="N655">
        <v>6.5</v>
      </c>
      <c r="O655">
        <v>4.5</v>
      </c>
      <c r="P655">
        <v>0.5</v>
      </c>
      <c r="Q655">
        <v>0</v>
      </c>
      <c r="R655">
        <v>2</v>
      </c>
      <c r="S655">
        <v>3</v>
      </c>
      <c r="T655">
        <v>2</v>
      </c>
      <c r="U655" t="s">
        <v>23</v>
      </c>
      <c r="V655">
        <v>3</v>
      </c>
      <c r="W655">
        <v>1</v>
      </c>
    </row>
    <row r="656" spans="1:23" x14ac:dyDescent="0.35">
      <c r="A656" t="s">
        <v>377</v>
      </c>
      <c r="B656" s="6">
        <v>43868</v>
      </c>
      <c r="D656" t="s">
        <v>23</v>
      </c>
      <c r="E656">
        <v>29</v>
      </c>
      <c r="F656" t="s">
        <v>24</v>
      </c>
      <c r="G656" t="s">
        <v>42</v>
      </c>
      <c r="H656" t="s">
        <v>26</v>
      </c>
      <c r="I656" t="s">
        <v>27</v>
      </c>
      <c r="J656" t="s">
        <v>43</v>
      </c>
      <c r="K656">
        <v>2</v>
      </c>
      <c r="L656" t="s">
        <v>50</v>
      </c>
      <c r="M656">
        <v>49000</v>
      </c>
      <c r="N656">
        <v>6.6</v>
      </c>
      <c r="O656">
        <v>8.1999999999999993</v>
      </c>
      <c r="P656">
        <v>5.9</v>
      </c>
      <c r="Q656">
        <v>5</v>
      </c>
      <c r="R656">
        <v>4</v>
      </c>
      <c r="S656">
        <v>3</v>
      </c>
      <c r="T656">
        <v>4</v>
      </c>
      <c r="U656" t="s">
        <v>23</v>
      </c>
      <c r="V656">
        <v>5</v>
      </c>
      <c r="W656">
        <v>1</v>
      </c>
    </row>
    <row r="657" spans="1:23" x14ac:dyDescent="0.35">
      <c r="A657" t="s">
        <v>1573</v>
      </c>
      <c r="B657" s="6">
        <v>44139</v>
      </c>
      <c r="D657" t="s">
        <v>23</v>
      </c>
      <c r="E657">
        <v>39</v>
      </c>
      <c r="F657" t="s">
        <v>36</v>
      </c>
      <c r="G657" t="s">
        <v>42</v>
      </c>
      <c r="H657" t="s">
        <v>26</v>
      </c>
      <c r="I657" t="s">
        <v>48</v>
      </c>
      <c r="J657" t="s">
        <v>63</v>
      </c>
      <c r="K657">
        <v>4</v>
      </c>
      <c r="L657" t="s">
        <v>84</v>
      </c>
      <c r="M657">
        <v>126000</v>
      </c>
      <c r="N657">
        <v>11.6</v>
      </c>
      <c r="O657">
        <v>5.8</v>
      </c>
      <c r="P657">
        <v>5.2</v>
      </c>
      <c r="Q657">
        <v>4</v>
      </c>
      <c r="R657">
        <v>3</v>
      </c>
      <c r="S657">
        <v>3</v>
      </c>
      <c r="T657">
        <v>1</v>
      </c>
      <c r="U657" t="s">
        <v>23</v>
      </c>
      <c r="V657">
        <v>3</v>
      </c>
      <c r="W657">
        <v>1</v>
      </c>
    </row>
    <row r="658" spans="1:23" x14ac:dyDescent="0.35">
      <c r="A658" t="s">
        <v>64</v>
      </c>
      <c r="B658" s="6">
        <v>45709</v>
      </c>
      <c r="D658" t="s">
        <v>23</v>
      </c>
      <c r="E658">
        <v>32</v>
      </c>
      <c r="F658" t="s">
        <v>36</v>
      </c>
      <c r="G658" t="s">
        <v>25</v>
      </c>
      <c r="H658" t="s">
        <v>26</v>
      </c>
      <c r="I658" t="s">
        <v>27</v>
      </c>
      <c r="J658" t="s">
        <v>43</v>
      </c>
      <c r="K658">
        <v>1</v>
      </c>
      <c r="L658" t="s">
        <v>29</v>
      </c>
      <c r="M658">
        <v>32000</v>
      </c>
      <c r="N658">
        <v>11.4</v>
      </c>
      <c r="O658">
        <v>6.4</v>
      </c>
      <c r="P658">
        <v>0.9</v>
      </c>
      <c r="Q658">
        <v>0</v>
      </c>
      <c r="R658">
        <v>2</v>
      </c>
      <c r="S658">
        <v>2</v>
      </c>
      <c r="T658">
        <v>2</v>
      </c>
      <c r="U658" t="s">
        <v>30</v>
      </c>
      <c r="V658">
        <v>5</v>
      </c>
      <c r="W658">
        <v>1</v>
      </c>
    </row>
    <row r="659" spans="1:23" x14ac:dyDescent="0.35">
      <c r="A659" t="s">
        <v>465</v>
      </c>
      <c r="B659" s="6">
        <v>43705</v>
      </c>
      <c r="C659">
        <v>45826</v>
      </c>
      <c r="D659" t="s">
        <v>30</v>
      </c>
      <c r="E659">
        <v>28</v>
      </c>
      <c r="F659" t="s">
        <v>62</v>
      </c>
      <c r="G659" t="s">
        <v>42</v>
      </c>
      <c r="H659" t="s">
        <v>26</v>
      </c>
      <c r="I659" t="s">
        <v>59</v>
      </c>
      <c r="J659" t="s">
        <v>75</v>
      </c>
      <c r="K659">
        <v>2</v>
      </c>
      <c r="L659" t="s">
        <v>40</v>
      </c>
      <c r="M659">
        <v>52000</v>
      </c>
      <c r="N659">
        <v>10.8</v>
      </c>
      <c r="O659">
        <v>11.3</v>
      </c>
      <c r="P659">
        <v>5.8</v>
      </c>
      <c r="Q659">
        <v>4.5999999999999996</v>
      </c>
      <c r="R659">
        <v>4</v>
      </c>
      <c r="S659">
        <v>3</v>
      </c>
      <c r="T659">
        <v>3</v>
      </c>
      <c r="U659" t="s">
        <v>30</v>
      </c>
      <c r="V659">
        <v>5</v>
      </c>
      <c r="W659">
        <v>1</v>
      </c>
    </row>
    <row r="660" spans="1:23" x14ac:dyDescent="0.35">
      <c r="A660" t="s">
        <v>478</v>
      </c>
      <c r="B660" s="6">
        <v>42119</v>
      </c>
      <c r="D660" t="s">
        <v>23</v>
      </c>
      <c r="E660">
        <v>38</v>
      </c>
      <c r="F660" t="s">
        <v>36</v>
      </c>
      <c r="G660" t="s">
        <v>25</v>
      </c>
      <c r="H660" t="s">
        <v>54</v>
      </c>
      <c r="I660" t="s">
        <v>68</v>
      </c>
      <c r="J660" t="s">
        <v>109</v>
      </c>
      <c r="K660">
        <v>3</v>
      </c>
      <c r="L660" t="s">
        <v>40</v>
      </c>
      <c r="M660">
        <v>84000</v>
      </c>
      <c r="N660">
        <v>9.3000000000000007</v>
      </c>
      <c r="O660">
        <v>11.7</v>
      </c>
      <c r="P660">
        <v>10.7</v>
      </c>
      <c r="Q660">
        <v>3.2</v>
      </c>
      <c r="R660">
        <v>3</v>
      </c>
      <c r="S660">
        <v>3</v>
      </c>
      <c r="T660">
        <v>3</v>
      </c>
      <c r="U660" t="s">
        <v>23</v>
      </c>
      <c r="V660">
        <v>5</v>
      </c>
      <c r="W660">
        <v>1</v>
      </c>
    </row>
    <row r="661" spans="1:23" x14ac:dyDescent="0.35">
      <c r="A661" t="s">
        <v>990</v>
      </c>
      <c r="B661" s="6">
        <v>42873</v>
      </c>
      <c r="D661" t="s">
        <v>23</v>
      </c>
      <c r="E661">
        <v>36</v>
      </c>
      <c r="F661" t="s">
        <v>24</v>
      </c>
      <c r="G661" t="s">
        <v>37</v>
      </c>
      <c r="H661" t="s">
        <v>32</v>
      </c>
      <c r="I661" t="s">
        <v>38</v>
      </c>
      <c r="J661" t="s">
        <v>39</v>
      </c>
      <c r="K661">
        <v>3</v>
      </c>
      <c r="L661" t="s">
        <v>34</v>
      </c>
      <c r="M661">
        <v>79000</v>
      </c>
      <c r="N661">
        <v>14.6</v>
      </c>
      <c r="O661">
        <v>13.8</v>
      </c>
      <c r="P661">
        <v>8.6</v>
      </c>
      <c r="Q661">
        <v>5.0999999999999996</v>
      </c>
      <c r="R661">
        <v>4</v>
      </c>
      <c r="S661">
        <v>3</v>
      </c>
      <c r="T661">
        <v>2</v>
      </c>
      <c r="U661" t="s">
        <v>23</v>
      </c>
      <c r="V661">
        <v>3</v>
      </c>
      <c r="W661">
        <v>1</v>
      </c>
    </row>
    <row r="662" spans="1:23" x14ac:dyDescent="0.35">
      <c r="A662" t="s">
        <v>98</v>
      </c>
      <c r="B662" s="6">
        <v>45543</v>
      </c>
      <c r="D662" t="s">
        <v>23</v>
      </c>
      <c r="E662">
        <v>30</v>
      </c>
      <c r="F662" t="s">
        <v>62</v>
      </c>
      <c r="G662" t="s">
        <v>37</v>
      </c>
      <c r="H662" t="s">
        <v>32</v>
      </c>
      <c r="I662" t="s">
        <v>59</v>
      </c>
      <c r="J662" t="s">
        <v>60</v>
      </c>
      <c r="K662">
        <v>2</v>
      </c>
      <c r="L662" t="s">
        <v>40</v>
      </c>
      <c r="M662">
        <v>47000</v>
      </c>
      <c r="N662">
        <v>10.199999999999999</v>
      </c>
      <c r="O662">
        <v>8.1999999999999993</v>
      </c>
      <c r="P662">
        <v>1.3</v>
      </c>
      <c r="Q662">
        <v>1</v>
      </c>
      <c r="R662">
        <v>3</v>
      </c>
      <c r="S662">
        <v>3</v>
      </c>
      <c r="T662">
        <v>3</v>
      </c>
      <c r="U662" t="s">
        <v>30</v>
      </c>
      <c r="V662">
        <v>2</v>
      </c>
      <c r="W662">
        <v>1</v>
      </c>
    </row>
    <row r="663" spans="1:23" x14ac:dyDescent="0.35">
      <c r="A663" t="s">
        <v>1523</v>
      </c>
      <c r="B663" s="6">
        <v>42204</v>
      </c>
      <c r="D663" t="s">
        <v>23</v>
      </c>
      <c r="E663">
        <v>34</v>
      </c>
      <c r="F663" t="s">
        <v>24</v>
      </c>
      <c r="G663" t="s">
        <v>42</v>
      </c>
      <c r="H663" t="s">
        <v>26</v>
      </c>
      <c r="I663" t="s">
        <v>68</v>
      </c>
      <c r="J663" t="s">
        <v>121</v>
      </c>
      <c r="K663">
        <v>5</v>
      </c>
      <c r="L663" t="s">
        <v>29</v>
      </c>
      <c r="M663">
        <v>156000</v>
      </c>
      <c r="N663">
        <v>15.8</v>
      </c>
      <c r="O663">
        <v>12.7</v>
      </c>
      <c r="P663">
        <v>10.5</v>
      </c>
      <c r="Q663">
        <v>1</v>
      </c>
      <c r="R663">
        <v>4</v>
      </c>
      <c r="S663">
        <v>3</v>
      </c>
      <c r="T663">
        <v>4</v>
      </c>
      <c r="U663" t="s">
        <v>23</v>
      </c>
      <c r="V663">
        <v>4</v>
      </c>
      <c r="W663">
        <v>1</v>
      </c>
    </row>
    <row r="664" spans="1:23" x14ac:dyDescent="0.35">
      <c r="A664" t="s">
        <v>208</v>
      </c>
      <c r="B664" s="6">
        <v>43944</v>
      </c>
      <c r="D664" t="s">
        <v>23</v>
      </c>
      <c r="E664">
        <v>34</v>
      </c>
      <c r="F664" t="s">
        <v>36</v>
      </c>
      <c r="G664" t="s">
        <v>25</v>
      </c>
      <c r="H664" t="s">
        <v>54</v>
      </c>
      <c r="I664" t="s">
        <v>38</v>
      </c>
      <c r="J664" t="s">
        <v>139</v>
      </c>
      <c r="K664">
        <v>1</v>
      </c>
      <c r="L664" t="s">
        <v>66</v>
      </c>
      <c r="M664">
        <v>46000</v>
      </c>
      <c r="N664">
        <v>4.9000000000000004</v>
      </c>
      <c r="O664">
        <v>8.5</v>
      </c>
      <c r="P664">
        <v>5.7</v>
      </c>
      <c r="Q664">
        <v>0.7</v>
      </c>
      <c r="R664">
        <v>3</v>
      </c>
      <c r="S664">
        <v>3</v>
      </c>
      <c r="T664">
        <v>3</v>
      </c>
      <c r="U664" t="s">
        <v>30</v>
      </c>
      <c r="V664">
        <v>3</v>
      </c>
      <c r="W664">
        <v>1</v>
      </c>
    </row>
    <row r="665" spans="1:23" x14ac:dyDescent="0.35">
      <c r="A665" t="s">
        <v>1127</v>
      </c>
      <c r="B665" s="6">
        <v>44333</v>
      </c>
      <c r="D665" t="s">
        <v>23</v>
      </c>
      <c r="E665">
        <v>46</v>
      </c>
      <c r="F665" t="s">
        <v>62</v>
      </c>
      <c r="G665" t="s">
        <v>42</v>
      </c>
      <c r="H665" t="s">
        <v>26</v>
      </c>
      <c r="I665" t="s">
        <v>68</v>
      </c>
      <c r="J665" t="s">
        <v>102</v>
      </c>
      <c r="K665">
        <v>2</v>
      </c>
      <c r="L665" t="s">
        <v>29</v>
      </c>
      <c r="M665">
        <v>51000</v>
      </c>
      <c r="N665">
        <v>5.6</v>
      </c>
      <c r="O665">
        <v>6.2</v>
      </c>
      <c r="P665">
        <v>4.5999999999999996</v>
      </c>
      <c r="Q665">
        <v>0.9</v>
      </c>
      <c r="R665">
        <v>3</v>
      </c>
      <c r="S665">
        <v>2</v>
      </c>
      <c r="T665">
        <v>3</v>
      </c>
      <c r="U665" t="s">
        <v>30</v>
      </c>
      <c r="V665">
        <v>4</v>
      </c>
      <c r="W665">
        <v>1</v>
      </c>
    </row>
    <row r="666" spans="1:23" x14ac:dyDescent="0.35">
      <c r="A666" t="s">
        <v>1317</v>
      </c>
      <c r="B666" s="6">
        <v>44267</v>
      </c>
      <c r="C666">
        <v>45794</v>
      </c>
      <c r="D666" t="s">
        <v>30</v>
      </c>
      <c r="E666">
        <v>25</v>
      </c>
      <c r="F666" t="s">
        <v>36</v>
      </c>
      <c r="G666" t="s">
        <v>42</v>
      </c>
      <c r="H666" t="s">
        <v>54</v>
      </c>
      <c r="I666" t="s">
        <v>38</v>
      </c>
      <c r="J666" t="s">
        <v>139</v>
      </c>
      <c r="K666">
        <v>1</v>
      </c>
      <c r="L666" t="s">
        <v>50</v>
      </c>
      <c r="M666">
        <v>31000</v>
      </c>
      <c r="N666">
        <v>7.5</v>
      </c>
      <c r="O666">
        <v>6.1</v>
      </c>
      <c r="P666">
        <v>4.2</v>
      </c>
      <c r="Q666">
        <v>2.2000000000000002</v>
      </c>
      <c r="R666">
        <v>1</v>
      </c>
      <c r="S666">
        <v>3</v>
      </c>
      <c r="T666">
        <v>4</v>
      </c>
      <c r="U666" t="s">
        <v>30</v>
      </c>
      <c r="V666">
        <v>4</v>
      </c>
      <c r="W666">
        <v>1</v>
      </c>
    </row>
    <row r="667" spans="1:23" x14ac:dyDescent="0.35">
      <c r="A667" t="s">
        <v>231</v>
      </c>
      <c r="B667" s="6">
        <v>45182</v>
      </c>
      <c r="D667" t="s">
        <v>23</v>
      </c>
      <c r="E667">
        <v>33</v>
      </c>
      <c r="F667" t="s">
        <v>62</v>
      </c>
      <c r="G667" t="s">
        <v>42</v>
      </c>
      <c r="H667" t="s">
        <v>32</v>
      </c>
      <c r="I667" t="s">
        <v>55</v>
      </c>
      <c r="J667" t="s">
        <v>88</v>
      </c>
      <c r="K667">
        <v>3</v>
      </c>
      <c r="L667" t="s">
        <v>40</v>
      </c>
      <c r="M667">
        <v>98000</v>
      </c>
      <c r="N667">
        <v>5.4</v>
      </c>
      <c r="O667">
        <v>4.5999999999999996</v>
      </c>
      <c r="P667">
        <v>2.2999999999999998</v>
      </c>
      <c r="Q667">
        <v>0</v>
      </c>
      <c r="R667">
        <v>3</v>
      </c>
      <c r="S667">
        <v>2</v>
      </c>
      <c r="T667">
        <v>4</v>
      </c>
      <c r="U667" t="s">
        <v>30</v>
      </c>
      <c r="V667">
        <v>4</v>
      </c>
      <c r="W667">
        <v>1</v>
      </c>
    </row>
    <row r="668" spans="1:23" x14ac:dyDescent="0.35">
      <c r="A668" t="s">
        <v>1531</v>
      </c>
      <c r="B668" s="6">
        <v>44493</v>
      </c>
      <c r="D668" t="s">
        <v>23</v>
      </c>
      <c r="E668">
        <v>37</v>
      </c>
      <c r="F668" t="s">
        <v>24</v>
      </c>
      <c r="G668" t="s">
        <v>25</v>
      </c>
      <c r="H668" t="s">
        <v>58</v>
      </c>
      <c r="I668" t="s">
        <v>68</v>
      </c>
      <c r="J668" t="s">
        <v>102</v>
      </c>
      <c r="K668">
        <v>2</v>
      </c>
      <c r="L668" t="s">
        <v>34</v>
      </c>
      <c r="M668">
        <v>62000</v>
      </c>
      <c r="N668">
        <v>6.4</v>
      </c>
      <c r="O668">
        <v>7.6</v>
      </c>
      <c r="P668">
        <v>4.2</v>
      </c>
      <c r="Q668">
        <v>0.1</v>
      </c>
      <c r="R668">
        <v>4</v>
      </c>
      <c r="S668">
        <v>4</v>
      </c>
      <c r="T668">
        <v>4</v>
      </c>
      <c r="U668" t="s">
        <v>23</v>
      </c>
      <c r="V668">
        <v>3</v>
      </c>
      <c r="W668">
        <v>1</v>
      </c>
    </row>
    <row r="669" spans="1:23" x14ac:dyDescent="0.35">
      <c r="A669" t="s">
        <v>209</v>
      </c>
      <c r="B669" s="6">
        <v>45075</v>
      </c>
      <c r="D669" t="s">
        <v>23</v>
      </c>
      <c r="E669">
        <v>25</v>
      </c>
      <c r="F669" t="s">
        <v>24</v>
      </c>
      <c r="G669" t="s">
        <v>37</v>
      </c>
      <c r="H669" t="s">
        <v>26</v>
      </c>
      <c r="I669" t="s">
        <v>27</v>
      </c>
      <c r="J669" t="s">
        <v>43</v>
      </c>
      <c r="K669">
        <v>1</v>
      </c>
      <c r="L669" t="s">
        <v>84</v>
      </c>
      <c r="M669">
        <v>40000</v>
      </c>
      <c r="N669">
        <v>9.6999999999999993</v>
      </c>
      <c r="O669">
        <v>7.1</v>
      </c>
      <c r="P669">
        <v>2.6</v>
      </c>
      <c r="Q669">
        <v>2.6</v>
      </c>
      <c r="R669">
        <v>2</v>
      </c>
      <c r="S669">
        <v>4</v>
      </c>
      <c r="T669">
        <v>3</v>
      </c>
      <c r="U669" t="s">
        <v>30</v>
      </c>
      <c r="V669">
        <v>2</v>
      </c>
      <c r="W669">
        <v>1</v>
      </c>
    </row>
    <row r="670" spans="1:23" x14ac:dyDescent="0.35">
      <c r="A670" t="s">
        <v>1405</v>
      </c>
      <c r="B670" s="6">
        <v>45136</v>
      </c>
      <c r="D670" t="s">
        <v>23</v>
      </c>
      <c r="E670">
        <v>25</v>
      </c>
      <c r="F670" t="s">
        <v>62</v>
      </c>
      <c r="G670" t="s">
        <v>25</v>
      </c>
      <c r="H670" t="s">
        <v>54</v>
      </c>
      <c r="I670" t="s">
        <v>59</v>
      </c>
      <c r="J670" t="s">
        <v>150</v>
      </c>
      <c r="K670">
        <v>1</v>
      </c>
      <c r="L670" t="s">
        <v>50</v>
      </c>
      <c r="M670">
        <v>25000</v>
      </c>
      <c r="N670">
        <v>11.4</v>
      </c>
      <c r="O670">
        <v>6.3</v>
      </c>
      <c r="P670">
        <v>2.4</v>
      </c>
      <c r="Q670">
        <v>0.9</v>
      </c>
      <c r="R670">
        <v>4</v>
      </c>
      <c r="S670">
        <v>1</v>
      </c>
      <c r="T670">
        <v>3</v>
      </c>
      <c r="U670" t="s">
        <v>23</v>
      </c>
      <c r="V670">
        <v>4</v>
      </c>
      <c r="W670">
        <v>1</v>
      </c>
    </row>
    <row r="671" spans="1:23" x14ac:dyDescent="0.35">
      <c r="A671" t="s">
        <v>638</v>
      </c>
      <c r="B671" s="6">
        <v>44159</v>
      </c>
      <c r="D671" t="s">
        <v>23</v>
      </c>
      <c r="E671">
        <v>36</v>
      </c>
      <c r="F671" t="s">
        <v>24</v>
      </c>
      <c r="G671" t="s">
        <v>37</v>
      </c>
      <c r="H671" t="s">
        <v>54</v>
      </c>
      <c r="I671" t="s">
        <v>68</v>
      </c>
      <c r="J671" t="s">
        <v>102</v>
      </c>
      <c r="K671">
        <v>2</v>
      </c>
      <c r="L671" t="s">
        <v>29</v>
      </c>
      <c r="M671">
        <v>40000</v>
      </c>
      <c r="N671">
        <v>12.4</v>
      </c>
      <c r="O671">
        <v>5.3</v>
      </c>
      <c r="P671">
        <v>5.0999999999999996</v>
      </c>
      <c r="Q671">
        <v>2.9</v>
      </c>
      <c r="R671">
        <v>4</v>
      </c>
      <c r="S671">
        <v>3</v>
      </c>
      <c r="T671">
        <v>3</v>
      </c>
      <c r="U671" t="s">
        <v>30</v>
      </c>
      <c r="V671">
        <v>3</v>
      </c>
      <c r="W671">
        <v>1</v>
      </c>
    </row>
    <row r="672" spans="1:23" x14ac:dyDescent="0.35">
      <c r="A672" t="s">
        <v>621</v>
      </c>
      <c r="B672" s="6">
        <v>43012</v>
      </c>
      <c r="D672" t="s">
        <v>23</v>
      </c>
      <c r="E672">
        <v>37</v>
      </c>
      <c r="F672" t="s">
        <v>36</v>
      </c>
      <c r="G672" t="s">
        <v>42</v>
      </c>
      <c r="H672" t="s">
        <v>58</v>
      </c>
      <c r="I672" t="s">
        <v>38</v>
      </c>
      <c r="J672" t="s">
        <v>39</v>
      </c>
      <c r="K672">
        <v>4</v>
      </c>
      <c r="L672" t="s">
        <v>40</v>
      </c>
      <c r="M672">
        <v>130000</v>
      </c>
      <c r="N672">
        <v>6.2</v>
      </c>
      <c r="O672">
        <v>12.5</v>
      </c>
      <c r="P672">
        <v>8.1999999999999993</v>
      </c>
      <c r="Q672">
        <v>1.6</v>
      </c>
      <c r="R672">
        <v>3</v>
      </c>
      <c r="S672">
        <v>3</v>
      </c>
      <c r="T672">
        <v>4</v>
      </c>
      <c r="U672" t="s">
        <v>23</v>
      </c>
      <c r="V672">
        <v>3</v>
      </c>
      <c r="W672">
        <v>1</v>
      </c>
    </row>
    <row r="673" spans="1:23" x14ac:dyDescent="0.35">
      <c r="A673" t="s">
        <v>81</v>
      </c>
      <c r="B673" s="6">
        <v>45387</v>
      </c>
      <c r="D673" t="s">
        <v>23</v>
      </c>
      <c r="E673">
        <v>35</v>
      </c>
      <c r="F673" t="s">
        <v>62</v>
      </c>
      <c r="G673" t="s">
        <v>37</v>
      </c>
      <c r="H673" t="s">
        <v>58</v>
      </c>
      <c r="I673" t="s">
        <v>38</v>
      </c>
      <c r="J673" t="s">
        <v>39</v>
      </c>
      <c r="K673">
        <v>4</v>
      </c>
      <c r="L673" t="s">
        <v>66</v>
      </c>
      <c r="M673">
        <v>119000</v>
      </c>
      <c r="N673">
        <v>5</v>
      </c>
      <c r="O673">
        <v>4.5</v>
      </c>
      <c r="P673">
        <v>1.7</v>
      </c>
      <c r="Q673">
        <v>0.2</v>
      </c>
      <c r="R673">
        <v>3</v>
      </c>
      <c r="S673">
        <v>1</v>
      </c>
      <c r="T673">
        <v>4</v>
      </c>
      <c r="U673" t="s">
        <v>23</v>
      </c>
      <c r="V673">
        <v>2</v>
      </c>
      <c r="W673">
        <v>1</v>
      </c>
    </row>
    <row r="674" spans="1:23" x14ac:dyDescent="0.35">
      <c r="A674" t="s">
        <v>256</v>
      </c>
      <c r="B674" s="6">
        <v>44681</v>
      </c>
      <c r="C674">
        <v>45802</v>
      </c>
      <c r="D674" t="s">
        <v>30</v>
      </c>
      <c r="E674">
        <v>35</v>
      </c>
      <c r="F674" t="s">
        <v>24</v>
      </c>
      <c r="G674" t="s">
        <v>37</v>
      </c>
      <c r="H674" t="s">
        <v>58</v>
      </c>
      <c r="I674" t="s">
        <v>27</v>
      </c>
      <c r="J674" t="s">
        <v>95</v>
      </c>
      <c r="K674">
        <v>2</v>
      </c>
      <c r="L674" t="s">
        <v>40</v>
      </c>
      <c r="M674">
        <v>37000</v>
      </c>
      <c r="N674">
        <v>9.4</v>
      </c>
      <c r="O674">
        <v>9.6999999999999993</v>
      </c>
      <c r="P674">
        <v>3.1</v>
      </c>
      <c r="Q674">
        <v>0.4</v>
      </c>
      <c r="R674">
        <v>1</v>
      </c>
      <c r="S674">
        <v>3</v>
      </c>
      <c r="T674">
        <v>1</v>
      </c>
      <c r="U674" t="s">
        <v>23</v>
      </c>
      <c r="V674">
        <v>3</v>
      </c>
      <c r="W674">
        <v>1</v>
      </c>
    </row>
    <row r="675" spans="1:23" x14ac:dyDescent="0.35">
      <c r="A675" t="s">
        <v>567</v>
      </c>
      <c r="B675" s="6">
        <v>43768</v>
      </c>
      <c r="D675" t="s">
        <v>23</v>
      </c>
      <c r="E675">
        <v>38</v>
      </c>
      <c r="F675" t="s">
        <v>36</v>
      </c>
      <c r="G675" t="s">
        <v>37</v>
      </c>
      <c r="H675" t="s">
        <v>26</v>
      </c>
      <c r="I675" t="s">
        <v>68</v>
      </c>
      <c r="J675" t="s">
        <v>69</v>
      </c>
      <c r="K675">
        <v>3</v>
      </c>
      <c r="L675" t="s">
        <v>34</v>
      </c>
      <c r="M675">
        <v>74000</v>
      </c>
      <c r="N675">
        <v>7.7</v>
      </c>
      <c r="O675">
        <v>11.9</v>
      </c>
      <c r="P675">
        <v>6.2</v>
      </c>
      <c r="Q675">
        <v>0.9</v>
      </c>
      <c r="R675">
        <v>3</v>
      </c>
      <c r="S675">
        <v>3</v>
      </c>
      <c r="T675">
        <v>3</v>
      </c>
      <c r="U675" t="s">
        <v>23</v>
      </c>
      <c r="V675">
        <v>5</v>
      </c>
      <c r="W675">
        <v>1</v>
      </c>
    </row>
    <row r="676" spans="1:23" x14ac:dyDescent="0.35">
      <c r="A676" t="s">
        <v>268</v>
      </c>
      <c r="B676" s="6">
        <v>43191</v>
      </c>
      <c r="C676">
        <v>45791</v>
      </c>
      <c r="D676" t="s">
        <v>30</v>
      </c>
      <c r="E676">
        <v>35</v>
      </c>
      <c r="F676" t="s">
        <v>62</v>
      </c>
      <c r="G676" t="s">
        <v>37</v>
      </c>
      <c r="H676" t="s">
        <v>32</v>
      </c>
      <c r="I676" t="s">
        <v>68</v>
      </c>
      <c r="J676" t="s">
        <v>109</v>
      </c>
      <c r="K676">
        <v>4</v>
      </c>
      <c r="L676" t="s">
        <v>84</v>
      </c>
      <c r="M676">
        <v>113000</v>
      </c>
      <c r="N676">
        <v>10.9</v>
      </c>
      <c r="O676">
        <v>14.5</v>
      </c>
      <c r="P676">
        <v>7.1</v>
      </c>
      <c r="Q676">
        <v>3.6</v>
      </c>
      <c r="R676">
        <v>4</v>
      </c>
      <c r="S676">
        <v>2</v>
      </c>
      <c r="T676">
        <v>3</v>
      </c>
      <c r="U676" t="s">
        <v>23</v>
      </c>
      <c r="V676">
        <v>5</v>
      </c>
      <c r="W676">
        <v>1</v>
      </c>
    </row>
    <row r="677" spans="1:23" x14ac:dyDescent="0.35">
      <c r="A677" t="s">
        <v>852</v>
      </c>
      <c r="B677" s="6">
        <v>44626</v>
      </c>
      <c r="D677" t="s">
        <v>23</v>
      </c>
      <c r="E677">
        <v>38</v>
      </c>
      <c r="F677" t="s">
        <v>36</v>
      </c>
      <c r="G677" t="s">
        <v>25</v>
      </c>
      <c r="H677" t="s">
        <v>58</v>
      </c>
      <c r="I677" t="s">
        <v>55</v>
      </c>
      <c r="J677" t="s">
        <v>80</v>
      </c>
      <c r="K677">
        <v>3</v>
      </c>
      <c r="L677" t="s">
        <v>66</v>
      </c>
      <c r="M677">
        <v>95000</v>
      </c>
      <c r="N677">
        <v>4.9000000000000004</v>
      </c>
      <c r="O677">
        <v>8.1999999999999993</v>
      </c>
      <c r="P677">
        <v>3.8</v>
      </c>
      <c r="Q677">
        <v>1.4</v>
      </c>
      <c r="R677">
        <v>3</v>
      </c>
      <c r="S677">
        <v>4</v>
      </c>
      <c r="T677">
        <v>3</v>
      </c>
      <c r="U677" t="s">
        <v>30</v>
      </c>
      <c r="V677">
        <v>2</v>
      </c>
      <c r="W677">
        <v>1</v>
      </c>
    </row>
    <row r="678" spans="1:23" x14ac:dyDescent="0.35">
      <c r="A678" t="s">
        <v>258</v>
      </c>
      <c r="B678" s="6">
        <v>44085</v>
      </c>
      <c r="C678">
        <v>45944</v>
      </c>
      <c r="D678" t="s">
        <v>30</v>
      </c>
      <c r="E678">
        <v>33</v>
      </c>
      <c r="F678" t="s">
        <v>24</v>
      </c>
      <c r="G678" t="s">
        <v>25</v>
      </c>
      <c r="H678" t="s">
        <v>58</v>
      </c>
      <c r="I678" t="s">
        <v>45</v>
      </c>
      <c r="J678" t="s">
        <v>77</v>
      </c>
      <c r="K678">
        <v>3</v>
      </c>
      <c r="L678" t="s">
        <v>40</v>
      </c>
      <c r="M678">
        <v>71000</v>
      </c>
      <c r="N678">
        <v>10.3</v>
      </c>
      <c r="O678">
        <v>5.3</v>
      </c>
      <c r="P678">
        <v>5.0999999999999996</v>
      </c>
      <c r="Q678">
        <v>3.9</v>
      </c>
      <c r="R678">
        <v>3</v>
      </c>
      <c r="S678">
        <v>2</v>
      </c>
      <c r="T678">
        <v>2</v>
      </c>
      <c r="U678" t="s">
        <v>23</v>
      </c>
      <c r="V678">
        <v>5</v>
      </c>
      <c r="W678">
        <v>1</v>
      </c>
    </row>
    <row r="679" spans="1:23" x14ac:dyDescent="0.35">
      <c r="A679" t="s">
        <v>566</v>
      </c>
      <c r="B679" s="6">
        <v>42301</v>
      </c>
      <c r="D679" t="s">
        <v>23</v>
      </c>
      <c r="E679">
        <v>41</v>
      </c>
      <c r="F679" t="s">
        <v>62</v>
      </c>
      <c r="G679" t="s">
        <v>37</v>
      </c>
      <c r="H679" t="s">
        <v>58</v>
      </c>
      <c r="I679" t="s">
        <v>27</v>
      </c>
      <c r="J679" t="s">
        <v>28</v>
      </c>
      <c r="K679">
        <v>1</v>
      </c>
      <c r="L679" t="s">
        <v>66</v>
      </c>
      <c r="M679">
        <v>22000</v>
      </c>
      <c r="N679">
        <v>11.5</v>
      </c>
      <c r="O679">
        <v>16.3</v>
      </c>
      <c r="P679">
        <v>10.199999999999999</v>
      </c>
      <c r="Q679">
        <v>3.1</v>
      </c>
      <c r="R679">
        <v>3</v>
      </c>
      <c r="S679">
        <v>4</v>
      </c>
      <c r="T679">
        <v>2</v>
      </c>
      <c r="U679" t="s">
        <v>30</v>
      </c>
      <c r="V679">
        <v>3</v>
      </c>
      <c r="W679">
        <v>1</v>
      </c>
    </row>
    <row r="680" spans="1:23" x14ac:dyDescent="0.35">
      <c r="A680" t="s">
        <v>349</v>
      </c>
      <c r="B680" s="6">
        <v>42962</v>
      </c>
      <c r="D680" t="s">
        <v>23</v>
      </c>
      <c r="E680">
        <v>36</v>
      </c>
      <c r="F680" t="s">
        <v>36</v>
      </c>
      <c r="G680" t="s">
        <v>37</v>
      </c>
      <c r="H680" t="s">
        <v>32</v>
      </c>
      <c r="I680" t="s">
        <v>38</v>
      </c>
      <c r="J680" t="s">
        <v>39</v>
      </c>
      <c r="K680">
        <v>3</v>
      </c>
      <c r="L680" t="s">
        <v>29</v>
      </c>
      <c r="M680">
        <v>96000</v>
      </c>
      <c r="N680">
        <v>17</v>
      </c>
      <c r="O680">
        <v>12.5</v>
      </c>
      <c r="P680">
        <v>8.4</v>
      </c>
      <c r="Q680">
        <v>4.3</v>
      </c>
      <c r="R680">
        <v>2</v>
      </c>
      <c r="S680">
        <v>3</v>
      </c>
      <c r="T680">
        <v>3</v>
      </c>
      <c r="U680" t="s">
        <v>23</v>
      </c>
      <c r="V680">
        <v>4</v>
      </c>
      <c r="W680">
        <v>1</v>
      </c>
    </row>
    <row r="681" spans="1:23" x14ac:dyDescent="0.35">
      <c r="A681" t="s">
        <v>495</v>
      </c>
      <c r="B681" s="6">
        <v>44584</v>
      </c>
      <c r="D681" t="s">
        <v>23</v>
      </c>
      <c r="E681">
        <v>35</v>
      </c>
      <c r="F681" t="s">
        <v>24</v>
      </c>
      <c r="G681" t="s">
        <v>37</v>
      </c>
      <c r="H681" t="s">
        <v>32</v>
      </c>
      <c r="I681" t="s">
        <v>45</v>
      </c>
      <c r="J681" t="s">
        <v>97</v>
      </c>
      <c r="K681">
        <v>2</v>
      </c>
      <c r="L681" t="s">
        <v>50</v>
      </c>
      <c r="M681">
        <v>59000</v>
      </c>
      <c r="N681">
        <v>9.6</v>
      </c>
      <c r="O681">
        <v>9.4</v>
      </c>
      <c r="P681">
        <v>3.9</v>
      </c>
      <c r="Q681">
        <v>0.4</v>
      </c>
      <c r="R681">
        <v>1</v>
      </c>
      <c r="S681">
        <v>1</v>
      </c>
      <c r="T681">
        <v>3</v>
      </c>
      <c r="U681" t="s">
        <v>23</v>
      </c>
      <c r="V681">
        <v>2</v>
      </c>
      <c r="W681">
        <v>1</v>
      </c>
    </row>
    <row r="682" spans="1:23" x14ac:dyDescent="0.35">
      <c r="A682" t="s">
        <v>1114</v>
      </c>
      <c r="B682" s="6">
        <v>44178</v>
      </c>
      <c r="D682" t="s">
        <v>23</v>
      </c>
      <c r="E682">
        <v>31</v>
      </c>
      <c r="F682" t="s">
        <v>62</v>
      </c>
      <c r="G682" t="s">
        <v>42</v>
      </c>
      <c r="H682" t="s">
        <v>26</v>
      </c>
      <c r="I682" t="s">
        <v>48</v>
      </c>
      <c r="J682" t="s">
        <v>63</v>
      </c>
      <c r="K682">
        <v>4</v>
      </c>
      <c r="L682" t="s">
        <v>34</v>
      </c>
      <c r="M682">
        <v>129000</v>
      </c>
      <c r="N682">
        <v>5.7</v>
      </c>
      <c r="O682">
        <v>12.9</v>
      </c>
      <c r="P682">
        <v>5</v>
      </c>
      <c r="Q682">
        <v>4.0999999999999996</v>
      </c>
      <c r="R682">
        <v>2</v>
      </c>
      <c r="S682">
        <v>4</v>
      </c>
      <c r="T682">
        <v>3</v>
      </c>
      <c r="U682" t="s">
        <v>30</v>
      </c>
      <c r="V682">
        <v>4</v>
      </c>
      <c r="W682">
        <v>1</v>
      </c>
    </row>
    <row r="683" spans="1:23" x14ac:dyDescent="0.35">
      <c r="A683" t="s">
        <v>747</v>
      </c>
      <c r="B683" s="6">
        <v>42415</v>
      </c>
      <c r="D683" t="s">
        <v>23</v>
      </c>
      <c r="E683">
        <v>36</v>
      </c>
      <c r="F683" t="s">
        <v>36</v>
      </c>
      <c r="G683" t="s">
        <v>42</v>
      </c>
      <c r="H683" t="s">
        <v>58</v>
      </c>
      <c r="I683" t="s">
        <v>55</v>
      </c>
      <c r="J683" t="s">
        <v>56</v>
      </c>
      <c r="K683">
        <v>2</v>
      </c>
      <c r="L683" t="s">
        <v>34</v>
      </c>
      <c r="M683">
        <v>49000</v>
      </c>
      <c r="N683">
        <v>10.5</v>
      </c>
      <c r="O683">
        <v>14.2</v>
      </c>
      <c r="P683">
        <v>9.9</v>
      </c>
      <c r="Q683">
        <v>2.9</v>
      </c>
      <c r="R683">
        <v>2</v>
      </c>
      <c r="S683">
        <v>3</v>
      </c>
      <c r="T683">
        <v>3</v>
      </c>
      <c r="U683" t="s">
        <v>23</v>
      </c>
      <c r="V683">
        <v>5</v>
      </c>
      <c r="W683">
        <v>1</v>
      </c>
    </row>
    <row r="684" spans="1:23" x14ac:dyDescent="0.35">
      <c r="A684" t="s">
        <v>271</v>
      </c>
      <c r="B684" s="6">
        <v>42437</v>
      </c>
      <c r="C684">
        <v>45857</v>
      </c>
      <c r="D684" t="s">
        <v>30</v>
      </c>
      <c r="E684">
        <v>37</v>
      </c>
      <c r="F684" t="s">
        <v>24</v>
      </c>
      <c r="G684" t="s">
        <v>42</v>
      </c>
      <c r="H684" t="s">
        <v>32</v>
      </c>
      <c r="I684" t="s">
        <v>48</v>
      </c>
      <c r="J684" t="s">
        <v>63</v>
      </c>
      <c r="K684">
        <v>3</v>
      </c>
      <c r="L684" t="s">
        <v>34</v>
      </c>
      <c r="M684">
        <v>88000</v>
      </c>
      <c r="N684">
        <v>6.6</v>
      </c>
      <c r="O684">
        <v>9.5</v>
      </c>
      <c r="P684">
        <v>9.4</v>
      </c>
      <c r="Q684">
        <v>1.8</v>
      </c>
      <c r="R684">
        <v>3</v>
      </c>
      <c r="S684">
        <v>3</v>
      </c>
      <c r="T684">
        <v>4</v>
      </c>
      <c r="U684" t="s">
        <v>30</v>
      </c>
      <c r="V684">
        <v>4</v>
      </c>
      <c r="W684">
        <v>1</v>
      </c>
    </row>
    <row r="685" spans="1:23" x14ac:dyDescent="0.35">
      <c r="A685" t="s">
        <v>667</v>
      </c>
      <c r="B685" s="6">
        <v>41717</v>
      </c>
      <c r="D685" t="s">
        <v>23</v>
      </c>
      <c r="E685">
        <v>47</v>
      </c>
      <c r="F685" t="s">
        <v>36</v>
      </c>
      <c r="G685" t="s">
        <v>25</v>
      </c>
      <c r="H685" t="s">
        <v>58</v>
      </c>
      <c r="I685" t="s">
        <v>45</v>
      </c>
      <c r="J685" t="s">
        <v>46</v>
      </c>
      <c r="K685">
        <v>2</v>
      </c>
      <c r="L685" t="s">
        <v>34</v>
      </c>
      <c r="M685">
        <v>45000</v>
      </c>
      <c r="N685">
        <v>4.8</v>
      </c>
      <c r="O685">
        <v>14.6</v>
      </c>
      <c r="P685">
        <v>11.8</v>
      </c>
      <c r="Q685">
        <v>4.2</v>
      </c>
      <c r="R685">
        <v>4</v>
      </c>
      <c r="S685">
        <v>3</v>
      </c>
      <c r="T685">
        <v>2</v>
      </c>
      <c r="U685" t="s">
        <v>23</v>
      </c>
      <c r="V685">
        <v>4</v>
      </c>
      <c r="W685">
        <v>1</v>
      </c>
    </row>
    <row r="686" spans="1:23" x14ac:dyDescent="0.35">
      <c r="A686" t="s">
        <v>735</v>
      </c>
      <c r="B686" s="6">
        <v>42654</v>
      </c>
      <c r="D686" t="s">
        <v>23</v>
      </c>
      <c r="E686">
        <v>47</v>
      </c>
      <c r="F686" t="s">
        <v>62</v>
      </c>
      <c r="G686" t="s">
        <v>25</v>
      </c>
      <c r="H686" t="s">
        <v>58</v>
      </c>
      <c r="I686" t="s">
        <v>45</v>
      </c>
      <c r="J686" t="s">
        <v>97</v>
      </c>
      <c r="K686">
        <v>2</v>
      </c>
      <c r="L686" t="s">
        <v>40</v>
      </c>
      <c r="M686">
        <v>50000</v>
      </c>
      <c r="N686">
        <v>13</v>
      </c>
      <c r="O686">
        <v>14.4</v>
      </c>
      <c r="P686">
        <v>9.1999999999999993</v>
      </c>
      <c r="Q686">
        <v>2.2999999999999998</v>
      </c>
      <c r="R686">
        <v>3</v>
      </c>
      <c r="S686">
        <v>3</v>
      </c>
      <c r="T686">
        <v>3</v>
      </c>
      <c r="U686" t="s">
        <v>23</v>
      </c>
      <c r="V686">
        <v>4</v>
      </c>
      <c r="W686">
        <v>1</v>
      </c>
    </row>
    <row r="687" spans="1:23" x14ac:dyDescent="0.35">
      <c r="A687" t="s">
        <v>899</v>
      </c>
      <c r="B687" s="6">
        <v>44280</v>
      </c>
      <c r="C687">
        <v>45673</v>
      </c>
      <c r="D687" t="s">
        <v>30</v>
      </c>
      <c r="E687">
        <v>28</v>
      </c>
      <c r="F687" t="s">
        <v>36</v>
      </c>
      <c r="G687" t="s">
        <v>42</v>
      </c>
      <c r="H687" t="s">
        <v>32</v>
      </c>
      <c r="I687" t="s">
        <v>45</v>
      </c>
      <c r="J687" t="s">
        <v>77</v>
      </c>
      <c r="K687">
        <v>3</v>
      </c>
      <c r="L687" t="s">
        <v>29</v>
      </c>
      <c r="M687">
        <v>68000</v>
      </c>
      <c r="N687">
        <v>13.9</v>
      </c>
      <c r="O687">
        <v>10.6</v>
      </c>
      <c r="P687">
        <v>3.8</v>
      </c>
      <c r="Q687">
        <v>0.6</v>
      </c>
      <c r="R687">
        <v>4</v>
      </c>
      <c r="S687">
        <v>2</v>
      </c>
      <c r="T687">
        <v>2</v>
      </c>
      <c r="U687" t="s">
        <v>23</v>
      </c>
      <c r="V687">
        <v>5</v>
      </c>
      <c r="W687">
        <v>1</v>
      </c>
    </row>
    <row r="688" spans="1:23" x14ac:dyDescent="0.35">
      <c r="A688" t="s">
        <v>1144</v>
      </c>
      <c r="B688" s="6">
        <v>42149</v>
      </c>
      <c r="D688" t="s">
        <v>23</v>
      </c>
      <c r="E688">
        <v>37</v>
      </c>
      <c r="F688" t="s">
        <v>36</v>
      </c>
      <c r="G688" t="s">
        <v>42</v>
      </c>
      <c r="H688" t="s">
        <v>26</v>
      </c>
      <c r="I688" t="s">
        <v>59</v>
      </c>
      <c r="J688" t="s">
        <v>86</v>
      </c>
      <c r="K688">
        <v>2</v>
      </c>
      <c r="L688" t="s">
        <v>40</v>
      </c>
      <c r="M688">
        <v>44000</v>
      </c>
      <c r="N688">
        <v>16.899999999999999</v>
      </c>
      <c r="O688">
        <v>18</v>
      </c>
      <c r="P688">
        <v>10.6</v>
      </c>
      <c r="Q688">
        <v>0.4</v>
      </c>
      <c r="R688">
        <v>3</v>
      </c>
      <c r="S688">
        <v>3</v>
      </c>
      <c r="T688">
        <v>1</v>
      </c>
      <c r="U688" t="s">
        <v>23</v>
      </c>
      <c r="V688">
        <v>4</v>
      </c>
      <c r="W688">
        <v>1</v>
      </c>
    </row>
    <row r="689" spans="1:23" x14ac:dyDescent="0.35">
      <c r="A689" t="s">
        <v>690</v>
      </c>
      <c r="B689" s="6">
        <v>44437</v>
      </c>
      <c r="D689" t="s">
        <v>23</v>
      </c>
      <c r="E689">
        <v>31</v>
      </c>
      <c r="F689" t="s">
        <v>62</v>
      </c>
      <c r="G689" t="s">
        <v>37</v>
      </c>
      <c r="H689" t="s">
        <v>26</v>
      </c>
      <c r="I689" t="s">
        <v>68</v>
      </c>
      <c r="J689" t="s">
        <v>102</v>
      </c>
      <c r="K689">
        <v>3</v>
      </c>
      <c r="L689" t="s">
        <v>66</v>
      </c>
      <c r="M689">
        <v>80000</v>
      </c>
      <c r="N689">
        <v>15.2</v>
      </c>
      <c r="O689">
        <v>6.4</v>
      </c>
      <c r="P689">
        <v>4.3</v>
      </c>
      <c r="Q689">
        <v>1.9</v>
      </c>
      <c r="R689">
        <v>3</v>
      </c>
      <c r="S689">
        <v>3</v>
      </c>
      <c r="T689">
        <v>2</v>
      </c>
      <c r="U689" t="s">
        <v>23</v>
      </c>
      <c r="V689">
        <v>2</v>
      </c>
      <c r="W689">
        <v>1</v>
      </c>
    </row>
    <row r="690" spans="1:23" x14ac:dyDescent="0.35">
      <c r="A690" t="s">
        <v>725</v>
      </c>
      <c r="B690" s="6">
        <v>42451</v>
      </c>
      <c r="D690" t="s">
        <v>23</v>
      </c>
      <c r="E690">
        <v>36</v>
      </c>
      <c r="F690" t="s">
        <v>62</v>
      </c>
      <c r="G690" t="s">
        <v>25</v>
      </c>
      <c r="H690" t="s">
        <v>54</v>
      </c>
      <c r="I690" t="s">
        <v>38</v>
      </c>
      <c r="J690" t="s">
        <v>118</v>
      </c>
      <c r="K690">
        <v>2</v>
      </c>
      <c r="L690" t="s">
        <v>40</v>
      </c>
      <c r="M690">
        <v>64000</v>
      </c>
      <c r="N690">
        <v>9.1999999999999993</v>
      </c>
      <c r="O690">
        <v>14.1</v>
      </c>
      <c r="P690">
        <v>9.8000000000000007</v>
      </c>
      <c r="Q690">
        <v>0.4</v>
      </c>
      <c r="R690">
        <v>3</v>
      </c>
      <c r="S690">
        <v>2</v>
      </c>
      <c r="T690">
        <v>3</v>
      </c>
      <c r="U690" t="s">
        <v>23</v>
      </c>
      <c r="V690">
        <v>5</v>
      </c>
      <c r="W690">
        <v>1</v>
      </c>
    </row>
    <row r="691" spans="1:23" x14ac:dyDescent="0.35">
      <c r="A691" t="s">
        <v>731</v>
      </c>
      <c r="B691" s="6">
        <v>45767</v>
      </c>
      <c r="D691" t="s">
        <v>23</v>
      </c>
      <c r="E691">
        <v>21</v>
      </c>
      <c r="F691" t="s">
        <v>24</v>
      </c>
      <c r="G691" t="s">
        <v>25</v>
      </c>
      <c r="H691" t="s">
        <v>26</v>
      </c>
      <c r="I691" t="s">
        <v>59</v>
      </c>
      <c r="J691" t="s">
        <v>86</v>
      </c>
      <c r="K691">
        <v>1</v>
      </c>
      <c r="L691" t="s">
        <v>40</v>
      </c>
      <c r="M691">
        <v>30000</v>
      </c>
      <c r="N691">
        <v>10</v>
      </c>
      <c r="O691">
        <v>5.2</v>
      </c>
      <c r="P691">
        <v>0.7</v>
      </c>
      <c r="Q691">
        <v>0</v>
      </c>
      <c r="R691">
        <v>3</v>
      </c>
      <c r="S691">
        <v>1</v>
      </c>
      <c r="T691">
        <v>3</v>
      </c>
      <c r="U691" t="s">
        <v>23</v>
      </c>
      <c r="V691">
        <v>3</v>
      </c>
      <c r="W691">
        <v>1</v>
      </c>
    </row>
    <row r="692" spans="1:23" x14ac:dyDescent="0.35">
      <c r="A692" t="s">
        <v>1224</v>
      </c>
      <c r="B692" s="6">
        <v>43782</v>
      </c>
      <c r="C692">
        <v>45806</v>
      </c>
      <c r="D692" t="s">
        <v>30</v>
      </c>
      <c r="E692">
        <v>36</v>
      </c>
      <c r="F692" t="s">
        <v>36</v>
      </c>
      <c r="G692" t="s">
        <v>37</v>
      </c>
      <c r="H692" t="s">
        <v>32</v>
      </c>
      <c r="I692" t="s">
        <v>59</v>
      </c>
      <c r="J692" t="s">
        <v>150</v>
      </c>
      <c r="K692">
        <v>2</v>
      </c>
      <c r="L692" t="s">
        <v>66</v>
      </c>
      <c r="M692">
        <v>50000</v>
      </c>
      <c r="N692">
        <v>16</v>
      </c>
      <c r="O692">
        <v>12.9</v>
      </c>
      <c r="P692">
        <v>5.5</v>
      </c>
      <c r="Q692">
        <v>1.4</v>
      </c>
      <c r="R692">
        <v>3</v>
      </c>
      <c r="S692">
        <v>3</v>
      </c>
      <c r="T692">
        <v>2</v>
      </c>
      <c r="U692" t="s">
        <v>30</v>
      </c>
      <c r="V692">
        <v>5</v>
      </c>
      <c r="W692">
        <v>1</v>
      </c>
    </row>
    <row r="693" spans="1:23" x14ac:dyDescent="0.35">
      <c r="A693" t="s">
        <v>1489</v>
      </c>
      <c r="B693" s="6">
        <v>45712</v>
      </c>
      <c r="D693" t="s">
        <v>23</v>
      </c>
      <c r="E693">
        <v>30</v>
      </c>
      <c r="F693" t="s">
        <v>36</v>
      </c>
      <c r="G693" t="s">
        <v>37</v>
      </c>
      <c r="H693" t="s">
        <v>32</v>
      </c>
      <c r="I693" t="s">
        <v>27</v>
      </c>
      <c r="J693" t="s">
        <v>28</v>
      </c>
      <c r="K693">
        <v>2</v>
      </c>
      <c r="L693" t="s">
        <v>40</v>
      </c>
      <c r="M693">
        <v>49000</v>
      </c>
      <c r="N693">
        <v>8.6999999999999993</v>
      </c>
      <c r="O693">
        <v>8.1999999999999993</v>
      </c>
      <c r="P693">
        <v>0.8</v>
      </c>
      <c r="Q693">
        <v>0</v>
      </c>
      <c r="R693">
        <v>2</v>
      </c>
      <c r="S693">
        <v>1</v>
      </c>
      <c r="T693">
        <v>3</v>
      </c>
      <c r="U693" t="s">
        <v>23</v>
      </c>
      <c r="V693">
        <v>3</v>
      </c>
      <c r="W693">
        <v>1</v>
      </c>
    </row>
    <row r="694" spans="1:23" x14ac:dyDescent="0.35">
      <c r="A694" t="s">
        <v>458</v>
      </c>
      <c r="B694" s="6">
        <v>43078</v>
      </c>
      <c r="C694">
        <v>45946</v>
      </c>
      <c r="D694" t="s">
        <v>30</v>
      </c>
      <c r="E694">
        <v>34</v>
      </c>
      <c r="F694" t="s">
        <v>36</v>
      </c>
      <c r="G694" t="s">
        <v>25</v>
      </c>
      <c r="H694" t="s">
        <v>26</v>
      </c>
      <c r="I694" t="s">
        <v>459</v>
      </c>
      <c r="J694" t="s">
        <v>28</v>
      </c>
      <c r="K694">
        <v>4</v>
      </c>
      <c r="L694" t="s">
        <v>66</v>
      </c>
      <c r="M694">
        <v>99000</v>
      </c>
      <c r="N694">
        <v>4.5</v>
      </c>
      <c r="O694">
        <v>15.1</v>
      </c>
      <c r="P694">
        <v>7.9</v>
      </c>
      <c r="Q694">
        <v>4.2</v>
      </c>
      <c r="R694">
        <v>2</v>
      </c>
      <c r="S694">
        <v>4</v>
      </c>
      <c r="T694">
        <v>1</v>
      </c>
      <c r="U694" t="s">
        <v>23</v>
      </c>
      <c r="V694">
        <v>5</v>
      </c>
      <c r="W694">
        <v>1</v>
      </c>
    </row>
    <row r="695" spans="1:23" x14ac:dyDescent="0.35">
      <c r="A695" t="s">
        <v>1550</v>
      </c>
      <c r="B695" s="6">
        <v>45735</v>
      </c>
      <c r="D695" t="s">
        <v>23</v>
      </c>
      <c r="E695">
        <v>37</v>
      </c>
      <c r="F695" t="s">
        <v>24</v>
      </c>
      <c r="G695" t="s">
        <v>37</v>
      </c>
      <c r="H695" t="s">
        <v>32</v>
      </c>
      <c r="I695" t="s">
        <v>48</v>
      </c>
      <c r="J695" t="s">
        <v>49</v>
      </c>
      <c r="K695">
        <v>2</v>
      </c>
      <c r="L695" t="s">
        <v>66</v>
      </c>
      <c r="M695">
        <v>48000</v>
      </c>
      <c r="N695">
        <v>12.6</v>
      </c>
      <c r="O695">
        <v>4.2</v>
      </c>
      <c r="P695">
        <v>0.8</v>
      </c>
      <c r="Q695">
        <v>0</v>
      </c>
      <c r="R695">
        <v>3</v>
      </c>
      <c r="S695">
        <v>4</v>
      </c>
      <c r="T695">
        <v>4</v>
      </c>
      <c r="U695" t="s">
        <v>30</v>
      </c>
      <c r="V695">
        <v>1</v>
      </c>
      <c r="W695">
        <v>1</v>
      </c>
    </row>
    <row r="696" spans="1:23" x14ac:dyDescent="0.35">
      <c r="A696" t="s">
        <v>1214</v>
      </c>
      <c r="B696" s="6">
        <v>42759</v>
      </c>
      <c r="D696" t="s">
        <v>23</v>
      </c>
      <c r="E696">
        <v>35</v>
      </c>
      <c r="F696" t="s">
        <v>62</v>
      </c>
      <c r="G696" t="s">
        <v>42</v>
      </c>
      <c r="H696" t="s">
        <v>58</v>
      </c>
      <c r="I696" t="s">
        <v>27</v>
      </c>
      <c r="J696" t="s">
        <v>33</v>
      </c>
      <c r="K696">
        <v>3</v>
      </c>
      <c r="L696" t="s">
        <v>40</v>
      </c>
      <c r="M696">
        <v>81000</v>
      </c>
      <c r="N696">
        <v>8.9</v>
      </c>
      <c r="O696">
        <v>14.5</v>
      </c>
      <c r="P696">
        <v>8.9</v>
      </c>
      <c r="Q696">
        <v>2.6</v>
      </c>
      <c r="R696">
        <v>1</v>
      </c>
      <c r="S696">
        <v>3</v>
      </c>
      <c r="T696">
        <v>2</v>
      </c>
      <c r="U696" t="s">
        <v>23</v>
      </c>
      <c r="V696">
        <v>3</v>
      </c>
      <c r="W696">
        <v>1</v>
      </c>
    </row>
    <row r="697" spans="1:23" x14ac:dyDescent="0.35">
      <c r="A697" t="s">
        <v>1090</v>
      </c>
      <c r="B697" s="6">
        <v>45156</v>
      </c>
      <c r="D697" t="s">
        <v>23</v>
      </c>
      <c r="E697">
        <v>29</v>
      </c>
      <c r="F697" t="s">
        <v>62</v>
      </c>
      <c r="G697" t="s">
        <v>37</v>
      </c>
      <c r="H697" t="s">
        <v>26</v>
      </c>
      <c r="I697" t="s">
        <v>68</v>
      </c>
      <c r="J697" t="s">
        <v>121</v>
      </c>
      <c r="K697">
        <v>4</v>
      </c>
      <c r="L697" t="s">
        <v>50</v>
      </c>
      <c r="M697">
        <v>109000</v>
      </c>
      <c r="N697">
        <v>8.1999999999999993</v>
      </c>
      <c r="O697">
        <v>8.4</v>
      </c>
      <c r="P697">
        <v>2.4</v>
      </c>
      <c r="Q697">
        <v>1.9</v>
      </c>
      <c r="R697">
        <v>1</v>
      </c>
      <c r="S697">
        <v>3</v>
      </c>
      <c r="T697">
        <v>1</v>
      </c>
      <c r="U697" t="s">
        <v>30</v>
      </c>
      <c r="V697">
        <v>4</v>
      </c>
      <c r="W697">
        <v>1</v>
      </c>
    </row>
    <row r="698" spans="1:23" x14ac:dyDescent="0.35">
      <c r="A698" t="s">
        <v>592</v>
      </c>
      <c r="B698" s="6">
        <v>44705</v>
      </c>
      <c r="D698" t="s">
        <v>23</v>
      </c>
      <c r="E698">
        <v>32</v>
      </c>
      <c r="F698" t="s">
        <v>24</v>
      </c>
      <c r="G698" t="s">
        <v>42</v>
      </c>
      <c r="H698" t="s">
        <v>32</v>
      </c>
      <c r="I698" t="s">
        <v>38</v>
      </c>
      <c r="J698" t="s">
        <v>139</v>
      </c>
      <c r="K698">
        <v>2</v>
      </c>
      <c r="L698" t="s">
        <v>34</v>
      </c>
      <c r="M698">
        <v>45000</v>
      </c>
      <c r="N698">
        <v>7</v>
      </c>
      <c r="O698">
        <v>11.6</v>
      </c>
      <c r="P698">
        <v>3.6</v>
      </c>
      <c r="Q698">
        <v>0.5</v>
      </c>
      <c r="R698">
        <v>3</v>
      </c>
      <c r="S698">
        <v>3</v>
      </c>
      <c r="T698">
        <v>3</v>
      </c>
      <c r="U698" t="s">
        <v>23</v>
      </c>
      <c r="V698">
        <v>4</v>
      </c>
      <c r="W698">
        <v>1</v>
      </c>
    </row>
    <row r="699" spans="1:23" x14ac:dyDescent="0.35">
      <c r="A699" t="s">
        <v>1123</v>
      </c>
      <c r="B699" s="6">
        <v>42557</v>
      </c>
      <c r="D699" t="s">
        <v>23</v>
      </c>
      <c r="E699">
        <v>31</v>
      </c>
      <c r="F699" t="s">
        <v>62</v>
      </c>
      <c r="G699" t="s">
        <v>25</v>
      </c>
      <c r="H699" t="s">
        <v>26</v>
      </c>
      <c r="I699" t="s">
        <v>45</v>
      </c>
      <c r="J699" t="s">
        <v>77</v>
      </c>
      <c r="K699">
        <v>4</v>
      </c>
      <c r="L699" t="s">
        <v>50</v>
      </c>
      <c r="M699">
        <v>101000</v>
      </c>
      <c r="N699">
        <v>8.8000000000000007</v>
      </c>
      <c r="O699">
        <v>13.9</v>
      </c>
      <c r="P699">
        <v>9.5</v>
      </c>
      <c r="Q699">
        <v>5.2</v>
      </c>
      <c r="R699">
        <v>3</v>
      </c>
      <c r="S699">
        <v>2</v>
      </c>
      <c r="T699">
        <v>4</v>
      </c>
      <c r="U699" t="s">
        <v>23</v>
      </c>
      <c r="V699">
        <v>3</v>
      </c>
      <c r="W699">
        <v>1</v>
      </c>
    </row>
    <row r="700" spans="1:23" x14ac:dyDescent="0.35">
      <c r="A700" t="s">
        <v>778</v>
      </c>
      <c r="B700" s="6">
        <v>43255</v>
      </c>
      <c r="C700">
        <v>45924</v>
      </c>
      <c r="D700" t="s">
        <v>30</v>
      </c>
      <c r="E700">
        <v>39</v>
      </c>
      <c r="F700" t="s">
        <v>24</v>
      </c>
      <c r="G700" t="s">
        <v>37</v>
      </c>
      <c r="H700" t="s">
        <v>32</v>
      </c>
      <c r="I700" t="s">
        <v>68</v>
      </c>
      <c r="J700" t="s">
        <v>121</v>
      </c>
      <c r="K700">
        <v>3</v>
      </c>
      <c r="L700" t="s">
        <v>29</v>
      </c>
      <c r="M700">
        <v>71000</v>
      </c>
      <c r="N700">
        <v>4.2</v>
      </c>
      <c r="O700">
        <v>9.1999999999999993</v>
      </c>
      <c r="P700">
        <v>7.3</v>
      </c>
      <c r="Q700">
        <v>4.5</v>
      </c>
      <c r="R700">
        <v>2</v>
      </c>
      <c r="S700">
        <v>2</v>
      </c>
      <c r="T700">
        <v>3</v>
      </c>
      <c r="U700" t="s">
        <v>30</v>
      </c>
      <c r="V700">
        <v>4</v>
      </c>
      <c r="W700">
        <v>1</v>
      </c>
    </row>
    <row r="701" spans="1:23" x14ac:dyDescent="0.35">
      <c r="A701" t="s">
        <v>200</v>
      </c>
      <c r="B701" s="6">
        <v>45837</v>
      </c>
      <c r="D701" t="s">
        <v>23</v>
      </c>
      <c r="E701">
        <v>30</v>
      </c>
      <c r="F701" t="s">
        <v>24</v>
      </c>
      <c r="G701" t="s">
        <v>42</v>
      </c>
      <c r="H701" t="s">
        <v>54</v>
      </c>
      <c r="I701" t="s">
        <v>48</v>
      </c>
      <c r="J701" t="s">
        <v>201</v>
      </c>
      <c r="K701">
        <v>5</v>
      </c>
      <c r="L701" t="s">
        <v>34</v>
      </c>
      <c r="M701">
        <v>157000</v>
      </c>
      <c r="N701">
        <v>5.9</v>
      </c>
      <c r="O701">
        <v>2.9</v>
      </c>
      <c r="P701">
        <v>0.5</v>
      </c>
      <c r="Q701">
        <v>0</v>
      </c>
      <c r="R701">
        <v>3</v>
      </c>
      <c r="S701">
        <v>1</v>
      </c>
      <c r="T701">
        <v>4</v>
      </c>
      <c r="U701" t="s">
        <v>23</v>
      </c>
      <c r="V701">
        <v>3</v>
      </c>
      <c r="W701">
        <v>1</v>
      </c>
    </row>
    <row r="702" spans="1:23" x14ac:dyDescent="0.35">
      <c r="A702" t="s">
        <v>509</v>
      </c>
      <c r="B702" s="6">
        <v>45260</v>
      </c>
      <c r="D702" t="s">
        <v>23</v>
      </c>
      <c r="E702">
        <v>30</v>
      </c>
      <c r="F702" t="s">
        <v>36</v>
      </c>
      <c r="G702" t="s">
        <v>25</v>
      </c>
      <c r="H702" t="s">
        <v>32</v>
      </c>
      <c r="I702" t="s">
        <v>38</v>
      </c>
      <c r="J702" t="s">
        <v>139</v>
      </c>
      <c r="K702">
        <v>2</v>
      </c>
      <c r="L702" t="s">
        <v>50</v>
      </c>
      <c r="M702">
        <v>61000</v>
      </c>
      <c r="N702">
        <v>11.4</v>
      </c>
      <c r="O702">
        <v>6.4</v>
      </c>
      <c r="P702">
        <v>2.1</v>
      </c>
      <c r="Q702">
        <v>0.7</v>
      </c>
      <c r="R702">
        <v>1</v>
      </c>
      <c r="S702">
        <v>1</v>
      </c>
      <c r="T702">
        <v>3</v>
      </c>
      <c r="U702" t="s">
        <v>23</v>
      </c>
      <c r="V702">
        <v>5</v>
      </c>
      <c r="W702">
        <v>1</v>
      </c>
    </row>
    <row r="703" spans="1:23" x14ac:dyDescent="0.35">
      <c r="A703" t="s">
        <v>1082</v>
      </c>
      <c r="B703" s="6">
        <v>43140</v>
      </c>
      <c r="D703" t="s">
        <v>23</v>
      </c>
      <c r="E703">
        <v>30</v>
      </c>
      <c r="F703" t="s">
        <v>62</v>
      </c>
      <c r="G703" t="s">
        <v>42</v>
      </c>
      <c r="H703" t="s">
        <v>54</v>
      </c>
      <c r="I703" t="s">
        <v>68</v>
      </c>
      <c r="J703" t="s">
        <v>121</v>
      </c>
      <c r="K703">
        <v>4</v>
      </c>
      <c r="L703" t="s">
        <v>66</v>
      </c>
      <c r="M703">
        <v>102000</v>
      </c>
      <c r="N703">
        <v>8.9</v>
      </c>
      <c r="O703">
        <v>12.3</v>
      </c>
      <c r="P703">
        <v>7.9</v>
      </c>
      <c r="Q703">
        <v>5.7</v>
      </c>
      <c r="R703">
        <v>4</v>
      </c>
      <c r="S703">
        <v>4</v>
      </c>
      <c r="T703">
        <v>3</v>
      </c>
      <c r="U703" t="s">
        <v>23</v>
      </c>
      <c r="V703">
        <v>5</v>
      </c>
      <c r="W703">
        <v>1</v>
      </c>
    </row>
    <row r="704" spans="1:23" x14ac:dyDescent="0.35">
      <c r="A704" t="s">
        <v>1013</v>
      </c>
      <c r="B704" s="6">
        <v>44284</v>
      </c>
      <c r="D704" t="s">
        <v>23</v>
      </c>
      <c r="E704">
        <v>37</v>
      </c>
      <c r="F704" t="s">
        <v>62</v>
      </c>
      <c r="G704" t="s">
        <v>42</v>
      </c>
      <c r="H704" t="s">
        <v>58</v>
      </c>
      <c r="I704" t="s">
        <v>45</v>
      </c>
      <c r="J704" t="s">
        <v>77</v>
      </c>
      <c r="K704">
        <v>2</v>
      </c>
      <c r="L704" t="s">
        <v>66</v>
      </c>
      <c r="M704">
        <v>33000</v>
      </c>
      <c r="N704">
        <v>7.6</v>
      </c>
      <c r="O704">
        <v>4.9000000000000004</v>
      </c>
      <c r="P704">
        <v>4.8</v>
      </c>
      <c r="Q704">
        <v>3.8</v>
      </c>
      <c r="R704">
        <v>4</v>
      </c>
      <c r="S704">
        <v>4</v>
      </c>
      <c r="T704">
        <v>2</v>
      </c>
      <c r="U704" t="s">
        <v>23</v>
      </c>
      <c r="V704">
        <v>3</v>
      </c>
      <c r="W704">
        <v>1</v>
      </c>
    </row>
    <row r="705" spans="1:23" x14ac:dyDescent="0.35">
      <c r="A705" t="s">
        <v>1039</v>
      </c>
      <c r="B705" s="6">
        <v>44367</v>
      </c>
      <c r="D705" t="s">
        <v>23</v>
      </c>
      <c r="E705">
        <v>34</v>
      </c>
      <c r="F705" t="s">
        <v>24</v>
      </c>
      <c r="G705" t="s">
        <v>42</v>
      </c>
      <c r="H705" t="s">
        <v>54</v>
      </c>
      <c r="I705" t="s">
        <v>48</v>
      </c>
      <c r="J705" t="s">
        <v>63</v>
      </c>
      <c r="K705">
        <v>3</v>
      </c>
      <c r="L705" t="s">
        <v>50</v>
      </c>
      <c r="M705">
        <v>104000</v>
      </c>
      <c r="N705">
        <v>10.4</v>
      </c>
      <c r="O705">
        <v>9.4</v>
      </c>
      <c r="P705">
        <v>4.5</v>
      </c>
      <c r="Q705">
        <v>0.6</v>
      </c>
      <c r="R705">
        <v>4</v>
      </c>
      <c r="S705">
        <v>3</v>
      </c>
      <c r="T705">
        <v>3</v>
      </c>
      <c r="U705" t="s">
        <v>23</v>
      </c>
      <c r="V705">
        <v>3</v>
      </c>
      <c r="W705">
        <v>1</v>
      </c>
    </row>
    <row r="706" spans="1:23" x14ac:dyDescent="0.35">
      <c r="A706" t="s">
        <v>322</v>
      </c>
      <c r="B706" s="6">
        <v>41785</v>
      </c>
      <c r="D706" t="s">
        <v>23</v>
      </c>
      <c r="E706">
        <v>32</v>
      </c>
      <c r="F706" t="s">
        <v>24</v>
      </c>
      <c r="G706" t="s">
        <v>42</v>
      </c>
      <c r="H706" t="s">
        <v>32</v>
      </c>
      <c r="I706" t="s">
        <v>48</v>
      </c>
      <c r="J706" t="s">
        <v>63</v>
      </c>
      <c r="K706">
        <v>3</v>
      </c>
      <c r="L706" t="s">
        <v>84</v>
      </c>
      <c r="M706">
        <v>64000</v>
      </c>
      <c r="N706">
        <v>8.6999999999999993</v>
      </c>
      <c r="O706">
        <v>12.1</v>
      </c>
      <c r="P706">
        <v>11.6</v>
      </c>
      <c r="Q706">
        <v>5.6</v>
      </c>
      <c r="R706">
        <v>4</v>
      </c>
      <c r="S706">
        <v>3</v>
      </c>
      <c r="T706">
        <v>3</v>
      </c>
      <c r="U706" t="s">
        <v>23</v>
      </c>
      <c r="V706">
        <v>3</v>
      </c>
      <c r="W706">
        <v>1</v>
      </c>
    </row>
    <row r="707" spans="1:23" x14ac:dyDescent="0.35">
      <c r="A707" t="s">
        <v>1086</v>
      </c>
      <c r="B707" s="6">
        <v>43798</v>
      </c>
      <c r="D707" t="s">
        <v>23</v>
      </c>
      <c r="E707">
        <v>39</v>
      </c>
      <c r="F707" t="s">
        <v>36</v>
      </c>
      <c r="G707" t="s">
        <v>25</v>
      </c>
      <c r="H707" t="s">
        <v>58</v>
      </c>
      <c r="I707" t="s">
        <v>59</v>
      </c>
      <c r="J707" t="s">
        <v>150</v>
      </c>
      <c r="K707">
        <v>2</v>
      </c>
      <c r="L707" t="s">
        <v>50</v>
      </c>
      <c r="M707">
        <v>47000</v>
      </c>
      <c r="N707">
        <v>8.5</v>
      </c>
      <c r="O707">
        <v>11.3</v>
      </c>
      <c r="P707">
        <v>6.1</v>
      </c>
      <c r="Q707">
        <v>1.4</v>
      </c>
      <c r="R707">
        <v>2</v>
      </c>
      <c r="S707">
        <v>3</v>
      </c>
      <c r="T707">
        <v>2</v>
      </c>
      <c r="U707" t="s">
        <v>30</v>
      </c>
      <c r="V707">
        <v>3</v>
      </c>
      <c r="W707">
        <v>1</v>
      </c>
    </row>
    <row r="708" spans="1:23" x14ac:dyDescent="0.35">
      <c r="A708" t="s">
        <v>766</v>
      </c>
      <c r="B708" s="6">
        <v>42859</v>
      </c>
      <c r="D708" t="s">
        <v>23</v>
      </c>
      <c r="E708">
        <v>45</v>
      </c>
      <c r="F708" t="s">
        <v>24</v>
      </c>
      <c r="G708" t="s">
        <v>25</v>
      </c>
      <c r="H708" t="s">
        <v>54</v>
      </c>
      <c r="I708" t="s">
        <v>27</v>
      </c>
      <c r="J708" t="s">
        <v>95</v>
      </c>
      <c r="K708">
        <v>1</v>
      </c>
      <c r="L708" t="s">
        <v>50</v>
      </c>
      <c r="M708">
        <v>29000</v>
      </c>
      <c r="N708">
        <v>16.3</v>
      </c>
      <c r="O708">
        <v>15.5</v>
      </c>
      <c r="P708">
        <v>8.6999999999999993</v>
      </c>
      <c r="Q708">
        <v>2.1</v>
      </c>
      <c r="R708">
        <v>3</v>
      </c>
      <c r="S708">
        <v>3</v>
      </c>
      <c r="T708">
        <v>3</v>
      </c>
      <c r="U708" t="s">
        <v>30</v>
      </c>
      <c r="V708">
        <v>3</v>
      </c>
      <c r="W708">
        <v>1</v>
      </c>
    </row>
    <row r="709" spans="1:23" x14ac:dyDescent="0.35">
      <c r="A709" t="s">
        <v>549</v>
      </c>
      <c r="B709" s="6">
        <v>44521</v>
      </c>
      <c r="D709" t="s">
        <v>23</v>
      </c>
      <c r="E709">
        <v>36</v>
      </c>
      <c r="F709" t="s">
        <v>36</v>
      </c>
      <c r="G709" t="s">
        <v>42</v>
      </c>
      <c r="H709" t="s">
        <v>58</v>
      </c>
      <c r="I709" t="s">
        <v>27</v>
      </c>
      <c r="J709" t="s">
        <v>43</v>
      </c>
      <c r="K709">
        <v>2</v>
      </c>
      <c r="L709" t="s">
        <v>34</v>
      </c>
      <c r="M709">
        <v>54000</v>
      </c>
      <c r="N709">
        <v>10.6</v>
      </c>
      <c r="O709">
        <v>9.1999999999999993</v>
      </c>
      <c r="P709">
        <v>4.0999999999999996</v>
      </c>
      <c r="Q709">
        <v>3.6</v>
      </c>
      <c r="R709">
        <v>4</v>
      </c>
      <c r="S709">
        <v>2</v>
      </c>
      <c r="T709">
        <v>3</v>
      </c>
      <c r="U709" t="s">
        <v>23</v>
      </c>
      <c r="V709">
        <v>4</v>
      </c>
      <c r="W709">
        <v>1</v>
      </c>
    </row>
    <row r="710" spans="1:23" x14ac:dyDescent="0.35">
      <c r="A710" t="s">
        <v>1439</v>
      </c>
      <c r="B710" s="6">
        <v>45739</v>
      </c>
      <c r="C710">
        <v>45954</v>
      </c>
      <c r="D710" t="s">
        <v>30</v>
      </c>
      <c r="E710">
        <v>31</v>
      </c>
      <c r="F710" t="s">
        <v>62</v>
      </c>
      <c r="G710" t="s">
        <v>42</v>
      </c>
      <c r="H710" t="s">
        <v>32</v>
      </c>
      <c r="I710" t="s">
        <v>68</v>
      </c>
      <c r="J710" t="s">
        <v>102</v>
      </c>
      <c r="K710">
        <v>2</v>
      </c>
      <c r="L710" t="s">
        <v>34</v>
      </c>
      <c r="M710">
        <v>60000</v>
      </c>
      <c r="N710">
        <v>8.8000000000000007</v>
      </c>
      <c r="O710">
        <v>2.2999999999999998</v>
      </c>
      <c r="P710">
        <v>0.6</v>
      </c>
      <c r="Q710">
        <v>0</v>
      </c>
      <c r="R710">
        <v>4</v>
      </c>
      <c r="S710">
        <v>3</v>
      </c>
      <c r="T710">
        <v>3</v>
      </c>
      <c r="U710" t="s">
        <v>23</v>
      </c>
      <c r="V710">
        <v>4</v>
      </c>
      <c r="W710">
        <v>1</v>
      </c>
    </row>
    <row r="711" spans="1:23" x14ac:dyDescent="0.35">
      <c r="A711" t="s">
        <v>804</v>
      </c>
      <c r="B711" s="6">
        <v>45272</v>
      </c>
      <c r="D711" t="s">
        <v>23</v>
      </c>
      <c r="E711">
        <v>33</v>
      </c>
      <c r="F711" t="s">
        <v>62</v>
      </c>
      <c r="G711" t="s">
        <v>42</v>
      </c>
      <c r="H711" t="s">
        <v>26</v>
      </c>
      <c r="I711" t="s">
        <v>59</v>
      </c>
      <c r="J711" t="s">
        <v>75</v>
      </c>
      <c r="K711">
        <v>3</v>
      </c>
      <c r="L711" t="s">
        <v>66</v>
      </c>
      <c r="M711">
        <v>91000</v>
      </c>
      <c r="N711">
        <v>14</v>
      </c>
      <c r="O711">
        <v>9.6999999999999993</v>
      </c>
      <c r="P711">
        <v>2.1</v>
      </c>
      <c r="Q711">
        <v>2.1</v>
      </c>
      <c r="R711">
        <v>3</v>
      </c>
      <c r="S711">
        <v>3</v>
      </c>
      <c r="T711">
        <v>4</v>
      </c>
      <c r="U711" t="s">
        <v>23</v>
      </c>
      <c r="V711">
        <v>4</v>
      </c>
      <c r="W711">
        <v>1</v>
      </c>
    </row>
    <row r="712" spans="1:23" x14ac:dyDescent="0.35">
      <c r="A712" t="s">
        <v>685</v>
      </c>
      <c r="B712" s="6">
        <v>43096</v>
      </c>
      <c r="D712" t="s">
        <v>23</v>
      </c>
      <c r="E712">
        <v>40</v>
      </c>
      <c r="F712" t="s">
        <v>24</v>
      </c>
      <c r="G712" t="s">
        <v>42</v>
      </c>
      <c r="H712" t="s">
        <v>58</v>
      </c>
      <c r="I712" t="s">
        <v>59</v>
      </c>
      <c r="J712" t="s">
        <v>75</v>
      </c>
      <c r="K712">
        <v>3</v>
      </c>
      <c r="L712" t="s">
        <v>29</v>
      </c>
      <c r="M712">
        <v>72000</v>
      </c>
      <c r="N712">
        <v>2.2000000000000002</v>
      </c>
      <c r="O712">
        <v>12.6</v>
      </c>
      <c r="P712">
        <v>8</v>
      </c>
      <c r="Q712">
        <v>5.5</v>
      </c>
      <c r="R712">
        <v>3</v>
      </c>
      <c r="S712">
        <v>3</v>
      </c>
      <c r="T712">
        <v>4</v>
      </c>
      <c r="U712" t="s">
        <v>23</v>
      </c>
      <c r="V712">
        <v>5</v>
      </c>
      <c r="W712">
        <v>1</v>
      </c>
    </row>
    <row r="713" spans="1:23" x14ac:dyDescent="0.35">
      <c r="A713" t="s">
        <v>938</v>
      </c>
      <c r="B713" s="6">
        <v>41821</v>
      </c>
      <c r="D713" t="s">
        <v>23</v>
      </c>
      <c r="E713">
        <v>44</v>
      </c>
      <c r="F713" t="s">
        <v>24</v>
      </c>
      <c r="G713" t="s">
        <v>25</v>
      </c>
      <c r="H713" t="s">
        <v>32</v>
      </c>
      <c r="I713" t="s">
        <v>38</v>
      </c>
      <c r="J713" t="s">
        <v>139</v>
      </c>
      <c r="K713">
        <v>2</v>
      </c>
      <c r="L713" t="s">
        <v>66</v>
      </c>
      <c r="M713">
        <v>57000</v>
      </c>
      <c r="N713">
        <v>8</v>
      </c>
      <c r="O713">
        <v>12.1</v>
      </c>
      <c r="P713">
        <v>11.5</v>
      </c>
      <c r="Q713">
        <v>2.2000000000000002</v>
      </c>
      <c r="R713">
        <v>1</v>
      </c>
      <c r="S713">
        <v>3</v>
      </c>
      <c r="T713">
        <v>2</v>
      </c>
      <c r="U713" t="s">
        <v>23</v>
      </c>
      <c r="V713">
        <v>4</v>
      </c>
      <c r="W713">
        <v>1</v>
      </c>
    </row>
    <row r="714" spans="1:23" x14ac:dyDescent="0.35">
      <c r="A714" t="s">
        <v>964</v>
      </c>
      <c r="B714" s="6">
        <v>43067</v>
      </c>
      <c r="D714" t="s">
        <v>23</v>
      </c>
      <c r="E714">
        <v>46</v>
      </c>
      <c r="F714" t="s">
        <v>24</v>
      </c>
      <c r="G714" t="s">
        <v>37</v>
      </c>
      <c r="H714" t="s">
        <v>54</v>
      </c>
      <c r="I714" t="s">
        <v>55</v>
      </c>
      <c r="J714" t="s">
        <v>80</v>
      </c>
      <c r="K714">
        <v>3</v>
      </c>
      <c r="L714" t="s">
        <v>50</v>
      </c>
      <c r="M714">
        <v>104000</v>
      </c>
      <c r="N714">
        <v>17.899999999999999</v>
      </c>
      <c r="O714">
        <v>9</v>
      </c>
      <c r="P714">
        <v>8.1</v>
      </c>
      <c r="Q714">
        <v>2.5</v>
      </c>
      <c r="R714">
        <v>4</v>
      </c>
      <c r="S714">
        <v>3</v>
      </c>
      <c r="T714">
        <v>2</v>
      </c>
      <c r="U714" t="s">
        <v>23</v>
      </c>
      <c r="V714">
        <v>3</v>
      </c>
      <c r="W714">
        <v>1</v>
      </c>
    </row>
    <row r="715" spans="1:23" x14ac:dyDescent="0.35">
      <c r="A715" t="s">
        <v>1197</v>
      </c>
      <c r="B715" s="6">
        <v>42642</v>
      </c>
      <c r="C715">
        <v>45675</v>
      </c>
      <c r="D715" t="s">
        <v>30</v>
      </c>
      <c r="E715">
        <v>35</v>
      </c>
      <c r="F715" t="s">
        <v>62</v>
      </c>
      <c r="G715" t="s">
        <v>42</v>
      </c>
      <c r="H715" t="s">
        <v>54</v>
      </c>
      <c r="I715" t="s">
        <v>55</v>
      </c>
      <c r="J715" t="s">
        <v>56</v>
      </c>
      <c r="K715">
        <v>2</v>
      </c>
      <c r="L715" t="s">
        <v>84</v>
      </c>
      <c r="M715">
        <v>48000</v>
      </c>
      <c r="N715">
        <v>14.9</v>
      </c>
      <c r="O715">
        <v>15</v>
      </c>
      <c r="P715">
        <v>8.3000000000000007</v>
      </c>
      <c r="Q715">
        <v>0.1</v>
      </c>
      <c r="R715">
        <v>3</v>
      </c>
      <c r="S715">
        <v>2</v>
      </c>
      <c r="T715">
        <v>2</v>
      </c>
      <c r="U715" t="s">
        <v>23</v>
      </c>
      <c r="V715">
        <v>3</v>
      </c>
      <c r="W715">
        <v>1</v>
      </c>
    </row>
    <row r="716" spans="1:23" x14ac:dyDescent="0.35">
      <c r="A716" t="s">
        <v>823</v>
      </c>
      <c r="B716" s="6">
        <v>44881</v>
      </c>
      <c r="D716" t="s">
        <v>23</v>
      </c>
      <c r="E716">
        <v>35</v>
      </c>
      <c r="F716" t="s">
        <v>36</v>
      </c>
      <c r="G716" t="s">
        <v>42</v>
      </c>
      <c r="H716" t="s">
        <v>54</v>
      </c>
      <c r="I716" t="s">
        <v>55</v>
      </c>
      <c r="J716" t="s">
        <v>80</v>
      </c>
      <c r="K716">
        <v>3</v>
      </c>
      <c r="L716" t="s">
        <v>29</v>
      </c>
      <c r="M716">
        <v>80000</v>
      </c>
      <c r="N716">
        <v>6.6</v>
      </c>
      <c r="O716">
        <v>5.8</v>
      </c>
      <c r="P716">
        <v>3.1</v>
      </c>
      <c r="Q716">
        <v>1.9</v>
      </c>
      <c r="R716">
        <v>3</v>
      </c>
      <c r="S716">
        <v>2</v>
      </c>
      <c r="T716">
        <v>3</v>
      </c>
      <c r="U716" t="s">
        <v>23</v>
      </c>
      <c r="V716">
        <v>2</v>
      </c>
      <c r="W716">
        <v>1</v>
      </c>
    </row>
    <row r="717" spans="1:23" x14ac:dyDescent="0.35">
      <c r="A717" t="s">
        <v>507</v>
      </c>
      <c r="B717" s="6">
        <v>44397</v>
      </c>
      <c r="D717" t="s">
        <v>23</v>
      </c>
      <c r="E717">
        <v>29</v>
      </c>
      <c r="F717" t="s">
        <v>36</v>
      </c>
      <c r="G717" t="s">
        <v>25</v>
      </c>
      <c r="H717" t="s">
        <v>54</v>
      </c>
      <c r="I717" t="s">
        <v>48</v>
      </c>
      <c r="J717" t="s">
        <v>201</v>
      </c>
      <c r="K717">
        <v>2</v>
      </c>
      <c r="L717" t="s">
        <v>34</v>
      </c>
      <c r="M717">
        <v>50000</v>
      </c>
      <c r="N717">
        <v>6.8</v>
      </c>
      <c r="O717">
        <v>11.8</v>
      </c>
      <c r="P717">
        <v>4.4000000000000004</v>
      </c>
      <c r="Q717">
        <v>4.0999999999999996</v>
      </c>
      <c r="R717">
        <v>2</v>
      </c>
      <c r="S717">
        <v>2</v>
      </c>
      <c r="T717">
        <v>4</v>
      </c>
      <c r="U717" t="s">
        <v>30</v>
      </c>
      <c r="V717">
        <v>4</v>
      </c>
      <c r="W717">
        <v>1</v>
      </c>
    </row>
    <row r="718" spans="1:23" x14ac:dyDescent="0.35">
      <c r="A718" t="s">
        <v>507</v>
      </c>
      <c r="B718" s="6">
        <v>44397</v>
      </c>
      <c r="D718" t="s">
        <v>23</v>
      </c>
      <c r="E718">
        <v>29</v>
      </c>
      <c r="F718" t="s">
        <v>36</v>
      </c>
      <c r="G718" t="s">
        <v>25</v>
      </c>
      <c r="H718" t="s">
        <v>54</v>
      </c>
      <c r="I718" t="s">
        <v>48</v>
      </c>
      <c r="J718" t="s">
        <v>201</v>
      </c>
      <c r="K718">
        <v>2</v>
      </c>
      <c r="L718" t="s">
        <v>34</v>
      </c>
      <c r="M718">
        <v>50000</v>
      </c>
      <c r="N718">
        <v>6.8</v>
      </c>
      <c r="O718">
        <v>11.8</v>
      </c>
      <c r="P718">
        <v>4.4000000000000004</v>
      </c>
      <c r="Q718">
        <v>4.0999999999999996</v>
      </c>
      <c r="R718">
        <v>2</v>
      </c>
      <c r="S718">
        <v>2</v>
      </c>
      <c r="T718">
        <v>4</v>
      </c>
      <c r="U718" t="s">
        <v>30</v>
      </c>
      <c r="V718">
        <v>4</v>
      </c>
      <c r="W718">
        <v>2</v>
      </c>
    </row>
    <row r="719" spans="1:23" x14ac:dyDescent="0.35">
      <c r="A719" t="s">
        <v>1053</v>
      </c>
      <c r="B719" s="6">
        <v>45610</v>
      </c>
      <c r="D719" t="s">
        <v>23</v>
      </c>
      <c r="E719">
        <v>25</v>
      </c>
      <c r="F719" t="s">
        <v>62</v>
      </c>
      <c r="G719" t="s">
        <v>42</v>
      </c>
      <c r="H719" t="s">
        <v>58</v>
      </c>
      <c r="I719" t="s">
        <v>68</v>
      </c>
      <c r="J719" t="s">
        <v>121</v>
      </c>
      <c r="K719">
        <v>1</v>
      </c>
      <c r="L719" t="s">
        <v>84</v>
      </c>
      <c r="M719">
        <v>36000</v>
      </c>
      <c r="N719">
        <v>13.9</v>
      </c>
      <c r="O719">
        <v>3</v>
      </c>
      <c r="P719">
        <v>1.1000000000000001</v>
      </c>
      <c r="Q719">
        <v>0.5</v>
      </c>
      <c r="R719">
        <v>3</v>
      </c>
      <c r="S719">
        <v>1</v>
      </c>
      <c r="T719">
        <v>3</v>
      </c>
      <c r="U719" t="s">
        <v>23</v>
      </c>
      <c r="V719">
        <v>4</v>
      </c>
      <c r="W719">
        <v>1</v>
      </c>
    </row>
    <row r="720" spans="1:23" x14ac:dyDescent="0.35">
      <c r="A720" t="s">
        <v>287</v>
      </c>
      <c r="B720" s="6">
        <v>43231</v>
      </c>
      <c r="D720" t="s">
        <v>23</v>
      </c>
      <c r="E720">
        <v>28</v>
      </c>
      <c r="F720" t="s">
        <v>36</v>
      </c>
      <c r="G720" t="s">
        <v>42</v>
      </c>
      <c r="H720" t="s">
        <v>32</v>
      </c>
      <c r="I720" t="s">
        <v>48</v>
      </c>
      <c r="J720" t="s">
        <v>129</v>
      </c>
      <c r="K720">
        <v>3</v>
      </c>
      <c r="L720" t="s">
        <v>50</v>
      </c>
      <c r="M720">
        <v>78000</v>
      </c>
      <c r="N720">
        <v>13.7</v>
      </c>
      <c r="O720">
        <v>13.5</v>
      </c>
      <c r="P720">
        <v>7.6</v>
      </c>
      <c r="Q720">
        <v>2.6</v>
      </c>
      <c r="R720">
        <v>4</v>
      </c>
      <c r="S720">
        <v>3</v>
      </c>
      <c r="T720">
        <v>4</v>
      </c>
      <c r="U720" t="s">
        <v>30</v>
      </c>
      <c r="V720">
        <v>3</v>
      </c>
      <c r="W720">
        <v>1</v>
      </c>
    </row>
    <row r="721" spans="1:23" x14ac:dyDescent="0.35">
      <c r="A721" t="s">
        <v>1332</v>
      </c>
      <c r="B721" s="6">
        <v>45202</v>
      </c>
      <c r="D721" t="s">
        <v>23</v>
      </c>
      <c r="E721">
        <v>29</v>
      </c>
      <c r="F721" t="s">
        <v>62</v>
      </c>
      <c r="G721" t="s">
        <v>25</v>
      </c>
      <c r="H721" t="s">
        <v>32</v>
      </c>
      <c r="I721" t="s">
        <v>68</v>
      </c>
      <c r="J721" t="s">
        <v>69</v>
      </c>
      <c r="K721">
        <v>3</v>
      </c>
      <c r="L721" t="s">
        <v>50</v>
      </c>
      <c r="M721">
        <v>81000</v>
      </c>
      <c r="N721">
        <v>4.5999999999999996</v>
      </c>
      <c r="O721">
        <v>7.1</v>
      </c>
      <c r="P721">
        <v>2.2000000000000002</v>
      </c>
      <c r="Q721">
        <v>0.2</v>
      </c>
      <c r="R721">
        <v>4</v>
      </c>
      <c r="S721">
        <v>2</v>
      </c>
      <c r="T721">
        <v>3</v>
      </c>
      <c r="U721" t="s">
        <v>30</v>
      </c>
      <c r="V721">
        <v>2</v>
      </c>
      <c r="W721">
        <v>1</v>
      </c>
    </row>
    <row r="722" spans="1:23" x14ac:dyDescent="0.35">
      <c r="A722" t="s">
        <v>629</v>
      </c>
      <c r="B722" s="6">
        <v>43606</v>
      </c>
      <c r="D722" t="s">
        <v>23</v>
      </c>
      <c r="E722">
        <v>36</v>
      </c>
      <c r="F722" t="s">
        <v>62</v>
      </c>
      <c r="G722" t="s">
        <v>37</v>
      </c>
      <c r="H722" t="s">
        <v>54</v>
      </c>
      <c r="I722" t="s">
        <v>27</v>
      </c>
      <c r="J722" t="s">
        <v>43</v>
      </c>
      <c r="K722">
        <v>5</v>
      </c>
      <c r="L722" t="s">
        <v>84</v>
      </c>
      <c r="M722">
        <v>144000</v>
      </c>
      <c r="N722">
        <v>5.6</v>
      </c>
      <c r="O722">
        <v>6.8</v>
      </c>
      <c r="P722">
        <v>6.6</v>
      </c>
      <c r="Q722">
        <v>1.2</v>
      </c>
      <c r="R722">
        <v>1</v>
      </c>
      <c r="S722">
        <v>4</v>
      </c>
      <c r="T722">
        <v>3</v>
      </c>
      <c r="U722" t="s">
        <v>23</v>
      </c>
      <c r="V722">
        <v>4</v>
      </c>
      <c r="W722">
        <v>1</v>
      </c>
    </row>
    <row r="723" spans="1:23" x14ac:dyDescent="0.35">
      <c r="A723" t="s">
        <v>471</v>
      </c>
      <c r="B723" s="6">
        <v>44066</v>
      </c>
      <c r="D723" t="s">
        <v>23</v>
      </c>
      <c r="E723">
        <v>37</v>
      </c>
      <c r="F723" t="s">
        <v>62</v>
      </c>
      <c r="G723" t="s">
        <v>37</v>
      </c>
      <c r="H723" t="s">
        <v>58</v>
      </c>
      <c r="I723" t="s">
        <v>38</v>
      </c>
      <c r="J723" t="s">
        <v>118</v>
      </c>
      <c r="K723">
        <v>2</v>
      </c>
      <c r="L723" t="s">
        <v>40</v>
      </c>
      <c r="M723">
        <v>70000</v>
      </c>
      <c r="N723">
        <v>6.5</v>
      </c>
      <c r="O723">
        <v>11.2</v>
      </c>
      <c r="P723">
        <v>5.4</v>
      </c>
      <c r="Q723">
        <v>0.6</v>
      </c>
      <c r="R723">
        <v>4</v>
      </c>
      <c r="S723">
        <v>3</v>
      </c>
      <c r="T723">
        <v>2</v>
      </c>
      <c r="U723" t="s">
        <v>30</v>
      </c>
      <c r="V723">
        <v>4</v>
      </c>
      <c r="W723">
        <v>1</v>
      </c>
    </row>
    <row r="724" spans="1:23" x14ac:dyDescent="0.35">
      <c r="A724" t="s">
        <v>65</v>
      </c>
      <c r="B724" s="6">
        <v>45842</v>
      </c>
      <c r="D724" t="s">
        <v>23</v>
      </c>
      <c r="E724">
        <v>21</v>
      </c>
      <c r="F724" t="s">
        <v>62</v>
      </c>
      <c r="G724" t="s">
        <v>42</v>
      </c>
      <c r="H724" t="s">
        <v>32</v>
      </c>
      <c r="I724" t="s">
        <v>27</v>
      </c>
      <c r="J724" t="s">
        <v>28</v>
      </c>
      <c r="K724">
        <v>1</v>
      </c>
      <c r="L724" t="s">
        <v>66</v>
      </c>
      <c r="M724">
        <v>27000</v>
      </c>
      <c r="N724">
        <v>8.9</v>
      </c>
      <c r="O724">
        <v>6.1</v>
      </c>
      <c r="P724">
        <v>0.5</v>
      </c>
      <c r="Q724">
        <v>0</v>
      </c>
      <c r="R724">
        <v>3</v>
      </c>
      <c r="S724">
        <v>4</v>
      </c>
      <c r="T724">
        <v>3</v>
      </c>
      <c r="U724" t="s">
        <v>23</v>
      </c>
      <c r="V724">
        <v>5</v>
      </c>
      <c r="W724">
        <v>1</v>
      </c>
    </row>
    <row r="725" spans="1:23" x14ac:dyDescent="0.35">
      <c r="A725" t="s">
        <v>703</v>
      </c>
      <c r="B725" s="6">
        <v>43937</v>
      </c>
      <c r="D725" t="s">
        <v>23</v>
      </c>
      <c r="E725">
        <v>26</v>
      </c>
      <c r="F725" t="s">
        <v>24</v>
      </c>
      <c r="G725" t="s">
        <v>25</v>
      </c>
      <c r="H725" t="s">
        <v>54</v>
      </c>
      <c r="I725" t="s">
        <v>45</v>
      </c>
      <c r="J725" t="s">
        <v>164</v>
      </c>
      <c r="K725">
        <v>1</v>
      </c>
      <c r="L725" t="s">
        <v>84</v>
      </c>
      <c r="M725">
        <v>25000</v>
      </c>
      <c r="N725">
        <v>10.199999999999999</v>
      </c>
      <c r="O725">
        <v>12.7</v>
      </c>
      <c r="P725">
        <v>5.7</v>
      </c>
      <c r="Q725">
        <v>1.3</v>
      </c>
      <c r="R725">
        <v>2</v>
      </c>
      <c r="S725">
        <v>2</v>
      </c>
      <c r="T725">
        <v>3</v>
      </c>
      <c r="U725" t="s">
        <v>23</v>
      </c>
      <c r="V725">
        <v>3</v>
      </c>
      <c r="W725">
        <v>1</v>
      </c>
    </row>
    <row r="726" spans="1:23" x14ac:dyDescent="0.35">
      <c r="A726" t="s">
        <v>588</v>
      </c>
      <c r="B726" s="6">
        <v>45751</v>
      </c>
      <c r="D726" t="s">
        <v>23</v>
      </c>
      <c r="E726">
        <v>21</v>
      </c>
      <c r="F726" t="s">
        <v>24</v>
      </c>
      <c r="G726" t="s">
        <v>42</v>
      </c>
      <c r="H726" t="s">
        <v>58</v>
      </c>
      <c r="I726" t="s">
        <v>55</v>
      </c>
      <c r="J726" t="s">
        <v>179</v>
      </c>
      <c r="K726">
        <v>1</v>
      </c>
      <c r="L726" t="s">
        <v>66</v>
      </c>
      <c r="M726">
        <v>22000</v>
      </c>
      <c r="N726">
        <v>6.6</v>
      </c>
      <c r="O726">
        <v>2.5</v>
      </c>
      <c r="P726">
        <v>0.7</v>
      </c>
      <c r="Q726">
        <v>0</v>
      </c>
      <c r="R726">
        <v>3</v>
      </c>
      <c r="S726">
        <v>3</v>
      </c>
      <c r="T726">
        <v>3</v>
      </c>
      <c r="U726" t="s">
        <v>30</v>
      </c>
      <c r="V726">
        <v>4</v>
      </c>
      <c r="W726">
        <v>1</v>
      </c>
    </row>
    <row r="727" spans="1:23" x14ac:dyDescent="0.35">
      <c r="A727" t="s">
        <v>975</v>
      </c>
      <c r="B727" s="6">
        <v>45750</v>
      </c>
      <c r="C727">
        <v>45886</v>
      </c>
      <c r="D727" t="s">
        <v>30</v>
      </c>
      <c r="E727">
        <v>21</v>
      </c>
      <c r="F727" t="s">
        <v>62</v>
      </c>
      <c r="G727" t="s">
        <v>42</v>
      </c>
      <c r="H727" t="s">
        <v>54</v>
      </c>
      <c r="I727" t="s">
        <v>48</v>
      </c>
      <c r="J727" t="s">
        <v>49</v>
      </c>
      <c r="K727">
        <v>1</v>
      </c>
      <c r="L727" t="s">
        <v>84</v>
      </c>
      <c r="M727">
        <v>31000</v>
      </c>
      <c r="N727">
        <v>6.9</v>
      </c>
      <c r="O727">
        <v>7.1</v>
      </c>
      <c r="P727">
        <v>0.4</v>
      </c>
      <c r="Q727">
        <v>0</v>
      </c>
      <c r="R727">
        <v>3</v>
      </c>
      <c r="S727">
        <v>3</v>
      </c>
      <c r="T727">
        <v>3</v>
      </c>
      <c r="U727" t="s">
        <v>23</v>
      </c>
      <c r="V727">
        <v>4</v>
      </c>
      <c r="W727">
        <v>1</v>
      </c>
    </row>
    <row r="728" spans="1:23" x14ac:dyDescent="0.35">
      <c r="A728" t="s">
        <v>400</v>
      </c>
      <c r="B728" s="6">
        <v>42792</v>
      </c>
      <c r="D728" t="s">
        <v>23</v>
      </c>
      <c r="E728">
        <v>30</v>
      </c>
      <c r="F728" t="s">
        <v>24</v>
      </c>
      <c r="G728" t="s">
        <v>42</v>
      </c>
      <c r="H728" t="s">
        <v>54</v>
      </c>
      <c r="I728" t="s">
        <v>38</v>
      </c>
      <c r="J728" t="s">
        <v>139</v>
      </c>
      <c r="K728">
        <v>2</v>
      </c>
      <c r="L728" t="s">
        <v>29</v>
      </c>
      <c r="M728">
        <v>63000</v>
      </c>
      <c r="N728">
        <v>9.6</v>
      </c>
      <c r="O728">
        <v>11.4</v>
      </c>
      <c r="P728">
        <v>8.8000000000000007</v>
      </c>
      <c r="Q728">
        <v>4</v>
      </c>
      <c r="R728">
        <v>3</v>
      </c>
      <c r="S728">
        <v>2</v>
      </c>
      <c r="T728">
        <v>3</v>
      </c>
      <c r="U728" t="s">
        <v>23</v>
      </c>
      <c r="V728">
        <v>3</v>
      </c>
      <c r="W728">
        <v>1</v>
      </c>
    </row>
    <row r="729" spans="1:23" x14ac:dyDescent="0.35">
      <c r="A729" t="s">
        <v>833</v>
      </c>
      <c r="B729" s="6">
        <v>42221</v>
      </c>
      <c r="C729">
        <v>45795</v>
      </c>
      <c r="D729" t="s">
        <v>30</v>
      </c>
      <c r="E729">
        <v>38</v>
      </c>
      <c r="F729" t="s">
        <v>36</v>
      </c>
      <c r="G729" t="s">
        <v>25</v>
      </c>
      <c r="H729" t="s">
        <v>58</v>
      </c>
      <c r="I729" t="s">
        <v>55</v>
      </c>
      <c r="J729" t="s">
        <v>80</v>
      </c>
      <c r="K729">
        <v>4</v>
      </c>
      <c r="L729" t="s">
        <v>34</v>
      </c>
      <c r="M729">
        <v>131000</v>
      </c>
      <c r="N729">
        <v>11</v>
      </c>
      <c r="O729">
        <v>13.8</v>
      </c>
      <c r="P729">
        <v>9.8000000000000007</v>
      </c>
      <c r="Q729">
        <v>5.3</v>
      </c>
      <c r="R729">
        <v>3</v>
      </c>
      <c r="S729">
        <v>4</v>
      </c>
      <c r="T729">
        <v>2</v>
      </c>
      <c r="U729" t="s">
        <v>23</v>
      </c>
      <c r="V729">
        <v>4</v>
      </c>
      <c r="W729">
        <v>1</v>
      </c>
    </row>
    <row r="730" spans="1:23" x14ac:dyDescent="0.35">
      <c r="A730" t="s">
        <v>503</v>
      </c>
      <c r="B730" s="6">
        <v>45804</v>
      </c>
      <c r="D730" t="s">
        <v>23</v>
      </c>
      <c r="E730">
        <v>21</v>
      </c>
      <c r="F730" t="s">
        <v>24</v>
      </c>
      <c r="G730" t="s">
        <v>25</v>
      </c>
      <c r="H730" t="s">
        <v>32</v>
      </c>
      <c r="I730" t="s">
        <v>48</v>
      </c>
      <c r="J730" t="s">
        <v>201</v>
      </c>
      <c r="K730">
        <v>1</v>
      </c>
      <c r="L730" t="s">
        <v>29</v>
      </c>
      <c r="M730">
        <v>51000</v>
      </c>
      <c r="N730">
        <v>7.9</v>
      </c>
      <c r="O730">
        <v>2.2999999999999998</v>
      </c>
      <c r="P730">
        <v>0.6</v>
      </c>
      <c r="Q730">
        <v>0</v>
      </c>
      <c r="R730">
        <v>1</v>
      </c>
      <c r="S730">
        <v>1</v>
      </c>
      <c r="T730">
        <v>3</v>
      </c>
      <c r="U730" t="s">
        <v>30</v>
      </c>
      <c r="V730">
        <v>3</v>
      </c>
      <c r="W730">
        <v>1</v>
      </c>
    </row>
    <row r="731" spans="1:23" x14ac:dyDescent="0.35">
      <c r="A731" t="s">
        <v>518</v>
      </c>
      <c r="B731" s="6">
        <v>43606</v>
      </c>
      <c r="D731" t="s">
        <v>23</v>
      </c>
      <c r="E731">
        <v>33</v>
      </c>
      <c r="F731" t="s">
        <v>24</v>
      </c>
      <c r="G731" t="s">
        <v>25</v>
      </c>
      <c r="H731" t="s">
        <v>32</v>
      </c>
      <c r="I731" t="s">
        <v>38</v>
      </c>
      <c r="J731" t="s">
        <v>39</v>
      </c>
      <c r="K731">
        <v>2</v>
      </c>
      <c r="L731" t="s">
        <v>84</v>
      </c>
      <c r="M731">
        <v>56000</v>
      </c>
      <c r="N731">
        <v>6.7</v>
      </c>
      <c r="O731">
        <v>12.9</v>
      </c>
      <c r="P731">
        <v>6.6</v>
      </c>
      <c r="Q731">
        <v>2</v>
      </c>
      <c r="R731">
        <v>1</v>
      </c>
      <c r="S731">
        <v>3</v>
      </c>
      <c r="T731">
        <v>4</v>
      </c>
      <c r="U731" t="s">
        <v>23</v>
      </c>
      <c r="V731">
        <v>2</v>
      </c>
      <c r="W731">
        <v>1</v>
      </c>
    </row>
    <row r="732" spans="1:23" x14ac:dyDescent="0.35">
      <c r="A732" t="s">
        <v>233</v>
      </c>
      <c r="B732" s="6">
        <v>45301</v>
      </c>
      <c r="D732" t="s">
        <v>23</v>
      </c>
      <c r="E732">
        <v>22</v>
      </c>
      <c r="F732" t="s">
        <v>24</v>
      </c>
      <c r="G732" t="s">
        <v>37</v>
      </c>
      <c r="H732" t="s">
        <v>26</v>
      </c>
      <c r="I732" t="s">
        <v>27</v>
      </c>
      <c r="J732" t="s">
        <v>95</v>
      </c>
      <c r="K732">
        <v>1</v>
      </c>
      <c r="L732" t="s">
        <v>50</v>
      </c>
      <c r="M732">
        <v>39000</v>
      </c>
      <c r="N732">
        <v>7.3</v>
      </c>
      <c r="O732">
        <v>4.3</v>
      </c>
      <c r="P732">
        <v>2</v>
      </c>
      <c r="Q732">
        <v>0.3</v>
      </c>
      <c r="R732">
        <v>3</v>
      </c>
      <c r="S732">
        <v>3</v>
      </c>
      <c r="T732">
        <v>3</v>
      </c>
      <c r="U732" t="s">
        <v>23</v>
      </c>
      <c r="V732">
        <v>4</v>
      </c>
      <c r="W732">
        <v>1</v>
      </c>
    </row>
    <row r="733" spans="1:23" x14ac:dyDescent="0.35">
      <c r="A733" t="s">
        <v>1179</v>
      </c>
      <c r="B733" s="6">
        <v>43109</v>
      </c>
      <c r="C733">
        <v>45981</v>
      </c>
      <c r="D733" t="s">
        <v>30</v>
      </c>
      <c r="E733">
        <v>30</v>
      </c>
      <c r="F733" t="s">
        <v>62</v>
      </c>
      <c r="G733" t="s">
        <v>42</v>
      </c>
      <c r="H733" t="s">
        <v>32</v>
      </c>
      <c r="I733" t="s">
        <v>59</v>
      </c>
      <c r="J733" t="s">
        <v>75</v>
      </c>
      <c r="K733">
        <v>3</v>
      </c>
      <c r="L733" t="s">
        <v>29</v>
      </c>
      <c r="M733">
        <v>87000</v>
      </c>
      <c r="N733">
        <v>6.9</v>
      </c>
      <c r="O733">
        <v>14</v>
      </c>
      <c r="P733">
        <v>7.9</v>
      </c>
      <c r="Q733">
        <v>1.5</v>
      </c>
      <c r="R733">
        <v>3</v>
      </c>
      <c r="S733">
        <v>3</v>
      </c>
      <c r="T733">
        <v>2</v>
      </c>
      <c r="U733" t="s">
        <v>30</v>
      </c>
      <c r="V733">
        <v>4</v>
      </c>
      <c r="W733">
        <v>1</v>
      </c>
    </row>
    <row r="734" spans="1:23" x14ac:dyDescent="0.35">
      <c r="A734" t="s">
        <v>982</v>
      </c>
      <c r="B734" s="6">
        <v>44494</v>
      </c>
      <c r="C734">
        <v>45935</v>
      </c>
      <c r="D734" t="s">
        <v>30</v>
      </c>
      <c r="E734">
        <v>28</v>
      </c>
      <c r="F734" t="s">
        <v>62</v>
      </c>
      <c r="G734" t="s">
        <v>42</v>
      </c>
      <c r="H734" t="s">
        <v>58</v>
      </c>
      <c r="I734" t="s">
        <v>68</v>
      </c>
      <c r="J734" t="s">
        <v>102</v>
      </c>
      <c r="K734">
        <v>1</v>
      </c>
      <c r="L734" t="s">
        <v>34</v>
      </c>
      <c r="M734">
        <v>40000</v>
      </c>
      <c r="N734">
        <v>11.7</v>
      </c>
      <c r="O734">
        <v>8.8000000000000007</v>
      </c>
      <c r="P734">
        <v>3.9</v>
      </c>
      <c r="Q734">
        <v>0.6</v>
      </c>
      <c r="R734">
        <v>4</v>
      </c>
      <c r="S734">
        <v>3</v>
      </c>
      <c r="T734">
        <v>4</v>
      </c>
      <c r="U734" t="s">
        <v>23</v>
      </c>
      <c r="V734">
        <v>3</v>
      </c>
      <c r="W734">
        <v>1</v>
      </c>
    </row>
    <row r="735" spans="1:23" x14ac:dyDescent="0.35">
      <c r="A735" t="s">
        <v>1033</v>
      </c>
      <c r="B735" s="6">
        <v>43952</v>
      </c>
      <c r="D735" t="s">
        <v>23</v>
      </c>
      <c r="E735">
        <v>32</v>
      </c>
      <c r="F735" t="s">
        <v>36</v>
      </c>
      <c r="G735" t="s">
        <v>25</v>
      </c>
      <c r="H735" t="s">
        <v>32</v>
      </c>
      <c r="I735" t="s">
        <v>27</v>
      </c>
      <c r="J735" t="s">
        <v>43</v>
      </c>
      <c r="K735">
        <v>2</v>
      </c>
      <c r="L735" t="s">
        <v>34</v>
      </c>
      <c r="M735">
        <v>57000</v>
      </c>
      <c r="N735">
        <v>9.4</v>
      </c>
      <c r="O735">
        <v>8.6999999999999993</v>
      </c>
      <c r="P735">
        <v>5.7</v>
      </c>
      <c r="Q735">
        <v>2.4</v>
      </c>
      <c r="R735">
        <v>4</v>
      </c>
      <c r="S735">
        <v>2</v>
      </c>
      <c r="T735">
        <v>3</v>
      </c>
      <c r="U735" t="s">
        <v>30</v>
      </c>
      <c r="V735">
        <v>3</v>
      </c>
      <c r="W735">
        <v>1</v>
      </c>
    </row>
    <row r="736" spans="1:23" x14ac:dyDescent="0.35">
      <c r="A736" t="s">
        <v>784</v>
      </c>
      <c r="B736" s="6">
        <v>43237</v>
      </c>
      <c r="D736" t="s">
        <v>23</v>
      </c>
      <c r="E736">
        <v>28</v>
      </c>
      <c r="F736" t="s">
        <v>24</v>
      </c>
      <c r="G736" t="s">
        <v>25</v>
      </c>
      <c r="H736" t="s">
        <v>58</v>
      </c>
      <c r="I736" t="s">
        <v>38</v>
      </c>
      <c r="J736" t="s">
        <v>52</v>
      </c>
      <c r="K736">
        <v>3</v>
      </c>
      <c r="L736" t="s">
        <v>84</v>
      </c>
      <c r="M736">
        <v>93000</v>
      </c>
      <c r="N736">
        <v>8.1999999999999993</v>
      </c>
      <c r="O736">
        <v>12.2</v>
      </c>
      <c r="P736">
        <v>7.6</v>
      </c>
      <c r="Q736">
        <v>0.1</v>
      </c>
      <c r="R736">
        <v>3</v>
      </c>
      <c r="S736">
        <v>4</v>
      </c>
      <c r="T736">
        <v>3</v>
      </c>
      <c r="U736" t="s">
        <v>23</v>
      </c>
      <c r="V736">
        <v>3</v>
      </c>
      <c r="W736">
        <v>1</v>
      </c>
    </row>
    <row r="737" spans="1:23" x14ac:dyDescent="0.35">
      <c r="A737" t="s">
        <v>1430</v>
      </c>
      <c r="B737" s="6">
        <v>45190</v>
      </c>
      <c r="D737" t="s">
        <v>23</v>
      </c>
      <c r="E737">
        <v>34</v>
      </c>
      <c r="F737" t="s">
        <v>24</v>
      </c>
      <c r="G737" t="s">
        <v>37</v>
      </c>
      <c r="H737" t="s">
        <v>54</v>
      </c>
      <c r="I737" t="s">
        <v>55</v>
      </c>
      <c r="J737" t="s">
        <v>56</v>
      </c>
      <c r="K737">
        <v>1</v>
      </c>
      <c r="L737" t="s">
        <v>84</v>
      </c>
      <c r="M737">
        <v>41000</v>
      </c>
      <c r="N737">
        <v>8.5</v>
      </c>
      <c r="O737">
        <v>3.4</v>
      </c>
      <c r="P737">
        <v>2.2999999999999998</v>
      </c>
      <c r="Q737">
        <v>1.4</v>
      </c>
      <c r="R737">
        <v>3</v>
      </c>
      <c r="S737">
        <v>3</v>
      </c>
      <c r="T737">
        <v>3</v>
      </c>
      <c r="U737" t="s">
        <v>23</v>
      </c>
      <c r="V737">
        <v>4</v>
      </c>
      <c r="W737">
        <v>1</v>
      </c>
    </row>
    <row r="738" spans="1:23" x14ac:dyDescent="0.35">
      <c r="A738" t="s">
        <v>1212</v>
      </c>
      <c r="B738" s="6">
        <v>42348</v>
      </c>
      <c r="D738" t="s">
        <v>23</v>
      </c>
      <c r="E738">
        <v>44</v>
      </c>
      <c r="F738" t="s">
        <v>36</v>
      </c>
      <c r="G738" t="s">
        <v>42</v>
      </c>
      <c r="H738" t="s">
        <v>32</v>
      </c>
      <c r="I738" t="s">
        <v>48</v>
      </c>
      <c r="J738" t="s">
        <v>129</v>
      </c>
      <c r="K738">
        <v>3</v>
      </c>
      <c r="L738" t="s">
        <v>84</v>
      </c>
      <c r="M738">
        <v>89000</v>
      </c>
      <c r="N738">
        <v>12.5</v>
      </c>
      <c r="O738">
        <v>17</v>
      </c>
      <c r="P738">
        <v>10.1</v>
      </c>
      <c r="Q738">
        <v>1.6</v>
      </c>
      <c r="R738">
        <v>3</v>
      </c>
      <c r="S738">
        <v>2</v>
      </c>
      <c r="T738">
        <v>3</v>
      </c>
      <c r="U738" t="s">
        <v>30</v>
      </c>
      <c r="V738">
        <v>3</v>
      </c>
      <c r="W738">
        <v>1</v>
      </c>
    </row>
    <row r="739" spans="1:23" x14ac:dyDescent="0.35">
      <c r="A739" t="s">
        <v>355</v>
      </c>
      <c r="B739" s="6">
        <v>44654</v>
      </c>
      <c r="C739">
        <v>45711</v>
      </c>
      <c r="D739" t="s">
        <v>30</v>
      </c>
      <c r="E739">
        <v>27</v>
      </c>
      <c r="F739" t="s">
        <v>24</v>
      </c>
      <c r="G739" t="s">
        <v>37</v>
      </c>
      <c r="H739" t="s">
        <v>32</v>
      </c>
      <c r="I739" t="s">
        <v>48</v>
      </c>
      <c r="J739" t="s">
        <v>201</v>
      </c>
      <c r="K739">
        <v>1</v>
      </c>
      <c r="L739" t="s">
        <v>34</v>
      </c>
      <c r="M739">
        <v>44000</v>
      </c>
      <c r="N739">
        <v>12.5</v>
      </c>
      <c r="O739">
        <v>6.3</v>
      </c>
      <c r="P739">
        <v>2.9</v>
      </c>
      <c r="Q739">
        <v>0.2</v>
      </c>
      <c r="S739">
        <v>2</v>
      </c>
      <c r="T739">
        <v>1</v>
      </c>
      <c r="U739" t="s">
        <v>23</v>
      </c>
      <c r="V739">
        <v>3</v>
      </c>
      <c r="W739">
        <v>1</v>
      </c>
    </row>
    <row r="740" spans="1:23" x14ac:dyDescent="0.35">
      <c r="A740" t="s">
        <v>1122</v>
      </c>
      <c r="B740" s="6">
        <v>44565</v>
      </c>
      <c r="D740" t="s">
        <v>23</v>
      </c>
      <c r="E740">
        <v>29</v>
      </c>
      <c r="F740" t="s">
        <v>36</v>
      </c>
      <c r="G740" t="s">
        <v>25</v>
      </c>
      <c r="H740" t="s">
        <v>58</v>
      </c>
      <c r="I740" t="s">
        <v>59</v>
      </c>
      <c r="J740" t="s">
        <v>75</v>
      </c>
      <c r="K740">
        <v>1</v>
      </c>
      <c r="L740" t="s">
        <v>66</v>
      </c>
      <c r="M740">
        <v>31000</v>
      </c>
      <c r="N740">
        <v>2.4</v>
      </c>
      <c r="O740">
        <v>10</v>
      </c>
      <c r="P740">
        <v>4</v>
      </c>
      <c r="Q740">
        <v>2.2000000000000002</v>
      </c>
      <c r="R740">
        <v>4</v>
      </c>
      <c r="S740">
        <v>3</v>
      </c>
      <c r="T740">
        <v>3</v>
      </c>
      <c r="U740" t="s">
        <v>30</v>
      </c>
      <c r="V740">
        <v>3</v>
      </c>
      <c r="W740">
        <v>1</v>
      </c>
    </row>
    <row r="741" spans="1:23" x14ac:dyDescent="0.35">
      <c r="A741" t="s">
        <v>1242</v>
      </c>
      <c r="B741" s="6">
        <v>45204</v>
      </c>
      <c r="D741" t="s">
        <v>23</v>
      </c>
      <c r="E741">
        <v>40</v>
      </c>
      <c r="F741" t="s">
        <v>36</v>
      </c>
      <c r="G741" t="s">
        <v>25</v>
      </c>
      <c r="H741" t="s">
        <v>32</v>
      </c>
      <c r="I741" t="s">
        <v>68</v>
      </c>
      <c r="J741" t="s">
        <v>69</v>
      </c>
      <c r="K741">
        <v>3</v>
      </c>
      <c r="L741" t="s">
        <v>40</v>
      </c>
      <c r="M741">
        <v>73000</v>
      </c>
      <c r="N741">
        <v>11.6</v>
      </c>
      <c r="O741">
        <v>9.9</v>
      </c>
      <c r="P741">
        <v>2.2000000000000002</v>
      </c>
      <c r="Q741">
        <v>0.8</v>
      </c>
      <c r="R741">
        <v>3</v>
      </c>
      <c r="S741">
        <v>3</v>
      </c>
      <c r="T741">
        <v>3</v>
      </c>
      <c r="U741" t="s">
        <v>23</v>
      </c>
      <c r="V741">
        <v>3</v>
      </c>
      <c r="W741">
        <v>1</v>
      </c>
    </row>
    <row r="742" spans="1:23" x14ac:dyDescent="0.35">
      <c r="A742" t="s">
        <v>112</v>
      </c>
      <c r="B742" s="6">
        <v>44134</v>
      </c>
      <c r="D742" t="s">
        <v>23</v>
      </c>
      <c r="E742">
        <v>35</v>
      </c>
      <c r="F742" t="s">
        <v>24</v>
      </c>
      <c r="G742" t="s">
        <v>25</v>
      </c>
      <c r="H742" t="s">
        <v>54</v>
      </c>
      <c r="I742" t="s">
        <v>27</v>
      </c>
      <c r="J742" t="s">
        <v>33</v>
      </c>
      <c r="K742">
        <v>1</v>
      </c>
      <c r="L742" t="s">
        <v>66</v>
      </c>
      <c r="M742">
        <v>22000</v>
      </c>
      <c r="N742">
        <v>9.3000000000000007</v>
      </c>
      <c r="O742">
        <v>7.7</v>
      </c>
      <c r="P742">
        <v>5.2</v>
      </c>
      <c r="Q742">
        <v>1</v>
      </c>
      <c r="R742">
        <v>1</v>
      </c>
      <c r="S742">
        <v>3</v>
      </c>
      <c r="T742">
        <v>3</v>
      </c>
      <c r="U742" t="s">
        <v>30</v>
      </c>
      <c r="V742">
        <v>3</v>
      </c>
      <c r="W742">
        <v>1</v>
      </c>
    </row>
    <row r="743" spans="1:23" x14ac:dyDescent="0.35">
      <c r="A743" t="s">
        <v>1367</v>
      </c>
      <c r="B743" s="6">
        <v>43523</v>
      </c>
      <c r="D743" t="s">
        <v>23</v>
      </c>
      <c r="E743">
        <v>32</v>
      </c>
      <c r="F743" t="s">
        <v>62</v>
      </c>
      <c r="G743" t="s">
        <v>42</v>
      </c>
      <c r="H743" t="s">
        <v>58</v>
      </c>
      <c r="I743" t="s">
        <v>55</v>
      </c>
      <c r="J743" t="s">
        <v>56</v>
      </c>
      <c r="K743">
        <v>2</v>
      </c>
      <c r="L743" t="s">
        <v>66</v>
      </c>
      <c r="M743">
        <v>47000</v>
      </c>
      <c r="N743">
        <v>13.8</v>
      </c>
      <c r="O743">
        <v>9</v>
      </c>
      <c r="P743">
        <v>6.8</v>
      </c>
      <c r="Q743">
        <v>4.9000000000000004</v>
      </c>
      <c r="R743">
        <v>3</v>
      </c>
      <c r="S743">
        <v>4</v>
      </c>
      <c r="T743">
        <v>3</v>
      </c>
      <c r="U743" t="s">
        <v>30</v>
      </c>
      <c r="V743">
        <v>3</v>
      </c>
      <c r="W743">
        <v>1</v>
      </c>
    </row>
    <row r="744" spans="1:23" x14ac:dyDescent="0.35">
      <c r="A744" t="s">
        <v>541</v>
      </c>
      <c r="B744" s="6">
        <v>45262</v>
      </c>
      <c r="D744" t="s">
        <v>23</v>
      </c>
      <c r="E744">
        <v>36</v>
      </c>
      <c r="F744" t="s">
        <v>62</v>
      </c>
      <c r="G744" t="s">
        <v>25</v>
      </c>
      <c r="H744" t="s">
        <v>58</v>
      </c>
      <c r="I744" t="s">
        <v>27</v>
      </c>
      <c r="J744" t="s">
        <v>95</v>
      </c>
      <c r="K744">
        <v>1</v>
      </c>
      <c r="L744" t="s">
        <v>29</v>
      </c>
      <c r="M744">
        <v>46000</v>
      </c>
      <c r="N744">
        <v>5.2</v>
      </c>
      <c r="O744">
        <v>2.9</v>
      </c>
      <c r="P744">
        <v>2.1</v>
      </c>
      <c r="Q744">
        <v>1.7</v>
      </c>
      <c r="R744">
        <v>3</v>
      </c>
      <c r="S744">
        <v>3</v>
      </c>
      <c r="T744">
        <v>4</v>
      </c>
      <c r="U744" t="s">
        <v>23</v>
      </c>
      <c r="V744">
        <v>3</v>
      </c>
      <c r="W744">
        <v>1</v>
      </c>
    </row>
    <row r="745" spans="1:23" x14ac:dyDescent="0.35">
      <c r="A745" t="s">
        <v>1386</v>
      </c>
      <c r="B745" s="6">
        <v>45902</v>
      </c>
      <c r="D745" t="s">
        <v>23</v>
      </c>
      <c r="E745">
        <v>40</v>
      </c>
      <c r="F745" t="s">
        <v>24</v>
      </c>
      <c r="G745" t="s">
        <v>37</v>
      </c>
      <c r="H745" t="s">
        <v>54</v>
      </c>
      <c r="I745" t="s">
        <v>59</v>
      </c>
      <c r="J745" t="s">
        <v>60</v>
      </c>
      <c r="K745">
        <v>2</v>
      </c>
      <c r="L745" t="s">
        <v>34</v>
      </c>
      <c r="M745">
        <v>50000</v>
      </c>
      <c r="N745">
        <v>13.5</v>
      </c>
      <c r="O745">
        <v>5.2</v>
      </c>
      <c r="P745">
        <v>0.3</v>
      </c>
      <c r="Q745">
        <v>0</v>
      </c>
      <c r="R745">
        <v>2</v>
      </c>
      <c r="S745">
        <v>3</v>
      </c>
      <c r="T745">
        <v>1</v>
      </c>
      <c r="U745" t="s">
        <v>30</v>
      </c>
      <c r="V745">
        <v>2</v>
      </c>
      <c r="W745">
        <v>1</v>
      </c>
    </row>
    <row r="746" spans="1:23" x14ac:dyDescent="0.35">
      <c r="A746" t="s">
        <v>1561</v>
      </c>
      <c r="B746" s="6">
        <v>45112</v>
      </c>
      <c r="D746" t="s">
        <v>23</v>
      </c>
      <c r="E746">
        <v>27</v>
      </c>
      <c r="F746" t="s">
        <v>62</v>
      </c>
      <c r="G746" t="s">
        <v>37</v>
      </c>
      <c r="H746" t="s">
        <v>32</v>
      </c>
      <c r="I746" t="s">
        <v>45</v>
      </c>
      <c r="J746" t="s">
        <v>46</v>
      </c>
      <c r="K746">
        <v>1</v>
      </c>
      <c r="L746" t="s">
        <v>40</v>
      </c>
      <c r="M746">
        <v>26000</v>
      </c>
      <c r="N746">
        <v>6.9</v>
      </c>
      <c r="O746">
        <v>5.5</v>
      </c>
      <c r="P746">
        <v>2.5</v>
      </c>
      <c r="Q746">
        <v>1</v>
      </c>
      <c r="R746">
        <v>2</v>
      </c>
      <c r="S746">
        <v>3</v>
      </c>
      <c r="T746">
        <v>3</v>
      </c>
      <c r="U746" t="s">
        <v>23</v>
      </c>
      <c r="V746">
        <v>4</v>
      </c>
      <c r="W746">
        <v>1</v>
      </c>
    </row>
    <row r="747" spans="1:23" x14ac:dyDescent="0.35">
      <c r="A747" t="s">
        <v>1563</v>
      </c>
      <c r="B747" s="6">
        <v>42324</v>
      </c>
      <c r="D747" t="s">
        <v>23</v>
      </c>
      <c r="E747">
        <v>42</v>
      </c>
      <c r="F747" t="s">
        <v>36</v>
      </c>
      <c r="G747" t="s">
        <v>42</v>
      </c>
      <c r="H747" t="s">
        <v>58</v>
      </c>
      <c r="I747" t="s">
        <v>45</v>
      </c>
      <c r="J747" t="s">
        <v>77</v>
      </c>
      <c r="K747">
        <v>3</v>
      </c>
      <c r="L747" t="s">
        <v>29</v>
      </c>
      <c r="M747">
        <v>70000</v>
      </c>
      <c r="N747">
        <v>10.4</v>
      </c>
      <c r="O747">
        <v>15.6</v>
      </c>
      <c r="P747">
        <v>10.1</v>
      </c>
      <c r="Q747">
        <v>3.3</v>
      </c>
      <c r="R747">
        <v>3</v>
      </c>
      <c r="S747">
        <v>3</v>
      </c>
      <c r="T747">
        <v>3</v>
      </c>
      <c r="U747" t="s">
        <v>23</v>
      </c>
      <c r="V747">
        <v>1</v>
      </c>
      <c r="W747">
        <v>1</v>
      </c>
    </row>
    <row r="748" spans="1:23" x14ac:dyDescent="0.35">
      <c r="A748" t="s">
        <v>408</v>
      </c>
      <c r="B748" s="6">
        <v>45755</v>
      </c>
      <c r="C748">
        <v>45910</v>
      </c>
      <c r="D748" t="s">
        <v>30</v>
      </c>
      <c r="E748">
        <v>21</v>
      </c>
      <c r="F748" t="s">
        <v>24</v>
      </c>
      <c r="G748" t="s">
        <v>25</v>
      </c>
      <c r="H748" t="s">
        <v>58</v>
      </c>
      <c r="I748" t="s">
        <v>48</v>
      </c>
      <c r="J748" t="s">
        <v>49</v>
      </c>
      <c r="K748">
        <v>1</v>
      </c>
      <c r="L748" t="s">
        <v>84</v>
      </c>
      <c r="M748">
        <v>37000</v>
      </c>
      <c r="N748">
        <v>1.4</v>
      </c>
      <c r="O748">
        <v>1.9</v>
      </c>
      <c r="P748">
        <v>0.4</v>
      </c>
      <c r="Q748">
        <v>0</v>
      </c>
      <c r="R748">
        <v>4</v>
      </c>
      <c r="S748">
        <v>1</v>
      </c>
      <c r="T748">
        <v>3</v>
      </c>
      <c r="U748" t="s">
        <v>23</v>
      </c>
      <c r="V748">
        <v>4</v>
      </c>
      <c r="W748">
        <v>1</v>
      </c>
    </row>
    <row r="749" spans="1:23" x14ac:dyDescent="0.35">
      <c r="A749" t="s">
        <v>1312</v>
      </c>
      <c r="B749" s="6">
        <v>45010</v>
      </c>
      <c r="D749" t="s">
        <v>23</v>
      </c>
      <c r="E749">
        <v>23</v>
      </c>
      <c r="F749" t="s">
        <v>36</v>
      </c>
      <c r="H749" t="s">
        <v>26</v>
      </c>
      <c r="I749" t="s">
        <v>38</v>
      </c>
      <c r="J749" t="s">
        <v>39</v>
      </c>
      <c r="K749">
        <v>1</v>
      </c>
      <c r="L749" t="s">
        <v>66</v>
      </c>
      <c r="M749">
        <v>56000</v>
      </c>
      <c r="N749">
        <v>12.6</v>
      </c>
      <c r="O749">
        <v>7.9</v>
      </c>
      <c r="P749">
        <v>2.8</v>
      </c>
      <c r="Q749">
        <v>1.8</v>
      </c>
      <c r="R749">
        <v>1</v>
      </c>
      <c r="S749">
        <v>3</v>
      </c>
      <c r="T749">
        <v>4</v>
      </c>
      <c r="U749" t="s">
        <v>23</v>
      </c>
      <c r="V749">
        <v>4</v>
      </c>
      <c r="W749">
        <v>1</v>
      </c>
    </row>
    <row r="750" spans="1:23" x14ac:dyDescent="0.35">
      <c r="A750" t="s">
        <v>1160</v>
      </c>
      <c r="B750" s="6">
        <v>41949</v>
      </c>
      <c r="D750" t="s">
        <v>23</v>
      </c>
      <c r="E750">
        <v>42</v>
      </c>
      <c r="F750" t="s">
        <v>24</v>
      </c>
      <c r="G750" t="s">
        <v>25</v>
      </c>
      <c r="H750" t="s">
        <v>32</v>
      </c>
      <c r="I750" t="s">
        <v>1161</v>
      </c>
      <c r="J750" t="s">
        <v>75</v>
      </c>
      <c r="K750">
        <v>4</v>
      </c>
      <c r="L750" t="s">
        <v>29</v>
      </c>
      <c r="M750">
        <v>100000</v>
      </c>
      <c r="N750">
        <v>11.2</v>
      </c>
      <c r="O750">
        <v>14.9</v>
      </c>
      <c r="P750">
        <v>11.2</v>
      </c>
      <c r="Q750">
        <v>5.2</v>
      </c>
      <c r="R750">
        <v>3</v>
      </c>
      <c r="S750">
        <v>4</v>
      </c>
      <c r="T750">
        <v>4</v>
      </c>
      <c r="U750" t="s">
        <v>23</v>
      </c>
      <c r="V750">
        <v>1</v>
      </c>
      <c r="W750">
        <v>1</v>
      </c>
    </row>
    <row r="751" spans="1:23" x14ac:dyDescent="0.35">
      <c r="A751" t="s">
        <v>1049</v>
      </c>
      <c r="B751" s="6">
        <v>45350</v>
      </c>
      <c r="C751">
        <v>45984</v>
      </c>
      <c r="D751" t="s">
        <v>30</v>
      </c>
      <c r="E751">
        <v>35</v>
      </c>
      <c r="F751" t="s">
        <v>62</v>
      </c>
      <c r="G751" t="s">
        <v>25</v>
      </c>
      <c r="H751" t="s">
        <v>26</v>
      </c>
      <c r="I751" t="s">
        <v>45</v>
      </c>
      <c r="J751" t="s">
        <v>97</v>
      </c>
      <c r="K751">
        <v>4</v>
      </c>
      <c r="L751" t="s">
        <v>84</v>
      </c>
      <c r="M751">
        <v>115000</v>
      </c>
      <c r="N751">
        <v>11.9</v>
      </c>
      <c r="O751">
        <v>7.4</v>
      </c>
      <c r="P751">
        <v>1.7</v>
      </c>
      <c r="Q751">
        <v>0.5</v>
      </c>
      <c r="R751">
        <v>4</v>
      </c>
      <c r="S751">
        <v>4</v>
      </c>
      <c r="T751">
        <v>3</v>
      </c>
      <c r="U751" t="s">
        <v>23</v>
      </c>
      <c r="V751">
        <v>4</v>
      </c>
      <c r="W751">
        <v>1</v>
      </c>
    </row>
    <row r="752" spans="1:23" x14ac:dyDescent="0.35">
      <c r="A752" t="s">
        <v>978</v>
      </c>
      <c r="B752" s="6">
        <v>45683</v>
      </c>
      <c r="D752" t="s">
        <v>23</v>
      </c>
      <c r="E752">
        <v>21</v>
      </c>
      <c r="F752" t="s">
        <v>24</v>
      </c>
      <c r="G752" t="s">
        <v>37</v>
      </c>
      <c r="H752" t="s">
        <v>32</v>
      </c>
      <c r="I752" t="s">
        <v>59</v>
      </c>
      <c r="J752" t="s">
        <v>150</v>
      </c>
      <c r="K752">
        <v>1</v>
      </c>
      <c r="L752" t="s">
        <v>66</v>
      </c>
      <c r="M752">
        <v>24000</v>
      </c>
      <c r="N752">
        <v>8.5</v>
      </c>
      <c r="O752">
        <v>3.9</v>
      </c>
      <c r="P752">
        <v>0.9</v>
      </c>
      <c r="Q752">
        <v>0</v>
      </c>
      <c r="R752">
        <v>4</v>
      </c>
      <c r="S752">
        <v>3</v>
      </c>
      <c r="T752">
        <v>3</v>
      </c>
      <c r="U752" t="s">
        <v>30</v>
      </c>
      <c r="V752">
        <v>4</v>
      </c>
      <c r="W752">
        <v>1</v>
      </c>
    </row>
    <row r="753" spans="1:23" x14ac:dyDescent="0.35">
      <c r="A753" t="s">
        <v>1194</v>
      </c>
      <c r="B753" s="6">
        <v>45769</v>
      </c>
      <c r="D753" t="s">
        <v>23</v>
      </c>
      <c r="E753">
        <v>25</v>
      </c>
      <c r="F753" t="s">
        <v>36</v>
      </c>
      <c r="G753" t="s">
        <v>25</v>
      </c>
      <c r="H753" t="s">
        <v>58</v>
      </c>
      <c r="I753" t="s">
        <v>55</v>
      </c>
      <c r="J753" t="s">
        <v>88</v>
      </c>
      <c r="K753">
        <v>1</v>
      </c>
      <c r="L753" t="s">
        <v>50</v>
      </c>
      <c r="M753">
        <v>61000</v>
      </c>
      <c r="N753">
        <v>15.1</v>
      </c>
      <c r="O753">
        <v>4.7</v>
      </c>
      <c r="P753">
        <v>0.7</v>
      </c>
      <c r="Q753">
        <v>0</v>
      </c>
      <c r="R753">
        <v>3</v>
      </c>
      <c r="S753">
        <v>4</v>
      </c>
      <c r="T753">
        <v>4</v>
      </c>
      <c r="U753" t="s">
        <v>23</v>
      </c>
      <c r="V753">
        <v>1</v>
      </c>
      <c r="W753">
        <v>1</v>
      </c>
    </row>
    <row r="754" spans="1:23" x14ac:dyDescent="0.35">
      <c r="A754" t="s">
        <v>1509</v>
      </c>
      <c r="B754" s="6">
        <v>42937</v>
      </c>
      <c r="C754">
        <v>45704</v>
      </c>
      <c r="D754" t="s">
        <v>30</v>
      </c>
      <c r="E754">
        <v>34</v>
      </c>
      <c r="F754" t="s">
        <v>24</v>
      </c>
      <c r="G754" t="s">
        <v>37</v>
      </c>
      <c r="H754" t="s">
        <v>32</v>
      </c>
      <c r="I754" t="s">
        <v>68</v>
      </c>
      <c r="J754" t="s">
        <v>121</v>
      </c>
      <c r="K754">
        <v>3</v>
      </c>
      <c r="L754" t="s">
        <v>29</v>
      </c>
      <c r="M754">
        <v>75000</v>
      </c>
      <c r="N754">
        <v>5.2</v>
      </c>
      <c r="O754">
        <v>9</v>
      </c>
      <c r="P754">
        <v>7.6</v>
      </c>
      <c r="Q754">
        <v>0.5</v>
      </c>
      <c r="R754">
        <v>3</v>
      </c>
      <c r="S754">
        <v>3</v>
      </c>
      <c r="T754">
        <v>3</v>
      </c>
      <c r="U754" t="s">
        <v>23</v>
      </c>
      <c r="V754">
        <v>1</v>
      </c>
      <c r="W754">
        <v>1</v>
      </c>
    </row>
    <row r="755" spans="1:23" x14ac:dyDescent="0.35">
      <c r="A755" t="s">
        <v>1313</v>
      </c>
      <c r="B755" s="6">
        <v>42818</v>
      </c>
      <c r="D755" t="s">
        <v>23</v>
      </c>
      <c r="E755">
        <v>35</v>
      </c>
      <c r="F755" t="s">
        <v>62</v>
      </c>
      <c r="G755" t="s">
        <v>42</v>
      </c>
      <c r="H755" t="s">
        <v>32</v>
      </c>
      <c r="I755" t="s">
        <v>68</v>
      </c>
      <c r="J755" t="s">
        <v>121</v>
      </c>
      <c r="K755">
        <v>1</v>
      </c>
      <c r="L755" t="s">
        <v>84</v>
      </c>
      <c r="M755">
        <v>22000</v>
      </c>
      <c r="N755">
        <v>10.3</v>
      </c>
      <c r="O755">
        <v>16</v>
      </c>
      <c r="P755">
        <v>8.8000000000000007</v>
      </c>
      <c r="Q755">
        <v>1.1000000000000001</v>
      </c>
      <c r="R755">
        <v>4</v>
      </c>
      <c r="S755">
        <v>4</v>
      </c>
      <c r="T755">
        <v>2</v>
      </c>
      <c r="U755" t="s">
        <v>30</v>
      </c>
      <c r="V755">
        <v>2</v>
      </c>
      <c r="W755">
        <v>1</v>
      </c>
    </row>
    <row r="756" spans="1:23" x14ac:dyDescent="0.35">
      <c r="A756" t="s">
        <v>1562</v>
      </c>
      <c r="B756" s="6">
        <v>45807</v>
      </c>
      <c r="C756">
        <v>45942</v>
      </c>
      <c r="D756" t="s">
        <v>30</v>
      </c>
      <c r="E756">
        <v>21</v>
      </c>
      <c r="F756" t="s">
        <v>62</v>
      </c>
      <c r="G756" t="s">
        <v>25</v>
      </c>
      <c r="H756" t="s">
        <v>54</v>
      </c>
      <c r="I756" t="s">
        <v>55</v>
      </c>
      <c r="J756" t="s">
        <v>88</v>
      </c>
      <c r="K756">
        <v>1</v>
      </c>
      <c r="L756" t="s">
        <v>29</v>
      </c>
      <c r="M756">
        <v>31000</v>
      </c>
      <c r="N756">
        <v>7.3</v>
      </c>
      <c r="O756">
        <v>2.4</v>
      </c>
      <c r="P756">
        <v>0.4</v>
      </c>
      <c r="Q756">
        <v>0</v>
      </c>
      <c r="R756">
        <v>3</v>
      </c>
      <c r="S756">
        <v>2</v>
      </c>
      <c r="T756">
        <v>3</v>
      </c>
      <c r="U756" t="s">
        <v>23</v>
      </c>
      <c r="V756">
        <v>3</v>
      </c>
      <c r="W756">
        <v>1</v>
      </c>
    </row>
    <row r="757" spans="1:23" x14ac:dyDescent="0.35">
      <c r="A757" t="s">
        <v>1201</v>
      </c>
      <c r="B757" s="6">
        <v>42346</v>
      </c>
      <c r="D757" t="s">
        <v>23</v>
      </c>
      <c r="E757">
        <v>37</v>
      </c>
      <c r="F757" t="s">
        <v>62</v>
      </c>
      <c r="G757" t="s">
        <v>25</v>
      </c>
      <c r="H757" t="s">
        <v>58</v>
      </c>
      <c r="I757" t="s">
        <v>45</v>
      </c>
      <c r="J757" t="s">
        <v>97</v>
      </c>
      <c r="K757">
        <v>1</v>
      </c>
      <c r="L757" t="s">
        <v>50</v>
      </c>
      <c r="M757">
        <v>22000</v>
      </c>
      <c r="N757">
        <v>10.9</v>
      </c>
      <c r="O757">
        <v>15.7</v>
      </c>
      <c r="P757">
        <v>10.1</v>
      </c>
      <c r="Q757">
        <v>2.1</v>
      </c>
      <c r="R757">
        <v>3</v>
      </c>
      <c r="S757">
        <v>4</v>
      </c>
      <c r="T757">
        <v>4</v>
      </c>
      <c r="U757" t="s">
        <v>23</v>
      </c>
      <c r="V757">
        <v>3</v>
      </c>
      <c r="W757">
        <v>1</v>
      </c>
    </row>
    <row r="758" spans="1:23" x14ac:dyDescent="0.35">
      <c r="A758" t="s">
        <v>174</v>
      </c>
      <c r="B758" s="6">
        <v>43914</v>
      </c>
      <c r="D758" t="s">
        <v>23</v>
      </c>
      <c r="E758">
        <v>41</v>
      </c>
      <c r="F758" t="s">
        <v>62</v>
      </c>
      <c r="G758" t="s">
        <v>37</v>
      </c>
      <c r="H758" t="s">
        <v>58</v>
      </c>
      <c r="I758" t="s">
        <v>27</v>
      </c>
      <c r="J758" t="s">
        <v>95</v>
      </c>
      <c r="K758">
        <v>2</v>
      </c>
      <c r="L758" t="s">
        <v>29</v>
      </c>
      <c r="M758">
        <v>46000</v>
      </c>
      <c r="N758">
        <v>8.6</v>
      </c>
      <c r="O758">
        <v>7.3</v>
      </c>
      <c r="P758">
        <v>5.8</v>
      </c>
      <c r="Q758">
        <v>0.8</v>
      </c>
      <c r="R758">
        <v>2</v>
      </c>
      <c r="S758">
        <v>3</v>
      </c>
      <c r="T758">
        <v>3</v>
      </c>
      <c r="U758" t="s">
        <v>30</v>
      </c>
      <c r="V758">
        <v>3</v>
      </c>
      <c r="W758">
        <v>1</v>
      </c>
    </row>
    <row r="759" spans="1:23" x14ac:dyDescent="0.35">
      <c r="A759" t="s">
        <v>1204</v>
      </c>
      <c r="B759" s="6">
        <v>44738</v>
      </c>
      <c r="D759" t="s">
        <v>23</v>
      </c>
      <c r="E759">
        <v>24</v>
      </c>
      <c r="F759" t="s">
        <v>24</v>
      </c>
      <c r="G759" t="s">
        <v>37</v>
      </c>
      <c r="H759" t="s">
        <v>54</v>
      </c>
      <c r="I759" t="s">
        <v>38</v>
      </c>
      <c r="J759" t="s">
        <v>39</v>
      </c>
      <c r="K759">
        <v>1</v>
      </c>
      <c r="L759" t="s">
        <v>66</v>
      </c>
      <c r="M759">
        <v>25000</v>
      </c>
      <c r="N759">
        <v>6.7</v>
      </c>
      <c r="O759">
        <v>8.6999999999999993</v>
      </c>
      <c r="P759">
        <v>3.5</v>
      </c>
      <c r="Q759">
        <v>0.4</v>
      </c>
      <c r="R759">
        <v>3</v>
      </c>
      <c r="S759">
        <v>4</v>
      </c>
      <c r="T759">
        <v>3</v>
      </c>
      <c r="U759" t="s">
        <v>30</v>
      </c>
      <c r="V759">
        <v>3</v>
      </c>
      <c r="W759">
        <v>1</v>
      </c>
    </row>
    <row r="760" spans="1:23" x14ac:dyDescent="0.35">
      <c r="A760" t="s">
        <v>627</v>
      </c>
      <c r="B760" s="6">
        <v>45459</v>
      </c>
      <c r="D760" t="s">
        <v>23</v>
      </c>
      <c r="E760">
        <v>22</v>
      </c>
      <c r="F760" t="s">
        <v>24</v>
      </c>
      <c r="G760" t="s">
        <v>25</v>
      </c>
      <c r="H760" t="s">
        <v>26</v>
      </c>
      <c r="I760" t="s">
        <v>48</v>
      </c>
      <c r="J760" t="s">
        <v>201</v>
      </c>
      <c r="K760">
        <v>1</v>
      </c>
      <c r="L760" t="s">
        <v>34</v>
      </c>
      <c r="M760">
        <v>22000</v>
      </c>
      <c r="N760">
        <v>7.2</v>
      </c>
      <c r="O760">
        <v>6.3</v>
      </c>
      <c r="P760">
        <v>1.5</v>
      </c>
      <c r="Q760">
        <v>0.7</v>
      </c>
      <c r="R760">
        <v>2</v>
      </c>
      <c r="S760">
        <v>3</v>
      </c>
      <c r="T760">
        <v>1</v>
      </c>
      <c r="U760" t="s">
        <v>23</v>
      </c>
      <c r="V760">
        <v>5</v>
      </c>
      <c r="W760">
        <v>1</v>
      </c>
    </row>
    <row r="761" spans="1:23" x14ac:dyDescent="0.35">
      <c r="A761" t="s">
        <v>1314</v>
      </c>
      <c r="B761" s="6">
        <v>44200</v>
      </c>
      <c r="D761" t="s">
        <v>23</v>
      </c>
      <c r="E761">
        <v>41</v>
      </c>
      <c r="F761" t="s">
        <v>24</v>
      </c>
      <c r="G761" t="s">
        <v>37</v>
      </c>
      <c r="H761" t="s">
        <v>58</v>
      </c>
      <c r="I761" t="s">
        <v>48</v>
      </c>
      <c r="J761" t="s">
        <v>129</v>
      </c>
      <c r="K761">
        <v>5</v>
      </c>
      <c r="L761" t="s">
        <v>50</v>
      </c>
      <c r="M761">
        <v>156000</v>
      </c>
      <c r="N761">
        <v>7.4</v>
      </c>
      <c r="O761">
        <v>12.1</v>
      </c>
      <c r="P761">
        <v>5</v>
      </c>
      <c r="Q761">
        <v>4.8</v>
      </c>
      <c r="R761">
        <v>3</v>
      </c>
      <c r="S761">
        <v>4</v>
      </c>
      <c r="T761">
        <v>2</v>
      </c>
      <c r="U761" t="s">
        <v>30</v>
      </c>
      <c r="V761">
        <v>5</v>
      </c>
      <c r="W761">
        <v>1</v>
      </c>
    </row>
    <row r="762" spans="1:23" x14ac:dyDescent="0.35">
      <c r="A762" t="s">
        <v>197</v>
      </c>
      <c r="B762" s="6">
        <v>45710</v>
      </c>
      <c r="D762" t="s">
        <v>23</v>
      </c>
      <c r="E762">
        <v>21</v>
      </c>
      <c r="F762" t="s">
        <v>24</v>
      </c>
      <c r="G762" t="s">
        <v>37</v>
      </c>
      <c r="H762" t="s">
        <v>32</v>
      </c>
      <c r="I762" t="s">
        <v>38</v>
      </c>
      <c r="J762" t="s">
        <v>39</v>
      </c>
      <c r="K762">
        <v>1</v>
      </c>
      <c r="L762" t="s">
        <v>34</v>
      </c>
      <c r="M762">
        <v>34000</v>
      </c>
      <c r="N762">
        <v>9.8000000000000007</v>
      </c>
      <c r="O762">
        <v>4.5</v>
      </c>
      <c r="P762">
        <v>0.9</v>
      </c>
      <c r="Q762">
        <v>0</v>
      </c>
      <c r="R762">
        <v>3</v>
      </c>
      <c r="S762">
        <v>2</v>
      </c>
      <c r="T762">
        <v>2</v>
      </c>
      <c r="U762" t="s">
        <v>30</v>
      </c>
      <c r="V762">
        <v>3</v>
      </c>
      <c r="W762">
        <v>1</v>
      </c>
    </row>
    <row r="763" spans="1:23" x14ac:dyDescent="0.35">
      <c r="A763" t="s">
        <v>204</v>
      </c>
      <c r="B763" s="6">
        <v>44148</v>
      </c>
      <c r="C763">
        <v>45709</v>
      </c>
      <c r="D763" t="s">
        <v>30</v>
      </c>
      <c r="E763">
        <v>29</v>
      </c>
      <c r="F763" t="s">
        <v>36</v>
      </c>
      <c r="G763" t="s">
        <v>25</v>
      </c>
      <c r="H763" t="s">
        <v>32</v>
      </c>
      <c r="I763" t="s">
        <v>38</v>
      </c>
      <c r="J763" t="s">
        <v>139</v>
      </c>
      <c r="K763">
        <v>2</v>
      </c>
      <c r="L763" t="s">
        <v>50</v>
      </c>
      <c r="M763">
        <v>60000</v>
      </c>
      <c r="N763">
        <v>0</v>
      </c>
      <c r="O763">
        <v>8</v>
      </c>
      <c r="P763">
        <v>4.3</v>
      </c>
      <c r="Q763">
        <v>3</v>
      </c>
      <c r="R763">
        <v>1</v>
      </c>
      <c r="S763">
        <v>3</v>
      </c>
      <c r="T763">
        <v>4</v>
      </c>
      <c r="U763" t="s">
        <v>23</v>
      </c>
      <c r="V763">
        <v>4</v>
      </c>
      <c r="W763">
        <v>1</v>
      </c>
    </row>
    <row r="764" spans="1:23" x14ac:dyDescent="0.35">
      <c r="A764" t="s">
        <v>760</v>
      </c>
      <c r="B764" s="6">
        <v>41916</v>
      </c>
      <c r="D764" t="s">
        <v>23</v>
      </c>
      <c r="E764">
        <v>36</v>
      </c>
      <c r="F764" t="s">
        <v>62</v>
      </c>
      <c r="G764" t="s">
        <v>25</v>
      </c>
      <c r="H764" t="s">
        <v>26</v>
      </c>
      <c r="I764" t="s">
        <v>48</v>
      </c>
      <c r="J764" t="s">
        <v>49</v>
      </c>
      <c r="K764">
        <v>2</v>
      </c>
      <c r="L764" t="s">
        <v>40</v>
      </c>
      <c r="M764">
        <v>46000</v>
      </c>
      <c r="N764">
        <v>9.1999999999999993</v>
      </c>
      <c r="O764">
        <v>16.600000000000001</v>
      </c>
      <c r="P764">
        <v>11.2</v>
      </c>
      <c r="Q764">
        <v>5.2</v>
      </c>
      <c r="R764">
        <v>3</v>
      </c>
      <c r="S764">
        <v>3</v>
      </c>
      <c r="T764">
        <v>3</v>
      </c>
      <c r="U764" t="s">
        <v>23</v>
      </c>
      <c r="V764">
        <v>3</v>
      </c>
      <c r="W764">
        <v>1</v>
      </c>
    </row>
    <row r="765" spans="1:23" x14ac:dyDescent="0.35">
      <c r="A765" t="s">
        <v>505</v>
      </c>
      <c r="B765" s="6">
        <v>44470</v>
      </c>
      <c r="D765" t="s">
        <v>23</v>
      </c>
      <c r="E765">
        <v>31</v>
      </c>
      <c r="F765" t="s">
        <v>24</v>
      </c>
      <c r="G765" t="s">
        <v>42</v>
      </c>
      <c r="H765" t="s">
        <v>54</v>
      </c>
      <c r="I765" t="s">
        <v>27</v>
      </c>
      <c r="J765" t="s">
        <v>95</v>
      </c>
      <c r="K765">
        <v>3</v>
      </c>
      <c r="L765" t="s">
        <v>50</v>
      </c>
      <c r="M765">
        <v>75000</v>
      </c>
      <c r="N765">
        <v>5.0999999999999996</v>
      </c>
      <c r="O765">
        <v>10.3</v>
      </c>
      <c r="P765">
        <v>4.2</v>
      </c>
      <c r="Q765">
        <v>3.8</v>
      </c>
      <c r="R765">
        <v>4</v>
      </c>
      <c r="S765">
        <v>3</v>
      </c>
      <c r="T765">
        <v>2</v>
      </c>
      <c r="U765" t="s">
        <v>23</v>
      </c>
      <c r="V765">
        <v>3</v>
      </c>
      <c r="W765">
        <v>1</v>
      </c>
    </row>
    <row r="766" spans="1:23" x14ac:dyDescent="0.35">
      <c r="A766" t="s">
        <v>1465</v>
      </c>
      <c r="B766" s="6">
        <v>44094</v>
      </c>
      <c r="D766" t="s">
        <v>23</v>
      </c>
      <c r="E766">
        <v>37</v>
      </c>
      <c r="F766" t="s">
        <v>24</v>
      </c>
      <c r="G766" t="s">
        <v>42</v>
      </c>
      <c r="H766" t="s">
        <v>26</v>
      </c>
      <c r="I766" t="s">
        <v>68</v>
      </c>
      <c r="J766" t="s">
        <v>121</v>
      </c>
      <c r="K766">
        <v>3</v>
      </c>
      <c r="L766" t="s">
        <v>84</v>
      </c>
      <c r="M766">
        <v>78000</v>
      </c>
      <c r="N766">
        <v>6.7</v>
      </c>
      <c r="O766">
        <v>5.6</v>
      </c>
      <c r="P766">
        <v>5.3</v>
      </c>
      <c r="Q766">
        <v>5.0999999999999996</v>
      </c>
      <c r="R766">
        <v>3</v>
      </c>
      <c r="S766">
        <v>3</v>
      </c>
      <c r="T766">
        <v>2</v>
      </c>
      <c r="U766" t="s">
        <v>23</v>
      </c>
      <c r="V766">
        <v>4</v>
      </c>
      <c r="W766">
        <v>1</v>
      </c>
    </row>
    <row r="767" spans="1:23" x14ac:dyDescent="0.35">
      <c r="A767" t="s">
        <v>1560</v>
      </c>
      <c r="B767" s="6">
        <v>44184</v>
      </c>
      <c r="C767">
        <v>45917</v>
      </c>
      <c r="D767" t="s">
        <v>30</v>
      </c>
      <c r="E767">
        <v>38</v>
      </c>
      <c r="F767" t="s">
        <v>24</v>
      </c>
      <c r="G767" t="s">
        <v>42</v>
      </c>
      <c r="H767" t="s">
        <v>54</v>
      </c>
      <c r="I767" t="s">
        <v>45</v>
      </c>
      <c r="J767" t="s">
        <v>164</v>
      </c>
      <c r="K767">
        <v>3</v>
      </c>
      <c r="L767" t="s">
        <v>84</v>
      </c>
      <c r="M767">
        <v>54000</v>
      </c>
      <c r="N767">
        <v>13.6</v>
      </c>
      <c r="O767">
        <v>7.8</v>
      </c>
      <c r="P767">
        <v>4.7</v>
      </c>
      <c r="Q767">
        <v>2.1</v>
      </c>
      <c r="R767">
        <v>2</v>
      </c>
      <c r="S767">
        <v>3</v>
      </c>
      <c r="T767">
        <v>4</v>
      </c>
      <c r="U767" t="s">
        <v>23</v>
      </c>
      <c r="V767">
        <v>3</v>
      </c>
      <c r="W767">
        <v>1</v>
      </c>
    </row>
    <row r="768" spans="1:23" x14ac:dyDescent="0.35">
      <c r="A768" t="s">
        <v>1566</v>
      </c>
      <c r="B768" s="6">
        <v>42484</v>
      </c>
      <c r="D768" t="s">
        <v>23</v>
      </c>
      <c r="E768">
        <v>36</v>
      </c>
      <c r="F768" t="s">
        <v>62</v>
      </c>
      <c r="G768" t="s">
        <v>42</v>
      </c>
      <c r="H768" t="s">
        <v>26</v>
      </c>
      <c r="I768" t="s">
        <v>45</v>
      </c>
      <c r="J768" t="s">
        <v>164</v>
      </c>
      <c r="K768">
        <v>3</v>
      </c>
      <c r="L768" t="s">
        <v>40</v>
      </c>
      <c r="M768">
        <v>83000</v>
      </c>
      <c r="N768">
        <v>3.5</v>
      </c>
      <c r="O768">
        <v>12.4</v>
      </c>
      <c r="P768">
        <v>9.6999999999999993</v>
      </c>
      <c r="Q768">
        <v>3.2</v>
      </c>
      <c r="R768">
        <v>3</v>
      </c>
      <c r="T768">
        <v>4</v>
      </c>
      <c r="U768" t="s">
        <v>23</v>
      </c>
      <c r="V768">
        <v>5</v>
      </c>
      <c r="W768">
        <v>1</v>
      </c>
    </row>
    <row r="769" spans="1:23" x14ac:dyDescent="0.35">
      <c r="A769" t="s">
        <v>99</v>
      </c>
      <c r="B769" s="6">
        <v>43148</v>
      </c>
      <c r="D769" t="s">
        <v>23</v>
      </c>
      <c r="E769">
        <v>31</v>
      </c>
      <c r="F769" t="s">
        <v>36</v>
      </c>
      <c r="G769" t="s">
        <v>42</v>
      </c>
      <c r="H769" t="s">
        <v>26</v>
      </c>
      <c r="I769" t="s">
        <v>38</v>
      </c>
      <c r="J769" t="s">
        <v>39</v>
      </c>
      <c r="K769">
        <v>4</v>
      </c>
      <c r="L769" t="s">
        <v>66</v>
      </c>
      <c r="M769">
        <v>117000</v>
      </c>
      <c r="N769">
        <v>15.9</v>
      </c>
      <c r="O769">
        <v>14.8</v>
      </c>
      <c r="P769">
        <v>7.9</v>
      </c>
      <c r="Q769">
        <v>2.6</v>
      </c>
      <c r="R769">
        <v>3</v>
      </c>
      <c r="S769">
        <v>3</v>
      </c>
      <c r="T769">
        <v>1</v>
      </c>
      <c r="U769" t="s">
        <v>30</v>
      </c>
      <c r="V769">
        <v>4</v>
      </c>
      <c r="W769">
        <v>1</v>
      </c>
    </row>
    <row r="770" spans="1:23" x14ac:dyDescent="0.35">
      <c r="A770" t="s">
        <v>715</v>
      </c>
      <c r="B770" s="6">
        <v>44841</v>
      </c>
      <c r="D770" t="s">
        <v>23</v>
      </c>
      <c r="E770">
        <v>29</v>
      </c>
      <c r="F770" t="s">
        <v>62</v>
      </c>
      <c r="G770" t="s">
        <v>37</v>
      </c>
      <c r="H770" t="s">
        <v>58</v>
      </c>
      <c r="I770" t="s">
        <v>45</v>
      </c>
      <c r="J770" t="s">
        <v>77</v>
      </c>
      <c r="K770">
        <v>2</v>
      </c>
      <c r="L770" t="s">
        <v>29</v>
      </c>
      <c r="M770">
        <v>51000</v>
      </c>
      <c r="N770">
        <v>4.2</v>
      </c>
      <c r="O770">
        <v>4.7</v>
      </c>
      <c r="P770">
        <v>3.2</v>
      </c>
      <c r="Q770">
        <v>1.1000000000000001</v>
      </c>
      <c r="R770">
        <v>4</v>
      </c>
      <c r="S770">
        <v>1</v>
      </c>
      <c r="T770">
        <v>3</v>
      </c>
      <c r="U770" t="s">
        <v>23</v>
      </c>
      <c r="V770">
        <v>4</v>
      </c>
      <c r="W770">
        <v>1</v>
      </c>
    </row>
    <row r="771" spans="1:23" x14ac:dyDescent="0.35">
      <c r="A771" t="s">
        <v>1415</v>
      </c>
      <c r="B771" s="6">
        <v>45554</v>
      </c>
      <c r="D771" t="s">
        <v>23</v>
      </c>
      <c r="E771">
        <v>35</v>
      </c>
      <c r="F771" t="s">
        <v>62</v>
      </c>
      <c r="G771" t="s">
        <v>25</v>
      </c>
      <c r="H771" t="s">
        <v>54</v>
      </c>
      <c r="I771" t="s">
        <v>38</v>
      </c>
      <c r="J771" t="s">
        <v>52</v>
      </c>
      <c r="K771">
        <v>2</v>
      </c>
      <c r="L771" t="s">
        <v>50</v>
      </c>
      <c r="M771">
        <v>56000</v>
      </c>
      <c r="N771">
        <v>8.6</v>
      </c>
      <c r="O771">
        <v>4.7</v>
      </c>
      <c r="P771">
        <v>1.3</v>
      </c>
      <c r="Q771">
        <v>0.4</v>
      </c>
      <c r="R771">
        <v>3</v>
      </c>
      <c r="S771">
        <v>4</v>
      </c>
      <c r="T771">
        <v>3</v>
      </c>
      <c r="U771" t="s">
        <v>30</v>
      </c>
      <c r="V771">
        <v>3</v>
      </c>
      <c r="W771">
        <v>1</v>
      </c>
    </row>
    <row r="772" spans="1:23" x14ac:dyDescent="0.35">
      <c r="A772" t="s">
        <v>670</v>
      </c>
      <c r="B772" s="6">
        <v>45681</v>
      </c>
      <c r="D772" t="s">
        <v>23</v>
      </c>
      <c r="E772">
        <v>22</v>
      </c>
      <c r="F772" t="s">
        <v>62</v>
      </c>
      <c r="G772" t="s">
        <v>42</v>
      </c>
      <c r="H772" t="s">
        <v>54</v>
      </c>
      <c r="I772" t="s">
        <v>38</v>
      </c>
      <c r="J772" t="s">
        <v>39</v>
      </c>
      <c r="K772">
        <v>1</v>
      </c>
      <c r="L772" t="s">
        <v>34</v>
      </c>
      <c r="M772">
        <v>41000</v>
      </c>
      <c r="N772">
        <v>16</v>
      </c>
      <c r="O772">
        <v>8</v>
      </c>
      <c r="P772">
        <v>0.9</v>
      </c>
      <c r="Q772">
        <v>0</v>
      </c>
      <c r="R772">
        <v>4</v>
      </c>
      <c r="S772">
        <v>4</v>
      </c>
      <c r="T772">
        <v>2</v>
      </c>
      <c r="U772" t="s">
        <v>30</v>
      </c>
      <c r="V772">
        <v>5</v>
      </c>
      <c r="W772">
        <v>1</v>
      </c>
    </row>
    <row r="773" spans="1:23" x14ac:dyDescent="0.35">
      <c r="A773" t="s">
        <v>992</v>
      </c>
      <c r="B773" s="6">
        <v>44815</v>
      </c>
      <c r="D773" t="s">
        <v>23</v>
      </c>
      <c r="E773">
        <v>35</v>
      </c>
      <c r="F773" t="s">
        <v>62</v>
      </c>
      <c r="G773" t="s">
        <v>25</v>
      </c>
      <c r="H773" t="s">
        <v>32</v>
      </c>
      <c r="I773" t="s">
        <v>38</v>
      </c>
      <c r="J773" t="s">
        <v>139</v>
      </c>
      <c r="K773">
        <v>5</v>
      </c>
      <c r="L773" t="s">
        <v>29</v>
      </c>
      <c r="M773">
        <v>179000</v>
      </c>
      <c r="N773">
        <v>3.9</v>
      </c>
      <c r="O773">
        <v>6.8</v>
      </c>
      <c r="P773">
        <v>3.3</v>
      </c>
      <c r="Q773">
        <v>0.4</v>
      </c>
      <c r="R773">
        <v>4</v>
      </c>
      <c r="S773">
        <v>2</v>
      </c>
      <c r="T773">
        <v>3</v>
      </c>
      <c r="U773" t="s">
        <v>23</v>
      </c>
      <c r="V773">
        <v>3</v>
      </c>
      <c r="W773">
        <v>1</v>
      </c>
    </row>
    <row r="774" spans="1:23" x14ac:dyDescent="0.35">
      <c r="A774" t="s">
        <v>552</v>
      </c>
      <c r="B774" s="6">
        <v>43892</v>
      </c>
      <c r="D774" t="s">
        <v>23</v>
      </c>
      <c r="E774">
        <v>34</v>
      </c>
      <c r="F774" t="s">
        <v>62</v>
      </c>
      <c r="G774" t="s">
        <v>42</v>
      </c>
      <c r="H774" t="s">
        <v>58</v>
      </c>
      <c r="I774" t="s">
        <v>59</v>
      </c>
      <c r="J774" t="s">
        <v>75</v>
      </c>
      <c r="K774">
        <v>2</v>
      </c>
      <c r="L774" t="s">
        <v>50</v>
      </c>
      <c r="M774">
        <v>66000</v>
      </c>
      <c r="N774">
        <v>6.1</v>
      </c>
      <c r="O774">
        <v>12.1</v>
      </c>
      <c r="P774">
        <v>5.8</v>
      </c>
      <c r="Q774">
        <v>1.6</v>
      </c>
      <c r="R774">
        <v>3</v>
      </c>
      <c r="S774">
        <v>3</v>
      </c>
      <c r="T774">
        <v>3</v>
      </c>
      <c r="U774" t="s">
        <v>23</v>
      </c>
      <c r="V774">
        <v>5</v>
      </c>
      <c r="W774">
        <v>1</v>
      </c>
    </row>
    <row r="775" spans="1:23" x14ac:dyDescent="0.35">
      <c r="A775" t="s">
        <v>446</v>
      </c>
      <c r="B775" s="6">
        <v>44142</v>
      </c>
      <c r="D775" t="s">
        <v>23</v>
      </c>
      <c r="E775">
        <v>38</v>
      </c>
      <c r="F775" t="s">
        <v>24</v>
      </c>
      <c r="G775" t="s">
        <v>25</v>
      </c>
      <c r="H775" t="s">
        <v>58</v>
      </c>
      <c r="I775" t="s">
        <v>48</v>
      </c>
      <c r="J775" t="s">
        <v>49</v>
      </c>
      <c r="K775">
        <v>1</v>
      </c>
      <c r="L775" t="s">
        <v>29</v>
      </c>
      <c r="M775">
        <v>40000</v>
      </c>
      <c r="N775">
        <v>9.9</v>
      </c>
      <c r="O775">
        <v>13</v>
      </c>
      <c r="P775">
        <v>5.0999999999999996</v>
      </c>
      <c r="Q775">
        <v>1.6</v>
      </c>
      <c r="R775">
        <v>3</v>
      </c>
      <c r="S775">
        <v>2</v>
      </c>
      <c r="T775">
        <v>1</v>
      </c>
      <c r="U775" t="s">
        <v>30</v>
      </c>
      <c r="V775">
        <v>3</v>
      </c>
      <c r="W775">
        <v>1</v>
      </c>
    </row>
    <row r="776" spans="1:23" x14ac:dyDescent="0.35">
      <c r="A776" t="s">
        <v>341</v>
      </c>
      <c r="B776" s="6">
        <v>43200</v>
      </c>
      <c r="D776" t="s">
        <v>23</v>
      </c>
      <c r="E776">
        <v>41</v>
      </c>
      <c r="F776" t="s">
        <v>62</v>
      </c>
      <c r="G776" t="s">
        <v>42</v>
      </c>
      <c r="H776" t="s">
        <v>32</v>
      </c>
      <c r="I776" t="s">
        <v>45</v>
      </c>
      <c r="J776" t="s">
        <v>46</v>
      </c>
      <c r="K776">
        <v>3</v>
      </c>
      <c r="L776" t="s">
        <v>66</v>
      </c>
      <c r="M776">
        <v>73000</v>
      </c>
      <c r="N776">
        <v>1.1000000000000001</v>
      </c>
      <c r="O776">
        <v>7.8</v>
      </c>
      <c r="P776">
        <v>7.7</v>
      </c>
      <c r="Q776">
        <v>2</v>
      </c>
      <c r="R776">
        <v>3</v>
      </c>
      <c r="S776">
        <v>3</v>
      </c>
      <c r="T776">
        <v>3</v>
      </c>
      <c r="U776" t="s">
        <v>23</v>
      </c>
      <c r="V776">
        <v>3</v>
      </c>
      <c r="W776">
        <v>1</v>
      </c>
    </row>
    <row r="777" spans="1:23" x14ac:dyDescent="0.35">
      <c r="A777" t="s">
        <v>435</v>
      </c>
      <c r="B777" s="6">
        <v>44820</v>
      </c>
      <c r="D777" t="s">
        <v>23</v>
      </c>
      <c r="E777">
        <v>32</v>
      </c>
      <c r="F777" t="s">
        <v>36</v>
      </c>
      <c r="G777" t="s">
        <v>42</v>
      </c>
      <c r="H777" t="s">
        <v>58</v>
      </c>
      <c r="I777" t="s">
        <v>45</v>
      </c>
      <c r="J777" t="s">
        <v>97</v>
      </c>
      <c r="K777">
        <v>3</v>
      </c>
      <c r="L777" t="s">
        <v>84</v>
      </c>
      <c r="M777">
        <v>75000</v>
      </c>
      <c r="N777">
        <v>8.8000000000000007</v>
      </c>
      <c r="O777">
        <v>8.3000000000000007</v>
      </c>
      <c r="P777">
        <v>3.3</v>
      </c>
      <c r="Q777">
        <v>1.9</v>
      </c>
      <c r="R777">
        <v>4</v>
      </c>
      <c r="S777">
        <v>3</v>
      </c>
      <c r="T777">
        <v>2</v>
      </c>
      <c r="U777" t="s">
        <v>30</v>
      </c>
      <c r="V777">
        <v>5</v>
      </c>
      <c r="W777">
        <v>1</v>
      </c>
    </row>
    <row r="778" spans="1:23" x14ac:dyDescent="0.35">
      <c r="A778" t="s">
        <v>1262</v>
      </c>
      <c r="B778" s="6">
        <v>45905</v>
      </c>
      <c r="D778" t="s">
        <v>23</v>
      </c>
      <c r="E778">
        <v>21</v>
      </c>
      <c r="F778" t="s">
        <v>36</v>
      </c>
      <c r="G778" t="s">
        <v>37</v>
      </c>
      <c r="H778" t="s">
        <v>54</v>
      </c>
      <c r="I778" t="s">
        <v>48</v>
      </c>
      <c r="J778" t="s">
        <v>201</v>
      </c>
      <c r="K778">
        <v>1</v>
      </c>
      <c r="L778" t="s">
        <v>66</v>
      </c>
      <c r="M778">
        <v>36000</v>
      </c>
      <c r="N778">
        <v>1.7</v>
      </c>
      <c r="O778">
        <v>3.8</v>
      </c>
      <c r="P778">
        <v>0.3</v>
      </c>
      <c r="Q778">
        <v>0</v>
      </c>
      <c r="R778">
        <v>2</v>
      </c>
      <c r="S778">
        <v>1</v>
      </c>
      <c r="T778">
        <v>4</v>
      </c>
      <c r="U778" t="s">
        <v>23</v>
      </c>
      <c r="V778">
        <v>4</v>
      </c>
      <c r="W778">
        <v>1</v>
      </c>
    </row>
    <row r="779" spans="1:23" x14ac:dyDescent="0.35">
      <c r="A779" t="s">
        <v>1549</v>
      </c>
      <c r="B779" s="6">
        <v>42282</v>
      </c>
      <c r="D779" t="s">
        <v>23</v>
      </c>
      <c r="E779">
        <v>32</v>
      </c>
      <c r="F779" t="s">
        <v>36</v>
      </c>
      <c r="G779" t="s">
        <v>25</v>
      </c>
      <c r="H779" t="s">
        <v>54</v>
      </c>
      <c r="I779" t="s">
        <v>55</v>
      </c>
      <c r="J779" t="s">
        <v>80</v>
      </c>
      <c r="K779">
        <v>3</v>
      </c>
      <c r="L779" t="s">
        <v>84</v>
      </c>
      <c r="M779">
        <v>93000</v>
      </c>
      <c r="N779">
        <v>5.5</v>
      </c>
      <c r="O779">
        <v>14.8</v>
      </c>
      <c r="P779">
        <v>10.199999999999999</v>
      </c>
      <c r="Q779">
        <v>1.1000000000000001</v>
      </c>
      <c r="R779">
        <v>2</v>
      </c>
      <c r="S779">
        <v>2</v>
      </c>
      <c r="T779">
        <v>4</v>
      </c>
      <c r="U779" t="s">
        <v>30</v>
      </c>
      <c r="V779">
        <v>4</v>
      </c>
      <c r="W779">
        <v>1</v>
      </c>
    </row>
    <row r="780" spans="1:23" x14ac:dyDescent="0.35">
      <c r="A780" t="s">
        <v>384</v>
      </c>
      <c r="B780" s="6">
        <v>43352</v>
      </c>
      <c r="C780">
        <v>46009</v>
      </c>
      <c r="D780" t="s">
        <v>30</v>
      </c>
      <c r="E780">
        <v>40</v>
      </c>
      <c r="F780" t="s">
        <v>36</v>
      </c>
      <c r="G780" t="s">
        <v>42</v>
      </c>
      <c r="H780" t="s">
        <v>54</v>
      </c>
      <c r="I780" t="s">
        <v>59</v>
      </c>
      <c r="J780" t="s">
        <v>86</v>
      </c>
      <c r="K780">
        <v>2</v>
      </c>
      <c r="L780" t="s">
        <v>84</v>
      </c>
      <c r="M780">
        <v>57000</v>
      </c>
      <c r="N780">
        <v>8.5</v>
      </c>
      <c r="O780">
        <v>15</v>
      </c>
      <c r="P780">
        <v>7.3</v>
      </c>
      <c r="Q780">
        <v>4.5999999999999996</v>
      </c>
      <c r="R780">
        <v>3</v>
      </c>
      <c r="S780">
        <v>3</v>
      </c>
      <c r="T780">
        <v>3</v>
      </c>
      <c r="U780" t="s">
        <v>23</v>
      </c>
      <c r="V780">
        <v>3</v>
      </c>
      <c r="W780">
        <v>1</v>
      </c>
    </row>
    <row r="781" spans="1:23" x14ac:dyDescent="0.35">
      <c r="A781" t="s">
        <v>1051</v>
      </c>
      <c r="B781" s="6">
        <v>43457</v>
      </c>
      <c r="D781" t="s">
        <v>23</v>
      </c>
      <c r="E781">
        <v>28</v>
      </c>
      <c r="F781" t="s">
        <v>36</v>
      </c>
      <c r="G781" t="s">
        <v>42</v>
      </c>
      <c r="H781" t="s">
        <v>54</v>
      </c>
      <c r="I781" t="s">
        <v>59</v>
      </c>
      <c r="J781" t="s">
        <v>60</v>
      </c>
      <c r="K781">
        <v>2</v>
      </c>
      <c r="L781" t="s">
        <v>40</v>
      </c>
      <c r="M781">
        <v>59000</v>
      </c>
      <c r="N781">
        <v>15.6</v>
      </c>
      <c r="O781">
        <v>13.1</v>
      </c>
      <c r="P781">
        <v>7</v>
      </c>
      <c r="Q781">
        <v>3.9</v>
      </c>
      <c r="R781">
        <v>1</v>
      </c>
      <c r="S781">
        <v>3</v>
      </c>
      <c r="T781">
        <v>2</v>
      </c>
      <c r="U781" t="s">
        <v>23</v>
      </c>
      <c r="V781">
        <v>4</v>
      </c>
      <c r="W781">
        <v>1</v>
      </c>
    </row>
    <row r="782" spans="1:23" x14ac:dyDescent="0.35">
      <c r="A782" t="s">
        <v>365</v>
      </c>
      <c r="B782" s="6">
        <v>45523</v>
      </c>
      <c r="D782" t="s">
        <v>23</v>
      </c>
      <c r="E782">
        <v>28</v>
      </c>
      <c r="F782" t="s">
        <v>36</v>
      </c>
      <c r="G782" t="s">
        <v>25</v>
      </c>
      <c r="H782" t="s">
        <v>26</v>
      </c>
      <c r="I782" t="s">
        <v>366</v>
      </c>
      <c r="J782" t="s">
        <v>164</v>
      </c>
      <c r="K782">
        <v>3</v>
      </c>
      <c r="L782" t="s">
        <v>84</v>
      </c>
      <c r="M782">
        <v>75000</v>
      </c>
      <c r="N782">
        <v>3.8</v>
      </c>
      <c r="O782">
        <v>7.2</v>
      </c>
      <c r="P782">
        <v>1.4</v>
      </c>
      <c r="Q782">
        <v>1.3</v>
      </c>
      <c r="R782">
        <v>4</v>
      </c>
      <c r="S782">
        <v>3</v>
      </c>
      <c r="T782">
        <v>2</v>
      </c>
      <c r="U782" t="s">
        <v>23</v>
      </c>
      <c r="V782">
        <v>4</v>
      </c>
      <c r="W782">
        <v>1</v>
      </c>
    </row>
    <row r="783" spans="1:23" x14ac:dyDescent="0.35">
      <c r="A783" t="s">
        <v>968</v>
      </c>
      <c r="B783" s="6">
        <v>42223</v>
      </c>
      <c r="D783" t="s">
        <v>23</v>
      </c>
      <c r="E783">
        <v>36</v>
      </c>
      <c r="F783" t="s">
        <v>36</v>
      </c>
      <c r="G783" t="s">
        <v>37</v>
      </c>
      <c r="H783" t="s">
        <v>26</v>
      </c>
      <c r="I783" t="s">
        <v>38</v>
      </c>
      <c r="J783" t="s">
        <v>52</v>
      </c>
      <c r="K783">
        <v>3</v>
      </c>
      <c r="L783" t="s">
        <v>40</v>
      </c>
      <c r="M783">
        <v>70000</v>
      </c>
      <c r="N783">
        <v>4.4000000000000004</v>
      </c>
      <c r="O783">
        <v>17.399999999999999</v>
      </c>
      <c r="P783">
        <v>10.4</v>
      </c>
      <c r="Q783">
        <v>1.1000000000000001</v>
      </c>
      <c r="R783">
        <v>2</v>
      </c>
      <c r="S783">
        <v>4</v>
      </c>
      <c r="T783">
        <v>4</v>
      </c>
      <c r="U783" t="s">
        <v>23</v>
      </c>
      <c r="V783">
        <v>3</v>
      </c>
      <c r="W783">
        <v>1</v>
      </c>
    </row>
    <row r="784" spans="1:23" x14ac:dyDescent="0.35">
      <c r="A784" t="s">
        <v>406</v>
      </c>
      <c r="B784" s="6">
        <v>43241</v>
      </c>
      <c r="D784" t="s">
        <v>23</v>
      </c>
      <c r="E784">
        <v>31</v>
      </c>
      <c r="F784" t="s">
        <v>24</v>
      </c>
      <c r="G784" t="s">
        <v>37</v>
      </c>
      <c r="H784" t="s">
        <v>54</v>
      </c>
      <c r="I784" t="s">
        <v>27</v>
      </c>
      <c r="J784" t="s">
        <v>33</v>
      </c>
      <c r="K784">
        <v>3</v>
      </c>
      <c r="L784" t="s">
        <v>29</v>
      </c>
      <c r="M784">
        <v>63000</v>
      </c>
      <c r="N784">
        <v>10.6</v>
      </c>
      <c r="O784">
        <v>11.3</v>
      </c>
      <c r="P784">
        <v>7.6</v>
      </c>
      <c r="Q784">
        <v>3.8</v>
      </c>
      <c r="R784">
        <v>2</v>
      </c>
      <c r="S784">
        <v>4</v>
      </c>
      <c r="T784">
        <v>4</v>
      </c>
      <c r="U784" t="s">
        <v>23</v>
      </c>
      <c r="V784">
        <v>5</v>
      </c>
      <c r="W784">
        <v>1</v>
      </c>
    </row>
    <row r="785" spans="1:23" x14ac:dyDescent="0.35">
      <c r="A785" t="s">
        <v>1533</v>
      </c>
      <c r="B785" s="6">
        <v>42998</v>
      </c>
      <c r="D785" t="s">
        <v>23</v>
      </c>
      <c r="E785">
        <v>32</v>
      </c>
      <c r="F785" t="s">
        <v>62</v>
      </c>
      <c r="G785" t="s">
        <v>25</v>
      </c>
      <c r="H785" t="s">
        <v>26</v>
      </c>
      <c r="I785" t="s">
        <v>38</v>
      </c>
      <c r="J785" t="s">
        <v>118</v>
      </c>
      <c r="K785">
        <v>3</v>
      </c>
      <c r="L785" t="s">
        <v>34</v>
      </c>
      <c r="M785">
        <v>80000</v>
      </c>
      <c r="N785">
        <v>13.2</v>
      </c>
      <c r="O785">
        <v>11.4</v>
      </c>
      <c r="P785">
        <v>8.3000000000000007</v>
      </c>
      <c r="Q785">
        <v>4.7</v>
      </c>
      <c r="R785">
        <v>3</v>
      </c>
      <c r="S785">
        <v>4</v>
      </c>
      <c r="T785">
        <v>4</v>
      </c>
      <c r="U785" t="s">
        <v>23</v>
      </c>
      <c r="V785">
        <v>4</v>
      </c>
      <c r="W785">
        <v>1</v>
      </c>
    </row>
    <row r="786" spans="1:23" x14ac:dyDescent="0.35">
      <c r="A786" t="s">
        <v>78</v>
      </c>
      <c r="B786" s="6">
        <v>44501</v>
      </c>
      <c r="D786" t="s">
        <v>23</v>
      </c>
      <c r="E786">
        <v>30</v>
      </c>
      <c r="F786" t="s">
        <v>24</v>
      </c>
      <c r="G786" t="s">
        <v>42</v>
      </c>
      <c r="H786" t="s">
        <v>26</v>
      </c>
      <c r="I786" t="s">
        <v>48</v>
      </c>
      <c r="J786" t="s">
        <v>63</v>
      </c>
      <c r="K786">
        <v>2</v>
      </c>
      <c r="L786" t="s">
        <v>29</v>
      </c>
      <c r="M786">
        <v>49000</v>
      </c>
      <c r="N786">
        <v>11</v>
      </c>
      <c r="O786">
        <v>9.9</v>
      </c>
      <c r="P786">
        <v>4.2</v>
      </c>
      <c r="Q786">
        <v>2.1</v>
      </c>
      <c r="R786">
        <v>4</v>
      </c>
      <c r="S786">
        <v>3</v>
      </c>
      <c r="T786">
        <v>3</v>
      </c>
      <c r="U786" t="s">
        <v>23</v>
      </c>
      <c r="V786">
        <v>2</v>
      </c>
      <c r="W786">
        <v>1</v>
      </c>
    </row>
    <row r="787" spans="1:23" x14ac:dyDescent="0.35">
      <c r="A787" t="s">
        <v>713</v>
      </c>
      <c r="B787" s="6">
        <v>44461</v>
      </c>
      <c r="D787" t="s">
        <v>23</v>
      </c>
      <c r="E787">
        <v>32</v>
      </c>
      <c r="F787" t="s">
        <v>24</v>
      </c>
      <c r="G787" t="s">
        <v>42</v>
      </c>
      <c r="H787" t="s">
        <v>58</v>
      </c>
      <c r="I787" t="s">
        <v>55</v>
      </c>
      <c r="J787" t="s">
        <v>88</v>
      </c>
      <c r="K787">
        <v>2</v>
      </c>
      <c r="L787" t="s">
        <v>84</v>
      </c>
      <c r="M787">
        <v>68000</v>
      </c>
      <c r="N787">
        <v>1.4</v>
      </c>
      <c r="O787">
        <v>5.0999999999999996</v>
      </c>
      <c r="P787">
        <v>4.3</v>
      </c>
      <c r="Q787">
        <v>2.8</v>
      </c>
      <c r="R787">
        <v>4</v>
      </c>
      <c r="S787">
        <v>2</v>
      </c>
      <c r="T787">
        <v>4</v>
      </c>
      <c r="U787" t="s">
        <v>23</v>
      </c>
      <c r="V787">
        <v>3</v>
      </c>
      <c r="W787">
        <v>1</v>
      </c>
    </row>
    <row r="788" spans="1:23" x14ac:dyDescent="0.35">
      <c r="A788" t="s">
        <v>1228</v>
      </c>
      <c r="B788" s="6">
        <v>43988</v>
      </c>
      <c r="C788">
        <v>45729</v>
      </c>
      <c r="D788" t="s">
        <v>30</v>
      </c>
      <c r="E788">
        <v>34</v>
      </c>
      <c r="F788" t="s">
        <v>36</v>
      </c>
      <c r="G788" t="s">
        <v>42</v>
      </c>
      <c r="H788" t="s">
        <v>32</v>
      </c>
      <c r="I788" t="s">
        <v>45</v>
      </c>
      <c r="J788" t="s">
        <v>46</v>
      </c>
      <c r="K788">
        <v>2</v>
      </c>
      <c r="L788" t="s">
        <v>66</v>
      </c>
      <c r="M788">
        <v>46000</v>
      </c>
      <c r="N788">
        <v>8.6</v>
      </c>
      <c r="O788">
        <v>6</v>
      </c>
      <c r="P788">
        <v>4.8</v>
      </c>
      <c r="Q788">
        <v>1.4</v>
      </c>
      <c r="R788">
        <v>3</v>
      </c>
      <c r="S788">
        <v>2</v>
      </c>
      <c r="T788">
        <v>3</v>
      </c>
      <c r="U788" t="s">
        <v>30</v>
      </c>
      <c r="V788">
        <v>3</v>
      </c>
      <c r="W788">
        <v>1</v>
      </c>
    </row>
    <row r="789" spans="1:23" x14ac:dyDescent="0.35">
      <c r="A789" t="s">
        <v>649</v>
      </c>
      <c r="B789" s="6">
        <v>45791</v>
      </c>
      <c r="D789" t="s">
        <v>23</v>
      </c>
      <c r="E789">
        <v>21</v>
      </c>
      <c r="F789" t="s">
        <v>24</v>
      </c>
      <c r="G789" t="s">
        <v>37</v>
      </c>
      <c r="H789" t="s">
        <v>58</v>
      </c>
      <c r="I789" t="s">
        <v>45</v>
      </c>
      <c r="J789" t="s">
        <v>77</v>
      </c>
      <c r="K789">
        <v>1</v>
      </c>
      <c r="L789" t="s">
        <v>40</v>
      </c>
      <c r="M789">
        <v>45000</v>
      </c>
      <c r="N789">
        <v>9.1999999999999993</v>
      </c>
      <c r="O789">
        <v>6.2</v>
      </c>
      <c r="P789">
        <v>0.6</v>
      </c>
      <c r="Q789">
        <v>0</v>
      </c>
      <c r="R789">
        <v>3</v>
      </c>
      <c r="S789">
        <v>3</v>
      </c>
      <c r="T789">
        <v>3</v>
      </c>
      <c r="U789" t="s">
        <v>23</v>
      </c>
      <c r="V789">
        <v>4</v>
      </c>
      <c r="W789">
        <v>1</v>
      </c>
    </row>
    <row r="790" spans="1:23" x14ac:dyDescent="0.35">
      <c r="A790" t="s">
        <v>298</v>
      </c>
      <c r="B790" s="6">
        <v>42831</v>
      </c>
      <c r="D790" t="s">
        <v>23</v>
      </c>
      <c r="E790">
        <v>40</v>
      </c>
      <c r="F790" t="s">
        <v>36</v>
      </c>
      <c r="G790" t="s">
        <v>25</v>
      </c>
      <c r="H790" t="s">
        <v>58</v>
      </c>
      <c r="I790" t="s">
        <v>27</v>
      </c>
      <c r="J790" t="s">
        <v>43</v>
      </c>
      <c r="K790">
        <v>2</v>
      </c>
      <c r="L790" t="s">
        <v>34</v>
      </c>
      <c r="M790">
        <v>41000</v>
      </c>
      <c r="N790">
        <v>10.9</v>
      </c>
      <c r="O790">
        <v>13.7</v>
      </c>
      <c r="P790">
        <v>8.6999999999999993</v>
      </c>
      <c r="Q790">
        <v>1</v>
      </c>
      <c r="R790">
        <v>4</v>
      </c>
      <c r="S790">
        <v>3</v>
      </c>
      <c r="T790">
        <v>2</v>
      </c>
      <c r="U790" t="s">
        <v>23</v>
      </c>
      <c r="V790">
        <v>4</v>
      </c>
      <c r="W790">
        <v>1</v>
      </c>
    </row>
    <row r="791" spans="1:23" x14ac:dyDescent="0.35">
      <c r="A791" t="s">
        <v>1094</v>
      </c>
      <c r="B791" s="6">
        <v>42192</v>
      </c>
      <c r="D791" t="s">
        <v>23</v>
      </c>
      <c r="E791">
        <v>39</v>
      </c>
      <c r="F791" t="s">
        <v>62</v>
      </c>
      <c r="G791" t="s">
        <v>25</v>
      </c>
      <c r="H791" t="s">
        <v>26</v>
      </c>
      <c r="I791" t="s">
        <v>59</v>
      </c>
      <c r="J791" t="s">
        <v>60</v>
      </c>
      <c r="K791">
        <v>3</v>
      </c>
      <c r="L791" t="s">
        <v>29</v>
      </c>
      <c r="M791">
        <v>56000</v>
      </c>
      <c r="N791">
        <v>8.6</v>
      </c>
      <c r="O791">
        <v>15.8</v>
      </c>
      <c r="P791">
        <v>10.5</v>
      </c>
      <c r="Q791">
        <v>0.4</v>
      </c>
      <c r="R791">
        <v>3</v>
      </c>
      <c r="S791">
        <v>2</v>
      </c>
      <c r="T791">
        <v>2</v>
      </c>
      <c r="U791" t="s">
        <v>23</v>
      </c>
      <c r="V791">
        <v>2</v>
      </c>
      <c r="W791">
        <v>1</v>
      </c>
    </row>
    <row r="792" spans="1:23" x14ac:dyDescent="0.35">
      <c r="A792" t="s">
        <v>487</v>
      </c>
      <c r="B792" s="6">
        <v>43480</v>
      </c>
      <c r="D792" t="s">
        <v>23</v>
      </c>
      <c r="E792">
        <v>36</v>
      </c>
      <c r="F792" t="s">
        <v>24</v>
      </c>
      <c r="G792" t="s">
        <v>42</v>
      </c>
      <c r="H792" t="s">
        <v>26</v>
      </c>
      <c r="I792" t="s">
        <v>55</v>
      </c>
      <c r="J792" t="s">
        <v>88</v>
      </c>
      <c r="K792">
        <v>3</v>
      </c>
      <c r="L792" t="s">
        <v>84</v>
      </c>
      <c r="M792">
        <v>94000</v>
      </c>
      <c r="N792">
        <v>6.2</v>
      </c>
      <c r="O792">
        <v>13.5</v>
      </c>
      <c r="P792">
        <v>7</v>
      </c>
      <c r="Q792">
        <v>4.7</v>
      </c>
      <c r="R792">
        <v>1</v>
      </c>
      <c r="S792">
        <v>4</v>
      </c>
      <c r="T792">
        <v>3</v>
      </c>
      <c r="U792" t="s">
        <v>23</v>
      </c>
      <c r="V792">
        <v>3</v>
      </c>
      <c r="W792">
        <v>1</v>
      </c>
    </row>
    <row r="793" spans="1:23" x14ac:dyDescent="0.35">
      <c r="A793" t="s">
        <v>270</v>
      </c>
      <c r="B793" s="6">
        <v>41803</v>
      </c>
      <c r="C793">
        <v>45686</v>
      </c>
      <c r="D793" t="s">
        <v>30</v>
      </c>
      <c r="E793">
        <v>32</v>
      </c>
      <c r="F793" t="s">
        <v>62</v>
      </c>
      <c r="G793" t="s">
        <v>37</v>
      </c>
      <c r="H793" t="s">
        <v>32</v>
      </c>
      <c r="I793" t="s">
        <v>27</v>
      </c>
      <c r="J793" t="s">
        <v>43</v>
      </c>
      <c r="K793">
        <v>2</v>
      </c>
      <c r="L793" t="s">
        <v>29</v>
      </c>
      <c r="M793">
        <v>43000</v>
      </c>
      <c r="N793">
        <v>12.4</v>
      </c>
      <c r="O793">
        <v>14.2</v>
      </c>
      <c r="P793">
        <v>10.6</v>
      </c>
      <c r="Q793">
        <v>3.1</v>
      </c>
      <c r="R793">
        <v>3</v>
      </c>
      <c r="S793">
        <v>2</v>
      </c>
      <c r="T793">
        <v>4</v>
      </c>
      <c r="U793" t="s">
        <v>23</v>
      </c>
      <c r="V793">
        <v>3</v>
      </c>
      <c r="W793">
        <v>1</v>
      </c>
    </row>
    <row r="794" spans="1:23" x14ac:dyDescent="0.35">
      <c r="A794" t="s">
        <v>498</v>
      </c>
      <c r="B794" s="6">
        <v>45868</v>
      </c>
      <c r="D794" t="s">
        <v>23</v>
      </c>
      <c r="E794">
        <v>21</v>
      </c>
      <c r="F794" t="s">
        <v>36</v>
      </c>
      <c r="G794" t="s">
        <v>37</v>
      </c>
      <c r="H794" t="s">
        <v>32</v>
      </c>
      <c r="I794" t="s">
        <v>45</v>
      </c>
      <c r="J794" t="s">
        <v>46</v>
      </c>
      <c r="K794">
        <v>1</v>
      </c>
      <c r="L794" t="s">
        <v>40</v>
      </c>
      <c r="M794">
        <v>28000</v>
      </c>
      <c r="N794">
        <v>4.8</v>
      </c>
      <c r="O794">
        <v>6.4</v>
      </c>
      <c r="P794">
        <v>0.4</v>
      </c>
      <c r="Q794">
        <v>0</v>
      </c>
      <c r="R794">
        <v>3</v>
      </c>
      <c r="S794">
        <v>4</v>
      </c>
      <c r="T794">
        <v>4</v>
      </c>
      <c r="U794" t="s">
        <v>23</v>
      </c>
      <c r="V794">
        <v>2</v>
      </c>
      <c r="W794">
        <v>1</v>
      </c>
    </row>
    <row r="795" spans="1:23" x14ac:dyDescent="0.35">
      <c r="A795" t="s">
        <v>797</v>
      </c>
      <c r="B795" s="6">
        <v>45285</v>
      </c>
      <c r="D795" t="s">
        <v>23</v>
      </c>
      <c r="E795">
        <v>24</v>
      </c>
      <c r="F795" t="s">
        <v>62</v>
      </c>
      <c r="G795" t="s">
        <v>25</v>
      </c>
      <c r="H795" t="s">
        <v>32</v>
      </c>
      <c r="I795" t="s">
        <v>55</v>
      </c>
      <c r="J795" t="s">
        <v>80</v>
      </c>
      <c r="K795">
        <v>1</v>
      </c>
      <c r="L795" t="s">
        <v>66</v>
      </c>
      <c r="M795">
        <v>40000</v>
      </c>
      <c r="N795">
        <v>14.3</v>
      </c>
      <c r="O795">
        <v>7.1</v>
      </c>
      <c r="P795">
        <v>2</v>
      </c>
      <c r="Q795">
        <v>0.4</v>
      </c>
      <c r="R795">
        <v>4</v>
      </c>
      <c r="S795">
        <v>2</v>
      </c>
      <c r="T795">
        <v>2</v>
      </c>
      <c r="U795" t="s">
        <v>23</v>
      </c>
      <c r="V795">
        <v>3</v>
      </c>
      <c r="W795">
        <v>1</v>
      </c>
    </row>
    <row r="796" spans="1:23" x14ac:dyDescent="0.35">
      <c r="A796" t="s">
        <v>1551</v>
      </c>
      <c r="B796" s="6">
        <v>44064</v>
      </c>
      <c r="D796" t="s">
        <v>23</v>
      </c>
      <c r="E796">
        <v>29</v>
      </c>
      <c r="F796" t="s">
        <v>24</v>
      </c>
      <c r="G796" t="s">
        <v>42</v>
      </c>
      <c r="H796" t="s">
        <v>54</v>
      </c>
      <c r="I796" t="s">
        <v>48</v>
      </c>
      <c r="J796" t="s">
        <v>129</v>
      </c>
      <c r="K796">
        <v>3</v>
      </c>
      <c r="L796" t="s">
        <v>66</v>
      </c>
      <c r="M796">
        <v>84000</v>
      </c>
      <c r="N796">
        <v>7.2</v>
      </c>
      <c r="O796">
        <v>11.6</v>
      </c>
      <c r="P796">
        <v>5.4</v>
      </c>
      <c r="Q796">
        <v>1.1000000000000001</v>
      </c>
      <c r="R796">
        <v>2</v>
      </c>
      <c r="S796">
        <v>4</v>
      </c>
      <c r="T796">
        <v>3</v>
      </c>
      <c r="U796" t="s">
        <v>23</v>
      </c>
      <c r="V796">
        <v>3</v>
      </c>
      <c r="W796">
        <v>1</v>
      </c>
    </row>
    <row r="797" spans="1:23" x14ac:dyDescent="0.35">
      <c r="A797" t="s">
        <v>307</v>
      </c>
      <c r="B797" s="6">
        <v>44829</v>
      </c>
      <c r="D797" t="s">
        <v>23</v>
      </c>
      <c r="E797">
        <v>25</v>
      </c>
      <c r="F797" t="s">
        <v>62</v>
      </c>
      <c r="G797" t="s">
        <v>42</v>
      </c>
      <c r="H797" t="s">
        <v>54</v>
      </c>
      <c r="I797" t="s">
        <v>68</v>
      </c>
      <c r="J797" t="s">
        <v>121</v>
      </c>
      <c r="K797">
        <v>1</v>
      </c>
      <c r="L797" t="s">
        <v>50</v>
      </c>
      <c r="M797">
        <v>22000</v>
      </c>
      <c r="N797">
        <v>7.4</v>
      </c>
      <c r="O797">
        <v>8.4</v>
      </c>
      <c r="P797">
        <v>3.3</v>
      </c>
      <c r="Q797">
        <v>0.9</v>
      </c>
      <c r="R797">
        <v>3</v>
      </c>
      <c r="S797">
        <v>3</v>
      </c>
      <c r="T797">
        <v>3</v>
      </c>
      <c r="U797" t="s">
        <v>23</v>
      </c>
      <c r="V797">
        <v>4</v>
      </c>
      <c r="W797">
        <v>1</v>
      </c>
    </row>
    <row r="798" spans="1:23" x14ac:dyDescent="0.35">
      <c r="A798" t="s">
        <v>656</v>
      </c>
      <c r="B798" s="6">
        <v>44549</v>
      </c>
      <c r="D798" t="s">
        <v>23</v>
      </c>
      <c r="E798">
        <v>32</v>
      </c>
      <c r="F798" t="s">
        <v>62</v>
      </c>
      <c r="G798" t="s">
        <v>25</v>
      </c>
      <c r="H798" t="s">
        <v>32</v>
      </c>
      <c r="I798" t="s">
        <v>59</v>
      </c>
      <c r="J798" t="s">
        <v>86</v>
      </c>
      <c r="K798">
        <v>3</v>
      </c>
      <c r="L798" t="s">
        <v>40</v>
      </c>
      <c r="M798">
        <v>71000</v>
      </c>
      <c r="N798">
        <v>5.2</v>
      </c>
      <c r="O798">
        <v>4.5999999999999996</v>
      </c>
      <c r="P798">
        <v>4</v>
      </c>
      <c r="Q798">
        <v>1.7</v>
      </c>
      <c r="R798">
        <v>3</v>
      </c>
      <c r="S798">
        <v>3</v>
      </c>
      <c r="T798">
        <v>4</v>
      </c>
      <c r="U798" t="s">
        <v>23</v>
      </c>
      <c r="V798">
        <v>3</v>
      </c>
      <c r="W798">
        <v>1</v>
      </c>
    </row>
    <row r="799" spans="1:23" x14ac:dyDescent="0.35">
      <c r="A799" t="s">
        <v>985</v>
      </c>
      <c r="B799" s="6">
        <v>44882</v>
      </c>
      <c r="D799" t="s">
        <v>23</v>
      </c>
      <c r="E799">
        <v>24</v>
      </c>
      <c r="F799" t="s">
        <v>24</v>
      </c>
      <c r="G799" t="s">
        <v>42</v>
      </c>
      <c r="H799" t="s">
        <v>32</v>
      </c>
      <c r="I799" t="s">
        <v>59</v>
      </c>
      <c r="J799" t="s">
        <v>75</v>
      </c>
      <c r="K799">
        <v>1</v>
      </c>
      <c r="L799" t="s">
        <v>40</v>
      </c>
      <c r="M799">
        <v>40000</v>
      </c>
      <c r="N799">
        <v>5</v>
      </c>
      <c r="O799">
        <v>7.4</v>
      </c>
      <c r="P799">
        <v>3.1</v>
      </c>
      <c r="Q799">
        <v>0.3</v>
      </c>
      <c r="R799">
        <v>3</v>
      </c>
      <c r="S799">
        <v>3</v>
      </c>
      <c r="T799">
        <v>3</v>
      </c>
      <c r="U799" t="s">
        <v>30</v>
      </c>
      <c r="V799">
        <v>4</v>
      </c>
      <c r="W799">
        <v>1</v>
      </c>
    </row>
    <row r="800" spans="1:23" x14ac:dyDescent="0.35">
      <c r="A800" t="s">
        <v>1331</v>
      </c>
      <c r="B800" s="6">
        <v>45138</v>
      </c>
      <c r="C800">
        <v>45922</v>
      </c>
      <c r="D800" t="s">
        <v>30</v>
      </c>
      <c r="E800">
        <v>23</v>
      </c>
      <c r="F800" t="s">
        <v>36</v>
      </c>
      <c r="G800" t="s">
        <v>42</v>
      </c>
      <c r="H800" t="s">
        <v>58</v>
      </c>
      <c r="I800" t="s">
        <v>59</v>
      </c>
      <c r="J800" t="s">
        <v>60</v>
      </c>
      <c r="K800">
        <v>1</v>
      </c>
      <c r="L800" t="s">
        <v>84</v>
      </c>
      <c r="M800">
        <v>28000</v>
      </c>
      <c r="N800">
        <v>12.9</v>
      </c>
      <c r="O800">
        <v>10</v>
      </c>
      <c r="P800">
        <v>2.1</v>
      </c>
      <c r="Q800">
        <v>1.4</v>
      </c>
      <c r="R800">
        <v>3</v>
      </c>
      <c r="S800">
        <v>4</v>
      </c>
      <c r="T800">
        <v>4</v>
      </c>
      <c r="U800" t="s">
        <v>23</v>
      </c>
      <c r="V800">
        <v>3</v>
      </c>
      <c r="W800">
        <v>1</v>
      </c>
    </row>
    <row r="801" spans="1:23" x14ac:dyDescent="0.35">
      <c r="A801" t="s">
        <v>1485</v>
      </c>
      <c r="B801" s="6">
        <v>44400</v>
      </c>
      <c r="D801" t="s">
        <v>23</v>
      </c>
      <c r="E801">
        <v>40</v>
      </c>
      <c r="F801" t="s">
        <v>36</v>
      </c>
      <c r="G801" t="s">
        <v>25</v>
      </c>
      <c r="H801" t="s">
        <v>32</v>
      </c>
      <c r="I801" t="s">
        <v>55</v>
      </c>
      <c r="J801" t="s">
        <v>88</v>
      </c>
      <c r="K801">
        <v>2</v>
      </c>
      <c r="L801" t="s">
        <v>34</v>
      </c>
      <c r="M801">
        <v>66000</v>
      </c>
      <c r="N801">
        <v>4.5999999999999996</v>
      </c>
      <c r="O801">
        <v>7.6</v>
      </c>
      <c r="P801">
        <v>4.4000000000000004</v>
      </c>
      <c r="Q801">
        <v>1.8</v>
      </c>
      <c r="R801">
        <v>3</v>
      </c>
      <c r="S801">
        <v>4</v>
      </c>
      <c r="T801">
        <v>3</v>
      </c>
      <c r="U801" t="s">
        <v>23</v>
      </c>
      <c r="V801">
        <v>5</v>
      </c>
      <c r="W801">
        <v>1</v>
      </c>
    </row>
    <row r="802" spans="1:23" x14ac:dyDescent="0.35">
      <c r="A802" t="s">
        <v>942</v>
      </c>
      <c r="B802" s="6">
        <v>43932</v>
      </c>
      <c r="D802" t="s">
        <v>23</v>
      </c>
      <c r="E802">
        <v>28</v>
      </c>
      <c r="F802" t="s">
        <v>24</v>
      </c>
      <c r="G802" t="s">
        <v>37</v>
      </c>
      <c r="H802" t="s">
        <v>54</v>
      </c>
      <c r="I802" t="s">
        <v>59</v>
      </c>
      <c r="J802" t="s">
        <v>150</v>
      </c>
      <c r="K802">
        <v>1</v>
      </c>
      <c r="L802" t="s">
        <v>84</v>
      </c>
      <c r="M802">
        <v>45000</v>
      </c>
      <c r="N802">
        <v>4.2</v>
      </c>
      <c r="O802">
        <v>8.6999999999999993</v>
      </c>
      <c r="P802">
        <v>5.7</v>
      </c>
      <c r="Q802">
        <v>1.8</v>
      </c>
      <c r="R802">
        <v>3</v>
      </c>
      <c r="S802">
        <v>4</v>
      </c>
      <c r="T802">
        <v>3</v>
      </c>
      <c r="U802" t="s">
        <v>30</v>
      </c>
      <c r="V802">
        <v>4</v>
      </c>
      <c r="W802">
        <v>1</v>
      </c>
    </row>
    <row r="803" spans="1:23" x14ac:dyDescent="0.35">
      <c r="A803" t="s">
        <v>894</v>
      </c>
      <c r="B803" s="6">
        <v>44522</v>
      </c>
      <c r="D803" t="s">
        <v>23</v>
      </c>
      <c r="E803">
        <v>39</v>
      </c>
      <c r="F803" t="s">
        <v>36</v>
      </c>
      <c r="G803" t="s">
        <v>37</v>
      </c>
      <c r="H803" t="s">
        <v>58</v>
      </c>
      <c r="I803" t="s">
        <v>38</v>
      </c>
      <c r="J803" t="s">
        <v>118</v>
      </c>
      <c r="K803">
        <v>2</v>
      </c>
      <c r="L803" t="s">
        <v>66</v>
      </c>
      <c r="M803">
        <v>76000</v>
      </c>
      <c r="N803">
        <v>7.4</v>
      </c>
      <c r="O803">
        <v>11.9</v>
      </c>
      <c r="P803">
        <v>4.0999999999999996</v>
      </c>
      <c r="Q803">
        <v>0.2</v>
      </c>
      <c r="R803">
        <v>3</v>
      </c>
      <c r="S803">
        <v>3</v>
      </c>
      <c r="T803">
        <v>3</v>
      </c>
      <c r="U803" t="s">
        <v>23</v>
      </c>
      <c r="V803">
        <v>5</v>
      </c>
      <c r="W803">
        <v>1</v>
      </c>
    </row>
    <row r="804" spans="1:23" x14ac:dyDescent="0.35">
      <c r="A804" t="s">
        <v>301</v>
      </c>
      <c r="B804" s="6">
        <v>45673</v>
      </c>
      <c r="D804" t="s">
        <v>23</v>
      </c>
      <c r="E804">
        <v>49</v>
      </c>
      <c r="F804" t="s">
        <v>62</v>
      </c>
      <c r="G804" t="s">
        <v>42</v>
      </c>
      <c r="H804" t="s">
        <v>32</v>
      </c>
      <c r="I804" t="s">
        <v>27</v>
      </c>
      <c r="J804" t="s">
        <v>33</v>
      </c>
      <c r="K804">
        <v>1</v>
      </c>
      <c r="L804" t="s">
        <v>40</v>
      </c>
      <c r="M804">
        <v>27000</v>
      </c>
      <c r="N804">
        <v>2.9</v>
      </c>
      <c r="O804">
        <v>3.2</v>
      </c>
      <c r="P804">
        <v>1</v>
      </c>
      <c r="Q804">
        <v>0.5</v>
      </c>
      <c r="R804">
        <v>3</v>
      </c>
      <c r="S804">
        <v>4</v>
      </c>
      <c r="T804">
        <v>2</v>
      </c>
      <c r="U804" t="s">
        <v>23</v>
      </c>
      <c r="V804">
        <v>5</v>
      </c>
      <c r="W804">
        <v>1</v>
      </c>
    </row>
    <row r="805" spans="1:23" x14ac:dyDescent="0.35">
      <c r="A805" t="s">
        <v>845</v>
      </c>
      <c r="B805" s="6">
        <v>43512</v>
      </c>
      <c r="D805" t="s">
        <v>23</v>
      </c>
      <c r="E805">
        <v>38</v>
      </c>
      <c r="F805" t="s">
        <v>24</v>
      </c>
      <c r="G805" t="s">
        <v>25</v>
      </c>
      <c r="H805" t="s">
        <v>58</v>
      </c>
      <c r="I805" t="s">
        <v>27</v>
      </c>
      <c r="J805" t="s">
        <v>28</v>
      </c>
      <c r="K805">
        <v>3</v>
      </c>
      <c r="L805" t="s">
        <v>84</v>
      </c>
      <c r="M805">
        <v>57000</v>
      </c>
      <c r="N805">
        <v>7.5</v>
      </c>
      <c r="O805">
        <v>12.2</v>
      </c>
      <c r="P805">
        <v>6.9</v>
      </c>
      <c r="Q805">
        <v>3.3</v>
      </c>
      <c r="R805">
        <v>3</v>
      </c>
      <c r="S805">
        <v>4</v>
      </c>
      <c r="T805">
        <v>3</v>
      </c>
      <c r="U805" t="s">
        <v>23</v>
      </c>
      <c r="V805">
        <v>2</v>
      </c>
      <c r="W805">
        <v>1</v>
      </c>
    </row>
    <row r="806" spans="1:23" x14ac:dyDescent="0.35">
      <c r="A806" t="s">
        <v>554</v>
      </c>
      <c r="B806" s="6">
        <v>44995</v>
      </c>
      <c r="D806" t="s">
        <v>23</v>
      </c>
      <c r="E806">
        <v>34</v>
      </c>
      <c r="F806" t="s">
        <v>24</v>
      </c>
      <c r="G806" t="s">
        <v>37</v>
      </c>
      <c r="H806" t="s">
        <v>54</v>
      </c>
      <c r="I806" t="s">
        <v>59</v>
      </c>
      <c r="J806" t="s">
        <v>60</v>
      </c>
      <c r="K806">
        <v>3</v>
      </c>
      <c r="L806" t="s">
        <v>34</v>
      </c>
      <c r="M806">
        <v>79000</v>
      </c>
      <c r="N806">
        <v>9.9</v>
      </c>
      <c r="O806">
        <v>4.4000000000000004</v>
      </c>
      <c r="P806">
        <v>2.8</v>
      </c>
      <c r="Q806">
        <v>2.7</v>
      </c>
      <c r="R806">
        <v>2</v>
      </c>
      <c r="S806">
        <v>3</v>
      </c>
      <c r="T806">
        <v>3</v>
      </c>
      <c r="U806" t="s">
        <v>23</v>
      </c>
      <c r="V806">
        <v>5</v>
      </c>
      <c r="W806">
        <v>1</v>
      </c>
    </row>
    <row r="807" spans="1:23" x14ac:dyDescent="0.35">
      <c r="A807" t="s">
        <v>764</v>
      </c>
      <c r="B807" s="6">
        <v>44251</v>
      </c>
      <c r="D807" t="s">
        <v>23</v>
      </c>
      <c r="E807">
        <v>26</v>
      </c>
      <c r="F807" t="s">
        <v>36</v>
      </c>
      <c r="G807" t="s">
        <v>25</v>
      </c>
      <c r="H807" t="s">
        <v>54</v>
      </c>
      <c r="I807" t="s">
        <v>48</v>
      </c>
      <c r="J807" t="s">
        <v>201</v>
      </c>
      <c r="K807">
        <v>1</v>
      </c>
      <c r="L807" t="s">
        <v>84</v>
      </c>
      <c r="M807">
        <v>29000</v>
      </c>
      <c r="N807">
        <v>5.9</v>
      </c>
      <c r="O807">
        <v>7.8</v>
      </c>
      <c r="P807">
        <v>4.8</v>
      </c>
      <c r="Q807">
        <v>2.7</v>
      </c>
      <c r="R807">
        <v>1</v>
      </c>
      <c r="S807">
        <v>4</v>
      </c>
      <c r="T807">
        <v>4</v>
      </c>
      <c r="U807" t="s">
        <v>23</v>
      </c>
      <c r="V807">
        <v>5</v>
      </c>
      <c r="W807">
        <v>1</v>
      </c>
    </row>
    <row r="808" spans="1:23" x14ac:dyDescent="0.35">
      <c r="A808" t="s">
        <v>718</v>
      </c>
      <c r="B808" s="6">
        <v>42774</v>
      </c>
      <c r="D808" t="s">
        <v>23</v>
      </c>
      <c r="E808">
        <v>39</v>
      </c>
      <c r="F808" t="s">
        <v>62</v>
      </c>
      <c r="G808" t="s">
        <v>25</v>
      </c>
      <c r="H808" t="s">
        <v>32</v>
      </c>
      <c r="I808" t="s">
        <v>27</v>
      </c>
      <c r="J808" t="s">
        <v>28</v>
      </c>
      <c r="K808">
        <v>3</v>
      </c>
      <c r="L808" t="s">
        <v>50</v>
      </c>
      <c r="M808">
        <v>78000</v>
      </c>
      <c r="N808">
        <v>13.7</v>
      </c>
      <c r="O808">
        <v>13.1</v>
      </c>
      <c r="P808">
        <v>8.9</v>
      </c>
      <c r="Q808">
        <v>4.8</v>
      </c>
      <c r="R808">
        <v>4</v>
      </c>
      <c r="S808">
        <v>4</v>
      </c>
      <c r="T808">
        <v>2</v>
      </c>
      <c r="U808" t="s">
        <v>23</v>
      </c>
      <c r="V808">
        <v>5</v>
      </c>
      <c r="W808">
        <v>1</v>
      </c>
    </row>
    <row r="809" spans="1:23" x14ac:dyDescent="0.35">
      <c r="A809" t="s">
        <v>126</v>
      </c>
      <c r="B809" s="6">
        <v>43923</v>
      </c>
      <c r="D809" t="s">
        <v>23</v>
      </c>
      <c r="E809">
        <v>45</v>
      </c>
      <c r="F809" t="s">
        <v>62</v>
      </c>
      <c r="G809" t="s">
        <v>42</v>
      </c>
      <c r="H809" t="s">
        <v>26</v>
      </c>
      <c r="I809" t="s">
        <v>59</v>
      </c>
      <c r="J809" t="s">
        <v>60</v>
      </c>
      <c r="K809">
        <v>4</v>
      </c>
      <c r="L809" t="s">
        <v>34</v>
      </c>
      <c r="M809">
        <v>122000</v>
      </c>
      <c r="N809">
        <v>11.9</v>
      </c>
      <c r="O809">
        <v>8.4</v>
      </c>
      <c r="P809">
        <v>5.7</v>
      </c>
      <c r="Q809">
        <v>1</v>
      </c>
      <c r="R809">
        <v>4</v>
      </c>
      <c r="S809">
        <v>3</v>
      </c>
      <c r="T809">
        <v>3</v>
      </c>
      <c r="U809" t="s">
        <v>23</v>
      </c>
      <c r="V809">
        <v>4</v>
      </c>
      <c r="W809">
        <v>1</v>
      </c>
    </row>
    <row r="810" spans="1:23" x14ac:dyDescent="0.35">
      <c r="A810" t="s">
        <v>750</v>
      </c>
      <c r="B810" s="6">
        <v>45911</v>
      </c>
      <c r="C810">
        <v>45998</v>
      </c>
      <c r="D810" t="s">
        <v>30</v>
      </c>
      <c r="E810">
        <v>21</v>
      </c>
      <c r="F810" t="s">
        <v>62</v>
      </c>
      <c r="G810" t="s">
        <v>25</v>
      </c>
      <c r="H810" t="s">
        <v>32</v>
      </c>
      <c r="I810" t="s">
        <v>27</v>
      </c>
      <c r="J810" t="s">
        <v>28</v>
      </c>
      <c r="K810">
        <v>1</v>
      </c>
      <c r="L810" t="s">
        <v>66</v>
      </c>
      <c r="M810">
        <v>27000</v>
      </c>
      <c r="N810">
        <v>6.1</v>
      </c>
      <c r="O810">
        <v>1.4</v>
      </c>
      <c r="P810">
        <v>0.2</v>
      </c>
      <c r="Q810">
        <v>0</v>
      </c>
      <c r="R810">
        <v>1</v>
      </c>
      <c r="S810">
        <v>3</v>
      </c>
      <c r="T810">
        <v>4</v>
      </c>
      <c r="U810" t="s">
        <v>23</v>
      </c>
      <c r="V810">
        <v>4</v>
      </c>
      <c r="W810">
        <v>1</v>
      </c>
    </row>
    <row r="811" spans="1:23" x14ac:dyDescent="0.35">
      <c r="A811" t="s">
        <v>828</v>
      </c>
      <c r="B811" s="6">
        <v>45520</v>
      </c>
      <c r="C811">
        <v>45931</v>
      </c>
      <c r="D811" t="s">
        <v>30</v>
      </c>
      <c r="E811">
        <v>26</v>
      </c>
      <c r="F811" t="s">
        <v>36</v>
      </c>
      <c r="G811" t="s">
        <v>42</v>
      </c>
      <c r="H811" t="s">
        <v>32</v>
      </c>
      <c r="I811" t="s">
        <v>68</v>
      </c>
      <c r="J811" t="s">
        <v>109</v>
      </c>
      <c r="K811">
        <v>1</v>
      </c>
      <c r="L811" t="s">
        <v>29</v>
      </c>
      <c r="M811">
        <v>40000</v>
      </c>
      <c r="N811">
        <v>14.5</v>
      </c>
      <c r="O811">
        <v>5.9</v>
      </c>
      <c r="P811">
        <v>1.1000000000000001</v>
      </c>
      <c r="Q811">
        <v>0.9</v>
      </c>
      <c r="R811">
        <v>3</v>
      </c>
      <c r="S811">
        <v>4</v>
      </c>
      <c r="T811">
        <v>3</v>
      </c>
      <c r="U811" t="s">
        <v>30</v>
      </c>
      <c r="V811">
        <v>5</v>
      </c>
      <c r="W811">
        <v>1</v>
      </c>
    </row>
    <row r="812" spans="1:23" x14ac:dyDescent="0.35">
      <c r="A812" t="s">
        <v>203</v>
      </c>
      <c r="B812" s="6">
        <v>44100</v>
      </c>
      <c r="D812" t="s">
        <v>23</v>
      </c>
      <c r="E812">
        <v>35</v>
      </c>
      <c r="F812" t="s">
        <v>36</v>
      </c>
      <c r="G812" t="s">
        <v>37</v>
      </c>
      <c r="H812" t="s">
        <v>54</v>
      </c>
      <c r="I812" t="s">
        <v>55</v>
      </c>
      <c r="J812" t="s">
        <v>179</v>
      </c>
      <c r="K812">
        <v>2</v>
      </c>
      <c r="L812" t="s">
        <v>29</v>
      </c>
      <c r="M812">
        <v>53000</v>
      </c>
      <c r="N812">
        <v>5.6</v>
      </c>
      <c r="O812">
        <v>8.1</v>
      </c>
      <c r="P812">
        <v>5.3</v>
      </c>
      <c r="Q812">
        <v>0.7</v>
      </c>
      <c r="R812">
        <v>4</v>
      </c>
      <c r="S812">
        <v>4</v>
      </c>
      <c r="T812">
        <v>3</v>
      </c>
      <c r="U812" t="s">
        <v>30</v>
      </c>
      <c r="V812">
        <v>4</v>
      </c>
      <c r="W812">
        <v>1</v>
      </c>
    </row>
    <row r="813" spans="1:23" x14ac:dyDescent="0.35">
      <c r="A813" t="s">
        <v>1568</v>
      </c>
      <c r="B813" s="6">
        <v>44004</v>
      </c>
      <c r="D813" t="s">
        <v>23</v>
      </c>
      <c r="E813">
        <v>38</v>
      </c>
      <c r="F813" t="s">
        <v>24</v>
      </c>
      <c r="G813" t="s">
        <v>37</v>
      </c>
      <c r="H813" t="s">
        <v>32</v>
      </c>
      <c r="I813" t="s">
        <v>59</v>
      </c>
      <c r="J813" t="s">
        <v>86</v>
      </c>
      <c r="K813">
        <v>2</v>
      </c>
      <c r="L813" t="s">
        <v>50</v>
      </c>
      <c r="M813">
        <v>51000</v>
      </c>
      <c r="N813">
        <v>7.3</v>
      </c>
      <c r="O813">
        <v>12</v>
      </c>
      <c r="P813">
        <v>5.5</v>
      </c>
      <c r="Q813">
        <v>0.5</v>
      </c>
      <c r="R813">
        <v>2</v>
      </c>
      <c r="S813">
        <v>2</v>
      </c>
      <c r="T813">
        <v>4</v>
      </c>
      <c r="U813" t="s">
        <v>23</v>
      </c>
      <c r="V813">
        <v>4</v>
      </c>
      <c r="W813">
        <v>1</v>
      </c>
    </row>
    <row r="814" spans="1:23" x14ac:dyDescent="0.35">
      <c r="A814" t="s">
        <v>130</v>
      </c>
      <c r="B814" s="6">
        <v>44352</v>
      </c>
      <c r="D814" t="s">
        <v>23</v>
      </c>
      <c r="E814">
        <v>26</v>
      </c>
      <c r="F814" t="s">
        <v>24</v>
      </c>
      <c r="G814" t="s">
        <v>42</v>
      </c>
      <c r="H814" t="s">
        <v>54</v>
      </c>
      <c r="I814" t="s">
        <v>48</v>
      </c>
      <c r="J814" t="s">
        <v>129</v>
      </c>
      <c r="K814">
        <v>1</v>
      </c>
      <c r="L814" t="s">
        <v>34</v>
      </c>
      <c r="M814">
        <v>52000</v>
      </c>
      <c r="N814">
        <v>3.9</v>
      </c>
      <c r="O814">
        <v>11</v>
      </c>
      <c r="P814">
        <v>4.5999999999999996</v>
      </c>
      <c r="Q814">
        <v>1.7</v>
      </c>
      <c r="R814">
        <v>2</v>
      </c>
      <c r="S814">
        <v>3</v>
      </c>
      <c r="T814">
        <v>2</v>
      </c>
      <c r="U814" t="s">
        <v>23</v>
      </c>
      <c r="V814">
        <v>3</v>
      </c>
      <c r="W814">
        <v>1</v>
      </c>
    </row>
    <row r="815" spans="1:23" x14ac:dyDescent="0.35">
      <c r="A815" t="s">
        <v>909</v>
      </c>
      <c r="B815" s="6">
        <v>41871</v>
      </c>
      <c r="D815" t="s">
        <v>23</v>
      </c>
      <c r="E815">
        <v>40</v>
      </c>
      <c r="F815" t="s">
        <v>36</v>
      </c>
      <c r="G815" t="s">
        <v>37</v>
      </c>
      <c r="H815" t="s">
        <v>58</v>
      </c>
      <c r="I815" t="s">
        <v>59</v>
      </c>
      <c r="J815" t="s">
        <v>75</v>
      </c>
      <c r="K815">
        <v>2</v>
      </c>
      <c r="L815" t="s">
        <v>29</v>
      </c>
      <c r="M815">
        <v>40000</v>
      </c>
      <c r="N815">
        <v>9.6999999999999993</v>
      </c>
      <c r="O815">
        <v>13.8</v>
      </c>
      <c r="P815">
        <v>11.4</v>
      </c>
      <c r="Q815">
        <v>6</v>
      </c>
      <c r="R815">
        <v>3</v>
      </c>
      <c r="S815">
        <v>2</v>
      </c>
      <c r="T815">
        <v>3</v>
      </c>
      <c r="U815" t="s">
        <v>23</v>
      </c>
      <c r="V815">
        <v>3</v>
      </c>
      <c r="W815">
        <v>1</v>
      </c>
    </row>
    <row r="816" spans="1:23" x14ac:dyDescent="0.35">
      <c r="A816" t="s">
        <v>476</v>
      </c>
      <c r="B816" s="6">
        <v>42292</v>
      </c>
      <c r="D816" t="s">
        <v>23</v>
      </c>
      <c r="E816">
        <v>33</v>
      </c>
      <c r="F816" t="s">
        <v>62</v>
      </c>
      <c r="G816" t="s">
        <v>25</v>
      </c>
      <c r="H816" t="s">
        <v>58</v>
      </c>
      <c r="I816" t="s">
        <v>45</v>
      </c>
      <c r="J816" t="s">
        <v>77</v>
      </c>
      <c r="K816">
        <v>1</v>
      </c>
      <c r="L816" t="s">
        <v>84</v>
      </c>
      <c r="M816">
        <v>57000</v>
      </c>
      <c r="N816">
        <v>2.2999999999999998</v>
      </c>
      <c r="O816">
        <v>11.3</v>
      </c>
      <c r="P816">
        <v>10.199999999999999</v>
      </c>
      <c r="Q816">
        <v>2.8</v>
      </c>
      <c r="R816">
        <v>1</v>
      </c>
      <c r="S816">
        <v>1</v>
      </c>
      <c r="T816">
        <v>3</v>
      </c>
      <c r="U816" t="s">
        <v>30</v>
      </c>
      <c r="V816">
        <v>3</v>
      </c>
      <c r="W816">
        <v>1</v>
      </c>
    </row>
    <row r="817" spans="1:23" x14ac:dyDescent="0.35">
      <c r="A817" t="s">
        <v>1316</v>
      </c>
      <c r="B817" s="6">
        <v>44121</v>
      </c>
      <c r="D817" t="s">
        <v>23</v>
      </c>
      <c r="E817">
        <v>32</v>
      </c>
      <c r="F817" t="s">
        <v>24</v>
      </c>
      <c r="G817" t="s">
        <v>42</v>
      </c>
      <c r="H817" t="s">
        <v>32</v>
      </c>
      <c r="I817" t="s">
        <v>27</v>
      </c>
      <c r="J817" t="s">
        <v>33</v>
      </c>
      <c r="K817">
        <v>4</v>
      </c>
      <c r="L817" t="s">
        <v>84</v>
      </c>
      <c r="M817">
        <v>113000</v>
      </c>
      <c r="N817">
        <v>10.8</v>
      </c>
      <c r="O817">
        <v>11.7</v>
      </c>
      <c r="P817">
        <v>5.2</v>
      </c>
      <c r="Q817">
        <v>3.5</v>
      </c>
      <c r="R817">
        <v>3</v>
      </c>
      <c r="S817">
        <v>3</v>
      </c>
      <c r="T817">
        <v>4</v>
      </c>
      <c r="U817" t="s">
        <v>30</v>
      </c>
      <c r="V817">
        <v>4</v>
      </c>
      <c r="W817">
        <v>1</v>
      </c>
    </row>
    <row r="818" spans="1:23" x14ac:dyDescent="0.35">
      <c r="A818" t="s">
        <v>787</v>
      </c>
      <c r="B818" s="6">
        <v>44780</v>
      </c>
      <c r="D818" t="s">
        <v>23</v>
      </c>
      <c r="E818">
        <v>35</v>
      </c>
      <c r="F818" t="s">
        <v>36</v>
      </c>
      <c r="G818" t="s">
        <v>25</v>
      </c>
      <c r="H818" t="s">
        <v>32</v>
      </c>
      <c r="I818" t="s">
        <v>48</v>
      </c>
      <c r="J818" t="s">
        <v>129</v>
      </c>
      <c r="K818">
        <v>4</v>
      </c>
      <c r="L818" t="s">
        <v>40</v>
      </c>
      <c r="M818">
        <v>98000</v>
      </c>
      <c r="N818">
        <v>11.4</v>
      </c>
      <c r="O818">
        <v>10.5</v>
      </c>
      <c r="P818">
        <v>3.4</v>
      </c>
      <c r="Q818">
        <v>0.1</v>
      </c>
      <c r="R818">
        <v>4</v>
      </c>
      <c r="S818">
        <v>4</v>
      </c>
      <c r="T818">
        <v>4</v>
      </c>
      <c r="U818" t="s">
        <v>23</v>
      </c>
      <c r="V818">
        <v>1</v>
      </c>
      <c r="W818">
        <v>1</v>
      </c>
    </row>
    <row r="819" spans="1:23" x14ac:dyDescent="0.35">
      <c r="A819" t="s">
        <v>162</v>
      </c>
      <c r="B819" s="6">
        <v>44961</v>
      </c>
      <c r="D819" t="s">
        <v>23</v>
      </c>
      <c r="E819">
        <v>37</v>
      </c>
      <c r="F819" t="s">
        <v>62</v>
      </c>
      <c r="G819" t="s">
        <v>37</v>
      </c>
      <c r="H819" t="s">
        <v>58</v>
      </c>
      <c r="I819" t="s">
        <v>38</v>
      </c>
      <c r="J819" t="s">
        <v>118</v>
      </c>
      <c r="K819">
        <v>2</v>
      </c>
      <c r="L819" t="s">
        <v>34</v>
      </c>
      <c r="M819">
        <v>69000</v>
      </c>
      <c r="N819">
        <v>10.5</v>
      </c>
      <c r="O819">
        <v>6.6</v>
      </c>
      <c r="P819">
        <v>2.9</v>
      </c>
      <c r="Q819">
        <v>1.2</v>
      </c>
      <c r="R819">
        <v>1</v>
      </c>
      <c r="S819">
        <v>4</v>
      </c>
      <c r="T819">
        <v>3</v>
      </c>
      <c r="U819" t="s">
        <v>23</v>
      </c>
      <c r="V819">
        <v>4</v>
      </c>
      <c r="W819">
        <v>1</v>
      </c>
    </row>
    <row r="820" spans="1:23" x14ac:dyDescent="0.35">
      <c r="A820" t="s">
        <v>1136</v>
      </c>
      <c r="B820" s="6">
        <v>45599</v>
      </c>
      <c r="D820" t="s">
        <v>23</v>
      </c>
      <c r="E820">
        <v>27</v>
      </c>
      <c r="F820" t="s">
        <v>24</v>
      </c>
      <c r="G820" t="s">
        <v>25</v>
      </c>
      <c r="H820" t="s">
        <v>32</v>
      </c>
      <c r="I820" t="s">
        <v>48</v>
      </c>
      <c r="J820" t="s">
        <v>129</v>
      </c>
      <c r="K820">
        <v>1</v>
      </c>
      <c r="L820" t="s">
        <v>40</v>
      </c>
      <c r="M820">
        <v>29000</v>
      </c>
      <c r="N820">
        <v>13.7</v>
      </c>
      <c r="O820">
        <v>6.9</v>
      </c>
      <c r="P820">
        <v>1.2</v>
      </c>
      <c r="Q820">
        <v>0.6</v>
      </c>
      <c r="R820">
        <v>3</v>
      </c>
      <c r="S820">
        <v>4</v>
      </c>
      <c r="T820">
        <v>4</v>
      </c>
      <c r="U820" t="s">
        <v>23</v>
      </c>
      <c r="V820">
        <v>3</v>
      </c>
      <c r="W820">
        <v>1</v>
      </c>
    </row>
    <row r="821" spans="1:23" x14ac:dyDescent="0.35">
      <c r="A821" t="s">
        <v>1271</v>
      </c>
      <c r="B821" s="6">
        <v>43110</v>
      </c>
      <c r="D821" t="s">
        <v>23</v>
      </c>
      <c r="E821">
        <v>31</v>
      </c>
      <c r="F821" t="s">
        <v>62</v>
      </c>
      <c r="G821" t="s">
        <v>25</v>
      </c>
      <c r="H821" t="s">
        <v>58</v>
      </c>
      <c r="I821" t="s">
        <v>55</v>
      </c>
      <c r="J821" t="s">
        <v>56</v>
      </c>
      <c r="K821">
        <v>3</v>
      </c>
      <c r="L821" t="s">
        <v>40</v>
      </c>
      <c r="M821">
        <v>90000</v>
      </c>
      <c r="N821">
        <v>5.4</v>
      </c>
      <c r="O821">
        <v>10</v>
      </c>
      <c r="P821">
        <v>8</v>
      </c>
      <c r="Q821">
        <v>4.4000000000000004</v>
      </c>
      <c r="R821">
        <v>3</v>
      </c>
      <c r="S821">
        <v>3</v>
      </c>
      <c r="T821">
        <v>3</v>
      </c>
      <c r="U821" t="s">
        <v>23</v>
      </c>
      <c r="V821">
        <v>3</v>
      </c>
      <c r="W821">
        <v>1</v>
      </c>
    </row>
    <row r="822" spans="1:23" x14ac:dyDescent="0.35">
      <c r="A822" t="s">
        <v>497</v>
      </c>
      <c r="B822" s="6">
        <v>45292</v>
      </c>
      <c r="D822" t="s">
        <v>23</v>
      </c>
      <c r="E822">
        <v>38</v>
      </c>
      <c r="F822" t="s">
        <v>62</v>
      </c>
      <c r="G822" t="s">
        <v>37</v>
      </c>
      <c r="H822" t="s">
        <v>32</v>
      </c>
      <c r="I822" t="s">
        <v>68</v>
      </c>
      <c r="J822" t="s">
        <v>121</v>
      </c>
      <c r="K822">
        <v>2</v>
      </c>
      <c r="L822" t="s">
        <v>40</v>
      </c>
      <c r="M822">
        <v>70000</v>
      </c>
      <c r="N822">
        <v>5.5</v>
      </c>
      <c r="O822">
        <v>8.4</v>
      </c>
      <c r="P822">
        <v>2</v>
      </c>
      <c r="Q822">
        <v>1.3</v>
      </c>
      <c r="R822">
        <v>4</v>
      </c>
      <c r="S822">
        <v>4</v>
      </c>
      <c r="T822">
        <v>4</v>
      </c>
      <c r="U822" t="s">
        <v>23</v>
      </c>
      <c r="V822">
        <v>1</v>
      </c>
      <c r="W822">
        <v>1</v>
      </c>
    </row>
    <row r="823" spans="1:23" x14ac:dyDescent="0.35">
      <c r="A823" t="s">
        <v>144</v>
      </c>
      <c r="B823" s="6">
        <v>43858</v>
      </c>
      <c r="D823" t="s">
        <v>23</v>
      </c>
      <c r="E823">
        <v>35</v>
      </c>
      <c r="F823" t="s">
        <v>36</v>
      </c>
      <c r="G823" t="s">
        <v>37</v>
      </c>
      <c r="H823" t="s">
        <v>58</v>
      </c>
      <c r="I823" t="s">
        <v>48</v>
      </c>
      <c r="J823" t="s">
        <v>129</v>
      </c>
      <c r="K823">
        <v>1</v>
      </c>
      <c r="L823" t="s">
        <v>29</v>
      </c>
      <c r="M823">
        <v>41000</v>
      </c>
      <c r="N823">
        <v>8.1</v>
      </c>
      <c r="O823">
        <v>13.7</v>
      </c>
      <c r="P823">
        <v>5.9</v>
      </c>
      <c r="Q823">
        <v>2.4</v>
      </c>
      <c r="R823">
        <v>2</v>
      </c>
      <c r="S823">
        <v>4</v>
      </c>
      <c r="T823">
        <v>3</v>
      </c>
      <c r="U823" t="s">
        <v>23</v>
      </c>
      <c r="V823">
        <v>3</v>
      </c>
      <c r="W823">
        <v>1</v>
      </c>
    </row>
    <row r="824" spans="1:23" x14ac:dyDescent="0.35">
      <c r="A824" t="s">
        <v>680</v>
      </c>
      <c r="B824" s="6">
        <v>42099</v>
      </c>
      <c r="D824" t="s">
        <v>23</v>
      </c>
      <c r="E824">
        <v>39</v>
      </c>
      <c r="F824" t="s">
        <v>24</v>
      </c>
      <c r="G824" t="s">
        <v>42</v>
      </c>
      <c r="H824" t="s">
        <v>54</v>
      </c>
      <c r="I824" t="s">
        <v>59</v>
      </c>
      <c r="J824" t="s">
        <v>150</v>
      </c>
      <c r="K824">
        <v>2</v>
      </c>
      <c r="L824" t="s">
        <v>29</v>
      </c>
      <c r="M824">
        <v>58000</v>
      </c>
      <c r="N824">
        <v>5.3</v>
      </c>
      <c r="O824">
        <v>15.1</v>
      </c>
      <c r="P824">
        <v>10.7</v>
      </c>
      <c r="Q824">
        <v>4</v>
      </c>
      <c r="R824">
        <v>4</v>
      </c>
      <c r="S824">
        <v>3</v>
      </c>
      <c r="T824">
        <v>3</v>
      </c>
      <c r="U824" t="s">
        <v>30</v>
      </c>
      <c r="V824">
        <v>3</v>
      </c>
      <c r="W824">
        <v>1</v>
      </c>
    </row>
    <row r="825" spans="1:23" x14ac:dyDescent="0.35">
      <c r="A825" t="s">
        <v>842</v>
      </c>
      <c r="B825" s="6">
        <v>41746</v>
      </c>
      <c r="D825" t="s">
        <v>23</v>
      </c>
      <c r="E825">
        <v>41</v>
      </c>
      <c r="F825" t="s">
        <v>62</v>
      </c>
      <c r="G825" t="s">
        <v>37</v>
      </c>
      <c r="H825" t="s">
        <v>54</v>
      </c>
      <c r="I825" t="s">
        <v>38</v>
      </c>
      <c r="J825" t="s">
        <v>139</v>
      </c>
      <c r="K825">
        <v>1</v>
      </c>
      <c r="L825" t="s">
        <v>66</v>
      </c>
      <c r="M825">
        <v>39000</v>
      </c>
      <c r="N825">
        <v>9.3000000000000007</v>
      </c>
      <c r="O825">
        <v>12.7</v>
      </c>
      <c r="P825">
        <v>11.7</v>
      </c>
      <c r="Q825">
        <v>2.1</v>
      </c>
      <c r="R825">
        <v>2</v>
      </c>
      <c r="S825">
        <v>3</v>
      </c>
      <c r="T825">
        <v>3</v>
      </c>
      <c r="U825" t="s">
        <v>23</v>
      </c>
      <c r="V825">
        <v>5</v>
      </c>
      <c r="W825">
        <v>1</v>
      </c>
    </row>
    <row r="826" spans="1:23" x14ac:dyDescent="0.35">
      <c r="A826" t="s">
        <v>328</v>
      </c>
      <c r="B826" s="6">
        <v>43857</v>
      </c>
      <c r="D826" t="s">
        <v>23</v>
      </c>
      <c r="E826">
        <v>27</v>
      </c>
      <c r="F826" t="s">
        <v>62</v>
      </c>
      <c r="G826" t="s">
        <v>42</v>
      </c>
      <c r="H826" t="s">
        <v>32</v>
      </c>
      <c r="I826" t="s">
        <v>55</v>
      </c>
      <c r="J826" t="s">
        <v>179</v>
      </c>
      <c r="K826">
        <v>1</v>
      </c>
      <c r="L826" t="s">
        <v>29</v>
      </c>
      <c r="M826">
        <v>39000</v>
      </c>
      <c r="N826">
        <v>0.4</v>
      </c>
      <c r="O826">
        <v>8.8000000000000007</v>
      </c>
      <c r="P826">
        <v>5.9</v>
      </c>
      <c r="Q826">
        <v>3.5</v>
      </c>
      <c r="R826">
        <v>1</v>
      </c>
      <c r="S826">
        <v>2</v>
      </c>
      <c r="T826">
        <v>4</v>
      </c>
      <c r="U826" t="s">
        <v>30</v>
      </c>
      <c r="V826">
        <v>4</v>
      </c>
      <c r="W826">
        <v>1</v>
      </c>
    </row>
    <row r="827" spans="1:23" x14ac:dyDescent="0.35">
      <c r="A827" t="s">
        <v>414</v>
      </c>
      <c r="B827" s="6">
        <v>45680</v>
      </c>
      <c r="D827" t="s">
        <v>23</v>
      </c>
      <c r="E827">
        <v>22</v>
      </c>
      <c r="F827" t="s">
        <v>62</v>
      </c>
      <c r="G827" t="s">
        <v>42</v>
      </c>
      <c r="H827" t="s">
        <v>32</v>
      </c>
      <c r="I827" t="s">
        <v>27</v>
      </c>
      <c r="J827" t="s">
        <v>95</v>
      </c>
      <c r="K827">
        <v>1</v>
      </c>
      <c r="L827" t="s">
        <v>84</v>
      </c>
      <c r="M827">
        <v>46000</v>
      </c>
      <c r="N827">
        <v>7.7</v>
      </c>
      <c r="O827">
        <v>5.9</v>
      </c>
      <c r="P827">
        <v>0.9</v>
      </c>
      <c r="Q827">
        <v>0</v>
      </c>
      <c r="R827">
        <v>2</v>
      </c>
      <c r="S827">
        <v>4</v>
      </c>
      <c r="T827">
        <v>2</v>
      </c>
      <c r="U827" t="s">
        <v>30</v>
      </c>
      <c r="V827">
        <v>5</v>
      </c>
      <c r="W827">
        <v>1</v>
      </c>
    </row>
    <row r="828" spans="1:23" x14ac:dyDescent="0.35">
      <c r="A828" t="s">
        <v>51</v>
      </c>
      <c r="B828" s="6">
        <v>43050</v>
      </c>
      <c r="D828" t="s">
        <v>23</v>
      </c>
      <c r="E828">
        <v>29</v>
      </c>
      <c r="F828" t="s">
        <v>36</v>
      </c>
      <c r="G828" t="s">
        <v>37</v>
      </c>
      <c r="H828" t="s">
        <v>26</v>
      </c>
      <c r="I828" t="s">
        <v>38</v>
      </c>
      <c r="J828" t="s">
        <v>52</v>
      </c>
      <c r="K828">
        <v>2</v>
      </c>
      <c r="L828" t="s">
        <v>50</v>
      </c>
      <c r="M828">
        <v>57000</v>
      </c>
      <c r="N828">
        <v>14.7</v>
      </c>
      <c r="O828">
        <v>9.1999999999999993</v>
      </c>
      <c r="P828">
        <v>8.1</v>
      </c>
      <c r="Q828">
        <v>5.6</v>
      </c>
      <c r="R828">
        <v>4</v>
      </c>
      <c r="S828">
        <v>1</v>
      </c>
      <c r="T828">
        <v>2</v>
      </c>
      <c r="U828" t="s">
        <v>23</v>
      </c>
      <c r="V828">
        <v>4</v>
      </c>
      <c r="W828">
        <v>1</v>
      </c>
    </row>
    <row r="829" spans="1:23" x14ac:dyDescent="0.35">
      <c r="A829" t="s">
        <v>1492</v>
      </c>
      <c r="B829" s="6">
        <v>43858</v>
      </c>
      <c r="D829" t="s">
        <v>23</v>
      </c>
      <c r="E829">
        <v>42</v>
      </c>
      <c r="F829" t="s">
        <v>24</v>
      </c>
      <c r="G829" t="s">
        <v>42</v>
      </c>
      <c r="H829" t="s">
        <v>26</v>
      </c>
      <c r="I829" t="s">
        <v>59</v>
      </c>
      <c r="J829" t="s">
        <v>60</v>
      </c>
      <c r="K829">
        <v>2</v>
      </c>
      <c r="L829" t="s">
        <v>40</v>
      </c>
      <c r="M829">
        <v>55000</v>
      </c>
      <c r="N829">
        <v>4.2</v>
      </c>
      <c r="O829">
        <v>13.8</v>
      </c>
      <c r="P829">
        <v>5.9</v>
      </c>
      <c r="Q829">
        <v>2.2999999999999998</v>
      </c>
      <c r="R829">
        <v>4</v>
      </c>
      <c r="S829">
        <v>2</v>
      </c>
      <c r="T829">
        <v>3</v>
      </c>
      <c r="U829" t="s">
        <v>30</v>
      </c>
      <c r="V829">
        <v>4</v>
      </c>
      <c r="W829">
        <v>1</v>
      </c>
    </row>
    <row r="830" spans="1:23" x14ac:dyDescent="0.35">
      <c r="A830" t="s">
        <v>288</v>
      </c>
      <c r="B830" s="6">
        <v>45385</v>
      </c>
      <c r="C830">
        <v>45885</v>
      </c>
      <c r="D830" t="s">
        <v>30</v>
      </c>
      <c r="E830">
        <v>45</v>
      </c>
      <c r="F830" t="s">
        <v>62</v>
      </c>
      <c r="G830" t="s">
        <v>37</v>
      </c>
      <c r="H830" t="s">
        <v>54</v>
      </c>
      <c r="I830" t="s">
        <v>68</v>
      </c>
      <c r="J830" t="s">
        <v>109</v>
      </c>
      <c r="K830">
        <v>4</v>
      </c>
      <c r="L830" t="s">
        <v>40</v>
      </c>
      <c r="M830">
        <v>102000</v>
      </c>
      <c r="N830">
        <v>4.4000000000000004</v>
      </c>
      <c r="O830">
        <v>2.5</v>
      </c>
      <c r="P830">
        <v>1.4</v>
      </c>
      <c r="Q830">
        <v>0.4</v>
      </c>
      <c r="R830">
        <v>4</v>
      </c>
      <c r="S830">
        <v>3</v>
      </c>
      <c r="T830">
        <v>3</v>
      </c>
      <c r="U830" t="s">
        <v>23</v>
      </c>
      <c r="V830">
        <v>4</v>
      </c>
      <c r="W830">
        <v>1</v>
      </c>
    </row>
    <row r="831" spans="1:23" x14ac:dyDescent="0.35">
      <c r="A831" t="s">
        <v>558</v>
      </c>
      <c r="B831" s="6">
        <v>45379</v>
      </c>
      <c r="C831">
        <v>45832</v>
      </c>
      <c r="D831" t="s">
        <v>30</v>
      </c>
      <c r="E831">
        <v>35</v>
      </c>
      <c r="F831" t="s">
        <v>62</v>
      </c>
      <c r="G831" t="s">
        <v>42</v>
      </c>
      <c r="H831" t="s">
        <v>54</v>
      </c>
      <c r="I831" t="s">
        <v>45</v>
      </c>
      <c r="J831" t="s">
        <v>46</v>
      </c>
      <c r="K831">
        <v>2</v>
      </c>
      <c r="L831" t="s">
        <v>66</v>
      </c>
      <c r="M831">
        <v>41000</v>
      </c>
      <c r="N831">
        <v>9.9</v>
      </c>
      <c r="O831">
        <v>8.1999999999999993</v>
      </c>
      <c r="P831">
        <v>1.2</v>
      </c>
      <c r="Q831">
        <v>1.1000000000000001</v>
      </c>
      <c r="R831">
        <v>3</v>
      </c>
      <c r="S831">
        <v>1</v>
      </c>
      <c r="T831">
        <v>4</v>
      </c>
      <c r="U831" t="s">
        <v>23</v>
      </c>
      <c r="V831">
        <v>3</v>
      </c>
      <c r="W831">
        <v>1</v>
      </c>
    </row>
    <row r="832" spans="1:23" x14ac:dyDescent="0.35">
      <c r="A832" t="s">
        <v>1357</v>
      </c>
      <c r="B832" s="6">
        <v>44953</v>
      </c>
      <c r="D832" t="s">
        <v>23</v>
      </c>
      <c r="E832">
        <v>41</v>
      </c>
      <c r="F832" t="s">
        <v>36</v>
      </c>
      <c r="G832" t="s">
        <v>42</v>
      </c>
      <c r="H832" t="s">
        <v>26</v>
      </c>
      <c r="I832" t="s">
        <v>55</v>
      </c>
      <c r="J832" t="s">
        <v>80</v>
      </c>
      <c r="K832">
        <v>3</v>
      </c>
      <c r="L832" t="s">
        <v>29</v>
      </c>
      <c r="M832">
        <v>99000</v>
      </c>
      <c r="N832">
        <v>11.1</v>
      </c>
      <c r="O832">
        <v>7.7</v>
      </c>
      <c r="P832">
        <v>2.9</v>
      </c>
      <c r="Q832">
        <v>1.1000000000000001</v>
      </c>
      <c r="R832">
        <v>4</v>
      </c>
      <c r="S832">
        <v>4</v>
      </c>
      <c r="T832">
        <v>3</v>
      </c>
      <c r="U832" t="s">
        <v>30</v>
      </c>
      <c r="V832">
        <v>4</v>
      </c>
      <c r="W832">
        <v>1</v>
      </c>
    </row>
    <row r="833" spans="1:23" x14ac:dyDescent="0.35">
      <c r="A833" t="s">
        <v>651</v>
      </c>
      <c r="B833" s="6">
        <v>42783</v>
      </c>
      <c r="D833" t="s">
        <v>23</v>
      </c>
      <c r="E833">
        <v>45</v>
      </c>
      <c r="F833" t="s">
        <v>36</v>
      </c>
      <c r="G833" t="s">
        <v>37</v>
      </c>
      <c r="H833" t="s">
        <v>54</v>
      </c>
      <c r="I833" t="s">
        <v>38</v>
      </c>
      <c r="J833" t="s">
        <v>39</v>
      </c>
      <c r="K833">
        <v>4</v>
      </c>
      <c r="L833" t="s">
        <v>40</v>
      </c>
      <c r="M833">
        <v>124000</v>
      </c>
      <c r="N833">
        <v>4.3</v>
      </c>
      <c r="O833">
        <v>14.2</v>
      </c>
      <c r="P833">
        <v>8.9</v>
      </c>
      <c r="Q833">
        <v>1.5</v>
      </c>
      <c r="R833">
        <v>3</v>
      </c>
      <c r="S833">
        <v>3</v>
      </c>
      <c r="T833">
        <v>1</v>
      </c>
      <c r="U833" t="s">
        <v>23</v>
      </c>
      <c r="V833">
        <v>4</v>
      </c>
      <c r="W833">
        <v>1</v>
      </c>
    </row>
    <row r="834" spans="1:23" x14ac:dyDescent="0.35">
      <c r="A834" t="s">
        <v>562</v>
      </c>
      <c r="B834" s="6">
        <v>45469</v>
      </c>
      <c r="D834" t="s">
        <v>23</v>
      </c>
      <c r="E834">
        <v>48</v>
      </c>
      <c r="F834" t="s">
        <v>62</v>
      </c>
      <c r="G834" t="s">
        <v>37</v>
      </c>
      <c r="H834" t="s">
        <v>26</v>
      </c>
      <c r="I834" t="s">
        <v>27</v>
      </c>
      <c r="J834" t="s">
        <v>33</v>
      </c>
      <c r="K834">
        <v>3</v>
      </c>
      <c r="L834" t="s">
        <v>66</v>
      </c>
      <c r="M834">
        <v>64000</v>
      </c>
      <c r="N834">
        <v>7.6</v>
      </c>
      <c r="O834">
        <v>8.1999999999999993</v>
      </c>
      <c r="P834">
        <v>1.5</v>
      </c>
      <c r="Q834">
        <v>0.6</v>
      </c>
      <c r="R834">
        <v>3</v>
      </c>
      <c r="S834">
        <v>3</v>
      </c>
      <c r="T834">
        <v>4</v>
      </c>
      <c r="U834" t="s">
        <v>23</v>
      </c>
      <c r="V834">
        <v>3</v>
      </c>
      <c r="W834">
        <v>1</v>
      </c>
    </row>
    <row r="835" spans="1:23" x14ac:dyDescent="0.35">
      <c r="A835" t="s">
        <v>723</v>
      </c>
      <c r="B835" s="6">
        <v>44893</v>
      </c>
      <c r="D835" t="s">
        <v>23</v>
      </c>
      <c r="E835">
        <v>33</v>
      </c>
      <c r="F835" t="s">
        <v>36</v>
      </c>
      <c r="G835" t="s">
        <v>25</v>
      </c>
      <c r="H835" t="s">
        <v>26</v>
      </c>
      <c r="I835" t="s">
        <v>38</v>
      </c>
      <c r="J835" t="s">
        <v>118</v>
      </c>
      <c r="K835">
        <v>5</v>
      </c>
      <c r="L835" t="s">
        <v>34</v>
      </c>
      <c r="M835">
        <v>164000</v>
      </c>
      <c r="N835">
        <v>13.5</v>
      </c>
      <c r="O835">
        <v>9.6</v>
      </c>
      <c r="P835">
        <v>3.1</v>
      </c>
      <c r="Q835">
        <v>2.2000000000000002</v>
      </c>
      <c r="R835">
        <v>3</v>
      </c>
      <c r="S835">
        <v>1</v>
      </c>
      <c r="T835">
        <v>3</v>
      </c>
      <c r="U835" t="s">
        <v>23</v>
      </c>
      <c r="V835">
        <v>3</v>
      </c>
      <c r="W835">
        <v>1</v>
      </c>
    </row>
    <row r="836" spans="1:23" x14ac:dyDescent="0.35">
      <c r="A836" t="s">
        <v>1564</v>
      </c>
      <c r="B836" s="6">
        <v>45803</v>
      </c>
      <c r="D836" t="s">
        <v>23</v>
      </c>
      <c r="E836">
        <v>34</v>
      </c>
      <c r="F836" t="s">
        <v>36</v>
      </c>
      <c r="G836" t="s">
        <v>42</v>
      </c>
      <c r="H836" t="s">
        <v>58</v>
      </c>
      <c r="I836" t="s">
        <v>59</v>
      </c>
      <c r="J836" t="s">
        <v>60</v>
      </c>
      <c r="K836">
        <v>3</v>
      </c>
      <c r="L836" t="s">
        <v>84</v>
      </c>
      <c r="M836">
        <v>67000</v>
      </c>
      <c r="N836">
        <v>2.8</v>
      </c>
      <c r="O836">
        <v>1.4</v>
      </c>
      <c r="P836">
        <v>0.6</v>
      </c>
      <c r="Q836">
        <v>0</v>
      </c>
      <c r="R836">
        <v>1</v>
      </c>
      <c r="S836">
        <v>4</v>
      </c>
      <c r="T836">
        <v>3</v>
      </c>
      <c r="U836" t="s">
        <v>23</v>
      </c>
      <c r="V836">
        <v>4</v>
      </c>
      <c r="W836">
        <v>1</v>
      </c>
    </row>
    <row r="837" spans="1:23" x14ac:dyDescent="0.35">
      <c r="A837" t="s">
        <v>544</v>
      </c>
      <c r="B837" s="6">
        <v>45709</v>
      </c>
      <c r="D837" t="s">
        <v>23</v>
      </c>
      <c r="E837">
        <v>41</v>
      </c>
      <c r="F837" t="s">
        <v>36</v>
      </c>
      <c r="G837" t="s">
        <v>42</v>
      </c>
      <c r="H837" t="s">
        <v>32</v>
      </c>
      <c r="I837" t="s">
        <v>55</v>
      </c>
      <c r="J837" t="s">
        <v>88</v>
      </c>
      <c r="K837">
        <v>2</v>
      </c>
      <c r="L837" t="s">
        <v>34</v>
      </c>
      <c r="M837">
        <v>66000</v>
      </c>
      <c r="N837">
        <v>9</v>
      </c>
      <c r="O837">
        <v>7.2</v>
      </c>
      <c r="P837">
        <v>0.9</v>
      </c>
      <c r="Q837">
        <v>0</v>
      </c>
      <c r="R837">
        <v>4</v>
      </c>
      <c r="S837">
        <v>4</v>
      </c>
      <c r="T837">
        <v>3</v>
      </c>
      <c r="U837" t="s">
        <v>23</v>
      </c>
      <c r="V837">
        <v>3</v>
      </c>
      <c r="W837">
        <v>1</v>
      </c>
    </row>
    <row r="838" spans="1:23" x14ac:dyDescent="0.35">
      <c r="A838" t="s">
        <v>224</v>
      </c>
      <c r="B838" s="6">
        <v>45340</v>
      </c>
      <c r="D838" t="s">
        <v>23</v>
      </c>
      <c r="E838">
        <v>25</v>
      </c>
      <c r="F838" t="s">
        <v>36</v>
      </c>
      <c r="G838" t="s">
        <v>25</v>
      </c>
      <c r="H838" t="s">
        <v>54</v>
      </c>
      <c r="I838" t="s">
        <v>59</v>
      </c>
      <c r="J838" t="s">
        <v>75</v>
      </c>
      <c r="K838">
        <v>1</v>
      </c>
      <c r="L838" t="s">
        <v>29</v>
      </c>
      <c r="M838">
        <v>40000</v>
      </c>
      <c r="N838">
        <v>12.7</v>
      </c>
      <c r="O838">
        <v>3.7</v>
      </c>
      <c r="P838">
        <v>1.9</v>
      </c>
      <c r="Q838">
        <v>1.6</v>
      </c>
      <c r="R838">
        <v>4</v>
      </c>
      <c r="S838">
        <v>2</v>
      </c>
      <c r="T838">
        <v>3</v>
      </c>
      <c r="U838" t="s">
        <v>23</v>
      </c>
      <c r="V838">
        <v>4</v>
      </c>
      <c r="W838">
        <v>1</v>
      </c>
    </row>
    <row r="839" spans="1:23" x14ac:dyDescent="0.35">
      <c r="A839" t="s">
        <v>996</v>
      </c>
      <c r="B839" s="6">
        <v>42255</v>
      </c>
      <c r="D839" t="s">
        <v>23</v>
      </c>
      <c r="E839">
        <v>44</v>
      </c>
      <c r="F839" t="s">
        <v>36</v>
      </c>
      <c r="G839" t="s">
        <v>25</v>
      </c>
      <c r="H839" t="s">
        <v>58</v>
      </c>
      <c r="I839" t="s">
        <v>55</v>
      </c>
      <c r="J839" t="s">
        <v>80</v>
      </c>
      <c r="K839">
        <v>2</v>
      </c>
      <c r="L839" t="s">
        <v>66</v>
      </c>
      <c r="M839">
        <v>67000</v>
      </c>
      <c r="N839">
        <v>14.6</v>
      </c>
      <c r="O839">
        <v>13.2</v>
      </c>
      <c r="P839">
        <v>10.3</v>
      </c>
      <c r="Q839">
        <v>1</v>
      </c>
      <c r="R839">
        <v>3</v>
      </c>
      <c r="S839">
        <v>2</v>
      </c>
      <c r="T839">
        <v>1</v>
      </c>
      <c r="U839" t="s">
        <v>23</v>
      </c>
      <c r="V839">
        <v>3</v>
      </c>
      <c r="W839">
        <v>1</v>
      </c>
    </row>
    <row r="840" spans="1:23" x14ac:dyDescent="0.35">
      <c r="A840" t="s">
        <v>1233</v>
      </c>
      <c r="B840" s="6">
        <v>45520</v>
      </c>
      <c r="C840">
        <v>45964</v>
      </c>
      <c r="D840" t="s">
        <v>30</v>
      </c>
      <c r="E840">
        <v>23</v>
      </c>
      <c r="F840" t="s">
        <v>36</v>
      </c>
      <c r="G840" t="s">
        <v>42</v>
      </c>
      <c r="H840" t="s">
        <v>32</v>
      </c>
      <c r="I840" t="s">
        <v>27</v>
      </c>
      <c r="J840" t="s">
        <v>95</v>
      </c>
      <c r="K840">
        <v>1</v>
      </c>
      <c r="L840" t="s">
        <v>34</v>
      </c>
      <c r="M840">
        <v>31000</v>
      </c>
      <c r="N840">
        <v>11</v>
      </c>
      <c r="O840">
        <v>8.5</v>
      </c>
      <c r="P840">
        <v>1.2</v>
      </c>
      <c r="Q840">
        <v>0.8</v>
      </c>
      <c r="R840">
        <v>2</v>
      </c>
      <c r="S840">
        <v>4</v>
      </c>
      <c r="T840">
        <v>2</v>
      </c>
      <c r="U840" t="s">
        <v>23</v>
      </c>
      <c r="V840">
        <v>3</v>
      </c>
      <c r="W840">
        <v>1</v>
      </c>
    </row>
    <row r="841" spans="1:23" x14ac:dyDescent="0.35">
      <c r="A841" t="s">
        <v>103</v>
      </c>
      <c r="B841" s="6">
        <v>41765</v>
      </c>
      <c r="D841" t="s">
        <v>23</v>
      </c>
      <c r="E841">
        <v>38</v>
      </c>
      <c r="F841" t="s">
        <v>62</v>
      </c>
      <c r="G841" t="s">
        <v>37</v>
      </c>
      <c r="H841" t="s">
        <v>32</v>
      </c>
      <c r="I841" t="s">
        <v>38</v>
      </c>
      <c r="J841" t="s">
        <v>39</v>
      </c>
      <c r="K841">
        <v>3</v>
      </c>
      <c r="L841" t="s">
        <v>40</v>
      </c>
      <c r="M841">
        <v>84000</v>
      </c>
      <c r="N841">
        <v>4.9000000000000004</v>
      </c>
      <c r="O841">
        <v>13.6</v>
      </c>
      <c r="P841">
        <v>11.7</v>
      </c>
      <c r="Q841">
        <v>0.9</v>
      </c>
      <c r="R841">
        <v>2</v>
      </c>
      <c r="S841">
        <v>4</v>
      </c>
      <c r="T841">
        <v>1</v>
      </c>
      <c r="U841" t="s">
        <v>23</v>
      </c>
      <c r="V841">
        <v>3</v>
      </c>
      <c r="W841">
        <v>1</v>
      </c>
    </row>
    <row r="842" spans="1:23" x14ac:dyDescent="0.35">
      <c r="A842" t="s">
        <v>481</v>
      </c>
      <c r="B842" s="6">
        <v>45610</v>
      </c>
      <c r="D842" t="s">
        <v>23</v>
      </c>
      <c r="E842">
        <v>26</v>
      </c>
      <c r="F842" t="s">
        <v>24</v>
      </c>
      <c r="G842" t="s">
        <v>25</v>
      </c>
      <c r="H842" t="s">
        <v>54</v>
      </c>
      <c r="I842" t="s">
        <v>48</v>
      </c>
      <c r="J842" t="s">
        <v>49</v>
      </c>
      <c r="K842">
        <v>1</v>
      </c>
      <c r="L842" t="s">
        <v>29</v>
      </c>
      <c r="M842">
        <v>50000</v>
      </c>
      <c r="N842">
        <v>7.9</v>
      </c>
      <c r="O842">
        <v>5</v>
      </c>
      <c r="P842">
        <v>1.1000000000000001</v>
      </c>
      <c r="Q842">
        <v>0.5</v>
      </c>
      <c r="R842">
        <v>4</v>
      </c>
      <c r="S842">
        <v>3</v>
      </c>
      <c r="T842">
        <v>4</v>
      </c>
      <c r="U842" t="s">
        <v>23</v>
      </c>
      <c r="V842">
        <v>3</v>
      </c>
      <c r="W842">
        <v>1</v>
      </c>
    </row>
    <row r="843" spans="1:23" x14ac:dyDescent="0.35">
      <c r="A843" t="s">
        <v>863</v>
      </c>
      <c r="B843" s="6">
        <v>42893</v>
      </c>
      <c r="D843" t="s">
        <v>23</v>
      </c>
      <c r="E843">
        <v>38</v>
      </c>
      <c r="F843" t="s">
        <v>62</v>
      </c>
      <c r="G843" t="s">
        <v>37</v>
      </c>
      <c r="H843" t="s">
        <v>58</v>
      </c>
      <c r="I843" t="s">
        <v>27</v>
      </c>
      <c r="J843" t="s">
        <v>33</v>
      </c>
      <c r="K843">
        <v>3</v>
      </c>
      <c r="L843" t="s">
        <v>29</v>
      </c>
      <c r="M843">
        <v>72000</v>
      </c>
      <c r="N843">
        <v>6.9</v>
      </c>
      <c r="O843">
        <v>11.5</v>
      </c>
      <c r="P843">
        <v>8.6</v>
      </c>
      <c r="Q843">
        <v>5.4</v>
      </c>
      <c r="R843">
        <v>4</v>
      </c>
      <c r="S843">
        <v>4</v>
      </c>
      <c r="T843">
        <v>3</v>
      </c>
      <c r="U843" t="s">
        <v>23</v>
      </c>
      <c r="V843">
        <v>3</v>
      </c>
      <c r="W843">
        <v>1</v>
      </c>
    </row>
    <row r="844" spans="1:23" x14ac:dyDescent="0.35">
      <c r="A844" t="s">
        <v>729</v>
      </c>
      <c r="B844" s="6">
        <v>41992</v>
      </c>
      <c r="D844" t="s">
        <v>23</v>
      </c>
      <c r="E844">
        <v>36</v>
      </c>
      <c r="F844" t="s">
        <v>62</v>
      </c>
      <c r="G844" t="s">
        <v>37</v>
      </c>
      <c r="H844" t="s">
        <v>54</v>
      </c>
      <c r="I844" t="s">
        <v>55</v>
      </c>
      <c r="J844" t="s">
        <v>179</v>
      </c>
      <c r="K844">
        <v>1</v>
      </c>
      <c r="L844" t="s">
        <v>84</v>
      </c>
      <c r="M844">
        <v>40000</v>
      </c>
      <c r="N844">
        <v>6.6</v>
      </c>
      <c r="O844">
        <v>11.9</v>
      </c>
      <c r="P844">
        <v>11</v>
      </c>
      <c r="Q844">
        <v>5</v>
      </c>
      <c r="R844">
        <v>3</v>
      </c>
      <c r="S844">
        <v>2</v>
      </c>
      <c r="T844">
        <v>3</v>
      </c>
      <c r="U844" t="s">
        <v>23</v>
      </c>
      <c r="V844">
        <v>4</v>
      </c>
      <c r="W844">
        <v>1</v>
      </c>
    </row>
    <row r="845" spans="1:23" x14ac:dyDescent="0.35">
      <c r="A845" t="s">
        <v>1445</v>
      </c>
      <c r="B845" s="6">
        <v>44042</v>
      </c>
      <c r="D845" t="s">
        <v>23</v>
      </c>
      <c r="E845">
        <v>34</v>
      </c>
      <c r="F845" t="s">
        <v>62</v>
      </c>
      <c r="G845" t="s">
        <v>37</v>
      </c>
      <c r="H845" t="s">
        <v>26</v>
      </c>
      <c r="I845" t="s">
        <v>27</v>
      </c>
      <c r="J845" t="s">
        <v>43</v>
      </c>
      <c r="K845">
        <v>3</v>
      </c>
      <c r="L845" t="s">
        <v>29</v>
      </c>
      <c r="M845">
        <v>54000</v>
      </c>
      <c r="N845">
        <v>10.8</v>
      </c>
      <c r="O845">
        <v>5.6</v>
      </c>
      <c r="P845">
        <v>5.4</v>
      </c>
      <c r="Q845">
        <v>2.4</v>
      </c>
      <c r="R845">
        <v>1</v>
      </c>
      <c r="S845">
        <v>3</v>
      </c>
      <c r="T845">
        <v>4</v>
      </c>
      <c r="U845" t="s">
        <v>23</v>
      </c>
      <c r="V845">
        <v>3</v>
      </c>
      <c r="W845">
        <v>1</v>
      </c>
    </row>
    <row r="846" spans="1:23" x14ac:dyDescent="0.35">
      <c r="A846" t="s">
        <v>834</v>
      </c>
      <c r="B846" s="6">
        <v>44274</v>
      </c>
      <c r="D846" t="s">
        <v>23</v>
      </c>
      <c r="E846">
        <v>25</v>
      </c>
      <c r="F846" t="s">
        <v>36</v>
      </c>
      <c r="G846" t="s">
        <v>37</v>
      </c>
      <c r="H846" t="s">
        <v>54</v>
      </c>
      <c r="I846" t="s">
        <v>68</v>
      </c>
      <c r="J846" t="s">
        <v>102</v>
      </c>
      <c r="K846">
        <v>1</v>
      </c>
      <c r="L846" t="s">
        <v>84</v>
      </c>
      <c r="M846">
        <v>22000</v>
      </c>
      <c r="N846">
        <v>1.8</v>
      </c>
      <c r="O846">
        <v>5</v>
      </c>
      <c r="P846">
        <v>4.8</v>
      </c>
      <c r="Q846">
        <v>2.9</v>
      </c>
      <c r="R846">
        <v>3</v>
      </c>
      <c r="S846">
        <v>3</v>
      </c>
      <c r="T846">
        <v>4</v>
      </c>
      <c r="U846" t="s">
        <v>30</v>
      </c>
      <c r="V846">
        <v>2</v>
      </c>
      <c r="W846">
        <v>1</v>
      </c>
    </row>
    <row r="847" spans="1:23" x14ac:dyDescent="0.35">
      <c r="A847" t="s">
        <v>1098</v>
      </c>
      <c r="B847" s="6">
        <v>44310</v>
      </c>
      <c r="D847" t="s">
        <v>23</v>
      </c>
      <c r="E847">
        <v>28</v>
      </c>
      <c r="F847" t="s">
        <v>62</v>
      </c>
      <c r="G847" t="s">
        <v>42</v>
      </c>
      <c r="H847" t="s">
        <v>26</v>
      </c>
      <c r="I847" t="s">
        <v>27</v>
      </c>
      <c r="J847" t="s">
        <v>28</v>
      </c>
      <c r="K847">
        <v>2</v>
      </c>
      <c r="L847" t="s">
        <v>50</v>
      </c>
      <c r="M847">
        <v>68000</v>
      </c>
      <c r="N847">
        <v>6.9</v>
      </c>
      <c r="O847">
        <v>9</v>
      </c>
      <c r="P847">
        <v>4.7</v>
      </c>
      <c r="Q847">
        <v>3.2</v>
      </c>
      <c r="R847">
        <v>4</v>
      </c>
      <c r="S847">
        <v>3</v>
      </c>
      <c r="T847">
        <v>1</v>
      </c>
      <c r="U847" t="s">
        <v>23</v>
      </c>
      <c r="V847">
        <v>4</v>
      </c>
      <c r="W847">
        <v>1</v>
      </c>
    </row>
    <row r="848" spans="1:23" x14ac:dyDescent="0.35">
      <c r="A848" t="s">
        <v>1411</v>
      </c>
      <c r="B848" s="6">
        <v>42792</v>
      </c>
      <c r="D848" t="s">
        <v>23</v>
      </c>
      <c r="E848">
        <v>36</v>
      </c>
      <c r="F848" t="s">
        <v>24</v>
      </c>
      <c r="G848" t="s">
        <v>42</v>
      </c>
      <c r="H848" t="s">
        <v>26</v>
      </c>
      <c r="I848" t="s">
        <v>27</v>
      </c>
      <c r="J848" t="s">
        <v>43</v>
      </c>
      <c r="K848">
        <v>3</v>
      </c>
      <c r="L848" t="s">
        <v>50</v>
      </c>
      <c r="M848">
        <v>75000</v>
      </c>
      <c r="N848">
        <v>8.6999999999999993</v>
      </c>
      <c r="O848">
        <v>14.9</v>
      </c>
      <c r="P848">
        <v>8.8000000000000007</v>
      </c>
      <c r="Q848">
        <v>1.1000000000000001</v>
      </c>
      <c r="R848">
        <v>2</v>
      </c>
      <c r="S848">
        <v>2</v>
      </c>
      <c r="T848">
        <v>3</v>
      </c>
      <c r="U848" t="s">
        <v>23</v>
      </c>
      <c r="V848">
        <v>3</v>
      </c>
      <c r="W848">
        <v>1</v>
      </c>
    </row>
    <row r="849" spans="1:23" x14ac:dyDescent="0.35">
      <c r="A849" t="s">
        <v>1544</v>
      </c>
      <c r="B849" s="6">
        <v>44284</v>
      </c>
      <c r="D849" t="s">
        <v>23</v>
      </c>
      <c r="E849">
        <v>43</v>
      </c>
      <c r="F849" t="s">
        <v>36</v>
      </c>
      <c r="G849" t="s">
        <v>42</v>
      </c>
      <c r="H849" t="s">
        <v>32</v>
      </c>
      <c r="I849" t="s">
        <v>48</v>
      </c>
      <c r="J849" t="s">
        <v>201</v>
      </c>
      <c r="K849">
        <v>4</v>
      </c>
      <c r="L849" t="s">
        <v>40</v>
      </c>
      <c r="M849">
        <v>131000</v>
      </c>
      <c r="N849">
        <v>2.2999999999999998</v>
      </c>
      <c r="O849">
        <v>7.2</v>
      </c>
      <c r="P849">
        <v>4.8</v>
      </c>
      <c r="Q849">
        <v>0.9</v>
      </c>
      <c r="R849">
        <v>4</v>
      </c>
      <c r="S849">
        <v>3</v>
      </c>
      <c r="T849">
        <v>2</v>
      </c>
      <c r="U849" t="s">
        <v>23</v>
      </c>
      <c r="V849">
        <v>2</v>
      </c>
      <c r="W849">
        <v>1</v>
      </c>
    </row>
    <row r="850" spans="1:23" x14ac:dyDescent="0.35">
      <c r="A850" t="s">
        <v>1380</v>
      </c>
      <c r="B850" s="6">
        <v>42975</v>
      </c>
      <c r="D850" t="s">
        <v>23</v>
      </c>
      <c r="E850">
        <v>31</v>
      </c>
      <c r="F850" t="s">
        <v>62</v>
      </c>
      <c r="G850" t="s">
        <v>37</v>
      </c>
      <c r="H850" t="s">
        <v>26</v>
      </c>
      <c r="I850" t="s">
        <v>68</v>
      </c>
      <c r="J850" t="s">
        <v>102</v>
      </c>
      <c r="K850">
        <v>2</v>
      </c>
      <c r="L850" t="s">
        <v>84</v>
      </c>
      <c r="M850">
        <v>44000</v>
      </c>
      <c r="N850">
        <v>11</v>
      </c>
      <c r="O850">
        <v>16.2</v>
      </c>
      <c r="P850">
        <v>8.3000000000000007</v>
      </c>
      <c r="Q850">
        <v>0.4</v>
      </c>
      <c r="R850">
        <v>1</v>
      </c>
      <c r="S850">
        <v>3</v>
      </c>
      <c r="T850">
        <v>2</v>
      </c>
      <c r="U850" t="s">
        <v>23</v>
      </c>
      <c r="V850">
        <v>5</v>
      </c>
      <c r="W850">
        <v>1</v>
      </c>
    </row>
    <row r="851" spans="1:23" x14ac:dyDescent="0.35">
      <c r="A851" t="s">
        <v>1381</v>
      </c>
      <c r="B851" s="6">
        <v>42045</v>
      </c>
      <c r="D851" t="s">
        <v>23</v>
      </c>
      <c r="E851">
        <v>48</v>
      </c>
      <c r="F851" t="s">
        <v>62</v>
      </c>
      <c r="G851" t="s">
        <v>37</v>
      </c>
      <c r="H851" t="s">
        <v>58</v>
      </c>
      <c r="I851" t="s">
        <v>48</v>
      </c>
      <c r="J851" t="s">
        <v>129</v>
      </c>
      <c r="K851">
        <v>1</v>
      </c>
      <c r="L851" t="s">
        <v>66</v>
      </c>
      <c r="M851">
        <v>46000</v>
      </c>
      <c r="N851">
        <v>9.9</v>
      </c>
      <c r="O851">
        <v>12.4</v>
      </c>
      <c r="P851">
        <v>10.9</v>
      </c>
      <c r="Q851">
        <v>3.7</v>
      </c>
      <c r="R851">
        <v>4</v>
      </c>
      <c r="S851">
        <v>2</v>
      </c>
      <c r="T851">
        <v>2</v>
      </c>
      <c r="U851" t="s">
        <v>23</v>
      </c>
      <c r="V851">
        <v>3</v>
      </c>
      <c r="W851">
        <v>1</v>
      </c>
    </row>
    <row r="852" spans="1:23" x14ac:dyDescent="0.35">
      <c r="A852" t="s">
        <v>100</v>
      </c>
      <c r="B852" s="6">
        <v>42154</v>
      </c>
      <c r="D852" t="s">
        <v>23</v>
      </c>
      <c r="E852">
        <v>41</v>
      </c>
      <c r="F852" t="s">
        <v>36</v>
      </c>
      <c r="G852" t="s">
        <v>42</v>
      </c>
      <c r="H852" t="s">
        <v>26</v>
      </c>
      <c r="I852" t="s">
        <v>55</v>
      </c>
      <c r="J852" t="s">
        <v>80</v>
      </c>
      <c r="K852">
        <v>3</v>
      </c>
      <c r="L852" t="s">
        <v>84</v>
      </c>
      <c r="M852">
        <v>85000</v>
      </c>
      <c r="N852">
        <v>5.7</v>
      </c>
      <c r="O852">
        <v>10.8</v>
      </c>
      <c r="P852">
        <v>10.6</v>
      </c>
      <c r="Q852">
        <v>0.2</v>
      </c>
      <c r="R852">
        <v>2</v>
      </c>
      <c r="S852">
        <v>3</v>
      </c>
      <c r="T852">
        <v>4</v>
      </c>
      <c r="U852" t="s">
        <v>30</v>
      </c>
      <c r="V852">
        <v>5</v>
      </c>
      <c r="W852">
        <v>1</v>
      </c>
    </row>
    <row r="853" spans="1:23" x14ac:dyDescent="0.35">
      <c r="A853" t="s">
        <v>732</v>
      </c>
      <c r="B853" s="6">
        <v>45198</v>
      </c>
      <c r="C853">
        <v>45971</v>
      </c>
      <c r="D853" t="s">
        <v>30</v>
      </c>
      <c r="E853">
        <v>39</v>
      </c>
      <c r="F853" t="s">
        <v>36</v>
      </c>
      <c r="G853" t="s">
        <v>37</v>
      </c>
      <c r="H853" t="s">
        <v>26</v>
      </c>
      <c r="I853" t="s">
        <v>45</v>
      </c>
      <c r="J853" t="s">
        <v>97</v>
      </c>
      <c r="K853">
        <v>3</v>
      </c>
      <c r="L853" t="s">
        <v>84</v>
      </c>
      <c r="M853">
        <v>73000</v>
      </c>
      <c r="N853">
        <v>2.7</v>
      </c>
      <c r="O853">
        <v>9.5</v>
      </c>
      <c r="P853">
        <v>2.1</v>
      </c>
      <c r="Q853">
        <v>2</v>
      </c>
      <c r="R853">
        <v>2</v>
      </c>
      <c r="S853">
        <v>4</v>
      </c>
      <c r="T853">
        <v>3</v>
      </c>
      <c r="U853" t="s">
        <v>30</v>
      </c>
      <c r="V853">
        <v>3</v>
      </c>
      <c r="W853">
        <v>1</v>
      </c>
    </row>
    <row r="854" spans="1:23" x14ac:dyDescent="0.35">
      <c r="A854" t="s">
        <v>1425</v>
      </c>
      <c r="B854" s="6">
        <v>41809</v>
      </c>
      <c r="C854">
        <v>45688</v>
      </c>
      <c r="D854" t="s">
        <v>30</v>
      </c>
      <c r="E854">
        <v>32</v>
      </c>
      <c r="F854" t="s">
        <v>62</v>
      </c>
      <c r="G854" t="s">
        <v>37</v>
      </c>
      <c r="H854" t="s">
        <v>26</v>
      </c>
      <c r="I854" t="s">
        <v>55</v>
      </c>
      <c r="J854" t="s">
        <v>88</v>
      </c>
      <c r="K854">
        <v>2</v>
      </c>
      <c r="L854" t="s">
        <v>29</v>
      </c>
      <c r="M854">
        <v>61000</v>
      </c>
      <c r="N854">
        <v>16.899999999999999</v>
      </c>
      <c r="O854">
        <v>18</v>
      </c>
      <c r="P854">
        <v>10.6</v>
      </c>
      <c r="Q854">
        <v>5.5</v>
      </c>
      <c r="R854">
        <v>4</v>
      </c>
      <c r="S854">
        <v>4</v>
      </c>
      <c r="T854">
        <v>4</v>
      </c>
      <c r="U854" t="s">
        <v>23</v>
      </c>
      <c r="V854">
        <v>4</v>
      </c>
      <c r="W854">
        <v>1</v>
      </c>
    </row>
    <row r="855" spans="1:23" x14ac:dyDescent="0.35">
      <c r="A855" t="s">
        <v>887</v>
      </c>
      <c r="B855" s="6">
        <v>43507</v>
      </c>
      <c r="D855" t="s">
        <v>23</v>
      </c>
      <c r="E855">
        <v>37</v>
      </c>
      <c r="F855" t="s">
        <v>62</v>
      </c>
      <c r="G855" t="s">
        <v>42</v>
      </c>
      <c r="H855" t="s">
        <v>54</v>
      </c>
      <c r="I855" t="s">
        <v>45</v>
      </c>
      <c r="J855" t="s">
        <v>77</v>
      </c>
      <c r="K855">
        <v>4</v>
      </c>
      <c r="L855" t="s">
        <v>34</v>
      </c>
      <c r="M855">
        <v>117000</v>
      </c>
      <c r="N855">
        <v>18.100000000000001</v>
      </c>
      <c r="O855">
        <v>12</v>
      </c>
      <c r="P855">
        <v>6.9</v>
      </c>
      <c r="Q855">
        <v>1.7</v>
      </c>
      <c r="R855">
        <v>3</v>
      </c>
      <c r="S855">
        <v>2</v>
      </c>
      <c r="T855">
        <v>4</v>
      </c>
      <c r="U855" t="s">
        <v>23</v>
      </c>
      <c r="V855">
        <v>3</v>
      </c>
      <c r="W855">
        <v>1</v>
      </c>
    </row>
    <row r="856" spans="1:23" x14ac:dyDescent="0.35">
      <c r="A856" t="s">
        <v>1006</v>
      </c>
      <c r="B856" s="6">
        <v>43814</v>
      </c>
      <c r="D856" t="s">
        <v>23</v>
      </c>
      <c r="E856">
        <v>36</v>
      </c>
      <c r="F856" t="s">
        <v>24</v>
      </c>
      <c r="G856" t="s">
        <v>37</v>
      </c>
      <c r="H856" t="s">
        <v>26</v>
      </c>
      <c r="I856" t="s">
        <v>48</v>
      </c>
      <c r="J856" t="s">
        <v>63</v>
      </c>
      <c r="K856">
        <v>3</v>
      </c>
      <c r="L856" t="s">
        <v>84</v>
      </c>
      <c r="M856">
        <v>85000</v>
      </c>
      <c r="N856">
        <v>9.8000000000000007</v>
      </c>
      <c r="O856">
        <v>10</v>
      </c>
      <c r="P856">
        <v>6</v>
      </c>
      <c r="Q856">
        <v>4.7</v>
      </c>
      <c r="R856">
        <v>3</v>
      </c>
      <c r="S856">
        <v>3</v>
      </c>
      <c r="T856">
        <v>3</v>
      </c>
      <c r="U856" t="s">
        <v>23</v>
      </c>
      <c r="V856">
        <v>2</v>
      </c>
      <c r="W856">
        <v>1</v>
      </c>
    </row>
    <row r="857" spans="1:23" x14ac:dyDescent="0.35">
      <c r="A857" t="s">
        <v>260</v>
      </c>
      <c r="B857" s="6">
        <v>42754</v>
      </c>
      <c r="D857" t="s">
        <v>23</v>
      </c>
      <c r="E857">
        <v>36</v>
      </c>
      <c r="F857" t="s">
        <v>62</v>
      </c>
      <c r="G857" t="s">
        <v>25</v>
      </c>
      <c r="H857" t="s">
        <v>32</v>
      </c>
      <c r="I857" t="s">
        <v>27</v>
      </c>
      <c r="J857" t="s">
        <v>95</v>
      </c>
      <c r="K857">
        <v>3</v>
      </c>
      <c r="L857" t="s">
        <v>66</v>
      </c>
      <c r="M857">
        <v>51000</v>
      </c>
      <c r="N857">
        <v>11.7</v>
      </c>
      <c r="O857">
        <v>10.5</v>
      </c>
      <c r="P857">
        <v>8.9</v>
      </c>
      <c r="Q857">
        <v>5.8</v>
      </c>
      <c r="R857">
        <v>1</v>
      </c>
      <c r="S857">
        <v>1</v>
      </c>
      <c r="T857">
        <v>4</v>
      </c>
      <c r="U857" t="s">
        <v>23</v>
      </c>
      <c r="V857">
        <v>5</v>
      </c>
      <c r="W857">
        <v>1</v>
      </c>
    </row>
    <row r="858" spans="1:23" x14ac:dyDescent="0.35">
      <c r="A858" t="s">
        <v>775</v>
      </c>
      <c r="B858" s="6">
        <v>45527</v>
      </c>
      <c r="D858" t="s">
        <v>23</v>
      </c>
      <c r="E858">
        <v>31</v>
      </c>
      <c r="F858" t="s">
        <v>36</v>
      </c>
      <c r="G858" t="s">
        <v>37</v>
      </c>
      <c r="H858" t="s">
        <v>26</v>
      </c>
      <c r="I858" t="s">
        <v>68</v>
      </c>
      <c r="J858" t="s">
        <v>102</v>
      </c>
      <c r="K858">
        <v>4</v>
      </c>
      <c r="L858" t="s">
        <v>84</v>
      </c>
      <c r="M858">
        <v>129000</v>
      </c>
      <c r="N858">
        <v>6.3</v>
      </c>
      <c r="O858">
        <v>1.9</v>
      </c>
      <c r="P858">
        <v>1.4</v>
      </c>
      <c r="Q858">
        <v>0.3</v>
      </c>
      <c r="R858">
        <v>4</v>
      </c>
      <c r="S858">
        <v>2</v>
      </c>
      <c r="T858">
        <v>3</v>
      </c>
      <c r="U858" t="s">
        <v>23</v>
      </c>
      <c r="V858">
        <v>1</v>
      </c>
      <c r="W858">
        <v>1</v>
      </c>
    </row>
    <row r="859" spans="1:23" x14ac:dyDescent="0.35">
      <c r="A859" t="s">
        <v>814</v>
      </c>
      <c r="B859" s="6">
        <v>42002</v>
      </c>
      <c r="D859" t="s">
        <v>23</v>
      </c>
      <c r="E859">
        <v>47</v>
      </c>
      <c r="F859" t="s">
        <v>62</v>
      </c>
      <c r="G859" t="s">
        <v>25</v>
      </c>
      <c r="H859" t="s">
        <v>58</v>
      </c>
      <c r="I859" t="s">
        <v>38</v>
      </c>
      <c r="J859" t="s">
        <v>139</v>
      </c>
      <c r="K859">
        <v>3</v>
      </c>
      <c r="L859" t="s">
        <v>34</v>
      </c>
      <c r="M859">
        <v>79000</v>
      </c>
      <c r="N859">
        <v>6.8</v>
      </c>
      <c r="O859">
        <v>12.8</v>
      </c>
      <c r="P859">
        <v>11</v>
      </c>
      <c r="Q859">
        <v>5.5</v>
      </c>
      <c r="R859">
        <v>2</v>
      </c>
      <c r="S859">
        <v>3</v>
      </c>
      <c r="T859">
        <v>2</v>
      </c>
      <c r="U859" t="s">
        <v>23</v>
      </c>
      <c r="V859">
        <v>4</v>
      </c>
      <c r="W859">
        <v>1</v>
      </c>
    </row>
    <row r="860" spans="1:23" x14ac:dyDescent="0.35">
      <c r="A860" t="s">
        <v>1031</v>
      </c>
      <c r="B860" s="6">
        <v>42158</v>
      </c>
      <c r="D860" t="s">
        <v>23</v>
      </c>
      <c r="E860">
        <v>39</v>
      </c>
      <c r="F860" t="s">
        <v>36</v>
      </c>
      <c r="G860" t="s">
        <v>42</v>
      </c>
      <c r="H860" t="s">
        <v>26</v>
      </c>
      <c r="I860" t="s">
        <v>45</v>
      </c>
      <c r="J860" t="s">
        <v>77</v>
      </c>
      <c r="K860">
        <v>2</v>
      </c>
      <c r="L860" t="s">
        <v>29</v>
      </c>
      <c r="M860">
        <v>51000</v>
      </c>
      <c r="N860">
        <v>3.8</v>
      </c>
      <c r="O860">
        <v>13.9</v>
      </c>
      <c r="P860">
        <v>10.6</v>
      </c>
      <c r="Q860">
        <v>2.5</v>
      </c>
      <c r="R860">
        <v>3</v>
      </c>
      <c r="S860">
        <v>3</v>
      </c>
      <c r="T860">
        <v>4</v>
      </c>
      <c r="U860" t="s">
        <v>23</v>
      </c>
      <c r="V860">
        <v>4</v>
      </c>
      <c r="W860">
        <v>1</v>
      </c>
    </row>
    <row r="861" spans="1:23" x14ac:dyDescent="0.35">
      <c r="A861" t="s">
        <v>362</v>
      </c>
      <c r="B861" s="6">
        <v>43475</v>
      </c>
      <c r="C861">
        <v>45716</v>
      </c>
      <c r="D861" t="s">
        <v>30</v>
      </c>
      <c r="E861">
        <v>29</v>
      </c>
      <c r="F861" t="s">
        <v>62</v>
      </c>
      <c r="G861" t="s">
        <v>42</v>
      </c>
      <c r="H861" t="s">
        <v>54</v>
      </c>
      <c r="I861" t="s">
        <v>45</v>
      </c>
      <c r="J861" t="s">
        <v>46</v>
      </c>
      <c r="K861">
        <v>1</v>
      </c>
      <c r="L861" t="s">
        <v>84</v>
      </c>
      <c r="M861">
        <v>31000</v>
      </c>
      <c r="N861">
        <v>10.7</v>
      </c>
      <c r="O861">
        <v>7.1</v>
      </c>
      <c r="P861">
        <v>6.1</v>
      </c>
      <c r="Q861">
        <v>5.4</v>
      </c>
      <c r="R861">
        <v>3</v>
      </c>
      <c r="S861">
        <v>3</v>
      </c>
      <c r="T861">
        <v>2</v>
      </c>
      <c r="U861" t="s">
        <v>30</v>
      </c>
      <c r="V861">
        <v>3</v>
      </c>
      <c r="W861">
        <v>1</v>
      </c>
    </row>
    <row r="862" spans="1:23" x14ac:dyDescent="0.35">
      <c r="A862" t="s">
        <v>958</v>
      </c>
      <c r="B862" s="6">
        <v>45840</v>
      </c>
      <c r="C862">
        <v>46005</v>
      </c>
      <c r="D862" t="s">
        <v>30</v>
      </c>
      <c r="E862">
        <v>21</v>
      </c>
      <c r="F862" t="s">
        <v>62</v>
      </c>
      <c r="G862" t="s">
        <v>37</v>
      </c>
      <c r="H862" t="s">
        <v>54</v>
      </c>
      <c r="I862" t="s">
        <v>27</v>
      </c>
      <c r="J862" t="s">
        <v>28</v>
      </c>
      <c r="K862">
        <v>1</v>
      </c>
      <c r="L862" t="s">
        <v>34</v>
      </c>
      <c r="M862">
        <v>42000</v>
      </c>
      <c r="N862">
        <v>10</v>
      </c>
      <c r="O862">
        <v>7.5</v>
      </c>
      <c r="P862">
        <v>0.5</v>
      </c>
      <c r="Q862">
        <v>0</v>
      </c>
      <c r="R862">
        <v>2</v>
      </c>
      <c r="S862">
        <v>2</v>
      </c>
      <c r="T862">
        <v>4</v>
      </c>
      <c r="U862" t="s">
        <v>23</v>
      </c>
      <c r="V862">
        <v>3</v>
      </c>
      <c r="W862">
        <v>1</v>
      </c>
    </row>
    <row r="863" spans="1:23" x14ac:dyDescent="0.35">
      <c r="A863" t="s">
        <v>489</v>
      </c>
      <c r="B863" s="6">
        <v>42353</v>
      </c>
      <c r="D863" t="s">
        <v>23</v>
      </c>
      <c r="E863">
        <v>36</v>
      </c>
      <c r="F863" t="s">
        <v>24</v>
      </c>
      <c r="G863" t="s">
        <v>25</v>
      </c>
      <c r="H863" t="s">
        <v>32</v>
      </c>
      <c r="I863" t="s">
        <v>38</v>
      </c>
      <c r="J863" t="s">
        <v>118</v>
      </c>
      <c r="K863">
        <v>2</v>
      </c>
      <c r="L863" t="s">
        <v>40</v>
      </c>
      <c r="M863">
        <v>69000</v>
      </c>
      <c r="N863">
        <v>10.9</v>
      </c>
      <c r="O863">
        <v>12</v>
      </c>
      <c r="P863">
        <v>10</v>
      </c>
      <c r="Q863">
        <v>3.7</v>
      </c>
      <c r="R863">
        <v>4</v>
      </c>
      <c r="S863">
        <v>3</v>
      </c>
      <c r="T863">
        <v>2</v>
      </c>
      <c r="U863" t="s">
        <v>30</v>
      </c>
      <c r="V863">
        <v>4</v>
      </c>
      <c r="W863">
        <v>1</v>
      </c>
    </row>
    <row r="864" spans="1:23" x14ac:dyDescent="0.35">
      <c r="A864" t="s">
        <v>373</v>
      </c>
      <c r="B864" s="6">
        <v>45852</v>
      </c>
      <c r="D864" t="s">
        <v>23</v>
      </c>
      <c r="E864">
        <v>37</v>
      </c>
      <c r="F864" t="s">
        <v>36</v>
      </c>
      <c r="G864" t="s">
        <v>25</v>
      </c>
      <c r="H864" t="s">
        <v>26</v>
      </c>
      <c r="I864" t="s">
        <v>45</v>
      </c>
      <c r="J864" t="s">
        <v>77</v>
      </c>
      <c r="K864">
        <v>1</v>
      </c>
      <c r="L864" t="s">
        <v>40</v>
      </c>
      <c r="M864">
        <v>31000</v>
      </c>
      <c r="N864">
        <v>18.100000000000001</v>
      </c>
      <c r="O864">
        <v>1.9</v>
      </c>
      <c r="P864">
        <v>0.5</v>
      </c>
      <c r="Q864">
        <v>0</v>
      </c>
      <c r="R864">
        <v>4</v>
      </c>
      <c r="S864">
        <v>4</v>
      </c>
      <c r="T864">
        <v>1</v>
      </c>
      <c r="U864" t="s">
        <v>30</v>
      </c>
      <c r="V864">
        <v>3</v>
      </c>
      <c r="W864">
        <v>1</v>
      </c>
    </row>
    <row r="865" spans="1:23" x14ac:dyDescent="0.35">
      <c r="A865" t="s">
        <v>585</v>
      </c>
      <c r="B865" s="6">
        <v>42831</v>
      </c>
      <c r="D865" t="s">
        <v>23</v>
      </c>
      <c r="E865">
        <v>37</v>
      </c>
      <c r="F865" t="s">
        <v>24</v>
      </c>
      <c r="G865" t="s">
        <v>25</v>
      </c>
      <c r="H865" t="s">
        <v>26</v>
      </c>
      <c r="I865" t="s">
        <v>55</v>
      </c>
      <c r="J865" t="s">
        <v>179</v>
      </c>
      <c r="K865">
        <v>2</v>
      </c>
      <c r="L865" t="s">
        <v>34</v>
      </c>
      <c r="M865">
        <v>50000</v>
      </c>
      <c r="N865">
        <v>3.8</v>
      </c>
      <c r="O865">
        <v>13.5</v>
      </c>
      <c r="P865">
        <v>8.6999999999999993</v>
      </c>
      <c r="Q865">
        <v>1.7</v>
      </c>
      <c r="R865">
        <v>3</v>
      </c>
      <c r="S865">
        <v>2</v>
      </c>
      <c r="T865">
        <v>3</v>
      </c>
      <c r="U865" t="s">
        <v>30</v>
      </c>
      <c r="V865">
        <v>3</v>
      </c>
      <c r="W865">
        <v>1</v>
      </c>
    </row>
    <row r="866" spans="1:23" x14ac:dyDescent="0.35">
      <c r="A866" t="s">
        <v>911</v>
      </c>
      <c r="B866" s="6">
        <v>45187</v>
      </c>
      <c r="D866" t="s">
        <v>23</v>
      </c>
      <c r="E866">
        <v>34</v>
      </c>
      <c r="F866" t="s">
        <v>62</v>
      </c>
      <c r="G866" t="s">
        <v>37</v>
      </c>
      <c r="H866" t="s">
        <v>32</v>
      </c>
      <c r="I866" t="s">
        <v>27</v>
      </c>
      <c r="J866" t="s">
        <v>43</v>
      </c>
      <c r="K866">
        <v>3</v>
      </c>
      <c r="L866" t="s">
        <v>29</v>
      </c>
      <c r="M866">
        <v>68000</v>
      </c>
      <c r="N866">
        <v>9.6</v>
      </c>
      <c r="O866">
        <v>3.1</v>
      </c>
      <c r="P866">
        <v>2.2999999999999998</v>
      </c>
      <c r="Q866">
        <v>0.5</v>
      </c>
      <c r="R866">
        <v>3</v>
      </c>
      <c r="S866">
        <v>3</v>
      </c>
      <c r="T866">
        <v>3</v>
      </c>
      <c r="U866" t="s">
        <v>23</v>
      </c>
      <c r="V866">
        <v>4</v>
      </c>
      <c r="W866">
        <v>1</v>
      </c>
    </row>
    <row r="867" spans="1:23" x14ac:dyDescent="0.35">
      <c r="A867" t="s">
        <v>950</v>
      </c>
      <c r="B867" s="6">
        <v>42392</v>
      </c>
      <c r="D867" t="s">
        <v>23</v>
      </c>
      <c r="E867">
        <v>38</v>
      </c>
      <c r="F867" t="s">
        <v>36</v>
      </c>
      <c r="G867" t="s">
        <v>42</v>
      </c>
      <c r="H867" t="s">
        <v>54</v>
      </c>
      <c r="I867" t="s">
        <v>38</v>
      </c>
      <c r="J867" t="s">
        <v>118</v>
      </c>
      <c r="K867">
        <v>1</v>
      </c>
      <c r="L867" t="s">
        <v>34</v>
      </c>
      <c r="M867">
        <v>28000</v>
      </c>
      <c r="N867">
        <v>8.6</v>
      </c>
      <c r="O867">
        <v>15.4</v>
      </c>
      <c r="P867">
        <v>9.9</v>
      </c>
      <c r="Q867">
        <v>2.2999999999999998</v>
      </c>
      <c r="R867">
        <v>3</v>
      </c>
      <c r="S867">
        <v>4</v>
      </c>
      <c r="T867">
        <v>2</v>
      </c>
      <c r="U867" t="s">
        <v>23</v>
      </c>
      <c r="V867">
        <v>3</v>
      </c>
      <c r="W867">
        <v>1</v>
      </c>
    </row>
    <row r="868" spans="1:23" x14ac:dyDescent="0.35">
      <c r="A868" t="s">
        <v>141</v>
      </c>
      <c r="B868" s="6">
        <v>44637</v>
      </c>
      <c r="D868" t="s">
        <v>23</v>
      </c>
      <c r="E868">
        <v>30</v>
      </c>
      <c r="F868" t="s">
        <v>36</v>
      </c>
      <c r="G868" t="s">
        <v>37</v>
      </c>
      <c r="H868" t="s">
        <v>26</v>
      </c>
      <c r="I868" t="s">
        <v>55</v>
      </c>
      <c r="J868" t="s">
        <v>80</v>
      </c>
      <c r="K868">
        <v>3</v>
      </c>
      <c r="L868" t="s">
        <v>34</v>
      </c>
      <c r="M868">
        <v>86000</v>
      </c>
      <c r="N868">
        <v>7.1</v>
      </c>
      <c r="O868">
        <v>11.5</v>
      </c>
      <c r="P868">
        <v>3.8</v>
      </c>
      <c r="Q868">
        <v>3.8</v>
      </c>
      <c r="R868">
        <v>3</v>
      </c>
      <c r="S868">
        <v>4</v>
      </c>
      <c r="T868">
        <v>3</v>
      </c>
      <c r="U868" t="s">
        <v>30</v>
      </c>
      <c r="V868">
        <v>1</v>
      </c>
      <c r="W868">
        <v>1</v>
      </c>
    </row>
    <row r="869" spans="1:23" x14ac:dyDescent="0.35">
      <c r="A869" t="s">
        <v>1273</v>
      </c>
      <c r="B869" s="6">
        <v>45379</v>
      </c>
      <c r="D869" t="s">
        <v>23</v>
      </c>
      <c r="E869">
        <v>32</v>
      </c>
      <c r="F869" t="s">
        <v>36</v>
      </c>
      <c r="G869" t="s">
        <v>42</v>
      </c>
      <c r="H869" t="s">
        <v>54</v>
      </c>
      <c r="I869" t="s">
        <v>48</v>
      </c>
      <c r="J869" t="s">
        <v>49</v>
      </c>
      <c r="K869">
        <v>5</v>
      </c>
      <c r="L869" t="s">
        <v>40</v>
      </c>
      <c r="M869">
        <v>155000</v>
      </c>
      <c r="N869">
        <v>0</v>
      </c>
      <c r="O869">
        <v>8.8000000000000007</v>
      </c>
      <c r="P869">
        <v>1.8</v>
      </c>
      <c r="Q869">
        <v>0.8</v>
      </c>
      <c r="R869">
        <v>2</v>
      </c>
      <c r="S869">
        <v>3</v>
      </c>
      <c r="T869">
        <v>4</v>
      </c>
      <c r="U869" t="s">
        <v>23</v>
      </c>
      <c r="V869">
        <v>3</v>
      </c>
      <c r="W869">
        <v>1</v>
      </c>
    </row>
    <row r="870" spans="1:23" x14ac:dyDescent="0.35">
      <c r="A870" t="s">
        <v>1134</v>
      </c>
      <c r="B870" s="6">
        <v>42868</v>
      </c>
      <c r="D870" t="s">
        <v>23</v>
      </c>
      <c r="E870">
        <v>41</v>
      </c>
      <c r="F870" t="s">
        <v>36</v>
      </c>
      <c r="G870" t="s">
        <v>25</v>
      </c>
      <c r="H870" t="s">
        <v>58</v>
      </c>
      <c r="I870" t="s">
        <v>45</v>
      </c>
      <c r="J870" t="s">
        <v>97</v>
      </c>
      <c r="K870">
        <v>2</v>
      </c>
      <c r="L870" t="s">
        <v>40</v>
      </c>
      <c r="M870">
        <v>46000</v>
      </c>
      <c r="N870">
        <v>9.1</v>
      </c>
      <c r="O870">
        <v>14.9</v>
      </c>
      <c r="P870">
        <v>8.6</v>
      </c>
      <c r="Q870">
        <v>2.2000000000000002</v>
      </c>
      <c r="R870">
        <v>4</v>
      </c>
      <c r="S870">
        <v>3</v>
      </c>
      <c r="T870">
        <v>4</v>
      </c>
      <c r="U870" t="s">
        <v>23</v>
      </c>
      <c r="V870">
        <v>4</v>
      </c>
      <c r="W870">
        <v>1</v>
      </c>
    </row>
    <row r="871" spans="1:23" x14ac:dyDescent="0.35">
      <c r="A871" t="s">
        <v>708</v>
      </c>
      <c r="B871" s="6">
        <v>43593</v>
      </c>
      <c r="D871" t="s">
        <v>23</v>
      </c>
      <c r="E871">
        <v>45</v>
      </c>
      <c r="F871" t="s">
        <v>62</v>
      </c>
      <c r="G871" t="s">
        <v>42</v>
      </c>
      <c r="H871" t="s">
        <v>54</v>
      </c>
      <c r="I871" t="s">
        <v>48</v>
      </c>
      <c r="J871" t="s">
        <v>49</v>
      </c>
      <c r="K871">
        <v>3</v>
      </c>
      <c r="L871" t="s">
        <v>40</v>
      </c>
      <c r="M871">
        <v>97000</v>
      </c>
      <c r="N871">
        <v>9.6</v>
      </c>
      <c r="O871">
        <v>13.6</v>
      </c>
      <c r="P871">
        <v>6.7</v>
      </c>
      <c r="Q871">
        <v>2.5</v>
      </c>
      <c r="R871">
        <v>4</v>
      </c>
      <c r="S871">
        <v>2</v>
      </c>
      <c r="T871">
        <v>3</v>
      </c>
      <c r="U871" t="s">
        <v>23</v>
      </c>
      <c r="V871">
        <v>5</v>
      </c>
      <c r="W871">
        <v>1</v>
      </c>
    </row>
    <row r="872" spans="1:23" x14ac:dyDescent="0.35">
      <c r="A872" t="s">
        <v>623</v>
      </c>
      <c r="B872" s="6">
        <v>44264</v>
      </c>
      <c r="D872" t="s">
        <v>23</v>
      </c>
      <c r="E872">
        <v>34</v>
      </c>
      <c r="F872" t="s">
        <v>36</v>
      </c>
      <c r="G872" t="s">
        <v>42</v>
      </c>
      <c r="H872" t="s">
        <v>54</v>
      </c>
      <c r="I872" t="s">
        <v>48</v>
      </c>
      <c r="J872" t="s">
        <v>63</v>
      </c>
      <c r="K872">
        <v>3</v>
      </c>
      <c r="L872" t="s">
        <v>40</v>
      </c>
      <c r="M872">
        <v>68000</v>
      </c>
      <c r="N872">
        <v>7.4</v>
      </c>
      <c r="O872">
        <v>9.3000000000000007</v>
      </c>
      <c r="P872">
        <v>4.8</v>
      </c>
      <c r="Q872">
        <v>0.7</v>
      </c>
      <c r="R872">
        <v>3</v>
      </c>
      <c r="S872">
        <v>3</v>
      </c>
      <c r="T872">
        <v>4</v>
      </c>
      <c r="U872" t="s">
        <v>23</v>
      </c>
      <c r="V872">
        <v>3</v>
      </c>
      <c r="W872">
        <v>1</v>
      </c>
    </row>
    <row r="873" spans="1:23" x14ac:dyDescent="0.35">
      <c r="A873" t="s">
        <v>1553</v>
      </c>
      <c r="B873" s="6">
        <v>44189</v>
      </c>
      <c r="D873" t="s">
        <v>23</v>
      </c>
      <c r="E873">
        <v>30</v>
      </c>
      <c r="F873" t="s">
        <v>24</v>
      </c>
      <c r="G873" t="s">
        <v>42</v>
      </c>
      <c r="H873" t="s">
        <v>26</v>
      </c>
      <c r="I873" t="s">
        <v>59</v>
      </c>
      <c r="J873" t="s">
        <v>86</v>
      </c>
      <c r="K873">
        <v>3</v>
      </c>
      <c r="L873" t="s">
        <v>84</v>
      </c>
      <c r="M873">
        <v>73000</v>
      </c>
      <c r="N873">
        <v>8.6</v>
      </c>
      <c r="O873">
        <v>10</v>
      </c>
      <c r="P873">
        <v>5</v>
      </c>
      <c r="Q873">
        <v>0.2</v>
      </c>
      <c r="R873">
        <v>4</v>
      </c>
      <c r="S873">
        <v>2</v>
      </c>
      <c r="T873">
        <v>2</v>
      </c>
      <c r="U873" t="s">
        <v>23</v>
      </c>
      <c r="V873">
        <v>1</v>
      </c>
      <c r="W873">
        <v>1</v>
      </c>
    </row>
    <row r="874" spans="1:23" x14ac:dyDescent="0.35">
      <c r="A874" t="s">
        <v>1508</v>
      </c>
      <c r="B874" s="6">
        <v>41819</v>
      </c>
      <c r="D874" t="s">
        <v>23</v>
      </c>
      <c r="E874">
        <v>33</v>
      </c>
      <c r="F874" t="s">
        <v>36</v>
      </c>
      <c r="G874" t="s">
        <v>37</v>
      </c>
      <c r="H874" t="s">
        <v>32</v>
      </c>
      <c r="I874" t="s">
        <v>68</v>
      </c>
      <c r="J874" t="s">
        <v>109</v>
      </c>
      <c r="K874">
        <v>3</v>
      </c>
      <c r="L874" t="s">
        <v>40</v>
      </c>
      <c r="M874">
        <v>67000</v>
      </c>
      <c r="N874">
        <v>6.1</v>
      </c>
      <c r="O874">
        <v>14</v>
      </c>
      <c r="P874">
        <v>11.5</v>
      </c>
      <c r="Q874">
        <v>5.4</v>
      </c>
      <c r="R874">
        <v>1</v>
      </c>
      <c r="S874">
        <v>3</v>
      </c>
      <c r="T874">
        <v>3</v>
      </c>
      <c r="U874" t="s">
        <v>23</v>
      </c>
      <c r="V874">
        <v>3</v>
      </c>
      <c r="W874">
        <v>1</v>
      </c>
    </row>
    <row r="875" spans="1:23" x14ac:dyDescent="0.35">
      <c r="A875" t="s">
        <v>1322</v>
      </c>
      <c r="B875" s="6">
        <v>42023</v>
      </c>
      <c r="D875" t="s">
        <v>23</v>
      </c>
      <c r="E875">
        <v>40</v>
      </c>
      <c r="F875" t="s">
        <v>24</v>
      </c>
      <c r="G875" t="s">
        <v>42</v>
      </c>
      <c r="H875" t="s">
        <v>26</v>
      </c>
      <c r="I875" t="s">
        <v>55</v>
      </c>
      <c r="J875" t="s">
        <v>80</v>
      </c>
      <c r="K875">
        <v>2</v>
      </c>
      <c r="L875" t="s">
        <v>50</v>
      </c>
      <c r="M875">
        <v>43000</v>
      </c>
      <c r="N875">
        <v>13.6</v>
      </c>
      <c r="O875">
        <v>16.5</v>
      </c>
      <c r="P875">
        <v>10.9</v>
      </c>
      <c r="Q875">
        <v>1.7</v>
      </c>
      <c r="R875">
        <v>3</v>
      </c>
      <c r="S875">
        <v>4</v>
      </c>
      <c r="T875">
        <v>2</v>
      </c>
      <c r="U875" t="s">
        <v>23</v>
      </c>
      <c r="V875">
        <v>2</v>
      </c>
      <c r="W875">
        <v>1</v>
      </c>
    </row>
    <row r="876" spans="1:23" x14ac:dyDescent="0.35">
      <c r="A876" t="s">
        <v>798</v>
      </c>
      <c r="B876" s="6">
        <v>44049</v>
      </c>
      <c r="D876" t="s">
        <v>23</v>
      </c>
      <c r="E876">
        <v>31</v>
      </c>
      <c r="F876" t="s">
        <v>36</v>
      </c>
      <c r="G876" t="s">
        <v>25</v>
      </c>
      <c r="H876" t="s">
        <v>58</v>
      </c>
      <c r="I876" t="s">
        <v>55</v>
      </c>
      <c r="J876" t="s">
        <v>80</v>
      </c>
      <c r="K876">
        <v>3</v>
      </c>
      <c r="L876" t="s">
        <v>84</v>
      </c>
      <c r="M876">
        <v>66000</v>
      </c>
      <c r="N876">
        <v>7.6</v>
      </c>
      <c r="O876">
        <v>8.3000000000000007</v>
      </c>
      <c r="P876">
        <v>5.4</v>
      </c>
      <c r="Q876">
        <v>2.4</v>
      </c>
      <c r="R876">
        <v>3</v>
      </c>
      <c r="S876">
        <v>3</v>
      </c>
      <c r="T876">
        <v>3</v>
      </c>
      <c r="U876" t="s">
        <v>23</v>
      </c>
      <c r="V876">
        <v>1</v>
      </c>
      <c r="W876">
        <v>1</v>
      </c>
    </row>
    <row r="877" spans="1:23" x14ac:dyDescent="0.35">
      <c r="A877" t="s">
        <v>885</v>
      </c>
      <c r="B877" s="6">
        <v>45770</v>
      </c>
      <c r="D877" t="s">
        <v>23</v>
      </c>
      <c r="E877">
        <v>26</v>
      </c>
      <c r="F877" t="s">
        <v>36</v>
      </c>
      <c r="G877" t="s">
        <v>42</v>
      </c>
      <c r="H877" t="s">
        <v>26</v>
      </c>
      <c r="I877" t="s">
        <v>38</v>
      </c>
      <c r="J877" t="s">
        <v>39</v>
      </c>
      <c r="K877">
        <v>1</v>
      </c>
      <c r="L877" t="s">
        <v>84</v>
      </c>
      <c r="M877">
        <v>33000</v>
      </c>
      <c r="N877">
        <v>15.1</v>
      </c>
      <c r="O877">
        <v>1.9</v>
      </c>
      <c r="P877">
        <v>0.7</v>
      </c>
      <c r="Q877">
        <v>0</v>
      </c>
      <c r="R877">
        <v>3</v>
      </c>
      <c r="S877">
        <v>4</v>
      </c>
      <c r="T877">
        <v>3</v>
      </c>
      <c r="U877" t="s">
        <v>30</v>
      </c>
      <c r="V877">
        <v>5</v>
      </c>
      <c r="W877">
        <v>1</v>
      </c>
    </row>
    <row r="878" spans="1:23" x14ac:dyDescent="0.35">
      <c r="A878" t="s">
        <v>999</v>
      </c>
      <c r="B878" s="6">
        <v>45874</v>
      </c>
      <c r="C878">
        <v>45966</v>
      </c>
      <c r="D878" t="s">
        <v>30</v>
      </c>
      <c r="E878">
        <v>27</v>
      </c>
      <c r="F878" t="s">
        <v>24</v>
      </c>
      <c r="G878" t="s">
        <v>37</v>
      </c>
      <c r="H878" t="s">
        <v>32</v>
      </c>
      <c r="I878" t="s">
        <v>27</v>
      </c>
      <c r="J878" t="s">
        <v>33</v>
      </c>
      <c r="K878">
        <v>1</v>
      </c>
      <c r="L878" t="s">
        <v>29</v>
      </c>
      <c r="M878">
        <v>22000</v>
      </c>
      <c r="N878">
        <v>7.7</v>
      </c>
      <c r="O878">
        <v>1.8</v>
      </c>
      <c r="P878">
        <v>0.3</v>
      </c>
      <c r="Q878">
        <v>0</v>
      </c>
      <c r="R878">
        <v>3</v>
      </c>
      <c r="S878">
        <v>3</v>
      </c>
      <c r="T878">
        <v>4</v>
      </c>
      <c r="U878" t="s">
        <v>23</v>
      </c>
      <c r="V878">
        <v>3</v>
      </c>
      <c r="W878">
        <v>1</v>
      </c>
    </row>
    <row r="879" spans="1:23" x14ac:dyDescent="0.35">
      <c r="A879" t="s">
        <v>1325</v>
      </c>
      <c r="B879" s="6">
        <v>44063</v>
      </c>
      <c r="D879" t="s">
        <v>23</v>
      </c>
      <c r="E879">
        <v>36</v>
      </c>
      <c r="F879" t="s">
        <v>62</v>
      </c>
      <c r="G879" t="s">
        <v>37</v>
      </c>
      <c r="H879" t="s">
        <v>26</v>
      </c>
      <c r="I879" t="s">
        <v>68</v>
      </c>
      <c r="J879" t="s">
        <v>69</v>
      </c>
      <c r="K879">
        <v>2</v>
      </c>
      <c r="L879" t="s">
        <v>84</v>
      </c>
      <c r="M879">
        <v>48000</v>
      </c>
      <c r="N879">
        <v>11</v>
      </c>
      <c r="O879">
        <v>9</v>
      </c>
      <c r="P879">
        <v>5.4</v>
      </c>
      <c r="Q879">
        <v>0.4</v>
      </c>
      <c r="R879">
        <v>4</v>
      </c>
      <c r="S879">
        <v>3</v>
      </c>
      <c r="T879">
        <v>2</v>
      </c>
      <c r="U879" t="s">
        <v>30</v>
      </c>
      <c r="V879">
        <v>5</v>
      </c>
      <c r="W879">
        <v>1</v>
      </c>
    </row>
    <row r="880" spans="1:23" x14ac:dyDescent="0.35">
      <c r="A880" t="s">
        <v>278</v>
      </c>
      <c r="B880" s="6">
        <v>44289</v>
      </c>
      <c r="D880" t="s">
        <v>23</v>
      </c>
      <c r="E880">
        <v>39</v>
      </c>
      <c r="F880" t="s">
        <v>36</v>
      </c>
      <c r="G880" t="s">
        <v>37</v>
      </c>
      <c r="H880" t="s">
        <v>58</v>
      </c>
      <c r="I880" t="s">
        <v>48</v>
      </c>
      <c r="J880" t="s">
        <v>49</v>
      </c>
      <c r="K880">
        <v>4</v>
      </c>
      <c r="L880" t="s">
        <v>29</v>
      </c>
      <c r="M880">
        <v>115000</v>
      </c>
      <c r="N880">
        <v>8.3000000000000007</v>
      </c>
      <c r="O880">
        <v>7.4</v>
      </c>
      <c r="P880">
        <v>4.7</v>
      </c>
      <c r="Q880">
        <v>3.8</v>
      </c>
      <c r="R880">
        <v>3</v>
      </c>
      <c r="S880">
        <v>4</v>
      </c>
      <c r="T880">
        <v>4</v>
      </c>
      <c r="U880" t="s">
        <v>30</v>
      </c>
      <c r="V880">
        <v>3</v>
      </c>
      <c r="W880">
        <v>1</v>
      </c>
    </row>
    <row r="881" spans="1:23" x14ac:dyDescent="0.35">
      <c r="A881" t="s">
        <v>642</v>
      </c>
      <c r="B881" s="6">
        <v>44773</v>
      </c>
      <c r="C881">
        <v>45999</v>
      </c>
      <c r="D881" t="s">
        <v>30</v>
      </c>
      <c r="E881">
        <v>41</v>
      </c>
      <c r="F881" t="s">
        <v>24</v>
      </c>
      <c r="G881" t="s">
        <v>37</v>
      </c>
      <c r="H881" t="s">
        <v>26</v>
      </c>
      <c r="I881" t="s">
        <v>68</v>
      </c>
      <c r="J881" t="s">
        <v>109</v>
      </c>
      <c r="K881">
        <v>3</v>
      </c>
      <c r="L881" t="s">
        <v>40</v>
      </c>
      <c r="M881">
        <v>71000</v>
      </c>
      <c r="N881">
        <v>9.1999999999999993</v>
      </c>
      <c r="O881">
        <v>10.7</v>
      </c>
      <c r="P881">
        <v>3.4</v>
      </c>
      <c r="Q881">
        <v>2.9</v>
      </c>
      <c r="R881">
        <v>4</v>
      </c>
      <c r="S881">
        <v>4</v>
      </c>
      <c r="T881">
        <v>1</v>
      </c>
      <c r="U881" t="s">
        <v>23</v>
      </c>
      <c r="V881">
        <v>2</v>
      </c>
      <c r="W881">
        <v>1</v>
      </c>
    </row>
    <row r="882" spans="1:23" x14ac:dyDescent="0.35">
      <c r="A882" t="s">
        <v>219</v>
      </c>
      <c r="B882" s="6">
        <v>43366</v>
      </c>
      <c r="C882">
        <v>45664</v>
      </c>
      <c r="D882" t="s">
        <v>30</v>
      </c>
      <c r="E882">
        <v>29</v>
      </c>
      <c r="F882" t="s">
        <v>36</v>
      </c>
      <c r="G882" t="s">
        <v>25</v>
      </c>
      <c r="H882" t="s">
        <v>58</v>
      </c>
      <c r="I882" t="s">
        <v>68</v>
      </c>
      <c r="J882" t="s">
        <v>102</v>
      </c>
      <c r="K882">
        <v>2</v>
      </c>
      <c r="L882" t="s">
        <v>29</v>
      </c>
      <c r="M882">
        <v>40000</v>
      </c>
      <c r="N882">
        <v>10.3</v>
      </c>
      <c r="O882">
        <v>12.2</v>
      </c>
      <c r="P882">
        <v>6.3</v>
      </c>
      <c r="Q882">
        <v>2</v>
      </c>
      <c r="R882">
        <v>4</v>
      </c>
      <c r="S882">
        <v>4</v>
      </c>
      <c r="T882">
        <v>2</v>
      </c>
      <c r="U882" t="s">
        <v>23</v>
      </c>
      <c r="V882">
        <v>4</v>
      </c>
      <c r="W882">
        <v>1</v>
      </c>
    </row>
    <row r="883" spans="1:23" x14ac:dyDescent="0.35">
      <c r="A883" t="s">
        <v>1105</v>
      </c>
      <c r="B883" s="6">
        <v>45320</v>
      </c>
      <c r="C883">
        <v>45704</v>
      </c>
      <c r="D883" t="s">
        <v>30</v>
      </c>
      <c r="E883">
        <v>37</v>
      </c>
      <c r="F883" t="s">
        <v>36</v>
      </c>
      <c r="G883" t="s">
        <v>25</v>
      </c>
      <c r="H883" t="s">
        <v>32</v>
      </c>
      <c r="I883" t="s">
        <v>38</v>
      </c>
      <c r="J883" t="s">
        <v>118</v>
      </c>
      <c r="K883">
        <v>1</v>
      </c>
      <c r="L883" t="s">
        <v>34</v>
      </c>
      <c r="M883">
        <v>33000</v>
      </c>
      <c r="N883">
        <v>13.9</v>
      </c>
      <c r="O883">
        <v>1.1000000000000001</v>
      </c>
      <c r="P883">
        <v>1.1000000000000001</v>
      </c>
      <c r="Q883">
        <v>0.9</v>
      </c>
      <c r="R883">
        <v>4</v>
      </c>
      <c r="S883">
        <v>2</v>
      </c>
      <c r="T883">
        <v>1</v>
      </c>
      <c r="U883" t="s">
        <v>23</v>
      </c>
      <c r="V883">
        <v>2</v>
      </c>
      <c r="W883">
        <v>1</v>
      </c>
    </row>
    <row r="884" spans="1:23" x14ac:dyDescent="0.35">
      <c r="A884" t="s">
        <v>641</v>
      </c>
      <c r="B884" s="6">
        <v>43796</v>
      </c>
      <c r="D884" t="s">
        <v>23</v>
      </c>
      <c r="E884">
        <v>45</v>
      </c>
      <c r="F884" t="s">
        <v>24</v>
      </c>
      <c r="G884" t="s">
        <v>42</v>
      </c>
      <c r="H884" t="s">
        <v>32</v>
      </c>
      <c r="I884" t="s">
        <v>59</v>
      </c>
      <c r="J884" t="s">
        <v>86</v>
      </c>
      <c r="K884">
        <v>3</v>
      </c>
      <c r="L884" t="s">
        <v>66</v>
      </c>
      <c r="M884">
        <v>59000</v>
      </c>
      <c r="N884">
        <v>10.7</v>
      </c>
      <c r="O884">
        <v>10.8</v>
      </c>
      <c r="P884">
        <v>6.1</v>
      </c>
      <c r="Q884">
        <v>5.2</v>
      </c>
      <c r="R884">
        <v>3</v>
      </c>
      <c r="S884">
        <v>3</v>
      </c>
      <c r="T884">
        <v>3</v>
      </c>
      <c r="U884" t="s">
        <v>23</v>
      </c>
      <c r="V884">
        <v>2</v>
      </c>
      <c r="W884">
        <v>1</v>
      </c>
    </row>
    <row r="885" spans="1:23" x14ac:dyDescent="0.35">
      <c r="A885" t="s">
        <v>1028</v>
      </c>
      <c r="B885" s="6">
        <v>44200</v>
      </c>
      <c r="D885" t="s">
        <v>23</v>
      </c>
      <c r="E885">
        <v>27</v>
      </c>
      <c r="F885" t="s">
        <v>62</v>
      </c>
      <c r="G885" t="s">
        <v>42</v>
      </c>
      <c r="H885" t="s">
        <v>58</v>
      </c>
      <c r="I885" t="s">
        <v>27</v>
      </c>
      <c r="J885" t="s">
        <v>95</v>
      </c>
      <c r="K885">
        <v>1</v>
      </c>
      <c r="L885" t="s">
        <v>40</v>
      </c>
      <c r="M885">
        <v>36000</v>
      </c>
      <c r="N885">
        <v>14.1</v>
      </c>
      <c r="O885">
        <v>7.6</v>
      </c>
      <c r="P885">
        <v>5</v>
      </c>
      <c r="Q885">
        <v>5</v>
      </c>
      <c r="R885">
        <v>1</v>
      </c>
      <c r="S885">
        <v>2</v>
      </c>
      <c r="T885">
        <v>3</v>
      </c>
      <c r="U885" t="s">
        <v>23</v>
      </c>
      <c r="V885">
        <v>4</v>
      </c>
      <c r="W885">
        <v>1</v>
      </c>
    </row>
    <row r="886" spans="1:23" x14ac:dyDescent="0.35">
      <c r="A886" t="s">
        <v>901</v>
      </c>
      <c r="B886" s="6">
        <v>42770</v>
      </c>
      <c r="D886" t="s">
        <v>23</v>
      </c>
      <c r="E886">
        <v>37</v>
      </c>
      <c r="F886" t="s">
        <v>62</v>
      </c>
      <c r="G886" t="s">
        <v>37</v>
      </c>
      <c r="H886" t="s">
        <v>54</v>
      </c>
      <c r="I886" t="s">
        <v>48</v>
      </c>
      <c r="J886" t="s">
        <v>129</v>
      </c>
      <c r="K886">
        <v>4</v>
      </c>
      <c r="L886" t="s">
        <v>50</v>
      </c>
      <c r="M886">
        <v>93000</v>
      </c>
      <c r="N886">
        <v>5.0999999999999996</v>
      </c>
      <c r="O886">
        <v>10.9</v>
      </c>
      <c r="P886">
        <v>8.9</v>
      </c>
      <c r="Q886">
        <v>4.5</v>
      </c>
      <c r="R886">
        <v>3</v>
      </c>
      <c r="S886">
        <v>1</v>
      </c>
      <c r="T886">
        <v>2</v>
      </c>
      <c r="U886" t="s">
        <v>23</v>
      </c>
      <c r="V886">
        <v>3</v>
      </c>
      <c r="W886">
        <v>1</v>
      </c>
    </row>
    <row r="887" spans="1:23" x14ac:dyDescent="0.35">
      <c r="A887" t="s">
        <v>590</v>
      </c>
      <c r="B887" s="6">
        <v>43548</v>
      </c>
      <c r="D887" t="s">
        <v>23</v>
      </c>
      <c r="E887">
        <v>29</v>
      </c>
      <c r="F887" t="s">
        <v>36</v>
      </c>
      <c r="G887" t="s">
        <v>42</v>
      </c>
      <c r="H887" t="s">
        <v>58</v>
      </c>
      <c r="I887" t="s">
        <v>45</v>
      </c>
      <c r="J887" t="s">
        <v>46</v>
      </c>
      <c r="K887">
        <v>1</v>
      </c>
      <c r="L887" t="s">
        <v>29</v>
      </c>
      <c r="M887">
        <v>22000</v>
      </c>
      <c r="N887">
        <v>8.1999999999999993</v>
      </c>
      <c r="O887">
        <v>9.6999999999999993</v>
      </c>
      <c r="P887">
        <v>6.8</v>
      </c>
      <c r="Q887">
        <v>4.0999999999999996</v>
      </c>
      <c r="R887">
        <v>3</v>
      </c>
      <c r="S887">
        <v>3</v>
      </c>
      <c r="T887">
        <v>2</v>
      </c>
      <c r="U887" t="s">
        <v>30</v>
      </c>
      <c r="V887">
        <v>3</v>
      </c>
      <c r="W887">
        <v>1</v>
      </c>
    </row>
    <row r="888" spans="1:23" x14ac:dyDescent="0.35">
      <c r="A888" t="s">
        <v>1475</v>
      </c>
      <c r="B888" s="6">
        <v>45818</v>
      </c>
      <c r="D888" t="s">
        <v>23</v>
      </c>
      <c r="E888">
        <v>21</v>
      </c>
      <c r="F888" t="s">
        <v>36</v>
      </c>
      <c r="G888" t="s">
        <v>42</v>
      </c>
      <c r="H888" t="s">
        <v>54</v>
      </c>
      <c r="I888" t="s">
        <v>59</v>
      </c>
      <c r="J888" t="s">
        <v>60</v>
      </c>
      <c r="K888">
        <v>1</v>
      </c>
      <c r="L888" t="s">
        <v>34</v>
      </c>
      <c r="M888">
        <v>23000</v>
      </c>
      <c r="N888">
        <v>15</v>
      </c>
      <c r="O888">
        <v>6.5</v>
      </c>
      <c r="P888">
        <v>0.6</v>
      </c>
      <c r="Q888">
        <v>0</v>
      </c>
      <c r="R888">
        <v>3</v>
      </c>
      <c r="S888">
        <v>2</v>
      </c>
      <c r="T888">
        <v>3</v>
      </c>
      <c r="U888" t="s">
        <v>23</v>
      </c>
      <c r="V888">
        <v>3</v>
      </c>
      <c r="W888">
        <v>1</v>
      </c>
    </row>
    <row r="889" spans="1:23" x14ac:dyDescent="0.35">
      <c r="A889" t="s">
        <v>788</v>
      </c>
      <c r="B889" s="6">
        <v>45306</v>
      </c>
      <c r="C889">
        <v>45729</v>
      </c>
      <c r="D889" t="s">
        <v>30</v>
      </c>
      <c r="E889">
        <v>32</v>
      </c>
      <c r="F889" t="s">
        <v>36</v>
      </c>
      <c r="G889" t="s">
        <v>25</v>
      </c>
      <c r="H889" t="s">
        <v>32</v>
      </c>
      <c r="I889" t="s">
        <v>59</v>
      </c>
      <c r="J889" t="s">
        <v>60</v>
      </c>
      <c r="K889">
        <v>3</v>
      </c>
      <c r="L889" t="s">
        <v>40</v>
      </c>
      <c r="M889">
        <v>64000</v>
      </c>
      <c r="N889">
        <v>17.399999999999999</v>
      </c>
      <c r="O889">
        <v>7.5</v>
      </c>
      <c r="P889">
        <v>1.2</v>
      </c>
      <c r="Q889">
        <v>0.5</v>
      </c>
      <c r="R889">
        <v>3</v>
      </c>
      <c r="S889">
        <v>4</v>
      </c>
      <c r="T889">
        <v>2</v>
      </c>
      <c r="U889" t="s">
        <v>23</v>
      </c>
      <c r="V889">
        <v>3</v>
      </c>
      <c r="W889">
        <v>1</v>
      </c>
    </row>
    <row r="890" spans="1:23" x14ac:dyDescent="0.35">
      <c r="A890" t="s">
        <v>1468</v>
      </c>
      <c r="B890" s="6">
        <v>45843</v>
      </c>
      <c r="D890" t="s">
        <v>23</v>
      </c>
      <c r="E890">
        <v>38</v>
      </c>
      <c r="F890" t="s">
        <v>24</v>
      </c>
      <c r="G890" t="s">
        <v>42</v>
      </c>
      <c r="H890" t="s">
        <v>54</v>
      </c>
      <c r="I890" t="s">
        <v>27</v>
      </c>
      <c r="J890" t="s">
        <v>95</v>
      </c>
      <c r="K890">
        <v>2</v>
      </c>
      <c r="L890" t="s">
        <v>34</v>
      </c>
      <c r="M890">
        <v>43000</v>
      </c>
      <c r="N890">
        <v>8.8000000000000007</v>
      </c>
      <c r="O890">
        <v>4.5</v>
      </c>
      <c r="P890">
        <v>0.5</v>
      </c>
      <c r="Q890">
        <v>0</v>
      </c>
      <c r="R890">
        <v>3</v>
      </c>
      <c r="S890">
        <v>4</v>
      </c>
      <c r="T890">
        <v>4</v>
      </c>
      <c r="U890" t="s">
        <v>23</v>
      </c>
      <c r="V890">
        <v>3</v>
      </c>
      <c r="W890">
        <v>1</v>
      </c>
    </row>
    <row r="891" spans="1:23" x14ac:dyDescent="0.35">
      <c r="A891" t="s">
        <v>768</v>
      </c>
      <c r="B891" s="6">
        <v>43068</v>
      </c>
      <c r="D891" t="s">
        <v>23</v>
      </c>
      <c r="E891">
        <v>35</v>
      </c>
      <c r="F891" t="s">
        <v>24</v>
      </c>
      <c r="G891" t="s">
        <v>42</v>
      </c>
      <c r="H891" t="s">
        <v>54</v>
      </c>
      <c r="I891" t="s">
        <v>48</v>
      </c>
      <c r="J891" t="s">
        <v>49</v>
      </c>
      <c r="K891">
        <v>3</v>
      </c>
      <c r="L891" t="s">
        <v>50</v>
      </c>
      <c r="M891">
        <v>93000</v>
      </c>
      <c r="N891">
        <v>12.5</v>
      </c>
      <c r="O891">
        <v>13.7</v>
      </c>
      <c r="P891">
        <v>8.1</v>
      </c>
      <c r="Q891">
        <v>3.6</v>
      </c>
      <c r="R891">
        <v>2</v>
      </c>
      <c r="S891">
        <v>2</v>
      </c>
      <c r="T891">
        <v>3</v>
      </c>
      <c r="U891" t="s">
        <v>23</v>
      </c>
      <c r="V891">
        <v>3</v>
      </c>
      <c r="W891">
        <v>1</v>
      </c>
    </row>
    <row r="892" spans="1:23" x14ac:dyDescent="0.35">
      <c r="A892" t="s">
        <v>296</v>
      </c>
      <c r="B892" s="6">
        <v>44586</v>
      </c>
      <c r="D892" t="s">
        <v>23</v>
      </c>
      <c r="E892">
        <v>43</v>
      </c>
      <c r="F892" t="s">
        <v>62</v>
      </c>
      <c r="H892" t="s">
        <v>26</v>
      </c>
      <c r="I892" t="s">
        <v>68</v>
      </c>
      <c r="J892" t="s">
        <v>109</v>
      </c>
      <c r="K892">
        <v>2</v>
      </c>
      <c r="L892" t="s">
        <v>50</v>
      </c>
      <c r="M892">
        <v>56000</v>
      </c>
      <c r="N892">
        <v>11.7</v>
      </c>
      <c r="O892">
        <v>8.1999999999999993</v>
      </c>
      <c r="P892">
        <v>3.9</v>
      </c>
      <c r="Q892">
        <v>1.3</v>
      </c>
      <c r="R892">
        <v>3</v>
      </c>
      <c r="S892">
        <v>3</v>
      </c>
      <c r="T892">
        <v>3</v>
      </c>
      <c r="U892" t="s">
        <v>23</v>
      </c>
      <c r="V892">
        <v>2</v>
      </c>
      <c r="W892">
        <v>1</v>
      </c>
    </row>
    <row r="893" spans="1:23" x14ac:dyDescent="0.35">
      <c r="A893" t="s">
        <v>636</v>
      </c>
      <c r="B893" s="6">
        <v>45197</v>
      </c>
      <c r="D893" t="s">
        <v>23</v>
      </c>
      <c r="E893">
        <v>25</v>
      </c>
      <c r="F893" t="s">
        <v>62</v>
      </c>
      <c r="G893" t="s">
        <v>42</v>
      </c>
      <c r="H893" t="s">
        <v>58</v>
      </c>
      <c r="I893" t="s">
        <v>48</v>
      </c>
      <c r="J893" t="s">
        <v>129</v>
      </c>
      <c r="K893">
        <v>1</v>
      </c>
      <c r="L893" t="s">
        <v>29</v>
      </c>
      <c r="M893">
        <v>35000</v>
      </c>
      <c r="N893">
        <v>6.9</v>
      </c>
      <c r="O893">
        <v>9.1999999999999993</v>
      </c>
      <c r="P893">
        <v>2.2999999999999998</v>
      </c>
      <c r="Q893">
        <v>0.7</v>
      </c>
      <c r="R893">
        <v>3</v>
      </c>
      <c r="S893">
        <v>4</v>
      </c>
      <c r="T893">
        <v>4</v>
      </c>
      <c r="U893" t="s">
        <v>30</v>
      </c>
      <c r="V893">
        <v>4</v>
      </c>
      <c r="W893">
        <v>1</v>
      </c>
    </row>
    <row r="894" spans="1:23" x14ac:dyDescent="0.35">
      <c r="A894" t="s">
        <v>1044</v>
      </c>
      <c r="B894" s="6">
        <v>42573</v>
      </c>
      <c r="D894" t="s">
        <v>23</v>
      </c>
      <c r="E894">
        <v>35</v>
      </c>
      <c r="F894" t="s">
        <v>36</v>
      </c>
      <c r="G894" t="s">
        <v>25</v>
      </c>
      <c r="H894" t="s">
        <v>26</v>
      </c>
      <c r="I894" t="s">
        <v>55</v>
      </c>
      <c r="J894" t="s">
        <v>179</v>
      </c>
      <c r="K894">
        <v>5</v>
      </c>
      <c r="L894" t="s">
        <v>34</v>
      </c>
      <c r="M894">
        <v>202000</v>
      </c>
      <c r="N894">
        <v>1.6</v>
      </c>
      <c r="O894">
        <v>14.3</v>
      </c>
      <c r="P894">
        <v>9.4</v>
      </c>
      <c r="Q894">
        <v>4.9000000000000004</v>
      </c>
      <c r="R894">
        <v>4</v>
      </c>
      <c r="S894">
        <v>2</v>
      </c>
      <c r="T894">
        <v>3</v>
      </c>
      <c r="U894" t="s">
        <v>23</v>
      </c>
      <c r="V894">
        <v>5</v>
      </c>
      <c r="W894">
        <v>1</v>
      </c>
    </row>
    <row r="895" spans="1:23" x14ac:dyDescent="0.35">
      <c r="A895" t="s">
        <v>186</v>
      </c>
      <c r="B895" s="6">
        <v>45565</v>
      </c>
      <c r="D895" t="s">
        <v>23</v>
      </c>
      <c r="E895">
        <v>37</v>
      </c>
      <c r="F895" t="s">
        <v>36</v>
      </c>
      <c r="G895" t="s">
        <v>25</v>
      </c>
      <c r="H895" t="s">
        <v>32</v>
      </c>
      <c r="I895" t="s">
        <v>59</v>
      </c>
      <c r="J895" t="s">
        <v>86</v>
      </c>
      <c r="K895">
        <v>3</v>
      </c>
      <c r="L895" t="s">
        <v>84</v>
      </c>
      <c r="M895">
        <v>76000</v>
      </c>
      <c r="N895">
        <v>8.5</v>
      </c>
      <c r="O895">
        <v>8.9</v>
      </c>
      <c r="P895">
        <v>1.3</v>
      </c>
      <c r="Q895">
        <v>0.3</v>
      </c>
      <c r="R895">
        <v>3</v>
      </c>
      <c r="S895">
        <v>3</v>
      </c>
      <c r="T895">
        <v>4</v>
      </c>
      <c r="U895" t="s">
        <v>23</v>
      </c>
      <c r="V895">
        <v>4</v>
      </c>
      <c r="W895">
        <v>1</v>
      </c>
    </row>
    <row r="896" spans="1:23" x14ac:dyDescent="0.35">
      <c r="A896" t="s">
        <v>1142</v>
      </c>
      <c r="B896" s="6">
        <v>44959</v>
      </c>
      <c r="D896" t="s">
        <v>23</v>
      </c>
      <c r="E896">
        <v>35</v>
      </c>
      <c r="F896" t="s">
        <v>62</v>
      </c>
      <c r="G896" t="s">
        <v>37</v>
      </c>
      <c r="H896" t="s">
        <v>32</v>
      </c>
      <c r="I896" t="s">
        <v>59</v>
      </c>
      <c r="J896" t="s">
        <v>75</v>
      </c>
      <c r="K896">
        <v>3</v>
      </c>
      <c r="M896">
        <v>68000</v>
      </c>
      <c r="N896">
        <v>0.2</v>
      </c>
      <c r="O896">
        <v>7.4</v>
      </c>
      <c r="P896">
        <v>2.9</v>
      </c>
      <c r="Q896">
        <v>2.2999999999999998</v>
      </c>
      <c r="R896">
        <v>3</v>
      </c>
      <c r="S896">
        <v>4</v>
      </c>
      <c r="T896">
        <v>3</v>
      </c>
      <c r="U896" t="s">
        <v>30</v>
      </c>
      <c r="V896">
        <v>3</v>
      </c>
      <c r="W896">
        <v>1</v>
      </c>
    </row>
    <row r="897" spans="1:23" x14ac:dyDescent="0.35">
      <c r="A897" t="s">
        <v>1135</v>
      </c>
      <c r="B897" s="6">
        <v>45654</v>
      </c>
      <c r="D897" t="s">
        <v>23</v>
      </c>
      <c r="E897">
        <v>40</v>
      </c>
      <c r="F897" t="s">
        <v>24</v>
      </c>
      <c r="G897" t="s">
        <v>37</v>
      </c>
      <c r="H897" t="s">
        <v>58</v>
      </c>
      <c r="I897" t="s">
        <v>27</v>
      </c>
      <c r="J897" t="s">
        <v>43</v>
      </c>
      <c r="K897">
        <v>2</v>
      </c>
      <c r="L897" t="s">
        <v>50</v>
      </c>
      <c r="M897">
        <v>51000</v>
      </c>
      <c r="N897">
        <v>9.9</v>
      </c>
      <c r="O897">
        <v>3</v>
      </c>
      <c r="P897">
        <v>1</v>
      </c>
      <c r="Q897">
        <v>0.4</v>
      </c>
      <c r="R897">
        <v>3</v>
      </c>
      <c r="S897">
        <v>3</v>
      </c>
      <c r="T897">
        <v>4</v>
      </c>
      <c r="U897" t="s">
        <v>23</v>
      </c>
      <c r="V897">
        <v>3</v>
      </c>
      <c r="W897">
        <v>1</v>
      </c>
    </row>
    <row r="898" spans="1:23" x14ac:dyDescent="0.35">
      <c r="A898" t="s">
        <v>1324</v>
      </c>
      <c r="B898" s="6">
        <v>43926</v>
      </c>
      <c r="D898" t="s">
        <v>23</v>
      </c>
      <c r="E898">
        <v>35</v>
      </c>
      <c r="F898" t="s">
        <v>36</v>
      </c>
      <c r="G898" t="s">
        <v>37</v>
      </c>
      <c r="H898" t="s">
        <v>54</v>
      </c>
      <c r="I898" t="s">
        <v>38</v>
      </c>
      <c r="J898" t="s">
        <v>52</v>
      </c>
      <c r="K898">
        <v>1</v>
      </c>
      <c r="L898" t="s">
        <v>84</v>
      </c>
      <c r="M898">
        <v>46000</v>
      </c>
      <c r="N898">
        <v>7.8</v>
      </c>
      <c r="O898">
        <v>10.199999999999999</v>
      </c>
      <c r="P898">
        <v>5.7</v>
      </c>
      <c r="Q898">
        <v>3.4</v>
      </c>
      <c r="R898">
        <v>2</v>
      </c>
      <c r="S898">
        <v>4</v>
      </c>
      <c r="T898">
        <v>2</v>
      </c>
      <c r="U898" t="s">
        <v>23</v>
      </c>
      <c r="V898">
        <v>3</v>
      </c>
      <c r="W898">
        <v>1</v>
      </c>
    </row>
    <row r="899" spans="1:23" x14ac:dyDescent="0.35">
      <c r="A899" t="s">
        <v>1183</v>
      </c>
      <c r="B899" s="6">
        <v>45840</v>
      </c>
      <c r="D899" t="s">
        <v>23</v>
      </c>
      <c r="E899">
        <v>35</v>
      </c>
      <c r="F899" t="s">
        <v>36</v>
      </c>
      <c r="G899" t="s">
        <v>42</v>
      </c>
      <c r="H899" t="s">
        <v>32</v>
      </c>
      <c r="I899" t="s">
        <v>55</v>
      </c>
      <c r="J899" t="s">
        <v>179</v>
      </c>
      <c r="K899">
        <v>2</v>
      </c>
      <c r="L899" t="s">
        <v>84</v>
      </c>
      <c r="M899">
        <v>63000</v>
      </c>
      <c r="N899">
        <v>3.9</v>
      </c>
      <c r="O899">
        <v>1.6</v>
      </c>
      <c r="P899">
        <v>0.5</v>
      </c>
      <c r="Q899">
        <v>0</v>
      </c>
      <c r="R899">
        <v>3</v>
      </c>
      <c r="S899">
        <v>3</v>
      </c>
      <c r="T899">
        <v>1</v>
      </c>
      <c r="U899" t="s">
        <v>30</v>
      </c>
      <c r="V899">
        <v>3</v>
      </c>
      <c r="W899">
        <v>1</v>
      </c>
    </row>
    <row r="900" spans="1:23" x14ac:dyDescent="0.35">
      <c r="A900" t="s">
        <v>681</v>
      </c>
      <c r="B900" s="6">
        <v>44338</v>
      </c>
      <c r="C900">
        <v>45919</v>
      </c>
      <c r="D900" t="s">
        <v>30</v>
      </c>
      <c r="E900">
        <v>27</v>
      </c>
      <c r="F900" t="s">
        <v>24</v>
      </c>
      <c r="G900" t="s">
        <v>37</v>
      </c>
      <c r="H900" t="s">
        <v>32</v>
      </c>
      <c r="I900" t="s">
        <v>27</v>
      </c>
      <c r="J900" t="s">
        <v>43</v>
      </c>
      <c r="K900">
        <v>1</v>
      </c>
      <c r="L900" t="s">
        <v>29</v>
      </c>
      <c r="M900">
        <v>26000</v>
      </c>
      <c r="N900">
        <v>5.7</v>
      </c>
      <c r="O900">
        <v>4.8</v>
      </c>
      <c r="P900">
        <v>4.3</v>
      </c>
      <c r="Q900">
        <v>3.1</v>
      </c>
      <c r="R900">
        <v>4</v>
      </c>
      <c r="S900">
        <v>2</v>
      </c>
      <c r="T900">
        <v>2</v>
      </c>
      <c r="U900" t="s">
        <v>23</v>
      </c>
      <c r="V900">
        <v>2</v>
      </c>
      <c r="W900">
        <v>1</v>
      </c>
    </row>
    <row r="901" spans="1:23" x14ac:dyDescent="0.35">
      <c r="A901" t="s">
        <v>319</v>
      </c>
      <c r="B901" s="6">
        <v>41758</v>
      </c>
      <c r="D901" t="s">
        <v>23</v>
      </c>
      <c r="E901">
        <v>48</v>
      </c>
      <c r="F901" t="s">
        <v>24</v>
      </c>
      <c r="G901" t="s">
        <v>25</v>
      </c>
      <c r="H901" t="s">
        <v>26</v>
      </c>
      <c r="I901" t="s">
        <v>55</v>
      </c>
      <c r="J901" t="s">
        <v>56</v>
      </c>
      <c r="K901">
        <v>3</v>
      </c>
      <c r="L901" t="s">
        <v>40</v>
      </c>
      <c r="M901">
        <v>102000</v>
      </c>
      <c r="N901">
        <v>16.7</v>
      </c>
      <c r="O901">
        <v>15.6</v>
      </c>
      <c r="P901">
        <v>11.7</v>
      </c>
      <c r="Q901">
        <v>3.3</v>
      </c>
      <c r="R901">
        <v>3</v>
      </c>
      <c r="S901">
        <v>3</v>
      </c>
      <c r="T901">
        <v>3</v>
      </c>
      <c r="U901" t="s">
        <v>23</v>
      </c>
      <c r="V901">
        <v>3</v>
      </c>
      <c r="W901">
        <v>1</v>
      </c>
    </row>
    <row r="902" spans="1:23" x14ac:dyDescent="0.35">
      <c r="A902" t="s">
        <v>449</v>
      </c>
      <c r="B902" s="6">
        <v>42018</v>
      </c>
      <c r="D902" t="s">
        <v>23</v>
      </c>
      <c r="E902">
        <v>33</v>
      </c>
      <c r="F902" t="s">
        <v>24</v>
      </c>
      <c r="G902" t="s">
        <v>37</v>
      </c>
      <c r="H902" t="s">
        <v>32</v>
      </c>
      <c r="I902" t="s">
        <v>48</v>
      </c>
      <c r="J902" t="s">
        <v>49</v>
      </c>
      <c r="K902">
        <v>2</v>
      </c>
      <c r="L902" t="s">
        <v>40</v>
      </c>
      <c r="M902">
        <v>43000</v>
      </c>
      <c r="N902">
        <v>6.2</v>
      </c>
      <c r="O902">
        <v>15.4</v>
      </c>
      <c r="P902">
        <v>11</v>
      </c>
      <c r="Q902">
        <v>0.3</v>
      </c>
      <c r="R902">
        <v>2</v>
      </c>
      <c r="S902">
        <v>4</v>
      </c>
      <c r="T902">
        <v>2</v>
      </c>
      <c r="U902" t="s">
        <v>30</v>
      </c>
      <c r="V902">
        <v>1</v>
      </c>
      <c r="W902">
        <v>1</v>
      </c>
    </row>
    <row r="903" spans="1:23" x14ac:dyDescent="0.35">
      <c r="A903" t="s">
        <v>1389</v>
      </c>
      <c r="B903" s="6">
        <v>42682</v>
      </c>
      <c r="D903" t="s">
        <v>23</v>
      </c>
      <c r="E903">
        <v>42</v>
      </c>
      <c r="F903" t="s">
        <v>62</v>
      </c>
      <c r="G903" t="s">
        <v>37</v>
      </c>
      <c r="H903" t="s">
        <v>32</v>
      </c>
      <c r="I903" t="s">
        <v>27</v>
      </c>
      <c r="J903" t="s">
        <v>28</v>
      </c>
      <c r="K903">
        <v>2</v>
      </c>
      <c r="L903" t="s">
        <v>40</v>
      </c>
      <c r="M903">
        <v>47000</v>
      </c>
      <c r="N903">
        <v>13.3</v>
      </c>
      <c r="O903">
        <v>13.1</v>
      </c>
      <c r="P903">
        <v>9.1</v>
      </c>
      <c r="Q903">
        <v>4</v>
      </c>
      <c r="R903">
        <v>1</v>
      </c>
      <c r="S903">
        <v>3</v>
      </c>
      <c r="T903">
        <v>3</v>
      </c>
      <c r="U903" t="s">
        <v>23</v>
      </c>
      <c r="V903">
        <v>1</v>
      </c>
      <c r="W903">
        <v>1</v>
      </c>
    </row>
    <row r="904" spans="1:23" x14ac:dyDescent="0.35">
      <c r="A904" t="s">
        <v>504</v>
      </c>
      <c r="B904" s="6">
        <v>42914</v>
      </c>
      <c r="D904" t="s">
        <v>23</v>
      </c>
      <c r="E904">
        <v>49</v>
      </c>
      <c r="F904" t="s">
        <v>36</v>
      </c>
      <c r="G904" t="s">
        <v>42</v>
      </c>
      <c r="H904" t="s">
        <v>58</v>
      </c>
      <c r="I904" t="s">
        <v>27</v>
      </c>
      <c r="J904" t="s">
        <v>33</v>
      </c>
      <c r="K904">
        <v>1</v>
      </c>
      <c r="L904" t="s">
        <v>66</v>
      </c>
      <c r="M904">
        <v>22000</v>
      </c>
      <c r="N904">
        <v>14</v>
      </c>
      <c r="O904">
        <v>9.8000000000000007</v>
      </c>
      <c r="P904">
        <v>8.5</v>
      </c>
      <c r="Q904">
        <v>1.3</v>
      </c>
      <c r="R904">
        <v>3</v>
      </c>
      <c r="S904">
        <v>3</v>
      </c>
      <c r="T904">
        <v>4</v>
      </c>
      <c r="U904" t="s">
        <v>23</v>
      </c>
      <c r="V904">
        <v>4</v>
      </c>
      <c r="W904">
        <v>1</v>
      </c>
    </row>
    <row r="905" spans="1:23" x14ac:dyDescent="0.35">
      <c r="A905" t="s">
        <v>1500</v>
      </c>
      <c r="B905" s="6">
        <v>44175</v>
      </c>
      <c r="D905" t="s">
        <v>23</v>
      </c>
      <c r="E905">
        <v>26</v>
      </c>
      <c r="F905" t="s">
        <v>62</v>
      </c>
      <c r="G905" t="s">
        <v>25</v>
      </c>
      <c r="H905" t="s">
        <v>54</v>
      </c>
      <c r="I905" t="s">
        <v>48</v>
      </c>
      <c r="J905" t="s">
        <v>49</v>
      </c>
      <c r="K905">
        <v>1</v>
      </c>
      <c r="L905" t="s">
        <v>40</v>
      </c>
      <c r="M905">
        <v>44000</v>
      </c>
      <c r="N905">
        <v>10.3</v>
      </c>
      <c r="O905">
        <v>12.2</v>
      </c>
      <c r="P905">
        <v>5.0999999999999996</v>
      </c>
      <c r="Q905">
        <v>2</v>
      </c>
      <c r="R905">
        <v>3</v>
      </c>
      <c r="S905">
        <v>3</v>
      </c>
      <c r="T905">
        <v>3</v>
      </c>
      <c r="U905" t="s">
        <v>23</v>
      </c>
      <c r="V905">
        <v>3</v>
      </c>
      <c r="W905">
        <v>1</v>
      </c>
    </row>
    <row r="906" spans="1:23" x14ac:dyDescent="0.35">
      <c r="A906" t="s">
        <v>1429</v>
      </c>
      <c r="B906" s="6">
        <v>45811</v>
      </c>
      <c r="D906" t="s">
        <v>23</v>
      </c>
      <c r="E906">
        <v>27</v>
      </c>
      <c r="F906" t="s">
        <v>62</v>
      </c>
      <c r="G906" t="s">
        <v>42</v>
      </c>
      <c r="H906" t="s">
        <v>58</v>
      </c>
      <c r="I906" t="s">
        <v>55</v>
      </c>
      <c r="J906" t="s">
        <v>56</v>
      </c>
      <c r="K906">
        <v>1</v>
      </c>
      <c r="L906" t="s">
        <v>34</v>
      </c>
      <c r="M906">
        <v>33000</v>
      </c>
      <c r="N906">
        <v>17.2</v>
      </c>
      <c r="O906">
        <v>2.2000000000000002</v>
      </c>
      <c r="P906">
        <v>0.6</v>
      </c>
      <c r="Q906">
        <v>0</v>
      </c>
      <c r="R906">
        <v>4</v>
      </c>
      <c r="S906">
        <v>4</v>
      </c>
      <c r="T906">
        <v>4</v>
      </c>
      <c r="U906" t="s">
        <v>23</v>
      </c>
      <c r="V906">
        <v>4</v>
      </c>
      <c r="W906">
        <v>1</v>
      </c>
    </row>
    <row r="907" spans="1:23" x14ac:dyDescent="0.35">
      <c r="A907" t="s">
        <v>1291</v>
      </c>
      <c r="B907" s="6">
        <v>42134</v>
      </c>
      <c r="D907" t="s">
        <v>23</v>
      </c>
      <c r="E907">
        <v>38</v>
      </c>
      <c r="F907" t="s">
        <v>62</v>
      </c>
      <c r="G907" t="s">
        <v>42</v>
      </c>
      <c r="H907" t="s">
        <v>54</v>
      </c>
      <c r="I907" t="s">
        <v>38</v>
      </c>
      <c r="J907" t="s">
        <v>139</v>
      </c>
      <c r="K907">
        <v>3</v>
      </c>
      <c r="L907" t="s">
        <v>34</v>
      </c>
      <c r="M907">
        <v>79000</v>
      </c>
      <c r="N907">
        <v>5.9</v>
      </c>
      <c r="O907">
        <v>12.4</v>
      </c>
      <c r="P907">
        <v>10.6</v>
      </c>
      <c r="Q907">
        <v>1.1000000000000001</v>
      </c>
      <c r="R907">
        <v>3</v>
      </c>
      <c r="S907">
        <v>3</v>
      </c>
      <c r="T907">
        <v>3</v>
      </c>
      <c r="U907" t="s">
        <v>30</v>
      </c>
      <c r="V907">
        <v>4</v>
      </c>
      <c r="W907">
        <v>1</v>
      </c>
    </row>
    <row r="908" spans="1:23" x14ac:dyDescent="0.35">
      <c r="A908" t="s">
        <v>1369</v>
      </c>
      <c r="B908" s="6">
        <v>44669</v>
      </c>
      <c r="D908" t="s">
        <v>23</v>
      </c>
      <c r="E908">
        <v>24</v>
      </c>
      <c r="F908" t="s">
        <v>24</v>
      </c>
      <c r="G908" t="s">
        <v>25</v>
      </c>
      <c r="H908" t="s">
        <v>26</v>
      </c>
      <c r="I908" t="s">
        <v>27</v>
      </c>
      <c r="J908" t="s">
        <v>95</v>
      </c>
      <c r="K908">
        <v>1</v>
      </c>
      <c r="L908" t="s">
        <v>50</v>
      </c>
      <c r="M908">
        <v>28000</v>
      </c>
      <c r="N908">
        <v>9.1</v>
      </c>
      <c r="O908">
        <v>9</v>
      </c>
      <c r="P908">
        <v>3.7</v>
      </c>
      <c r="Q908">
        <v>3.5</v>
      </c>
      <c r="R908">
        <v>3</v>
      </c>
      <c r="S908">
        <v>2</v>
      </c>
      <c r="T908">
        <v>2</v>
      </c>
      <c r="U908" t="s">
        <v>23</v>
      </c>
      <c r="V908">
        <v>1</v>
      </c>
      <c r="W908">
        <v>1</v>
      </c>
    </row>
    <row r="909" spans="1:23" x14ac:dyDescent="0.35">
      <c r="A909" t="s">
        <v>634</v>
      </c>
      <c r="B909" s="6">
        <v>44283</v>
      </c>
      <c r="C909">
        <v>45768</v>
      </c>
      <c r="D909" t="s">
        <v>30</v>
      </c>
      <c r="E909">
        <v>32</v>
      </c>
      <c r="F909" t="s">
        <v>62</v>
      </c>
      <c r="G909" t="s">
        <v>37</v>
      </c>
      <c r="H909" t="s">
        <v>58</v>
      </c>
      <c r="I909" t="s">
        <v>68</v>
      </c>
      <c r="J909" t="s">
        <v>102</v>
      </c>
      <c r="K909">
        <v>2</v>
      </c>
      <c r="L909" t="s">
        <v>50</v>
      </c>
      <c r="M909">
        <v>56000</v>
      </c>
      <c r="N909">
        <v>11.8</v>
      </c>
      <c r="O909">
        <v>9.1999999999999993</v>
      </c>
      <c r="P909">
        <v>4.0999999999999996</v>
      </c>
      <c r="Q909">
        <v>4</v>
      </c>
      <c r="R909">
        <v>2</v>
      </c>
      <c r="S909">
        <v>4</v>
      </c>
      <c r="T909">
        <v>3</v>
      </c>
      <c r="U909" t="s">
        <v>23</v>
      </c>
      <c r="V909">
        <v>3</v>
      </c>
      <c r="W909">
        <v>1</v>
      </c>
    </row>
    <row r="910" spans="1:23" x14ac:dyDescent="0.35">
      <c r="A910" t="s">
        <v>393</v>
      </c>
      <c r="B910" s="6">
        <v>45618</v>
      </c>
      <c r="D910" t="s">
        <v>23</v>
      </c>
      <c r="E910">
        <v>26</v>
      </c>
      <c r="F910" t="s">
        <v>36</v>
      </c>
      <c r="G910" t="s">
        <v>37</v>
      </c>
      <c r="H910" t="s">
        <v>26</v>
      </c>
      <c r="I910" t="s">
        <v>38</v>
      </c>
      <c r="J910" t="s">
        <v>39</v>
      </c>
      <c r="K910">
        <v>1</v>
      </c>
      <c r="L910" t="s">
        <v>50</v>
      </c>
      <c r="M910">
        <v>35000</v>
      </c>
      <c r="N910">
        <v>13.8</v>
      </c>
      <c r="O910">
        <v>8.4</v>
      </c>
      <c r="P910">
        <v>1.1000000000000001</v>
      </c>
      <c r="Q910">
        <v>0.1</v>
      </c>
      <c r="R910">
        <v>4</v>
      </c>
      <c r="S910">
        <v>3</v>
      </c>
      <c r="T910">
        <v>4</v>
      </c>
      <c r="U910" t="s">
        <v>23</v>
      </c>
      <c r="V910">
        <v>4</v>
      </c>
      <c r="W910">
        <v>1</v>
      </c>
    </row>
    <row r="911" spans="1:23" x14ac:dyDescent="0.35">
      <c r="A911" t="s">
        <v>1266</v>
      </c>
      <c r="B911" s="6">
        <v>45464</v>
      </c>
      <c r="D911" t="s">
        <v>23</v>
      </c>
      <c r="E911">
        <v>23</v>
      </c>
      <c r="F911" t="s">
        <v>36</v>
      </c>
      <c r="G911" t="s">
        <v>25</v>
      </c>
      <c r="H911" t="s">
        <v>54</v>
      </c>
      <c r="I911" t="s">
        <v>38</v>
      </c>
      <c r="J911" t="s">
        <v>139</v>
      </c>
      <c r="K911">
        <v>1</v>
      </c>
      <c r="L911" t="s">
        <v>50</v>
      </c>
      <c r="M911">
        <v>41000</v>
      </c>
      <c r="N911">
        <v>1.1000000000000001</v>
      </c>
      <c r="O911">
        <v>1.7</v>
      </c>
      <c r="P911">
        <v>1.5</v>
      </c>
      <c r="Q911">
        <v>0.8</v>
      </c>
      <c r="R911">
        <v>3</v>
      </c>
      <c r="S911">
        <v>1</v>
      </c>
      <c r="T911">
        <v>3</v>
      </c>
      <c r="U911" t="s">
        <v>23</v>
      </c>
      <c r="V911">
        <v>3</v>
      </c>
      <c r="W911">
        <v>1</v>
      </c>
    </row>
    <row r="912" spans="1:23" x14ac:dyDescent="0.35">
      <c r="A912" t="s">
        <v>410</v>
      </c>
      <c r="B912" s="6">
        <v>43923</v>
      </c>
      <c r="D912" t="s">
        <v>23</v>
      </c>
      <c r="E912">
        <v>46</v>
      </c>
      <c r="F912" t="s">
        <v>24</v>
      </c>
      <c r="G912" t="s">
        <v>42</v>
      </c>
      <c r="H912" t="s">
        <v>26</v>
      </c>
      <c r="I912" t="s">
        <v>38</v>
      </c>
      <c r="J912" t="s">
        <v>52</v>
      </c>
      <c r="K912">
        <v>2</v>
      </c>
      <c r="L912" t="s">
        <v>29</v>
      </c>
      <c r="M912">
        <v>51000</v>
      </c>
      <c r="N912">
        <v>5.7</v>
      </c>
      <c r="O912">
        <v>11</v>
      </c>
      <c r="P912">
        <v>5.7</v>
      </c>
      <c r="Q912">
        <v>5.5</v>
      </c>
      <c r="R912">
        <v>1</v>
      </c>
      <c r="S912">
        <v>4</v>
      </c>
      <c r="T912">
        <v>3</v>
      </c>
      <c r="U912" t="s">
        <v>30</v>
      </c>
      <c r="V912">
        <v>4</v>
      </c>
      <c r="W912">
        <v>1</v>
      </c>
    </row>
    <row r="913" spans="1:23" x14ac:dyDescent="0.35">
      <c r="A913" t="s">
        <v>360</v>
      </c>
      <c r="B913" s="6">
        <v>45767</v>
      </c>
      <c r="D913" t="s">
        <v>23</v>
      </c>
      <c r="E913">
        <v>22</v>
      </c>
      <c r="F913" t="s">
        <v>24</v>
      </c>
      <c r="G913" t="s">
        <v>25</v>
      </c>
      <c r="H913" t="s">
        <v>26</v>
      </c>
      <c r="I913" t="s">
        <v>68</v>
      </c>
      <c r="J913" t="s">
        <v>109</v>
      </c>
      <c r="K913">
        <v>1</v>
      </c>
      <c r="L913" t="s">
        <v>84</v>
      </c>
      <c r="M913">
        <v>28000</v>
      </c>
      <c r="N913">
        <v>11.4</v>
      </c>
      <c r="O913">
        <v>7.7</v>
      </c>
      <c r="P913">
        <v>0.7</v>
      </c>
      <c r="Q913">
        <v>0</v>
      </c>
      <c r="R913">
        <v>1</v>
      </c>
      <c r="S913">
        <v>3</v>
      </c>
      <c r="T913">
        <v>4</v>
      </c>
      <c r="U913" t="s">
        <v>23</v>
      </c>
      <c r="V913">
        <v>3</v>
      </c>
      <c r="W913">
        <v>1</v>
      </c>
    </row>
    <row r="914" spans="1:23" x14ac:dyDescent="0.35">
      <c r="A914" t="s">
        <v>364</v>
      </c>
      <c r="B914" s="6">
        <v>44130</v>
      </c>
      <c r="D914" t="s">
        <v>23</v>
      </c>
      <c r="E914">
        <v>31</v>
      </c>
      <c r="F914" t="s">
        <v>24</v>
      </c>
      <c r="G914" t="s">
        <v>25</v>
      </c>
      <c r="H914" t="s">
        <v>54</v>
      </c>
      <c r="I914" t="s">
        <v>68</v>
      </c>
      <c r="J914" t="s">
        <v>102</v>
      </c>
      <c r="K914">
        <v>3</v>
      </c>
      <c r="L914" t="s">
        <v>84</v>
      </c>
      <c r="M914">
        <v>83000</v>
      </c>
      <c r="N914">
        <v>10.7</v>
      </c>
      <c r="O914">
        <v>8.1999999999999993</v>
      </c>
      <c r="P914">
        <v>5.2</v>
      </c>
      <c r="Q914">
        <v>2.9</v>
      </c>
      <c r="R914">
        <v>2</v>
      </c>
      <c r="S914">
        <v>2</v>
      </c>
      <c r="T914">
        <v>3</v>
      </c>
      <c r="U914" t="s">
        <v>23</v>
      </c>
      <c r="V914">
        <v>3</v>
      </c>
      <c r="W914">
        <v>1</v>
      </c>
    </row>
    <row r="915" spans="1:23" x14ac:dyDescent="0.35">
      <c r="A915" t="s">
        <v>1153</v>
      </c>
      <c r="B915" s="6">
        <v>45336</v>
      </c>
      <c r="D915" t="s">
        <v>23</v>
      </c>
      <c r="E915">
        <v>31</v>
      </c>
      <c r="F915" t="s">
        <v>36</v>
      </c>
      <c r="G915" t="s">
        <v>25</v>
      </c>
      <c r="H915" t="s">
        <v>54</v>
      </c>
      <c r="I915" t="s">
        <v>48</v>
      </c>
      <c r="J915" t="s">
        <v>129</v>
      </c>
      <c r="K915">
        <v>3</v>
      </c>
      <c r="L915" t="s">
        <v>34</v>
      </c>
      <c r="M915">
        <v>83000</v>
      </c>
      <c r="N915">
        <v>8.5</v>
      </c>
      <c r="O915">
        <v>5.0999999999999996</v>
      </c>
      <c r="P915">
        <v>1.9</v>
      </c>
      <c r="Q915">
        <v>1.8</v>
      </c>
      <c r="R915">
        <v>4</v>
      </c>
      <c r="S915">
        <v>2</v>
      </c>
      <c r="T915">
        <v>2</v>
      </c>
      <c r="U915" t="s">
        <v>23</v>
      </c>
      <c r="V915">
        <v>2</v>
      </c>
      <c r="W915">
        <v>1</v>
      </c>
    </row>
    <row r="916" spans="1:23" x14ac:dyDescent="0.35">
      <c r="A916" t="s">
        <v>269</v>
      </c>
      <c r="B916" s="6">
        <v>44696</v>
      </c>
      <c r="D916" t="s">
        <v>23</v>
      </c>
      <c r="E916">
        <v>30</v>
      </c>
      <c r="F916" t="s">
        <v>24</v>
      </c>
      <c r="G916" t="s">
        <v>25</v>
      </c>
      <c r="H916" t="s">
        <v>54</v>
      </c>
      <c r="I916" t="s">
        <v>59</v>
      </c>
      <c r="J916" t="s">
        <v>86</v>
      </c>
      <c r="K916">
        <v>4</v>
      </c>
      <c r="L916" t="s">
        <v>50</v>
      </c>
      <c r="M916">
        <v>106000</v>
      </c>
      <c r="N916">
        <v>5</v>
      </c>
      <c r="O916">
        <v>6.4</v>
      </c>
      <c r="P916">
        <v>3.6</v>
      </c>
      <c r="Q916">
        <v>2.2999999999999998</v>
      </c>
      <c r="R916">
        <v>4</v>
      </c>
      <c r="S916">
        <v>4</v>
      </c>
      <c r="T916">
        <v>4</v>
      </c>
      <c r="U916" t="s">
        <v>23</v>
      </c>
      <c r="V916">
        <v>4</v>
      </c>
      <c r="W916">
        <v>1</v>
      </c>
    </row>
    <row r="917" spans="1:23" x14ac:dyDescent="0.35">
      <c r="A917" t="s">
        <v>1202</v>
      </c>
      <c r="B917" s="6">
        <v>43758</v>
      </c>
      <c r="D917" t="s">
        <v>23</v>
      </c>
      <c r="E917">
        <v>27</v>
      </c>
      <c r="F917" t="s">
        <v>62</v>
      </c>
      <c r="G917" t="s">
        <v>25</v>
      </c>
      <c r="H917" t="s">
        <v>58</v>
      </c>
      <c r="I917" t="s">
        <v>59</v>
      </c>
      <c r="J917" t="s">
        <v>60</v>
      </c>
      <c r="K917">
        <v>1</v>
      </c>
      <c r="L917" t="s">
        <v>34</v>
      </c>
      <c r="M917">
        <v>23000</v>
      </c>
      <c r="N917">
        <v>10</v>
      </c>
      <c r="O917">
        <v>10.8</v>
      </c>
      <c r="P917">
        <v>6.2</v>
      </c>
      <c r="Q917">
        <v>1.5</v>
      </c>
      <c r="R917">
        <v>3</v>
      </c>
      <c r="S917">
        <v>3</v>
      </c>
      <c r="T917">
        <v>4</v>
      </c>
      <c r="U917" t="s">
        <v>23</v>
      </c>
      <c r="V917">
        <v>4</v>
      </c>
      <c r="W917">
        <v>1</v>
      </c>
    </row>
    <row r="918" spans="1:23" x14ac:dyDescent="0.35">
      <c r="A918" t="s">
        <v>133</v>
      </c>
      <c r="B918" s="6">
        <v>42507</v>
      </c>
      <c r="D918" t="s">
        <v>23</v>
      </c>
      <c r="E918">
        <v>38</v>
      </c>
      <c r="F918" t="s">
        <v>24</v>
      </c>
      <c r="G918" t="s">
        <v>25</v>
      </c>
      <c r="H918" t="s">
        <v>54</v>
      </c>
      <c r="I918" t="s">
        <v>38</v>
      </c>
      <c r="J918" t="s">
        <v>39</v>
      </c>
      <c r="K918">
        <v>3</v>
      </c>
      <c r="L918" t="s">
        <v>40</v>
      </c>
      <c r="M918">
        <v>83000</v>
      </c>
      <c r="N918">
        <v>10.6</v>
      </c>
      <c r="O918">
        <v>12.8</v>
      </c>
      <c r="P918">
        <v>9.6</v>
      </c>
      <c r="Q918">
        <v>3.5</v>
      </c>
      <c r="R918">
        <v>3</v>
      </c>
      <c r="S918">
        <v>4</v>
      </c>
      <c r="T918">
        <v>3</v>
      </c>
      <c r="U918" t="s">
        <v>23</v>
      </c>
      <c r="V918">
        <v>5</v>
      </c>
      <c r="W918">
        <v>1</v>
      </c>
    </row>
    <row r="919" spans="1:23" x14ac:dyDescent="0.35">
      <c r="A919" t="s">
        <v>1084</v>
      </c>
      <c r="B919" s="6">
        <v>42096</v>
      </c>
      <c r="D919" t="s">
        <v>23</v>
      </c>
      <c r="E919">
        <v>36</v>
      </c>
      <c r="F919" t="s">
        <v>24</v>
      </c>
      <c r="G919" t="s">
        <v>25</v>
      </c>
      <c r="H919" t="s">
        <v>26</v>
      </c>
      <c r="I919" t="s">
        <v>59</v>
      </c>
      <c r="J919" t="s">
        <v>86</v>
      </c>
      <c r="K919">
        <v>3</v>
      </c>
      <c r="L919" t="s">
        <v>40</v>
      </c>
      <c r="M919">
        <v>68000</v>
      </c>
      <c r="N919">
        <v>9.6</v>
      </c>
      <c r="O919">
        <v>18.100000000000001</v>
      </c>
      <c r="P919">
        <v>10.7</v>
      </c>
      <c r="Q919">
        <v>4.2</v>
      </c>
      <c r="R919">
        <v>4</v>
      </c>
      <c r="S919">
        <v>3</v>
      </c>
      <c r="T919">
        <v>3</v>
      </c>
      <c r="U919" t="s">
        <v>23</v>
      </c>
      <c r="V919">
        <v>3</v>
      </c>
      <c r="W919">
        <v>1</v>
      </c>
    </row>
    <row r="920" spans="1:23" x14ac:dyDescent="0.35">
      <c r="A920" t="s">
        <v>1000</v>
      </c>
      <c r="B920" s="6">
        <v>45396</v>
      </c>
      <c r="C920">
        <v>45787</v>
      </c>
      <c r="D920" t="s">
        <v>30</v>
      </c>
      <c r="E920">
        <v>33</v>
      </c>
      <c r="F920" t="s">
        <v>62</v>
      </c>
      <c r="G920" t="s">
        <v>42</v>
      </c>
      <c r="H920" t="s">
        <v>58</v>
      </c>
      <c r="I920" t="s">
        <v>38</v>
      </c>
      <c r="J920" t="s">
        <v>118</v>
      </c>
      <c r="K920">
        <v>1</v>
      </c>
      <c r="L920" t="s">
        <v>34</v>
      </c>
      <c r="M920">
        <v>22000</v>
      </c>
      <c r="N920">
        <v>9.6</v>
      </c>
      <c r="O920">
        <v>4.7</v>
      </c>
      <c r="P920">
        <v>1.1000000000000001</v>
      </c>
      <c r="Q920">
        <v>0.1</v>
      </c>
      <c r="R920">
        <v>4</v>
      </c>
      <c r="S920">
        <v>4</v>
      </c>
      <c r="T920">
        <v>3</v>
      </c>
      <c r="U920" t="s">
        <v>30</v>
      </c>
      <c r="V920">
        <v>1</v>
      </c>
      <c r="W920">
        <v>1</v>
      </c>
    </row>
    <row r="921" spans="1:23" x14ac:dyDescent="0.35">
      <c r="A921" t="s">
        <v>1046</v>
      </c>
      <c r="B921" s="6">
        <v>43719</v>
      </c>
      <c r="D921" t="s">
        <v>23</v>
      </c>
      <c r="E921">
        <v>30</v>
      </c>
      <c r="F921" t="s">
        <v>36</v>
      </c>
      <c r="G921" t="s">
        <v>42</v>
      </c>
      <c r="H921" t="s">
        <v>26</v>
      </c>
      <c r="I921" t="s">
        <v>68</v>
      </c>
      <c r="J921" t="s">
        <v>109</v>
      </c>
      <c r="K921">
        <v>2</v>
      </c>
      <c r="L921" t="s">
        <v>34</v>
      </c>
      <c r="M921">
        <v>46000</v>
      </c>
      <c r="N921">
        <v>10.5</v>
      </c>
      <c r="O921">
        <v>11.7</v>
      </c>
      <c r="P921">
        <v>6.3</v>
      </c>
      <c r="Q921">
        <v>5.9</v>
      </c>
      <c r="R921">
        <v>3</v>
      </c>
      <c r="S921">
        <v>3</v>
      </c>
      <c r="T921">
        <v>3</v>
      </c>
      <c r="U921" t="s">
        <v>23</v>
      </c>
      <c r="V921">
        <v>3</v>
      </c>
      <c r="W921">
        <v>1</v>
      </c>
    </row>
    <row r="922" spans="1:23" x14ac:dyDescent="0.35">
      <c r="A922" t="s">
        <v>359</v>
      </c>
      <c r="B922" s="6">
        <v>42986</v>
      </c>
      <c r="D922" t="s">
        <v>23</v>
      </c>
      <c r="E922">
        <v>41</v>
      </c>
      <c r="F922" t="s">
        <v>62</v>
      </c>
      <c r="G922" t="s">
        <v>25</v>
      </c>
      <c r="H922" t="s">
        <v>26</v>
      </c>
      <c r="I922" t="s">
        <v>45</v>
      </c>
      <c r="J922" t="s">
        <v>77</v>
      </c>
      <c r="K922">
        <v>4</v>
      </c>
      <c r="L922" t="s">
        <v>34</v>
      </c>
      <c r="M922">
        <v>92000</v>
      </c>
      <c r="N922">
        <v>11.9</v>
      </c>
      <c r="O922">
        <v>14.4</v>
      </c>
      <c r="P922">
        <v>8.3000000000000007</v>
      </c>
      <c r="Q922">
        <v>0.5</v>
      </c>
      <c r="R922">
        <v>3</v>
      </c>
      <c r="S922">
        <v>3</v>
      </c>
      <c r="T922">
        <v>2</v>
      </c>
      <c r="U922" t="s">
        <v>23</v>
      </c>
      <c r="V922">
        <v>3</v>
      </c>
      <c r="W922">
        <v>1</v>
      </c>
    </row>
    <row r="923" spans="1:23" x14ac:dyDescent="0.35">
      <c r="A923" t="s">
        <v>553</v>
      </c>
      <c r="B923" s="6">
        <v>41708</v>
      </c>
      <c r="D923" t="s">
        <v>23</v>
      </c>
      <c r="E923">
        <v>32</v>
      </c>
      <c r="F923" t="s">
        <v>62</v>
      </c>
      <c r="G923" t="s">
        <v>37</v>
      </c>
      <c r="H923" t="s">
        <v>54</v>
      </c>
      <c r="I923" t="s">
        <v>48</v>
      </c>
      <c r="J923" t="s">
        <v>129</v>
      </c>
      <c r="K923">
        <v>2</v>
      </c>
      <c r="L923" t="s">
        <v>50</v>
      </c>
      <c r="M923">
        <v>58000</v>
      </c>
      <c r="N923">
        <v>13.1</v>
      </c>
      <c r="O923">
        <v>18.600000000000001</v>
      </c>
      <c r="P923">
        <v>11.8</v>
      </c>
      <c r="Q923">
        <v>1.3</v>
      </c>
      <c r="R923">
        <v>3</v>
      </c>
      <c r="S923">
        <v>3</v>
      </c>
      <c r="T923">
        <v>1</v>
      </c>
      <c r="U923" t="s">
        <v>30</v>
      </c>
      <c r="V923">
        <v>2</v>
      </c>
      <c r="W923">
        <v>1</v>
      </c>
    </row>
    <row r="924" spans="1:23" x14ac:dyDescent="0.35">
      <c r="A924" t="s">
        <v>1001</v>
      </c>
      <c r="B924" s="6">
        <v>45118</v>
      </c>
      <c r="D924" t="s">
        <v>23</v>
      </c>
      <c r="E924">
        <v>25</v>
      </c>
      <c r="F924" t="s">
        <v>36</v>
      </c>
      <c r="G924" t="s">
        <v>42</v>
      </c>
      <c r="H924" t="s">
        <v>32</v>
      </c>
      <c r="I924" t="s">
        <v>27</v>
      </c>
      <c r="J924" t="s">
        <v>95</v>
      </c>
      <c r="K924">
        <v>1</v>
      </c>
      <c r="L924" t="s">
        <v>50</v>
      </c>
      <c r="M924">
        <v>40000</v>
      </c>
      <c r="N924">
        <v>8.6999999999999993</v>
      </c>
      <c r="O924">
        <v>7.7</v>
      </c>
      <c r="P924">
        <v>2.5</v>
      </c>
      <c r="Q924">
        <v>0.1</v>
      </c>
      <c r="R924">
        <v>3</v>
      </c>
      <c r="S924">
        <v>3</v>
      </c>
      <c r="T924">
        <v>3</v>
      </c>
      <c r="U924" t="s">
        <v>23</v>
      </c>
      <c r="V924">
        <v>3</v>
      </c>
      <c r="W924">
        <v>1</v>
      </c>
    </row>
    <row r="925" spans="1:23" x14ac:dyDescent="0.35">
      <c r="A925" t="s">
        <v>1584</v>
      </c>
      <c r="B925" s="6">
        <v>42978</v>
      </c>
      <c r="D925" t="s">
        <v>23</v>
      </c>
      <c r="E925">
        <v>34</v>
      </c>
      <c r="F925" t="s">
        <v>36</v>
      </c>
      <c r="G925" t="s">
        <v>37</v>
      </c>
      <c r="H925" t="s">
        <v>58</v>
      </c>
      <c r="I925" t="s">
        <v>68</v>
      </c>
      <c r="J925" t="s">
        <v>69</v>
      </c>
      <c r="K925">
        <v>2</v>
      </c>
      <c r="L925" t="s">
        <v>40</v>
      </c>
      <c r="M925">
        <v>51000</v>
      </c>
      <c r="N925">
        <v>13.8</v>
      </c>
      <c r="O925">
        <v>10.3</v>
      </c>
      <c r="P925">
        <v>8.3000000000000007</v>
      </c>
      <c r="Q925">
        <v>2.2999999999999998</v>
      </c>
      <c r="R925">
        <v>1</v>
      </c>
      <c r="S925">
        <v>4</v>
      </c>
      <c r="T925">
        <v>3</v>
      </c>
      <c r="U925" t="s">
        <v>23</v>
      </c>
      <c r="V925">
        <v>3</v>
      </c>
      <c r="W925">
        <v>1</v>
      </c>
    </row>
    <row r="926" spans="1:23" x14ac:dyDescent="0.35">
      <c r="A926" t="s">
        <v>1106</v>
      </c>
      <c r="B926" s="6">
        <v>44427</v>
      </c>
      <c r="D926" t="s">
        <v>23</v>
      </c>
      <c r="E926">
        <v>25</v>
      </c>
      <c r="F926" t="s">
        <v>62</v>
      </c>
      <c r="G926" t="s">
        <v>25</v>
      </c>
      <c r="H926" t="s">
        <v>26</v>
      </c>
      <c r="I926" t="s">
        <v>55</v>
      </c>
      <c r="J926" t="s">
        <v>88</v>
      </c>
      <c r="K926">
        <v>1</v>
      </c>
      <c r="L926" t="s">
        <v>34</v>
      </c>
      <c r="M926">
        <v>36000</v>
      </c>
      <c r="N926">
        <v>9.6999999999999993</v>
      </c>
      <c r="O926">
        <v>10.8</v>
      </c>
      <c r="P926">
        <v>4.4000000000000004</v>
      </c>
      <c r="Q926">
        <v>4.2</v>
      </c>
      <c r="R926">
        <v>3</v>
      </c>
      <c r="S926">
        <v>2</v>
      </c>
      <c r="T926">
        <v>2</v>
      </c>
      <c r="U926" t="s">
        <v>23</v>
      </c>
      <c r="V926">
        <v>2</v>
      </c>
      <c r="W926">
        <v>1</v>
      </c>
    </row>
    <row r="927" spans="1:23" x14ac:dyDescent="0.35">
      <c r="A927" t="s">
        <v>413</v>
      </c>
      <c r="B927" s="6">
        <v>44075</v>
      </c>
      <c r="D927" t="s">
        <v>23</v>
      </c>
      <c r="E927">
        <v>37</v>
      </c>
      <c r="F927" t="s">
        <v>24</v>
      </c>
      <c r="G927" t="s">
        <v>37</v>
      </c>
      <c r="H927" t="s">
        <v>26</v>
      </c>
      <c r="I927" t="s">
        <v>48</v>
      </c>
      <c r="J927" t="s">
        <v>129</v>
      </c>
      <c r="K927">
        <v>3</v>
      </c>
      <c r="L927" t="s">
        <v>84</v>
      </c>
      <c r="M927">
        <v>72000</v>
      </c>
      <c r="N927">
        <v>18.899999999999999</v>
      </c>
      <c r="O927">
        <v>9.6999999999999993</v>
      </c>
      <c r="P927">
        <v>5.3</v>
      </c>
      <c r="Q927">
        <v>2.2000000000000002</v>
      </c>
      <c r="R927">
        <v>4</v>
      </c>
      <c r="S927">
        <v>1</v>
      </c>
      <c r="T927">
        <v>3</v>
      </c>
      <c r="U927" t="s">
        <v>23</v>
      </c>
      <c r="V927">
        <v>4</v>
      </c>
      <c r="W927">
        <v>1</v>
      </c>
    </row>
    <row r="928" spans="1:23" x14ac:dyDescent="0.35">
      <c r="A928" t="s">
        <v>1473</v>
      </c>
      <c r="B928" s="6">
        <v>43746</v>
      </c>
      <c r="C928">
        <v>45670</v>
      </c>
      <c r="D928" t="s">
        <v>30</v>
      </c>
      <c r="E928">
        <v>42</v>
      </c>
      <c r="F928" t="s">
        <v>36</v>
      </c>
      <c r="G928" t="s">
        <v>25</v>
      </c>
      <c r="H928" t="s">
        <v>58</v>
      </c>
      <c r="I928" t="s">
        <v>45</v>
      </c>
      <c r="J928" t="s">
        <v>77</v>
      </c>
      <c r="K928">
        <v>3</v>
      </c>
      <c r="L928" t="s">
        <v>34</v>
      </c>
      <c r="M928">
        <v>71000</v>
      </c>
      <c r="N928">
        <v>11.1</v>
      </c>
      <c r="O928">
        <v>6.6</v>
      </c>
      <c r="P928">
        <v>5.3</v>
      </c>
      <c r="Q928">
        <v>3</v>
      </c>
      <c r="R928">
        <v>4</v>
      </c>
      <c r="S928">
        <v>3</v>
      </c>
      <c r="T928">
        <v>3</v>
      </c>
      <c r="U928" t="s">
        <v>30</v>
      </c>
      <c r="V928">
        <v>5</v>
      </c>
      <c r="W928">
        <v>1</v>
      </c>
    </row>
    <row r="929" spans="1:23" x14ac:dyDescent="0.35">
      <c r="A929" t="s">
        <v>816</v>
      </c>
      <c r="B929" s="6">
        <v>45418</v>
      </c>
      <c r="D929" t="s">
        <v>23</v>
      </c>
      <c r="E929">
        <v>42</v>
      </c>
      <c r="F929" t="s">
        <v>62</v>
      </c>
      <c r="G929" t="s">
        <v>25</v>
      </c>
      <c r="H929" t="s">
        <v>58</v>
      </c>
      <c r="I929" t="s">
        <v>38</v>
      </c>
      <c r="J929" t="s">
        <v>139</v>
      </c>
      <c r="K929">
        <v>3</v>
      </c>
      <c r="L929" t="s">
        <v>66</v>
      </c>
      <c r="M929">
        <v>96000</v>
      </c>
      <c r="N929">
        <v>12.5</v>
      </c>
      <c r="O929">
        <v>7.6</v>
      </c>
      <c r="P929">
        <v>1.7</v>
      </c>
      <c r="Q929">
        <v>0.7</v>
      </c>
      <c r="R929">
        <v>2</v>
      </c>
      <c r="S929">
        <v>3</v>
      </c>
      <c r="T929">
        <v>3</v>
      </c>
      <c r="U929" t="s">
        <v>30</v>
      </c>
      <c r="V929">
        <v>1</v>
      </c>
      <c r="W929">
        <v>1</v>
      </c>
    </row>
    <row r="930" spans="1:23" x14ac:dyDescent="0.35">
      <c r="A930" t="s">
        <v>1447</v>
      </c>
      <c r="B930" s="6">
        <v>43334</v>
      </c>
      <c r="D930" t="s">
        <v>23</v>
      </c>
      <c r="E930">
        <v>29</v>
      </c>
      <c r="F930" t="s">
        <v>62</v>
      </c>
      <c r="G930" t="s">
        <v>25</v>
      </c>
      <c r="H930" t="s">
        <v>26</v>
      </c>
      <c r="I930" t="s">
        <v>27</v>
      </c>
      <c r="J930" t="s">
        <v>43</v>
      </c>
      <c r="K930">
        <v>2</v>
      </c>
      <c r="L930" t="s">
        <v>40</v>
      </c>
      <c r="M930">
        <v>54000</v>
      </c>
      <c r="N930">
        <v>12.7</v>
      </c>
      <c r="O930">
        <v>9.1</v>
      </c>
      <c r="P930">
        <v>7.4</v>
      </c>
      <c r="Q930">
        <v>4</v>
      </c>
      <c r="R930">
        <v>2</v>
      </c>
      <c r="S930">
        <v>3</v>
      </c>
      <c r="T930">
        <v>2</v>
      </c>
      <c r="U930" t="s">
        <v>23</v>
      </c>
      <c r="V930">
        <v>3</v>
      </c>
      <c r="W930">
        <v>1</v>
      </c>
    </row>
    <row r="931" spans="1:23" x14ac:dyDescent="0.35">
      <c r="A931" t="s">
        <v>1182</v>
      </c>
      <c r="B931" s="6">
        <v>45292</v>
      </c>
      <c r="D931" t="s">
        <v>23</v>
      </c>
      <c r="E931">
        <v>40</v>
      </c>
      <c r="F931" t="s">
        <v>24</v>
      </c>
      <c r="G931" t="s">
        <v>42</v>
      </c>
      <c r="H931" t="s">
        <v>54</v>
      </c>
      <c r="I931" t="s">
        <v>45</v>
      </c>
      <c r="J931" t="s">
        <v>97</v>
      </c>
      <c r="K931">
        <v>4</v>
      </c>
      <c r="L931" t="s">
        <v>50</v>
      </c>
      <c r="M931">
        <v>117000</v>
      </c>
      <c r="N931">
        <v>5.3</v>
      </c>
      <c r="O931">
        <v>2.6</v>
      </c>
      <c r="P931">
        <v>2</v>
      </c>
      <c r="Q931">
        <v>0.3</v>
      </c>
      <c r="R931">
        <v>3</v>
      </c>
      <c r="S931">
        <v>3</v>
      </c>
      <c r="T931">
        <v>3</v>
      </c>
      <c r="U931" t="s">
        <v>23</v>
      </c>
      <c r="V931">
        <v>4</v>
      </c>
      <c r="W931">
        <v>1</v>
      </c>
    </row>
    <row r="932" spans="1:23" x14ac:dyDescent="0.35">
      <c r="A932" t="s">
        <v>1048</v>
      </c>
      <c r="B932" s="6">
        <v>44543</v>
      </c>
      <c r="D932" t="s">
        <v>23</v>
      </c>
      <c r="E932">
        <v>32</v>
      </c>
      <c r="F932" t="s">
        <v>36</v>
      </c>
      <c r="G932" t="s">
        <v>25</v>
      </c>
      <c r="H932" t="s">
        <v>54</v>
      </c>
      <c r="I932" t="s">
        <v>59</v>
      </c>
      <c r="J932" t="s">
        <v>60</v>
      </c>
      <c r="K932">
        <v>1</v>
      </c>
      <c r="L932" t="s">
        <v>29</v>
      </c>
      <c r="M932">
        <v>36000</v>
      </c>
      <c r="N932">
        <v>6.9</v>
      </c>
      <c r="O932">
        <v>7</v>
      </c>
      <c r="P932">
        <v>4</v>
      </c>
      <c r="Q932">
        <v>1.8</v>
      </c>
      <c r="R932">
        <v>2</v>
      </c>
      <c r="S932">
        <v>4</v>
      </c>
      <c r="T932">
        <v>2</v>
      </c>
      <c r="U932" t="s">
        <v>23</v>
      </c>
      <c r="V932">
        <v>5</v>
      </c>
      <c r="W932">
        <v>1</v>
      </c>
    </row>
    <row r="933" spans="1:23" x14ac:dyDescent="0.35">
      <c r="A933" t="s">
        <v>1062</v>
      </c>
      <c r="B933" s="6">
        <v>43685</v>
      </c>
      <c r="D933" t="s">
        <v>23</v>
      </c>
      <c r="E933">
        <v>36</v>
      </c>
      <c r="F933" t="s">
        <v>24</v>
      </c>
      <c r="G933" t="s">
        <v>42</v>
      </c>
      <c r="H933" t="s">
        <v>58</v>
      </c>
      <c r="I933" t="s">
        <v>59</v>
      </c>
      <c r="J933" t="s">
        <v>86</v>
      </c>
      <c r="K933">
        <v>2</v>
      </c>
      <c r="L933" t="s">
        <v>34</v>
      </c>
      <c r="M933">
        <v>52000</v>
      </c>
      <c r="N933">
        <v>3.3</v>
      </c>
      <c r="O933">
        <v>9.6999999999999993</v>
      </c>
      <c r="P933">
        <v>6.4</v>
      </c>
      <c r="Q933">
        <v>3.4</v>
      </c>
      <c r="R933">
        <v>1</v>
      </c>
      <c r="S933">
        <v>3</v>
      </c>
      <c r="T933">
        <v>4</v>
      </c>
      <c r="U933" t="s">
        <v>23</v>
      </c>
      <c r="V933">
        <v>4</v>
      </c>
      <c r="W933">
        <v>1</v>
      </c>
    </row>
    <row r="934" spans="1:23" x14ac:dyDescent="0.35">
      <c r="A934" t="s">
        <v>1481</v>
      </c>
      <c r="B934" s="6">
        <v>41696</v>
      </c>
      <c r="D934" t="s">
        <v>23</v>
      </c>
      <c r="E934">
        <v>35</v>
      </c>
      <c r="F934" t="s">
        <v>62</v>
      </c>
      <c r="G934" t="s">
        <v>25</v>
      </c>
      <c r="H934" t="s">
        <v>32</v>
      </c>
      <c r="I934" t="s">
        <v>68</v>
      </c>
      <c r="J934" t="s">
        <v>121</v>
      </c>
      <c r="K934">
        <v>3</v>
      </c>
      <c r="L934" t="s">
        <v>34</v>
      </c>
      <c r="M934">
        <v>58000</v>
      </c>
      <c r="N934">
        <v>13.1</v>
      </c>
      <c r="O934">
        <v>19.2</v>
      </c>
      <c r="P934">
        <v>11.8</v>
      </c>
      <c r="Q934">
        <v>5.0999999999999996</v>
      </c>
      <c r="R934">
        <v>4</v>
      </c>
      <c r="S934">
        <v>3</v>
      </c>
      <c r="T934">
        <v>3</v>
      </c>
      <c r="U934" t="s">
        <v>23</v>
      </c>
      <c r="V934">
        <v>4</v>
      </c>
      <c r="W934">
        <v>1</v>
      </c>
    </row>
    <row r="935" spans="1:23" x14ac:dyDescent="0.35">
      <c r="A935" t="s">
        <v>1538</v>
      </c>
      <c r="B935" s="6">
        <v>41745</v>
      </c>
      <c r="C935">
        <v>45980</v>
      </c>
      <c r="D935" t="s">
        <v>30</v>
      </c>
      <c r="E935">
        <v>56</v>
      </c>
      <c r="F935" t="s">
        <v>36</v>
      </c>
      <c r="G935" t="s">
        <v>37</v>
      </c>
      <c r="H935" t="s">
        <v>32</v>
      </c>
      <c r="I935" t="s">
        <v>68</v>
      </c>
      <c r="J935" t="s">
        <v>102</v>
      </c>
      <c r="K935">
        <v>3</v>
      </c>
      <c r="L935" t="s">
        <v>84</v>
      </c>
      <c r="M935">
        <v>98000</v>
      </c>
      <c r="N935">
        <v>8.3000000000000007</v>
      </c>
      <c r="O935">
        <v>13.7</v>
      </c>
      <c r="P935">
        <v>11.6</v>
      </c>
      <c r="Q935">
        <v>1.6</v>
      </c>
      <c r="R935">
        <v>3</v>
      </c>
      <c r="S935">
        <v>3</v>
      </c>
      <c r="T935">
        <v>3</v>
      </c>
      <c r="U935" t="s">
        <v>23</v>
      </c>
      <c r="V935">
        <v>3</v>
      </c>
      <c r="W935">
        <v>1</v>
      </c>
    </row>
    <row r="936" spans="1:23" x14ac:dyDescent="0.35">
      <c r="A936" t="s">
        <v>306</v>
      </c>
      <c r="B936" s="6">
        <v>43701</v>
      </c>
      <c r="D936" t="s">
        <v>23</v>
      </c>
      <c r="E936">
        <v>40</v>
      </c>
      <c r="F936" t="s">
        <v>36</v>
      </c>
      <c r="G936" t="s">
        <v>37</v>
      </c>
      <c r="H936" t="s">
        <v>58</v>
      </c>
      <c r="I936" t="s">
        <v>68</v>
      </c>
      <c r="J936" t="s">
        <v>109</v>
      </c>
      <c r="K936">
        <v>4</v>
      </c>
      <c r="L936" t="s">
        <v>29</v>
      </c>
      <c r="M936">
        <v>126000</v>
      </c>
      <c r="N936">
        <v>2.4</v>
      </c>
      <c r="O936">
        <v>11.6</v>
      </c>
      <c r="P936">
        <v>6.4</v>
      </c>
      <c r="Q936">
        <v>4.5999999999999996</v>
      </c>
      <c r="R936">
        <v>3</v>
      </c>
      <c r="S936">
        <v>4</v>
      </c>
      <c r="T936">
        <v>2</v>
      </c>
      <c r="U936" t="s">
        <v>23</v>
      </c>
      <c r="V936">
        <v>4</v>
      </c>
      <c r="W936">
        <v>1</v>
      </c>
    </row>
    <row r="937" spans="1:23" x14ac:dyDescent="0.35">
      <c r="A937" t="s">
        <v>1305</v>
      </c>
      <c r="B937" s="6">
        <v>44443</v>
      </c>
      <c r="D937" t="s">
        <v>23</v>
      </c>
      <c r="E937">
        <v>29</v>
      </c>
      <c r="F937" t="s">
        <v>62</v>
      </c>
      <c r="G937" t="s">
        <v>42</v>
      </c>
      <c r="H937" t="s">
        <v>58</v>
      </c>
      <c r="I937" t="s">
        <v>27</v>
      </c>
      <c r="J937" t="s">
        <v>28</v>
      </c>
      <c r="K937">
        <v>2</v>
      </c>
      <c r="L937" t="s">
        <v>40</v>
      </c>
      <c r="M937">
        <v>56000</v>
      </c>
      <c r="N937">
        <v>11</v>
      </c>
      <c r="O937">
        <v>6.7</v>
      </c>
      <c r="P937">
        <v>4.3</v>
      </c>
      <c r="Q937">
        <v>1.1000000000000001</v>
      </c>
      <c r="R937">
        <v>2</v>
      </c>
      <c r="S937">
        <v>3</v>
      </c>
      <c r="T937">
        <v>3</v>
      </c>
      <c r="U937" t="s">
        <v>23</v>
      </c>
      <c r="V937">
        <v>3</v>
      </c>
      <c r="W937">
        <v>1</v>
      </c>
    </row>
    <row r="938" spans="1:23" x14ac:dyDescent="0.35">
      <c r="A938" t="s">
        <v>767</v>
      </c>
      <c r="B938" s="6">
        <v>44682</v>
      </c>
      <c r="D938" t="s">
        <v>23</v>
      </c>
      <c r="E938">
        <v>25</v>
      </c>
      <c r="F938" t="s">
        <v>36</v>
      </c>
      <c r="G938" t="s">
        <v>37</v>
      </c>
      <c r="H938" t="s">
        <v>26</v>
      </c>
      <c r="I938" t="s">
        <v>48</v>
      </c>
      <c r="J938" t="s">
        <v>201</v>
      </c>
      <c r="K938">
        <v>1</v>
      </c>
      <c r="L938" t="s">
        <v>40</v>
      </c>
      <c r="M938">
        <v>22000</v>
      </c>
      <c r="N938">
        <v>12.4</v>
      </c>
      <c r="O938">
        <v>5.7</v>
      </c>
      <c r="P938">
        <v>3.7</v>
      </c>
      <c r="Q938">
        <v>0.3</v>
      </c>
      <c r="R938">
        <v>3</v>
      </c>
      <c r="S938">
        <v>2</v>
      </c>
      <c r="T938">
        <v>3</v>
      </c>
      <c r="U938" t="s">
        <v>23</v>
      </c>
      <c r="V938">
        <v>4</v>
      </c>
      <c r="W938">
        <v>1</v>
      </c>
    </row>
    <row r="939" spans="1:23" x14ac:dyDescent="0.35">
      <c r="A939" t="s">
        <v>1398</v>
      </c>
      <c r="B939" s="6">
        <v>45676</v>
      </c>
      <c r="D939" t="s">
        <v>23</v>
      </c>
      <c r="E939">
        <v>21</v>
      </c>
      <c r="F939" t="s">
        <v>36</v>
      </c>
      <c r="G939" t="s">
        <v>25</v>
      </c>
      <c r="H939" t="s">
        <v>26</v>
      </c>
      <c r="I939" t="s">
        <v>59</v>
      </c>
      <c r="J939" t="s">
        <v>150</v>
      </c>
      <c r="K939">
        <v>1</v>
      </c>
      <c r="L939" t="s">
        <v>34</v>
      </c>
      <c r="M939">
        <v>34000</v>
      </c>
      <c r="N939">
        <v>12.2</v>
      </c>
      <c r="O939">
        <v>3.2</v>
      </c>
      <c r="P939">
        <v>0.9</v>
      </c>
      <c r="Q939">
        <v>0</v>
      </c>
      <c r="R939">
        <v>4</v>
      </c>
      <c r="S939">
        <v>2</v>
      </c>
      <c r="T939">
        <v>1</v>
      </c>
      <c r="U939" t="s">
        <v>23</v>
      </c>
      <c r="V939">
        <v>3</v>
      </c>
      <c r="W939">
        <v>1</v>
      </c>
    </row>
    <row r="940" spans="1:23" x14ac:dyDescent="0.35">
      <c r="A940" t="s">
        <v>1321</v>
      </c>
      <c r="B940" s="6">
        <v>45418</v>
      </c>
      <c r="D940" t="s">
        <v>23</v>
      </c>
      <c r="E940">
        <v>30</v>
      </c>
      <c r="F940" t="s">
        <v>24</v>
      </c>
      <c r="G940" t="s">
        <v>25</v>
      </c>
      <c r="H940" t="s">
        <v>54</v>
      </c>
      <c r="I940" t="s">
        <v>48</v>
      </c>
      <c r="J940" t="s">
        <v>201</v>
      </c>
      <c r="K940">
        <v>2</v>
      </c>
      <c r="L940" t="s">
        <v>40</v>
      </c>
      <c r="M940">
        <v>54000</v>
      </c>
      <c r="N940">
        <v>7.5</v>
      </c>
      <c r="O940">
        <v>2</v>
      </c>
      <c r="P940">
        <v>1.7</v>
      </c>
      <c r="Q940">
        <v>0.1</v>
      </c>
      <c r="R940">
        <v>4</v>
      </c>
      <c r="S940">
        <v>2</v>
      </c>
      <c r="T940">
        <v>3</v>
      </c>
      <c r="U940" t="s">
        <v>30</v>
      </c>
      <c r="V940">
        <v>2</v>
      </c>
      <c r="W940">
        <v>1</v>
      </c>
    </row>
    <row r="941" spans="1:23" x14ac:dyDescent="0.35">
      <c r="A941" t="s">
        <v>264</v>
      </c>
      <c r="B941" s="6">
        <v>44963</v>
      </c>
      <c r="D941" t="s">
        <v>23</v>
      </c>
      <c r="E941">
        <v>28</v>
      </c>
      <c r="F941" t="s">
        <v>24</v>
      </c>
      <c r="G941" t="s">
        <v>37</v>
      </c>
      <c r="H941" t="s">
        <v>26</v>
      </c>
      <c r="I941" t="s">
        <v>38</v>
      </c>
      <c r="J941" t="s">
        <v>118</v>
      </c>
      <c r="K941">
        <v>1</v>
      </c>
      <c r="L941" t="s">
        <v>66</v>
      </c>
      <c r="M941">
        <v>42000</v>
      </c>
      <c r="N941">
        <v>10.3</v>
      </c>
      <c r="O941">
        <v>4.7</v>
      </c>
      <c r="P941">
        <v>2.9</v>
      </c>
      <c r="Q941">
        <v>1.8</v>
      </c>
      <c r="R941">
        <v>3</v>
      </c>
      <c r="S941">
        <v>3</v>
      </c>
      <c r="T941">
        <v>3</v>
      </c>
      <c r="U941" t="s">
        <v>23</v>
      </c>
      <c r="V941">
        <v>4</v>
      </c>
      <c r="W941">
        <v>1</v>
      </c>
    </row>
    <row r="942" spans="1:23" x14ac:dyDescent="0.35">
      <c r="A942" t="s">
        <v>1329</v>
      </c>
      <c r="B942" s="6">
        <v>44326</v>
      </c>
      <c r="D942" t="s">
        <v>23</v>
      </c>
      <c r="E942">
        <v>26</v>
      </c>
      <c r="F942" t="s">
        <v>36</v>
      </c>
      <c r="G942" t="s">
        <v>42</v>
      </c>
      <c r="H942" t="s">
        <v>26</v>
      </c>
      <c r="I942" t="s">
        <v>27</v>
      </c>
      <c r="J942" t="s">
        <v>28</v>
      </c>
      <c r="K942">
        <v>1</v>
      </c>
      <c r="L942" t="s">
        <v>50</v>
      </c>
      <c r="M942">
        <v>31000</v>
      </c>
      <c r="N942">
        <v>0.3</v>
      </c>
      <c r="O942">
        <v>9</v>
      </c>
      <c r="P942">
        <v>4.5999999999999996</v>
      </c>
      <c r="Q942">
        <v>0.1</v>
      </c>
      <c r="R942">
        <v>4</v>
      </c>
      <c r="S942">
        <v>2</v>
      </c>
      <c r="T942">
        <v>3</v>
      </c>
      <c r="U942" t="s">
        <v>30</v>
      </c>
      <c r="V942">
        <v>4</v>
      </c>
      <c r="W942">
        <v>1</v>
      </c>
    </row>
    <row r="943" spans="1:23" x14ac:dyDescent="0.35">
      <c r="A943" t="s">
        <v>462</v>
      </c>
      <c r="B943" s="6">
        <v>43949</v>
      </c>
      <c r="D943" t="s">
        <v>23</v>
      </c>
      <c r="E943">
        <v>43</v>
      </c>
      <c r="F943" t="s">
        <v>36</v>
      </c>
      <c r="G943" t="s">
        <v>42</v>
      </c>
      <c r="H943" t="s">
        <v>32</v>
      </c>
      <c r="I943" t="s">
        <v>55</v>
      </c>
      <c r="J943" t="s">
        <v>80</v>
      </c>
      <c r="K943">
        <v>2</v>
      </c>
      <c r="L943" t="s">
        <v>40</v>
      </c>
      <c r="M943">
        <v>48000</v>
      </c>
      <c r="N943">
        <v>6.7</v>
      </c>
      <c r="O943">
        <v>6.5</v>
      </c>
      <c r="P943">
        <v>5.7</v>
      </c>
      <c r="Q943">
        <v>1.4</v>
      </c>
      <c r="R943">
        <v>2</v>
      </c>
      <c r="S943">
        <v>3</v>
      </c>
      <c r="T943">
        <v>3</v>
      </c>
      <c r="U943" t="s">
        <v>30</v>
      </c>
      <c r="V943">
        <v>4</v>
      </c>
      <c r="W943">
        <v>1</v>
      </c>
    </row>
    <row r="944" spans="1:23" x14ac:dyDescent="0.35">
      <c r="A944" t="s">
        <v>281</v>
      </c>
      <c r="B944" s="6">
        <v>44015</v>
      </c>
      <c r="D944" t="s">
        <v>23</v>
      </c>
      <c r="E944">
        <v>42</v>
      </c>
      <c r="F944" t="s">
        <v>36</v>
      </c>
      <c r="G944" t="s">
        <v>25</v>
      </c>
      <c r="H944" t="s">
        <v>58</v>
      </c>
      <c r="I944" t="s">
        <v>38</v>
      </c>
      <c r="J944" t="s">
        <v>118</v>
      </c>
      <c r="K944">
        <v>2</v>
      </c>
      <c r="L944" t="s">
        <v>84</v>
      </c>
      <c r="M944">
        <v>55000</v>
      </c>
      <c r="N944">
        <v>6.2</v>
      </c>
      <c r="O944">
        <v>11.5</v>
      </c>
      <c r="P944">
        <v>5.5</v>
      </c>
      <c r="Q944">
        <v>0.1</v>
      </c>
      <c r="R944">
        <v>4</v>
      </c>
      <c r="S944">
        <v>4</v>
      </c>
      <c r="T944">
        <v>2</v>
      </c>
      <c r="U944" t="s">
        <v>30</v>
      </c>
      <c r="V944">
        <v>4</v>
      </c>
      <c r="W944">
        <v>1</v>
      </c>
    </row>
    <row r="945" spans="1:23" x14ac:dyDescent="0.35">
      <c r="A945" t="s">
        <v>222</v>
      </c>
      <c r="B945" s="6">
        <v>44255</v>
      </c>
      <c r="C945">
        <v>45697</v>
      </c>
      <c r="D945" t="s">
        <v>30</v>
      </c>
      <c r="E945">
        <v>34</v>
      </c>
      <c r="F945" t="s">
        <v>36</v>
      </c>
      <c r="G945" t="s">
        <v>42</v>
      </c>
      <c r="H945" t="s">
        <v>54</v>
      </c>
      <c r="I945" t="s">
        <v>38</v>
      </c>
      <c r="J945" t="s">
        <v>52</v>
      </c>
      <c r="K945">
        <v>3</v>
      </c>
      <c r="L945" t="s">
        <v>84</v>
      </c>
      <c r="M945">
        <v>105000</v>
      </c>
      <c r="N945">
        <v>10.1</v>
      </c>
      <c r="O945">
        <v>8.8000000000000007</v>
      </c>
      <c r="P945">
        <v>3.9</v>
      </c>
      <c r="Q945">
        <v>2.7</v>
      </c>
      <c r="R945">
        <v>2</v>
      </c>
      <c r="S945">
        <v>3</v>
      </c>
      <c r="T945">
        <v>4</v>
      </c>
      <c r="U945" t="s">
        <v>23</v>
      </c>
      <c r="V945">
        <v>3</v>
      </c>
      <c r="W945">
        <v>1</v>
      </c>
    </row>
    <row r="946" spans="1:23" x14ac:dyDescent="0.35">
      <c r="A946" t="s">
        <v>1298</v>
      </c>
      <c r="B946" s="6">
        <v>44291</v>
      </c>
      <c r="D946" t="s">
        <v>23</v>
      </c>
      <c r="E946">
        <v>35</v>
      </c>
      <c r="F946" t="s">
        <v>62</v>
      </c>
      <c r="G946" t="s">
        <v>42</v>
      </c>
      <c r="H946" t="s">
        <v>58</v>
      </c>
      <c r="I946" t="s">
        <v>55</v>
      </c>
      <c r="J946" t="s">
        <v>88</v>
      </c>
      <c r="K946">
        <v>4</v>
      </c>
      <c r="L946" t="s">
        <v>34</v>
      </c>
      <c r="M946">
        <v>129000</v>
      </c>
      <c r="N946">
        <v>5.7</v>
      </c>
      <c r="O946">
        <v>9.1999999999999993</v>
      </c>
      <c r="P946">
        <v>4.7</v>
      </c>
      <c r="Q946">
        <v>3</v>
      </c>
      <c r="R946">
        <v>4</v>
      </c>
      <c r="S946">
        <v>1</v>
      </c>
      <c r="T946">
        <v>3</v>
      </c>
      <c r="U946" t="s">
        <v>23</v>
      </c>
      <c r="V946">
        <v>1</v>
      </c>
      <c r="W946">
        <v>1</v>
      </c>
    </row>
    <row r="947" spans="1:23" x14ac:dyDescent="0.35">
      <c r="A947" t="s">
        <v>1497</v>
      </c>
      <c r="B947" s="6">
        <v>44010</v>
      </c>
      <c r="D947" t="s">
        <v>23</v>
      </c>
      <c r="E947">
        <v>35</v>
      </c>
      <c r="F947" t="s">
        <v>62</v>
      </c>
      <c r="G947" t="s">
        <v>25</v>
      </c>
      <c r="H947" t="s">
        <v>32</v>
      </c>
      <c r="I947" t="s">
        <v>38</v>
      </c>
      <c r="J947" t="s">
        <v>52</v>
      </c>
      <c r="K947">
        <v>2</v>
      </c>
      <c r="L947" t="s">
        <v>50</v>
      </c>
      <c r="M947">
        <v>60000</v>
      </c>
      <c r="N947">
        <v>5.0999999999999996</v>
      </c>
      <c r="O947">
        <v>7.7</v>
      </c>
      <c r="P947">
        <v>5.5</v>
      </c>
      <c r="Q947">
        <v>5</v>
      </c>
      <c r="R947">
        <v>3</v>
      </c>
      <c r="S947">
        <v>3</v>
      </c>
      <c r="T947">
        <v>2</v>
      </c>
      <c r="U947" t="s">
        <v>23</v>
      </c>
      <c r="V947">
        <v>3</v>
      </c>
      <c r="W947">
        <v>1</v>
      </c>
    </row>
    <row r="948" spans="1:23" x14ac:dyDescent="0.35">
      <c r="A948" t="s">
        <v>290</v>
      </c>
      <c r="B948" s="6">
        <v>44936</v>
      </c>
      <c r="D948" t="s">
        <v>23</v>
      </c>
      <c r="E948">
        <v>38</v>
      </c>
      <c r="F948" t="s">
        <v>24</v>
      </c>
      <c r="G948" t="s">
        <v>42</v>
      </c>
      <c r="H948" t="s">
        <v>58</v>
      </c>
      <c r="I948" t="s">
        <v>48</v>
      </c>
      <c r="J948" t="s">
        <v>129</v>
      </c>
      <c r="K948">
        <v>1</v>
      </c>
      <c r="L948" t="s">
        <v>40</v>
      </c>
      <c r="M948">
        <v>30000</v>
      </c>
      <c r="N948">
        <v>13</v>
      </c>
      <c r="O948">
        <v>7.4</v>
      </c>
      <c r="P948">
        <v>3</v>
      </c>
      <c r="Q948">
        <v>0.8</v>
      </c>
      <c r="R948">
        <v>2</v>
      </c>
      <c r="S948">
        <v>3</v>
      </c>
      <c r="T948">
        <v>2</v>
      </c>
      <c r="U948" t="s">
        <v>23</v>
      </c>
      <c r="V948">
        <v>2</v>
      </c>
      <c r="W948">
        <v>1</v>
      </c>
    </row>
    <row r="949" spans="1:23" x14ac:dyDescent="0.35">
      <c r="A949" t="s">
        <v>321</v>
      </c>
      <c r="B949" s="6">
        <v>44449</v>
      </c>
      <c r="C949">
        <v>45993</v>
      </c>
      <c r="D949" t="s">
        <v>30</v>
      </c>
      <c r="E949">
        <v>28</v>
      </c>
      <c r="F949" t="s">
        <v>36</v>
      </c>
      <c r="G949" t="s">
        <v>42</v>
      </c>
      <c r="H949" t="s">
        <v>32</v>
      </c>
      <c r="I949" t="s">
        <v>55</v>
      </c>
      <c r="J949" t="s">
        <v>80</v>
      </c>
      <c r="K949">
        <v>2</v>
      </c>
      <c r="L949" t="s">
        <v>40</v>
      </c>
      <c r="M949">
        <v>55000</v>
      </c>
      <c r="N949">
        <v>1.9</v>
      </c>
      <c r="O949">
        <v>10.5</v>
      </c>
      <c r="P949">
        <v>4.2</v>
      </c>
      <c r="Q949">
        <v>3.7</v>
      </c>
      <c r="R949">
        <v>2</v>
      </c>
      <c r="S949">
        <v>4</v>
      </c>
      <c r="T949">
        <v>3</v>
      </c>
      <c r="U949" t="s">
        <v>30</v>
      </c>
      <c r="V949">
        <v>3</v>
      </c>
      <c r="W949">
        <v>1</v>
      </c>
    </row>
    <row r="950" spans="1:23" x14ac:dyDescent="0.35">
      <c r="A950" t="s">
        <v>851</v>
      </c>
      <c r="B950" s="6">
        <v>45759</v>
      </c>
      <c r="C950">
        <v>46019</v>
      </c>
      <c r="D950" t="s">
        <v>30</v>
      </c>
      <c r="E950">
        <v>21</v>
      </c>
      <c r="F950" t="s">
        <v>24</v>
      </c>
      <c r="G950" t="s">
        <v>25</v>
      </c>
      <c r="H950" t="s">
        <v>32</v>
      </c>
      <c r="I950" t="s">
        <v>38</v>
      </c>
      <c r="J950" t="s">
        <v>139</v>
      </c>
      <c r="K950">
        <v>1</v>
      </c>
      <c r="L950" t="s">
        <v>40</v>
      </c>
      <c r="M950">
        <v>27000</v>
      </c>
      <c r="N950">
        <v>0.7</v>
      </c>
      <c r="O950">
        <v>2.1</v>
      </c>
      <c r="P950">
        <v>0.7</v>
      </c>
      <c r="Q950">
        <v>0</v>
      </c>
      <c r="R950">
        <v>4</v>
      </c>
      <c r="S950">
        <v>3</v>
      </c>
      <c r="T950">
        <v>4</v>
      </c>
      <c r="U950" t="s">
        <v>30</v>
      </c>
      <c r="V950">
        <v>4</v>
      </c>
      <c r="W950">
        <v>1</v>
      </c>
    </row>
    <row r="951" spans="1:23" x14ac:dyDescent="0.35">
      <c r="A951" t="s">
        <v>105</v>
      </c>
      <c r="B951" s="6">
        <v>45179</v>
      </c>
      <c r="D951" t="s">
        <v>23</v>
      </c>
      <c r="E951">
        <v>32</v>
      </c>
      <c r="F951" t="s">
        <v>24</v>
      </c>
      <c r="G951" t="s">
        <v>25</v>
      </c>
      <c r="H951" t="s">
        <v>58</v>
      </c>
      <c r="I951" t="s">
        <v>59</v>
      </c>
      <c r="J951" t="s">
        <v>75</v>
      </c>
      <c r="K951">
        <v>2</v>
      </c>
      <c r="L951" t="s">
        <v>66</v>
      </c>
      <c r="M951">
        <v>49000</v>
      </c>
      <c r="N951">
        <v>4.8</v>
      </c>
      <c r="O951">
        <v>9.5</v>
      </c>
      <c r="P951">
        <v>2.2999999999999998</v>
      </c>
      <c r="Q951">
        <v>0.9</v>
      </c>
      <c r="R951">
        <v>4</v>
      </c>
      <c r="S951">
        <v>2</v>
      </c>
      <c r="T951">
        <v>3</v>
      </c>
      <c r="U951" t="s">
        <v>30</v>
      </c>
      <c r="V951">
        <v>4</v>
      </c>
      <c r="W951">
        <v>1</v>
      </c>
    </row>
    <row r="952" spans="1:23" x14ac:dyDescent="0.35">
      <c r="A952" t="s">
        <v>561</v>
      </c>
      <c r="B952" s="6">
        <v>43969</v>
      </c>
      <c r="D952" t="s">
        <v>23</v>
      </c>
      <c r="E952">
        <v>36</v>
      </c>
      <c r="F952" t="s">
        <v>62</v>
      </c>
      <c r="G952" t="s">
        <v>42</v>
      </c>
      <c r="H952" t="s">
        <v>54</v>
      </c>
      <c r="I952" t="s">
        <v>59</v>
      </c>
      <c r="J952" t="s">
        <v>150</v>
      </c>
      <c r="K952">
        <v>3</v>
      </c>
      <c r="L952" t="s">
        <v>66</v>
      </c>
      <c r="M952">
        <v>70000</v>
      </c>
      <c r="N952">
        <v>10.3</v>
      </c>
      <c r="O952">
        <v>10.5</v>
      </c>
      <c r="P952">
        <v>5.6</v>
      </c>
      <c r="Q952">
        <v>0.2</v>
      </c>
      <c r="R952">
        <v>3</v>
      </c>
      <c r="S952">
        <v>4</v>
      </c>
      <c r="T952">
        <v>2</v>
      </c>
      <c r="U952" t="s">
        <v>23</v>
      </c>
      <c r="V952">
        <v>3</v>
      </c>
      <c r="W952">
        <v>1</v>
      </c>
    </row>
    <row r="953" spans="1:23" x14ac:dyDescent="0.35">
      <c r="A953" t="s">
        <v>617</v>
      </c>
      <c r="B953" s="6">
        <v>43919</v>
      </c>
      <c r="D953" t="s">
        <v>23</v>
      </c>
      <c r="E953">
        <v>34</v>
      </c>
      <c r="F953" t="s">
        <v>24</v>
      </c>
      <c r="G953" t="s">
        <v>25</v>
      </c>
      <c r="H953" t="s">
        <v>54</v>
      </c>
      <c r="I953" t="s">
        <v>27</v>
      </c>
      <c r="J953" t="s">
        <v>33</v>
      </c>
      <c r="K953">
        <v>4</v>
      </c>
      <c r="L953" t="s">
        <v>40</v>
      </c>
      <c r="M953">
        <v>118000</v>
      </c>
      <c r="N953">
        <v>11.3</v>
      </c>
      <c r="O953">
        <v>10.4</v>
      </c>
      <c r="P953">
        <v>5.8</v>
      </c>
      <c r="Q953">
        <v>4.9000000000000004</v>
      </c>
      <c r="R953">
        <v>3</v>
      </c>
      <c r="S953">
        <v>3</v>
      </c>
      <c r="T953">
        <v>2</v>
      </c>
      <c r="U953" t="s">
        <v>23</v>
      </c>
      <c r="V953">
        <v>5</v>
      </c>
      <c r="W953">
        <v>1</v>
      </c>
    </row>
    <row r="954" spans="1:23" x14ac:dyDescent="0.35">
      <c r="A954" t="s">
        <v>710</v>
      </c>
      <c r="B954" s="6">
        <v>43350</v>
      </c>
      <c r="D954" t="s">
        <v>23</v>
      </c>
      <c r="E954">
        <v>35</v>
      </c>
      <c r="F954" t="s">
        <v>24</v>
      </c>
      <c r="G954" t="s">
        <v>37</v>
      </c>
      <c r="H954" t="s">
        <v>54</v>
      </c>
      <c r="I954" t="s">
        <v>59</v>
      </c>
      <c r="J954" t="s">
        <v>75</v>
      </c>
      <c r="K954">
        <v>2</v>
      </c>
      <c r="L954" t="s">
        <v>29</v>
      </c>
      <c r="M954">
        <v>50000</v>
      </c>
      <c r="N954">
        <v>9</v>
      </c>
      <c r="O954">
        <v>10.6</v>
      </c>
      <c r="P954">
        <v>7.3</v>
      </c>
      <c r="Q954">
        <v>2.2999999999999998</v>
      </c>
      <c r="R954">
        <v>3</v>
      </c>
      <c r="S954">
        <v>3</v>
      </c>
      <c r="T954">
        <v>3</v>
      </c>
      <c r="U954" t="s">
        <v>23</v>
      </c>
      <c r="V954">
        <v>3</v>
      </c>
      <c r="W954">
        <v>1</v>
      </c>
    </row>
    <row r="955" spans="1:23" x14ac:dyDescent="0.35">
      <c r="A955" t="s">
        <v>1423</v>
      </c>
      <c r="B955" s="6">
        <v>43390</v>
      </c>
      <c r="D955" t="s">
        <v>23</v>
      </c>
      <c r="E955">
        <v>32</v>
      </c>
      <c r="F955" t="s">
        <v>36</v>
      </c>
      <c r="G955" t="s">
        <v>42</v>
      </c>
      <c r="H955" t="s">
        <v>54</v>
      </c>
      <c r="I955" t="s">
        <v>59</v>
      </c>
      <c r="J955" t="s">
        <v>86</v>
      </c>
      <c r="K955">
        <v>2</v>
      </c>
      <c r="L955" t="s">
        <v>84</v>
      </c>
      <c r="M955">
        <v>54000</v>
      </c>
      <c r="N955">
        <v>5</v>
      </c>
      <c r="O955">
        <v>10.4</v>
      </c>
      <c r="P955">
        <v>7.2</v>
      </c>
      <c r="Q955">
        <v>0.9</v>
      </c>
      <c r="R955">
        <v>2</v>
      </c>
      <c r="S955">
        <v>4</v>
      </c>
      <c r="T955">
        <v>4</v>
      </c>
      <c r="U955" t="s">
        <v>23</v>
      </c>
      <c r="V955">
        <v>3</v>
      </c>
      <c r="W955">
        <v>1</v>
      </c>
    </row>
    <row r="956" spans="1:23" x14ac:dyDescent="0.35">
      <c r="A956" t="s">
        <v>949</v>
      </c>
      <c r="B956" s="6">
        <v>45784</v>
      </c>
      <c r="C956">
        <v>46007</v>
      </c>
      <c r="D956" t="s">
        <v>30</v>
      </c>
      <c r="E956">
        <v>23</v>
      </c>
      <c r="F956" t="s">
        <v>62</v>
      </c>
      <c r="G956" t="s">
        <v>42</v>
      </c>
      <c r="H956" t="s">
        <v>26</v>
      </c>
      <c r="I956" t="s">
        <v>55</v>
      </c>
      <c r="J956" t="s">
        <v>80</v>
      </c>
      <c r="K956">
        <v>1</v>
      </c>
      <c r="L956" t="s">
        <v>66</v>
      </c>
      <c r="M956">
        <v>25000</v>
      </c>
      <c r="N956">
        <v>4.0999999999999996</v>
      </c>
      <c r="O956">
        <v>8</v>
      </c>
      <c r="P956">
        <v>0.6</v>
      </c>
      <c r="Q956">
        <v>0</v>
      </c>
      <c r="R956">
        <v>2</v>
      </c>
      <c r="S956">
        <v>1</v>
      </c>
      <c r="T956">
        <v>3</v>
      </c>
      <c r="U956" t="s">
        <v>23</v>
      </c>
      <c r="V956">
        <v>3</v>
      </c>
      <c r="W956">
        <v>1</v>
      </c>
    </row>
    <row r="957" spans="1:23" x14ac:dyDescent="0.35">
      <c r="A957" t="s">
        <v>702</v>
      </c>
      <c r="B957" s="6">
        <v>43904</v>
      </c>
      <c r="D957" t="s">
        <v>23</v>
      </c>
      <c r="E957">
        <v>27</v>
      </c>
      <c r="F957" t="s">
        <v>24</v>
      </c>
      <c r="G957" t="s">
        <v>37</v>
      </c>
      <c r="H957" t="s">
        <v>32</v>
      </c>
      <c r="I957" t="s">
        <v>68</v>
      </c>
      <c r="J957" t="s">
        <v>69</v>
      </c>
      <c r="K957">
        <v>1</v>
      </c>
      <c r="L957" t="s">
        <v>29</v>
      </c>
      <c r="M957">
        <v>38000</v>
      </c>
      <c r="N957">
        <v>9.1</v>
      </c>
      <c r="O957">
        <v>12.6</v>
      </c>
      <c r="P957">
        <v>5.8</v>
      </c>
      <c r="Q957">
        <v>0.4</v>
      </c>
      <c r="R957">
        <v>1</v>
      </c>
      <c r="S957">
        <v>3</v>
      </c>
      <c r="T957">
        <v>3</v>
      </c>
      <c r="U957" t="s">
        <v>23</v>
      </c>
      <c r="V957">
        <v>3</v>
      </c>
      <c r="W957">
        <v>1</v>
      </c>
    </row>
    <row r="958" spans="1:23" x14ac:dyDescent="0.35">
      <c r="A958" t="s">
        <v>1115</v>
      </c>
      <c r="B958" s="6">
        <v>43736</v>
      </c>
      <c r="D958" t="s">
        <v>23</v>
      </c>
      <c r="E958">
        <v>38</v>
      </c>
      <c r="F958" t="s">
        <v>62</v>
      </c>
      <c r="G958" t="s">
        <v>25</v>
      </c>
      <c r="H958" t="s">
        <v>26</v>
      </c>
      <c r="I958" t="s">
        <v>45</v>
      </c>
      <c r="J958" t="s">
        <v>77</v>
      </c>
      <c r="K958">
        <v>1</v>
      </c>
      <c r="L958" t="s">
        <v>34</v>
      </c>
      <c r="M958">
        <v>39000</v>
      </c>
      <c r="N958">
        <v>5</v>
      </c>
      <c r="O958">
        <v>8.9</v>
      </c>
      <c r="P958">
        <v>6.3</v>
      </c>
      <c r="Q958">
        <v>3.7</v>
      </c>
      <c r="R958">
        <v>3</v>
      </c>
      <c r="S958">
        <v>3</v>
      </c>
      <c r="T958">
        <v>3</v>
      </c>
      <c r="U958" t="s">
        <v>23</v>
      </c>
      <c r="V958">
        <v>3</v>
      </c>
      <c r="W958">
        <v>1</v>
      </c>
    </row>
    <row r="959" spans="1:23" x14ac:dyDescent="0.35">
      <c r="A959" t="s">
        <v>902</v>
      </c>
      <c r="B959" s="6">
        <v>44852</v>
      </c>
      <c r="D959" t="s">
        <v>23</v>
      </c>
      <c r="E959">
        <v>27</v>
      </c>
      <c r="F959" t="s">
        <v>36</v>
      </c>
      <c r="G959" t="s">
        <v>25</v>
      </c>
      <c r="H959" t="s">
        <v>54</v>
      </c>
      <c r="I959" t="s">
        <v>59</v>
      </c>
      <c r="J959" t="s">
        <v>60</v>
      </c>
      <c r="K959">
        <v>1</v>
      </c>
      <c r="L959" t="s">
        <v>29</v>
      </c>
      <c r="M959">
        <v>34000</v>
      </c>
      <c r="N959">
        <v>3.9</v>
      </c>
      <c r="O959">
        <v>9.1999999999999993</v>
      </c>
      <c r="P959">
        <v>3.2</v>
      </c>
      <c r="Q959">
        <v>1.6</v>
      </c>
      <c r="R959">
        <v>3</v>
      </c>
      <c r="S959">
        <v>4</v>
      </c>
      <c r="T959">
        <v>2</v>
      </c>
      <c r="U959" t="s">
        <v>23</v>
      </c>
      <c r="V959">
        <v>4</v>
      </c>
      <c r="W959">
        <v>1</v>
      </c>
    </row>
    <row r="960" spans="1:23" x14ac:dyDescent="0.35">
      <c r="A960" t="s">
        <v>348</v>
      </c>
      <c r="B960" s="6">
        <v>43213</v>
      </c>
      <c r="D960" t="s">
        <v>23</v>
      </c>
      <c r="E960">
        <v>30</v>
      </c>
      <c r="F960" t="s">
        <v>24</v>
      </c>
      <c r="G960" t="s">
        <v>42</v>
      </c>
      <c r="H960" t="s">
        <v>32</v>
      </c>
      <c r="I960" t="s">
        <v>45</v>
      </c>
      <c r="J960" t="s">
        <v>77</v>
      </c>
      <c r="K960">
        <v>2</v>
      </c>
      <c r="L960" t="s">
        <v>34</v>
      </c>
      <c r="M960">
        <v>48000</v>
      </c>
      <c r="N960">
        <v>7.4</v>
      </c>
      <c r="O960">
        <v>9.5</v>
      </c>
      <c r="P960">
        <v>7.7</v>
      </c>
      <c r="Q960">
        <v>0.3</v>
      </c>
      <c r="R960">
        <v>3</v>
      </c>
      <c r="S960">
        <v>1</v>
      </c>
      <c r="T960">
        <v>2</v>
      </c>
      <c r="U960" t="s">
        <v>30</v>
      </c>
      <c r="V960">
        <v>3</v>
      </c>
      <c r="W960">
        <v>1</v>
      </c>
    </row>
    <row r="961" spans="1:23" x14ac:dyDescent="0.35">
      <c r="A961" t="s">
        <v>1218</v>
      </c>
      <c r="B961" s="6">
        <v>45167</v>
      </c>
      <c r="C961">
        <v>45905</v>
      </c>
      <c r="D961" t="s">
        <v>30</v>
      </c>
      <c r="E961">
        <v>30</v>
      </c>
      <c r="F961" t="s">
        <v>24</v>
      </c>
      <c r="G961" t="s">
        <v>37</v>
      </c>
      <c r="H961" t="s">
        <v>54</v>
      </c>
      <c r="I961" t="s">
        <v>27</v>
      </c>
      <c r="J961" t="s">
        <v>28</v>
      </c>
      <c r="K961">
        <v>5</v>
      </c>
      <c r="L961" t="s">
        <v>84</v>
      </c>
      <c r="M961">
        <v>150000</v>
      </c>
      <c r="N961">
        <v>8.8000000000000007</v>
      </c>
      <c r="O961">
        <v>8.3000000000000007</v>
      </c>
      <c r="P961">
        <v>2</v>
      </c>
      <c r="Q961">
        <v>0.4</v>
      </c>
      <c r="R961">
        <v>2</v>
      </c>
      <c r="S961">
        <v>4</v>
      </c>
      <c r="T961">
        <v>2</v>
      </c>
      <c r="U961" t="s">
        <v>23</v>
      </c>
      <c r="V961">
        <v>4</v>
      </c>
      <c r="W961">
        <v>1</v>
      </c>
    </row>
    <row r="962" spans="1:23" x14ac:dyDescent="0.35">
      <c r="A962" t="s">
        <v>474</v>
      </c>
      <c r="B962" s="6">
        <v>43225</v>
      </c>
      <c r="D962" t="s">
        <v>23</v>
      </c>
      <c r="E962">
        <v>28</v>
      </c>
      <c r="F962" t="s">
        <v>62</v>
      </c>
      <c r="G962" t="s">
        <v>25</v>
      </c>
      <c r="H962" t="s">
        <v>58</v>
      </c>
      <c r="I962" t="s">
        <v>27</v>
      </c>
      <c r="J962" t="s">
        <v>28</v>
      </c>
      <c r="K962">
        <v>4</v>
      </c>
      <c r="L962" t="s">
        <v>66</v>
      </c>
      <c r="M962">
        <v>116000</v>
      </c>
      <c r="N962">
        <v>4.3</v>
      </c>
      <c r="O962">
        <v>14.2</v>
      </c>
      <c r="P962">
        <v>7.7</v>
      </c>
      <c r="Q962">
        <v>2</v>
      </c>
      <c r="R962">
        <v>3</v>
      </c>
      <c r="S962">
        <v>3</v>
      </c>
      <c r="T962">
        <v>3</v>
      </c>
      <c r="U962" t="s">
        <v>30</v>
      </c>
      <c r="V962">
        <v>4</v>
      </c>
      <c r="W962">
        <v>1</v>
      </c>
    </row>
    <row r="963" spans="1:23" x14ac:dyDescent="0.35">
      <c r="A963" t="s">
        <v>547</v>
      </c>
      <c r="B963" s="6">
        <v>45818</v>
      </c>
      <c r="D963" t="s">
        <v>23</v>
      </c>
      <c r="E963">
        <v>41</v>
      </c>
      <c r="F963" t="s">
        <v>36</v>
      </c>
      <c r="G963" t="s">
        <v>37</v>
      </c>
      <c r="H963" t="s">
        <v>32</v>
      </c>
      <c r="I963" t="s">
        <v>59</v>
      </c>
      <c r="J963" t="s">
        <v>86</v>
      </c>
      <c r="K963">
        <v>2</v>
      </c>
      <c r="L963" t="s">
        <v>66</v>
      </c>
      <c r="M963">
        <v>56000</v>
      </c>
      <c r="N963">
        <v>8.1999999999999993</v>
      </c>
      <c r="O963">
        <v>4.5</v>
      </c>
      <c r="P963">
        <v>0.6</v>
      </c>
      <c r="Q963">
        <v>0</v>
      </c>
      <c r="R963">
        <v>3</v>
      </c>
      <c r="S963">
        <v>3</v>
      </c>
      <c r="T963">
        <v>4</v>
      </c>
      <c r="U963" t="s">
        <v>23</v>
      </c>
      <c r="V963">
        <v>3</v>
      </c>
      <c r="W963">
        <v>1</v>
      </c>
    </row>
    <row r="964" spans="1:23" x14ac:dyDescent="0.35">
      <c r="A964" t="s">
        <v>417</v>
      </c>
      <c r="B964" s="6">
        <v>44850</v>
      </c>
      <c r="D964" t="s">
        <v>23</v>
      </c>
      <c r="E964">
        <v>40</v>
      </c>
      <c r="F964" t="s">
        <v>24</v>
      </c>
      <c r="G964" t="s">
        <v>37</v>
      </c>
      <c r="H964" t="s">
        <v>54</v>
      </c>
      <c r="I964" t="s">
        <v>55</v>
      </c>
      <c r="J964" t="s">
        <v>179</v>
      </c>
      <c r="K964">
        <v>4</v>
      </c>
      <c r="L964" t="s">
        <v>29</v>
      </c>
      <c r="M964">
        <v>116000</v>
      </c>
      <c r="N964">
        <v>5.0999999999999996</v>
      </c>
      <c r="O964">
        <v>7.3</v>
      </c>
      <c r="P964">
        <v>3.2</v>
      </c>
      <c r="Q964">
        <v>1.3</v>
      </c>
      <c r="R964">
        <v>4</v>
      </c>
      <c r="S964">
        <v>3</v>
      </c>
      <c r="T964">
        <v>3</v>
      </c>
      <c r="U964" t="s">
        <v>23</v>
      </c>
      <c r="V964">
        <v>3</v>
      </c>
      <c r="W964">
        <v>1</v>
      </c>
    </row>
    <row r="965" spans="1:23" x14ac:dyDescent="0.35">
      <c r="A965" t="s">
        <v>292</v>
      </c>
      <c r="B965" s="6">
        <v>45670</v>
      </c>
      <c r="D965" t="s">
        <v>23</v>
      </c>
      <c r="E965">
        <v>42</v>
      </c>
      <c r="F965" t="s">
        <v>36</v>
      </c>
      <c r="G965" t="s">
        <v>42</v>
      </c>
      <c r="H965" t="s">
        <v>32</v>
      </c>
      <c r="I965" t="s">
        <v>38</v>
      </c>
      <c r="J965" t="s">
        <v>39</v>
      </c>
      <c r="K965">
        <v>4</v>
      </c>
      <c r="L965" t="s">
        <v>34</v>
      </c>
      <c r="M965">
        <v>128000</v>
      </c>
      <c r="N965">
        <v>5.0999999999999996</v>
      </c>
      <c r="O965">
        <v>8.8000000000000007</v>
      </c>
      <c r="P965">
        <v>1</v>
      </c>
      <c r="Q965">
        <v>0.3</v>
      </c>
      <c r="R965">
        <v>3</v>
      </c>
      <c r="S965">
        <v>3</v>
      </c>
      <c r="T965">
        <v>3</v>
      </c>
      <c r="U965" t="s">
        <v>23</v>
      </c>
      <c r="V965">
        <v>3</v>
      </c>
      <c r="W965">
        <v>1</v>
      </c>
    </row>
    <row r="966" spans="1:23" x14ac:dyDescent="0.35">
      <c r="A966" t="s">
        <v>672</v>
      </c>
      <c r="B966" s="6">
        <v>43973</v>
      </c>
      <c r="D966" t="s">
        <v>23</v>
      </c>
      <c r="E966">
        <v>29</v>
      </c>
      <c r="F966" t="s">
        <v>62</v>
      </c>
      <c r="G966" t="s">
        <v>42</v>
      </c>
      <c r="H966" t="s">
        <v>54</v>
      </c>
      <c r="I966" t="s">
        <v>48</v>
      </c>
      <c r="J966" t="s">
        <v>49</v>
      </c>
      <c r="K966">
        <v>2</v>
      </c>
      <c r="L966" t="s">
        <v>50</v>
      </c>
      <c r="M966">
        <v>49000</v>
      </c>
      <c r="N966">
        <v>12.9</v>
      </c>
      <c r="O966">
        <v>8.6</v>
      </c>
      <c r="P966">
        <v>5.6</v>
      </c>
      <c r="Q966">
        <v>0.5</v>
      </c>
      <c r="R966">
        <v>2</v>
      </c>
      <c r="S966">
        <v>2</v>
      </c>
      <c r="T966">
        <v>4</v>
      </c>
      <c r="U966" t="s">
        <v>30</v>
      </c>
      <c r="V966">
        <v>1</v>
      </c>
      <c r="W966">
        <v>1</v>
      </c>
    </row>
    <row r="967" spans="1:23" x14ac:dyDescent="0.35">
      <c r="A967" t="s">
        <v>819</v>
      </c>
      <c r="B967" s="6">
        <v>45904</v>
      </c>
      <c r="D967" t="s">
        <v>23</v>
      </c>
      <c r="E967">
        <v>44</v>
      </c>
      <c r="F967" t="s">
        <v>24</v>
      </c>
      <c r="G967" t="s">
        <v>37</v>
      </c>
      <c r="H967" t="s">
        <v>58</v>
      </c>
      <c r="I967" t="s">
        <v>59</v>
      </c>
      <c r="J967" t="s">
        <v>86</v>
      </c>
      <c r="K967">
        <v>5</v>
      </c>
      <c r="L967" t="s">
        <v>84</v>
      </c>
      <c r="M967">
        <v>158000</v>
      </c>
      <c r="N967">
        <v>13.4</v>
      </c>
      <c r="O967">
        <v>3.3</v>
      </c>
      <c r="P967">
        <v>0.3</v>
      </c>
      <c r="Q967">
        <v>0</v>
      </c>
      <c r="R967">
        <v>2</v>
      </c>
      <c r="S967">
        <v>4</v>
      </c>
      <c r="T967">
        <v>3</v>
      </c>
      <c r="U967" t="s">
        <v>30</v>
      </c>
      <c r="V967">
        <v>4</v>
      </c>
      <c r="W967">
        <v>1</v>
      </c>
    </row>
    <row r="968" spans="1:23" x14ac:dyDescent="0.35">
      <c r="A968" t="s">
        <v>944</v>
      </c>
      <c r="B968" s="6">
        <v>45561</v>
      </c>
      <c r="D968" t="s">
        <v>23</v>
      </c>
      <c r="E968">
        <v>32</v>
      </c>
      <c r="F968" t="s">
        <v>36</v>
      </c>
      <c r="G968" t="s">
        <v>25</v>
      </c>
      <c r="H968" t="s">
        <v>26</v>
      </c>
      <c r="I968" t="s">
        <v>38</v>
      </c>
      <c r="J968" t="s">
        <v>118</v>
      </c>
      <c r="K968">
        <v>5</v>
      </c>
      <c r="L968" t="s">
        <v>66</v>
      </c>
      <c r="M968">
        <v>160000</v>
      </c>
      <c r="N968">
        <v>6.9</v>
      </c>
      <c r="O968">
        <v>7.6</v>
      </c>
      <c r="P968">
        <v>1.3</v>
      </c>
      <c r="Q968">
        <v>1.2</v>
      </c>
      <c r="R968">
        <v>1</v>
      </c>
      <c r="S968">
        <v>4</v>
      </c>
      <c r="T968">
        <v>3</v>
      </c>
      <c r="U968" t="s">
        <v>30</v>
      </c>
      <c r="V968">
        <v>3</v>
      </c>
      <c r="W968">
        <v>1</v>
      </c>
    </row>
    <row r="969" spans="1:23" x14ac:dyDescent="0.35">
      <c r="A969" t="s">
        <v>1304</v>
      </c>
      <c r="B969" s="6">
        <v>43323</v>
      </c>
      <c r="D969" t="s">
        <v>23</v>
      </c>
      <c r="E969">
        <v>42</v>
      </c>
      <c r="F969" t="s">
        <v>62</v>
      </c>
      <c r="G969" t="s">
        <v>37</v>
      </c>
      <c r="H969" t="s">
        <v>54</v>
      </c>
      <c r="I969" t="s">
        <v>68</v>
      </c>
      <c r="J969" t="s">
        <v>109</v>
      </c>
      <c r="K969">
        <v>1</v>
      </c>
      <c r="L969" t="s">
        <v>34</v>
      </c>
      <c r="M969">
        <v>24000</v>
      </c>
      <c r="N969">
        <v>7.5</v>
      </c>
      <c r="O969">
        <v>8.1999999999999993</v>
      </c>
      <c r="P969">
        <v>7.4</v>
      </c>
      <c r="Q969">
        <v>3.6</v>
      </c>
      <c r="R969">
        <v>3</v>
      </c>
      <c r="S969">
        <v>3</v>
      </c>
      <c r="T969">
        <v>1</v>
      </c>
      <c r="U969" t="s">
        <v>30</v>
      </c>
      <c r="V969">
        <v>4</v>
      </c>
      <c r="W969">
        <v>1</v>
      </c>
    </row>
    <row r="970" spans="1:23" x14ac:dyDescent="0.35">
      <c r="A970" t="s">
        <v>1387</v>
      </c>
      <c r="B970" s="6">
        <v>45623</v>
      </c>
      <c r="D970" t="s">
        <v>23</v>
      </c>
      <c r="E970">
        <v>23</v>
      </c>
      <c r="F970" t="s">
        <v>24</v>
      </c>
      <c r="G970" t="s">
        <v>25</v>
      </c>
      <c r="H970" t="s">
        <v>32</v>
      </c>
      <c r="I970" t="s">
        <v>68</v>
      </c>
      <c r="J970" t="s">
        <v>69</v>
      </c>
      <c r="K970">
        <v>1</v>
      </c>
      <c r="L970" t="s">
        <v>50</v>
      </c>
      <c r="M970">
        <v>39000</v>
      </c>
      <c r="N970">
        <v>6.1</v>
      </c>
      <c r="O970">
        <v>3</v>
      </c>
      <c r="P970">
        <v>1.1000000000000001</v>
      </c>
      <c r="Q970">
        <v>1.1000000000000001</v>
      </c>
      <c r="R970">
        <v>3</v>
      </c>
      <c r="S970">
        <v>3</v>
      </c>
      <c r="T970">
        <v>3</v>
      </c>
      <c r="U970" t="s">
        <v>23</v>
      </c>
      <c r="V970">
        <v>3</v>
      </c>
      <c r="W970">
        <v>1</v>
      </c>
    </row>
    <row r="971" spans="1:23" x14ac:dyDescent="0.35">
      <c r="A971" t="s">
        <v>440</v>
      </c>
      <c r="B971" s="6">
        <v>45496</v>
      </c>
      <c r="C971">
        <v>45695</v>
      </c>
      <c r="D971" t="s">
        <v>30</v>
      </c>
      <c r="E971">
        <v>30</v>
      </c>
      <c r="F971" t="s">
        <v>36</v>
      </c>
      <c r="G971" t="s">
        <v>37</v>
      </c>
      <c r="H971" t="s">
        <v>58</v>
      </c>
      <c r="I971" t="s">
        <v>38</v>
      </c>
      <c r="J971" t="s">
        <v>118</v>
      </c>
      <c r="K971">
        <v>3</v>
      </c>
      <c r="L971" t="s">
        <v>29</v>
      </c>
      <c r="M971">
        <v>79000</v>
      </c>
      <c r="N971">
        <v>9</v>
      </c>
      <c r="O971">
        <v>2.8</v>
      </c>
      <c r="P971">
        <v>0.5</v>
      </c>
      <c r="Q971">
        <v>0</v>
      </c>
      <c r="R971">
        <v>3</v>
      </c>
      <c r="S971">
        <v>3</v>
      </c>
      <c r="T971">
        <v>2</v>
      </c>
      <c r="U971" t="s">
        <v>30</v>
      </c>
      <c r="V971">
        <v>3</v>
      </c>
      <c r="W971">
        <v>1</v>
      </c>
    </row>
    <row r="972" spans="1:23" x14ac:dyDescent="0.35">
      <c r="A972" t="s">
        <v>1455</v>
      </c>
      <c r="B972" s="6">
        <v>44623</v>
      </c>
      <c r="C972">
        <v>45787</v>
      </c>
      <c r="D972" t="s">
        <v>30</v>
      </c>
      <c r="E972">
        <v>30</v>
      </c>
      <c r="F972" t="s">
        <v>36</v>
      </c>
      <c r="G972" t="s">
        <v>42</v>
      </c>
      <c r="H972" t="s">
        <v>32</v>
      </c>
      <c r="I972" t="s">
        <v>55</v>
      </c>
      <c r="J972" t="s">
        <v>80</v>
      </c>
      <c r="K972">
        <v>3</v>
      </c>
      <c r="L972" t="s">
        <v>84</v>
      </c>
      <c r="M972">
        <v>83000</v>
      </c>
      <c r="N972">
        <v>10.3</v>
      </c>
      <c r="O972">
        <v>6.3</v>
      </c>
      <c r="P972">
        <v>3.2</v>
      </c>
      <c r="Q972">
        <v>2.6</v>
      </c>
      <c r="R972">
        <v>3</v>
      </c>
      <c r="S972">
        <v>3</v>
      </c>
      <c r="T972">
        <v>4</v>
      </c>
      <c r="U972" t="s">
        <v>23</v>
      </c>
      <c r="V972">
        <v>4</v>
      </c>
      <c r="W972">
        <v>1</v>
      </c>
    </row>
    <row r="973" spans="1:23" x14ac:dyDescent="0.35">
      <c r="A973" t="s">
        <v>274</v>
      </c>
      <c r="B973" s="6">
        <v>41819</v>
      </c>
      <c r="D973" t="s">
        <v>23</v>
      </c>
      <c r="E973">
        <v>34</v>
      </c>
      <c r="F973" t="s">
        <v>36</v>
      </c>
      <c r="G973" t="s">
        <v>37</v>
      </c>
      <c r="H973" t="s">
        <v>26</v>
      </c>
      <c r="I973" t="s">
        <v>45</v>
      </c>
      <c r="J973" t="s">
        <v>46</v>
      </c>
      <c r="K973">
        <v>3</v>
      </c>
      <c r="L973" t="s">
        <v>40</v>
      </c>
      <c r="M973">
        <v>81000</v>
      </c>
      <c r="N973">
        <v>3.4</v>
      </c>
      <c r="O973">
        <v>18.5</v>
      </c>
      <c r="P973">
        <v>11.5</v>
      </c>
      <c r="Q973">
        <v>1</v>
      </c>
      <c r="R973">
        <v>4</v>
      </c>
      <c r="S973">
        <v>3</v>
      </c>
      <c r="T973">
        <v>2</v>
      </c>
      <c r="U973" t="s">
        <v>23</v>
      </c>
      <c r="V973">
        <v>5</v>
      </c>
      <c r="W973">
        <v>1</v>
      </c>
    </row>
    <row r="974" spans="1:23" x14ac:dyDescent="0.35">
      <c r="A974" t="s">
        <v>246</v>
      </c>
      <c r="B974" s="6">
        <v>44270</v>
      </c>
      <c r="D974" t="s">
        <v>23</v>
      </c>
      <c r="E974">
        <v>25</v>
      </c>
      <c r="F974" t="s">
        <v>24</v>
      </c>
      <c r="G974" t="s">
        <v>37</v>
      </c>
      <c r="H974" t="s">
        <v>54</v>
      </c>
      <c r="I974" t="s">
        <v>55</v>
      </c>
      <c r="J974" t="s">
        <v>80</v>
      </c>
      <c r="K974">
        <v>1</v>
      </c>
      <c r="L974" t="s">
        <v>66</v>
      </c>
      <c r="M974">
        <v>26000</v>
      </c>
      <c r="N974">
        <v>6</v>
      </c>
      <c r="O974">
        <v>11</v>
      </c>
      <c r="P974">
        <v>4.8</v>
      </c>
      <c r="Q974">
        <v>3</v>
      </c>
      <c r="R974">
        <v>3</v>
      </c>
      <c r="S974">
        <v>3</v>
      </c>
      <c r="T974">
        <v>4</v>
      </c>
      <c r="U974" t="s">
        <v>23</v>
      </c>
      <c r="V974">
        <v>3</v>
      </c>
      <c r="W974">
        <v>1</v>
      </c>
    </row>
    <row r="975" spans="1:23" x14ac:dyDescent="0.35">
      <c r="A975" t="s">
        <v>1005</v>
      </c>
      <c r="B975" s="6">
        <v>43005</v>
      </c>
      <c r="D975" t="s">
        <v>23</v>
      </c>
      <c r="E975">
        <v>40</v>
      </c>
      <c r="F975" t="s">
        <v>62</v>
      </c>
      <c r="G975" t="s">
        <v>37</v>
      </c>
      <c r="H975" t="s">
        <v>54</v>
      </c>
      <c r="I975" t="s">
        <v>55</v>
      </c>
      <c r="J975" t="s">
        <v>179</v>
      </c>
      <c r="K975">
        <v>2</v>
      </c>
      <c r="L975" t="s">
        <v>29</v>
      </c>
      <c r="M975">
        <v>64000</v>
      </c>
      <c r="N975">
        <v>2.9</v>
      </c>
      <c r="O975">
        <v>11.4</v>
      </c>
      <c r="P975">
        <v>8.3000000000000007</v>
      </c>
      <c r="Q975">
        <v>3.2</v>
      </c>
      <c r="R975">
        <v>4</v>
      </c>
      <c r="S975">
        <v>3</v>
      </c>
      <c r="T975">
        <v>4</v>
      </c>
      <c r="U975" t="s">
        <v>23</v>
      </c>
      <c r="V975">
        <v>3</v>
      </c>
      <c r="W975">
        <v>1</v>
      </c>
    </row>
    <row r="976" spans="1:23" x14ac:dyDescent="0.35">
      <c r="A976" t="s">
        <v>836</v>
      </c>
      <c r="B976" s="6">
        <v>42683</v>
      </c>
      <c r="D976" t="s">
        <v>23</v>
      </c>
      <c r="E976">
        <v>35</v>
      </c>
      <c r="F976" t="s">
        <v>62</v>
      </c>
      <c r="G976" t="s">
        <v>25</v>
      </c>
      <c r="H976" t="s">
        <v>32</v>
      </c>
      <c r="I976" t="s">
        <v>27</v>
      </c>
      <c r="J976" t="s">
        <v>28</v>
      </c>
      <c r="K976">
        <v>3</v>
      </c>
      <c r="L976" t="s">
        <v>84</v>
      </c>
      <c r="M976">
        <v>75000</v>
      </c>
      <c r="N976">
        <v>1.6</v>
      </c>
      <c r="O976">
        <v>14.2</v>
      </c>
      <c r="P976">
        <v>9.1</v>
      </c>
      <c r="Q976">
        <v>4.8</v>
      </c>
      <c r="R976">
        <v>3</v>
      </c>
      <c r="S976">
        <v>3</v>
      </c>
      <c r="T976">
        <v>4</v>
      </c>
      <c r="U976" t="s">
        <v>30</v>
      </c>
      <c r="V976">
        <v>5</v>
      </c>
      <c r="W976">
        <v>1</v>
      </c>
    </row>
    <row r="977" spans="1:23" x14ac:dyDescent="0.35">
      <c r="A977" t="s">
        <v>1015</v>
      </c>
      <c r="B977" s="6">
        <v>44630</v>
      </c>
      <c r="D977" t="s">
        <v>23</v>
      </c>
      <c r="E977">
        <v>33</v>
      </c>
      <c r="F977" t="s">
        <v>36</v>
      </c>
      <c r="G977" t="s">
        <v>37</v>
      </c>
      <c r="H977" t="s">
        <v>54</v>
      </c>
      <c r="I977" t="s">
        <v>59</v>
      </c>
      <c r="J977" t="s">
        <v>86</v>
      </c>
      <c r="K977">
        <v>2</v>
      </c>
      <c r="L977" t="s">
        <v>50</v>
      </c>
      <c r="M977">
        <v>57000</v>
      </c>
      <c r="N977">
        <v>0.2</v>
      </c>
      <c r="O977">
        <v>11</v>
      </c>
      <c r="P977">
        <v>3.8</v>
      </c>
      <c r="Q977">
        <v>1</v>
      </c>
      <c r="R977">
        <v>1</v>
      </c>
      <c r="S977">
        <v>3</v>
      </c>
      <c r="T977">
        <v>3</v>
      </c>
      <c r="U977" t="s">
        <v>23</v>
      </c>
      <c r="V977">
        <v>1</v>
      </c>
      <c r="W977">
        <v>1</v>
      </c>
    </row>
    <row r="978" spans="1:23" x14ac:dyDescent="0.35">
      <c r="A978" t="s">
        <v>951</v>
      </c>
      <c r="B978" s="6">
        <v>42484</v>
      </c>
      <c r="D978" t="s">
        <v>23</v>
      </c>
      <c r="E978">
        <v>34</v>
      </c>
      <c r="F978" t="s">
        <v>36</v>
      </c>
      <c r="G978" t="s">
        <v>25</v>
      </c>
      <c r="H978" t="s">
        <v>26</v>
      </c>
      <c r="I978" t="s">
        <v>48</v>
      </c>
      <c r="J978" t="s">
        <v>63</v>
      </c>
      <c r="K978">
        <v>5</v>
      </c>
      <c r="L978" t="s">
        <v>34</v>
      </c>
      <c r="M978">
        <v>168000</v>
      </c>
      <c r="N978">
        <v>11.8</v>
      </c>
      <c r="O978">
        <v>13</v>
      </c>
      <c r="P978">
        <v>9.6999999999999993</v>
      </c>
      <c r="Q978">
        <v>3</v>
      </c>
      <c r="R978">
        <v>4</v>
      </c>
      <c r="S978">
        <v>4</v>
      </c>
      <c r="T978">
        <v>4</v>
      </c>
      <c r="U978" t="s">
        <v>30</v>
      </c>
      <c r="V978">
        <v>4</v>
      </c>
      <c r="W978">
        <v>1</v>
      </c>
    </row>
    <row r="979" spans="1:23" x14ac:dyDescent="0.35">
      <c r="A979" t="s">
        <v>300</v>
      </c>
      <c r="B979" s="6">
        <v>44606</v>
      </c>
      <c r="D979" t="s">
        <v>23</v>
      </c>
      <c r="E979">
        <v>27</v>
      </c>
      <c r="F979" t="s">
        <v>24</v>
      </c>
      <c r="G979" t="s">
        <v>25</v>
      </c>
      <c r="H979" t="s">
        <v>54</v>
      </c>
      <c r="I979" t="s">
        <v>27</v>
      </c>
      <c r="J979" t="s">
        <v>95</v>
      </c>
      <c r="K979">
        <v>1</v>
      </c>
      <c r="L979" t="s">
        <v>50</v>
      </c>
      <c r="M979">
        <v>22000</v>
      </c>
      <c r="N979">
        <v>7.4</v>
      </c>
      <c r="O979">
        <v>11.3</v>
      </c>
      <c r="P979">
        <v>3.9</v>
      </c>
      <c r="Q979">
        <v>1.5</v>
      </c>
      <c r="R979">
        <v>4</v>
      </c>
      <c r="S979">
        <v>3</v>
      </c>
      <c r="T979">
        <v>2</v>
      </c>
      <c r="U979" t="s">
        <v>23</v>
      </c>
      <c r="V979">
        <v>4</v>
      </c>
      <c r="W979">
        <v>1</v>
      </c>
    </row>
    <row r="980" spans="1:23" x14ac:dyDescent="0.35">
      <c r="A980" t="s">
        <v>1404</v>
      </c>
      <c r="B980" s="6">
        <v>45825</v>
      </c>
      <c r="D980" t="s">
        <v>23</v>
      </c>
      <c r="E980">
        <v>43</v>
      </c>
      <c r="F980" t="s">
        <v>24</v>
      </c>
      <c r="G980" t="s">
        <v>42</v>
      </c>
      <c r="H980" t="s">
        <v>26</v>
      </c>
      <c r="I980" t="s">
        <v>68</v>
      </c>
      <c r="J980" t="s">
        <v>109</v>
      </c>
      <c r="K980">
        <v>4</v>
      </c>
      <c r="L980" t="s">
        <v>84</v>
      </c>
      <c r="M980">
        <v>117000</v>
      </c>
      <c r="N980">
        <v>10.7</v>
      </c>
      <c r="O980">
        <v>5.8</v>
      </c>
      <c r="P980">
        <v>0.5</v>
      </c>
      <c r="Q980">
        <v>0</v>
      </c>
      <c r="R980">
        <v>4</v>
      </c>
      <c r="S980">
        <v>3</v>
      </c>
      <c r="T980">
        <v>4</v>
      </c>
      <c r="U980" t="s">
        <v>30</v>
      </c>
      <c r="V980">
        <v>3</v>
      </c>
      <c r="W980">
        <v>1</v>
      </c>
    </row>
    <row r="981" spans="1:23" x14ac:dyDescent="0.35">
      <c r="A981" t="s">
        <v>1100</v>
      </c>
      <c r="B981" s="6">
        <v>45419</v>
      </c>
      <c r="D981" t="s">
        <v>23</v>
      </c>
      <c r="E981">
        <v>29</v>
      </c>
      <c r="F981" t="s">
        <v>36</v>
      </c>
      <c r="G981" t="s">
        <v>42</v>
      </c>
      <c r="H981" t="s">
        <v>26</v>
      </c>
      <c r="I981" t="s">
        <v>68</v>
      </c>
      <c r="J981" t="s">
        <v>102</v>
      </c>
      <c r="K981">
        <v>1</v>
      </c>
      <c r="L981" t="s">
        <v>66</v>
      </c>
      <c r="M981">
        <v>32000</v>
      </c>
      <c r="N981">
        <v>15.7</v>
      </c>
      <c r="O981">
        <v>2.2000000000000002</v>
      </c>
      <c r="P981">
        <v>1.7</v>
      </c>
      <c r="Q981">
        <v>1.3</v>
      </c>
      <c r="R981">
        <v>4</v>
      </c>
      <c r="S981">
        <v>4</v>
      </c>
      <c r="T981">
        <v>3</v>
      </c>
      <c r="U981" t="s">
        <v>30</v>
      </c>
      <c r="V981">
        <v>3</v>
      </c>
      <c r="W981">
        <v>1</v>
      </c>
    </row>
    <row r="982" spans="1:23" x14ac:dyDescent="0.35">
      <c r="A982" t="s">
        <v>524</v>
      </c>
      <c r="B982" s="6">
        <v>43856</v>
      </c>
      <c r="D982" t="s">
        <v>23</v>
      </c>
      <c r="E982">
        <v>44</v>
      </c>
      <c r="F982" t="s">
        <v>24</v>
      </c>
      <c r="G982" t="s">
        <v>25</v>
      </c>
      <c r="H982" t="s">
        <v>26</v>
      </c>
      <c r="I982" t="s">
        <v>59</v>
      </c>
      <c r="J982" t="s">
        <v>60</v>
      </c>
      <c r="K982">
        <v>3</v>
      </c>
      <c r="L982" t="s">
        <v>50</v>
      </c>
      <c r="M982">
        <v>72000</v>
      </c>
      <c r="N982">
        <v>14.3</v>
      </c>
      <c r="O982">
        <v>6.7</v>
      </c>
      <c r="P982">
        <v>5.9</v>
      </c>
      <c r="Q982">
        <v>1</v>
      </c>
      <c r="R982">
        <v>4</v>
      </c>
      <c r="S982">
        <v>4</v>
      </c>
      <c r="T982">
        <v>3</v>
      </c>
      <c r="U982" t="s">
        <v>23</v>
      </c>
      <c r="V982">
        <v>3</v>
      </c>
      <c r="W982">
        <v>1</v>
      </c>
    </row>
    <row r="983" spans="1:23" x14ac:dyDescent="0.35">
      <c r="A983" t="s">
        <v>205</v>
      </c>
      <c r="B983" s="6">
        <v>43682</v>
      </c>
      <c r="D983" t="s">
        <v>23</v>
      </c>
      <c r="E983">
        <v>37</v>
      </c>
      <c r="F983" t="s">
        <v>24</v>
      </c>
      <c r="G983" t="s">
        <v>25</v>
      </c>
      <c r="H983" t="s">
        <v>54</v>
      </c>
      <c r="I983" t="s">
        <v>55</v>
      </c>
      <c r="J983" t="s">
        <v>179</v>
      </c>
      <c r="K983">
        <v>2</v>
      </c>
      <c r="L983" t="s">
        <v>40</v>
      </c>
      <c r="M983">
        <v>55000</v>
      </c>
      <c r="N983">
        <v>3.3</v>
      </c>
      <c r="O983">
        <v>12.5</v>
      </c>
      <c r="P983">
        <v>6.4</v>
      </c>
      <c r="Q983">
        <v>2.1</v>
      </c>
      <c r="R983">
        <v>2</v>
      </c>
      <c r="S983">
        <v>3</v>
      </c>
      <c r="T983">
        <v>3</v>
      </c>
      <c r="U983" t="s">
        <v>23</v>
      </c>
      <c r="V983">
        <v>4</v>
      </c>
      <c r="W983">
        <v>1</v>
      </c>
    </row>
    <row r="984" spans="1:23" x14ac:dyDescent="0.35">
      <c r="A984" t="s">
        <v>568</v>
      </c>
      <c r="B984" s="6">
        <v>43847</v>
      </c>
      <c r="D984" t="s">
        <v>23</v>
      </c>
      <c r="E984">
        <v>40</v>
      </c>
      <c r="F984" t="s">
        <v>36</v>
      </c>
      <c r="G984" t="s">
        <v>42</v>
      </c>
      <c r="H984" t="s">
        <v>58</v>
      </c>
      <c r="I984" t="s">
        <v>55</v>
      </c>
      <c r="J984" t="s">
        <v>179</v>
      </c>
      <c r="K984">
        <v>3</v>
      </c>
      <c r="L984" t="s">
        <v>29</v>
      </c>
      <c r="M984">
        <v>82000</v>
      </c>
      <c r="N984">
        <v>3</v>
      </c>
      <c r="O984">
        <v>11.9</v>
      </c>
      <c r="P984">
        <v>6</v>
      </c>
      <c r="Q984">
        <v>5</v>
      </c>
      <c r="R984">
        <v>3</v>
      </c>
      <c r="S984">
        <v>4</v>
      </c>
      <c r="T984">
        <v>4</v>
      </c>
      <c r="U984" t="s">
        <v>23</v>
      </c>
      <c r="V984">
        <v>4</v>
      </c>
      <c r="W984">
        <v>1</v>
      </c>
    </row>
    <row r="985" spans="1:23" x14ac:dyDescent="0.35">
      <c r="A985" t="s">
        <v>1089</v>
      </c>
      <c r="B985" s="6">
        <v>45757</v>
      </c>
      <c r="C985">
        <v>45987</v>
      </c>
      <c r="D985" t="s">
        <v>30</v>
      </c>
      <c r="E985">
        <v>32</v>
      </c>
      <c r="F985" t="s">
        <v>36</v>
      </c>
      <c r="G985" t="s">
        <v>37</v>
      </c>
      <c r="H985" t="s">
        <v>32</v>
      </c>
      <c r="I985" t="s">
        <v>68</v>
      </c>
      <c r="J985" t="s">
        <v>109</v>
      </c>
      <c r="K985">
        <v>4</v>
      </c>
      <c r="L985" t="s">
        <v>50</v>
      </c>
      <c r="M985">
        <v>115000</v>
      </c>
      <c r="N985">
        <v>12.8</v>
      </c>
      <c r="O985">
        <v>8.1</v>
      </c>
      <c r="P985">
        <v>0.6</v>
      </c>
      <c r="Q985">
        <v>0</v>
      </c>
      <c r="R985">
        <v>3</v>
      </c>
      <c r="S985">
        <v>3</v>
      </c>
      <c r="T985">
        <v>4</v>
      </c>
      <c r="U985" t="s">
        <v>30</v>
      </c>
      <c r="V985">
        <v>5</v>
      </c>
      <c r="W985">
        <v>1</v>
      </c>
    </row>
    <row r="986" spans="1:23" x14ac:dyDescent="0.35">
      <c r="A986" t="s">
        <v>700</v>
      </c>
      <c r="B986" s="6">
        <v>43890</v>
      </c>
      <c r="D986" t="s">
        <v>23</v>
      </c>
      <c r="E986">
        <v>46</v>
      </c>
      <c r="F986" t="s">
        <v>62</v>
      </c>
      <c r="G986" t="s">
        <v>42</v>
      </c>
      <c r="H986" t="s">
        <v>58</v>
      </c>
      <c r="I986" t="s">
        <v>27</v>
      </c>
      <c r="J986" t="s">
        <v>43</v>
      </c>
      <c r="K986">
        <v>3</v>
      </c>
      <c r="L986" t="s">
        <v>50</v>
      </c>
      <c r="M986">
        <v>76000</v>
      </c>
      <c r="N986">
        <v>7.6</v>
      </c>
      <c r="O986">
        <v>6.8</v>
      </c>
      <c r="P986">
        <v>5.8</v>
      </c>
      <c r="Q986">
        <v>4.7</v>
      </c>
      <c r="R986">
        <v>3</v>
      </c>
      <c r="S986">
        <v>4</v>
      </c>
      <c r="T986">
        <v>3</v>
      </c>
      <c r="U986" t="s">
        <v>23</v>
      </c>
      <c r="V986">
        <v>3</v>
      </c>
      <c r="W986">
        <v>1</v>
      </c>
    </row>
    <row r="987" spans="1:23" x14ac:dyDescent="0.35">
      <c r="A987" t="s">
        <v>74</v>
      </c>
      <c r="B987" s="6">
        <v>44740</v>
      </c>
      <c r="D987" t="s">
        <v>23</v>
      </c>
      <c r="E987">
        <v>31</v>
      </c>
      <c r="F987" t="s">
        <v>62</v>
      </c>
      <c r="G987" t="s">
        <v>42</v>
      </c>
      <c r="H987" t="s">
        <v>26</v>
      </c>
      <c r="I987" t="s">
        <v>59</v>
      </c>
      <c r="J987" t="s">
        <v>75</v>
      </c>
      <c r="K987">
        <v>1</v>
      </c>
      <c r="L987" t="s">
        <v>34</v>
      </c>
      <c r="M987">
        <v>30000</v>
      </c>
      <c r="N987">
        <v>12.8</v>
      </c>
      <c r="O987">
        <v>6.5</v>
      </c>
      <c r="P987">
        <v>3.5</v>
      </c>
      <c r="Q987">
        <v>0.5</v>
      </c>
      <c r="R987">
        <v>2</v>
      </c>
      <c r="S987">
        <v>3</v>
      </c>
      <c r="T987">
        <v>3</v>
      </c>
      <c r="U987" t="s">
        <v>23</v>
      </c>
      <c r="V987">
        <v>2</v>
      </c>
      <c r="W987">
        <v>1</v>
      </c>
    </row>
    <row r="988" spans="1:23" x14ac:dyDescent="0.35">
      <c r="A988" t="s">
        <v>83</v>
      </c>
      <c r="B988" s="6">
        <v>45214</v>
      </c>
      <c r="C988">
        <v>45705</v>
      </c>
      <c r="D988" t="s">
        <v>30</v>
      </c>
      <c r="E988">
        <v>25</v>
      </c>
      <c r="F988" t="s">
        <v>24</v>
      </c>
      <c r="G988" t="s">
        <v>42</v>
      </c>
      <c r="H988" t="s">
        <v>58</v>
      </c>
      <c r="I988" t="s">
        <v>68</v>
      </c>
      <c r="J988" t="s">
        <v>69</v>
      </c>
      <c r="K988">
        <v>1</v>
      </c>
      <c r="L988" t="s">
        <v>84</v>
      </c>
      <c r="M988">
        <v>35000</v>
      </c>
      <c r="N988">
        <v>11.7</v>
      </c>
      <c r="O988">
        <v>8.3000000000000007</v>
      </c>
      <c r="P988">
        <v>1.3</v>
      </c>
      <c r="Q988">
        <v>1.2</v>
      </c>
      <c r="R988">
        <v>3</v>
      </c>
      <c r="S988">
        <v>3</v>
      </c>
      <c r="T988">
        <v>4</v>
      </c>
      <c r="U988" t="s">
        <v>30</v>
      </c>
      <c r="V988">
        <v>3</v>
      </c>
      <c r="W988">
        <v>1</v>
      </c>
    </row>
    <row r="989" spans="1:23" x14ac:dyDescent="0.35">
      <c r="A989" t="s">
        <v>1030</v>
      </c>
      <c r="B989" s="6">
        <v>43425</v>
      </c>
      <c r="D989" t="s">
        <v>23</v>
      </c>
      <c r="E989">
        <v>39</v>
      </c>
      <c r="F989" t="s">
        <v>62</v>
      </c>
      <c r="G989" t="s">
        <v>25</v>
      </c>
      <c r="H989" t="s">
        <v>58</v>
      </c>
      <c r="I989" t="s">
        <v>38</v>
      </c>
      <c r="J989" t="s">
        <v>139</v>
      </c>
      <c r="K989">
        <v>3</v>
      </c>
      <c r="L989" t="s">
        <v>66</v>
      </c>
      <c r="M989">
        <v>93000</v>
      </c>
      <c r="N989">
        <v>9.1999999999999993</v>
      </c>
      <c r="O989">
        <v>13.2</v>
      </c>
      <c r="P989">
        <v>7.1</v>
      </c>
      <c r="Q989">
        <v>4.5</v>
      </c>
      <c r="R989">
        <v>1</v>
      </c>
      <c r="S989">
        <v>4</v>
      </c>
      <c r="T989">
        <v>2</v>
      </c>
      <c r="U989" t="s">
        <v>30</v>
      </c>
      <c r="V989">
        <v>4</v>
      </c>
      <c r="W989">
        <v>1</v>
      </c>
    </row>
    <row r="990" spans="1:23" x14ac:dyDescent="0.35">
      <c r="A990" t="s">
        <v>1108</v>
      </c>
      <c r="B990" s="6">
        <v>44188</v>
      </c>
      <c r="D990" t="s">
        <v>23</v>
      </c>
      <c r="E990">
        <v>42</v>
      </c>
      <c r="F990" t="s">
        <v>62</v>
      </c>
      <c r="G990" t="s">
        <v>37</v>
      </c>
      <c r="H990" t="s">
        <v>26</v>
      </c>
      <c r="I990" t="s">
        <v>45</v>
      </c>
      <c r="J990" t="s">
        <v>77</v>
      </c>
      <c r="K990">
        <v>2</v>
      </c>
      <c r="L990" t="s">
        <v>34</v>
      </c>
      <c r="M990">
        <v>38000</v>
      </c>
      <c r="N990">
        <v>7.6</v>
      </c>
      <c r="O990">
        <v>5.8</v>
      </c>
      <c r="P990">
        <v>5</v>
      </c>
      <c r="Q990">
        <v>1.7</v>
      </c>
      <c r="R990">
        <v>3</v>
      </c>
      <c r="S990">
        <v>4</v>
      </c>
      <c r="T990">
        <v>2</v>
      </c>
      <c r="U990" t="s">
        <v>23</v>
      </c>
      <c r="V990">
        <v>2</v>
      </c>
      <c r="W990">
        <v>1</v>
      </c>
    </row>
    <row r="991" spans="1:23" x14ac:dyDescent="0.35">
      <c r="A991" t="s">
        <v>1108</v>
      </c>
      <c r="B991" s="6">
        <v>44188</v>
      </c>
      <c r="D991" t="s">
        <v>23</v>
      </c>
      <c r="E991">
        <v>42</v>
      </c>
      <c r="F991" t="s">
        <v>62</v>
      </c>
      <c r="G991" t="s">
        <v>37</v>
      </c>
      <c r="H991" t="s">
        <v>26</v>
      </c>
      <c r="I991" t="s">
        <v>45</v>
      </c>
      <c r="J991" t="s">
        <v>77</v>
      </c>
      <c r="K991">
        <v>2</v>
      </c>
      <c r="L991" t="s">
        <v>34</v>
      </c>
      <c r="M991">
        <v>38000</v>
      </c>
      <c r="N991">
        <v>7.6</v>
      </c>
      <c r="O991">
        <v>5.8</v>
      </c>
      <c r="P991">
        <v>5</v>
      </c>
      <c r="Q991">
        <v>1.7</v>
      </c>
      <c r="R991">
        <v>3</v>
      </c>
      <c r="S991">
        <v>4</v>
      </c>
      <c r="T991">
        <v>2</v>
      </c>
      <c r="U991" t="s">
        <v>23</v>
      </c>
      <c r="V991">
        <v>2</v>
      </c>
      <c r="W991">
        <v>2</v>
      </c>
    </row>
    <row r="992" spans="1:23" x14ac:dyDescent="0.35">
      <c r="A992" t="s">
        <v>1016</v>
      </c>
      <c r="B992" s="6">
        <v>44178</v>
      </c>
      <c r="D992" t="s">
        <v>23</v>
      </c>
      <c r="E992">
        <v>36</v>
      </c>
      <c r="F992" t="s">
        <v>62</v>
      </c>
      <c r="G992" t="s">
        <v>37</v>
      </c>
      <c r="H992" t="s">
        <v>26</v>
      </c>
      <c r="I992" t="s">
        <v>38</v>
      </c>
      <c r="J992" t="s">
        <v>52</v>
      </c>
      <c r="K992">
        <v>4</v>
      </c>
      <c r="L992" t="s">
        <v>34</v>
      </c>
      <c r="M992">
        <v>135000</v>
      </c>
      <c r="N992">
        <v>6.6</v>
      </c>
      <c r="O992">
        <v>12.2</v>
      </c>
      <c r="P992">
        <v>5</v>
      </c>
      <c r="Q992">
        <v>1.2</v>
      </c>
      <c r="R992">
        <v>2</v>
      </c>
      <c r="S992">
        <v>3</v>
      </c>
      <c r="T992">
        <v>2</v>
      </c>
      <c r="U992" t="s">
        <v>30</v>
      </c>
      <c r="V992">
        <v>5</v>
      </c>
      <c r="W992">
        <v>1</v>
      </c>
    </row>
    <row r="993" spans="1:23" x14ac:dyDescent="0.35">
      <c r="A993" t="s">
        <v>187</v>
      </c>
      <c r="B993" s="6">
        <v>42521</v>
      </c>
      <c r="D993" t="s">
        <v>23</v>
      </c>
      <c r="E993">
        <v>30</v>
      </c>
      <c r="F993" t="s">
        <v>24</v>
      </c>
      <c r="G993" t="s">
        <v>42</v>
      </c>
      <c r="H993" t="s">
        <v>32</v>
      </c>
      <c r="I993" t="s">
        <v>55</v>
      </c>
      <c r="J993" t="s">
        <v>179</v>
      </c>
      <c r="K993">
        <v>2</v>
      </c>
      <c r="L993" t="s">
        <v>50</v>
      </c>
      <c r="M993">
        <v>70000</v>
      </c>
      <c r="N993">
        <v>11.2</v>
      </c>
      <c r="O993">
        <v>9.6</v>
      </c>
      <c r="P993">
        <v>9.6</v>
      </c>
      <c r="Q993">
        <v>3.1</v>
      </c>
      <c r="R993">
        <v>3</v>
      </c>
      <c r="S993">
        <v>3</v>
      </c>
      <c r="T993">
        <v>4</v>
      </c>
      <c r="U993" t="s">
        <v>23</v>
      </c>
      <c r="V993">
        <v>4</v>
      </c>
      <c r="W993">
        <v>1</v>
      </c>
    </row>
    <row r="994" spans="1:23" x14ac:dyDescent="0.35">
      <c r="A994" t="s">
        <v>1208</v>
      </c>
      <c r="B994" s="6">
        <v>44395</v>
      </c>
      <c r="D994" t="s">
        <v>23</v>
      </c>
      <c r="E994">
        <v>31</v>
      </c>
      <c r="F994" t="s">
        <v>24</v>
      </c>
      <c r="G994" t="s">
        <v>25</v>
      </c>
      <c r="H994" t="s">
        <v>54</v>
      </c>
      <c r="I994" t="s">
        <v>48</v>
      </c>
      <c r="J994" t="s">
        <v>49</v>
      </c>
      <c r="K994">
        <v>3</v>
      </c>
      <c r="L994" t="s">
        <v>84</v>
      </c>
      <c r="M994">
        <v>68000</v>
      </c>
      <c r="N994">
        <v>11.1</v>
      </c>
      <c r="O994">
        <v>12.2</v>
      </c>
      <c r="P994">
        <v>4.5</v>
      </c>
      <c r="Q994">
        <v>1.9</v>
      </c>
      <c r="R994">
        <v>3</v>
      </c>
      <c r="S994">
        <v>3</v>
      </c>
      <c r="T994">
        <v>3</v>
      </c>
      <c r="U994" t="s">
        <v>23</v>
      </c>
      <c r="V994">
        <v>4</v>
      </c>
      <c r="W994">
        <v>1</v>
      </c>
    </row>
    <row r="995" spans="1:23" x14ac:dyDescent="0.35">
      <c r="A995" t="s">
        <v>986</v>
      </c>
      <c r="B995" s="6">
        <v>45423</v>
      </c>
      <c r="D995" t="s">
        <v>23</v>
      </c>
      <c r="E995">
        <v>48</v>
      </c>
      <c r="F995" t="s">
        <v>62</v>
      </c>
      <c r="G995" t="s">
        <v>37</v>
      </c>
      <c r="H995" t="s">
        <v>32</v>
      </c>
      <c r="I995" t="s">
        <v>45</v>
      </c>
      <c r="J995" t="s">
        <v>46</v>
      </c>
      <c r="K995">
        <v>1</v>
      </c>
      <c r="L995" t="s">
        <v>40</v>
      </c>
      <c r="M995">
        <v>37000</v>
      </c>
      <c r="N995">
        <v>6.7</v>
      </c>
      <c r="O995">
        <v>6.3</v>
      </c>
      <c r="P995">
        <v>1.6</v>
      </c>
      <c r="Q995">
        <v>1.3</v>
      </c>
      <c r="R995">
        <v>4</v>
      </c>
      <c r="S995">
        <v>3</v>
      </c>
      <c r="T995">
        <v>4</v>
      </c>
      <c r="U995" t="s">
        <v>23</v>
      </c>
      <c r="V995">
        <v>3</v>
      </c>
      <c r="W995">
        <v>1</v>
      </c>
    </row>
    <row r="996" spans="1:23" x14ac:dyDescent="0.35">
      <c r="A996" t="s">
        <v>1392</v>
      </c>
      <c r="B996" s="6">
        <v>42990</v>
      </c>
      <c r="D996" t="s">
        <v>23</v>
      </c>
      <c r="E996">
        <v>32</v>
      </c>
      <c r="F996" t="s">
        <v>24</v>
      </c>
      <c r="G996" t="s">
        <v>42</v>
      </c>
      <c r="H996" t="s">
        <v>32</v>
      </c>
      <c r="I996" t="s">
        <v>45</v>
      </c>
      <c r="J996" t="s">
        <v>164</v>
      </c>
      <c r="K996">
        <v>3</v>
      </c>
      <c r="L996" t="s">
        <v>34</v>
      </c>
      <c r="M996">
        <v>70000</v>
      </c>
      <c r="N996">
        <v>13.5</v>
      </c>
      <c r="O996">
        <v>12.9</v>
      </c>
      <c r="P996">
        <v>8.3000000000000007</v>
      </c>
      <c r="Q996">
        <v>3.9</v>
      </c>
      <c r="R996">
        <v>2</v>
      </c>
      <c r="S996">
        <v>3</v>
      </c>
      <c r="T996">
        <v>4</v>
      </c>
      <c r="U996" t="s">
        <v>30</v>
      </c>
      <c r="V996">
        <v>1</v>
      </c>
      <c r="W996">
        <v>1</v>
      </c>
    </row>
    <row r="997" spans="1:23" x14ac:dyDescent="0.35">
      <c r="A997" t="s">
        <v>428</v>
      </c>
      <c r="B997" s="6">
        <v>43703</v>
      </c>
      <c r="D997" t="s">
        <v>23</v>
      </c>
      <c r="E997">
        <v>28</v>
      </c>
      <c r="F997" t="s">
        <v>24</v>
      </c>
      <c r="G997" t="s">
        <v>42</v>
      </c>
      <c r="H997" t="s">
        <v>58</v>
      </c>
      <c r="I997" t="s">
        <v>55</v>
      </c>
      <c r="J997" t="s">
        <v>179</v>
      </c>
      <c r="K997">
        <v>3</v>
      </c>
      <c r="L997" t="s">
        <v>40</v>
      </c>
      <c r="M997">
        <v>107000</v>
      </c>
      <c r="N997">
        <v>9.1999999999999993</v>
      </c>
      <c r="O997">
        <v>11.6</v>
      </c>
      <c r="P997">
        <v>6.3</v>
      </c>
      <c r="Q997">
        <v>4.0999999999999996</v>
      </c>
      <c r="R997">
        <v>3</v>
      </c>
      <c r="S997">
        <v>3</v>
      </c>
      <c r="T997">
        <v>2</v>
      </c>
      <c r="U997" t="s">
        <v>23</v>
      </c>
      <c r="V997">
        <v>4</v>
      </c>
      <c r="W997">
        <v>1</v>
      </c>
    </row>
    <row r="998" spans="1:23" x14ac:dyDescent="0.35">
      <c r="A998" t="s">
        <v>754</v>
      </c>
      <c r="B998" s="6">
        <v>42897</v>
      </c>
      <c r="D998" t="s">
        <v>23</v>
      </c>
      <c r="E998">
        <v>29</v>
      </c>
      <c r="F998" t="s">
        <v>24</v>
      </c>
      <c r="G998" t="s">
        <v>42</v>
      </c>
      <c r="H998" t="s">
        <v>26</v>
      </c>
      <c r="I998" t="s">
        <v>59</v>
      </c>
      <c r="J998" t="s">
        <v>86</v>
      </c>
      <c r="K998">
        <v>3</v>
      </c>
      <c r="L998" t="s">
        <v>84</v>
      </c>
      <c r="M998">
        <v>78000</v>
      </c>
      <c r="N998">
        <v>10.199999999999999</v>
      </c>
      <c r="O998">
        <v>9.8000000000000007</v>
      </c>
      <c r="P998">
        <v>8.6</v>
      </c>
      <c r="Q998">
        <v>4.7</v>
      </c>
      <c r="R998">
        <v>3</v>
      </c>
      <c r="S998">
        <v>4</v>
      </c>
      <c r="T998">
        <v>3</v>
      </c>
      <c r="U998" t="s">
        <v>23</v>
      </c>
      <c r="V998">
        <v>4</v>
      </c>
      <c r="W998">
        <v>1</v>
      </c>
    </row>
    <row r="999" spans="1:23" x14ac:dyDescent="0.35">
      <c r="A999" t="s">
        <v>87</v>
      </c>
      <c r="B999" s="6">
        <v>44092</v>
      </c>
      <c r="D999" t="s">
        <v>23</v>
      </c>
      <c r="E999">
        <v>47</v>
      </c>
      <c r="F999" t="s">
        <v>36</v>
      </c>
      <c r="G999" t="s">
        <v>42</v>
      </c>
      <c r="H999" t="s">
        <v>54</v>
      </c>
      <c r="I999" t="s">
        <v>55</v>
      </c>
      <c r="J999" t="s">
        <v>88</v>
      </c>
      <c r="K999">
        <v>2</v>
      </c>
      <c r="L999" t="s">
        <v>84</v>
      </c>
      <c r="M999">
        <v>73000</v>
      </c>
      <c r="N999">
        <v>7.4</v>
      </c>
      <c r="O999">
        <v>10</v>
      </c>
      <c r="P999">
        <v>5.3</v>
      </c>
      <c r="Q999">
        <v>1.8</v>
      </c>
      <c r="R999">
        <v>4</v>
      </c>
      <c r="S999">
        <v>3</v>
      </c>
      <c r="T999">
        <v>3</v>
      </c>
      <c r="U999" t="s">
        <v>30</v>
      </c>
      <c r="V999">
        <v>4</v>
      </c>
      <c r="W999">
        <v>1</v>
      </c>
    </row>
    <row r="1000" spans="1:23" x14ac:dyDescent="0.35">
      <c r="A1000" t="s">
        <v>494</v>
      </c>
      <c r="B1000" s="6">
        <v>42046</v>
      </c>
      <c r="D1000" t="s">
        <v>23</v>
      </c>
      <c r="E1000">
        <v>35</v>
      </c>
      <c r="F1000" t="s">
        <v>62</v>
      </c>
      <c r="G1000" t="s">
        <v>42</v>
      </c>
      <c r="H1000" t="s">
        <v>58</v>
      </c>
      <c r="I1000" t="s">
        <v>55</v>
      </c>
      <c r="J1000" t="s">
        <v>80</v>
      </c>
      <c r="K1000">
        <v>2</v>
      </c>
      <c r="L1000" t="s">
        <v>29</v>
      </c>
      <c r="M1000">
        <v>62000</v>
      </c>
      <c r="N1000">
        <v>10.4</v>
      </c>
      <c r="O1000">
        <v>12.6</v>
      </c>
      <c r="P1000">
        <v>10.9</v>
      </c>
      <c r="Q1000">
        <v>5.7</v>
      </c>
      <c r="R1000">
        <v>2</v>
      </c>
      <c r="S1000">
        <v>3</v>
      </c>
      <c r="T1000">
        <v>4</v>
      </c>
      <c r="U1000" t="s">
        <v>30</v>
      </c>
      <c r="V1000">
        <v>2</v>
      </c>
      <c r="W1000">
        <v>1</v>
      </c>
    </row>
    <row r="1001" spans="1:23" x14ac:dyDescent="0.35">
      <c r="A1001" t="s">
        <v>640</v>
      </c>
      <c r="B1001" s="6">
        <v>43706</v>
      </c>
      <c r="C1001">
        <v>45712</v>
      </c>
      <c r="D1001" t="s">
        <v>30</v>
      </c>
      <c r="E1001">
        <v>37</v>
      </c>
      <c r="F1001" t="s">
        <v>62</v>
      </c>
      <c r="G1001" t="s">
        <v>25</v>
      </c>
      <c r="H1001" t="s">
        <v>32</v>
      </c>
      <c r="I1001" t="s">
        <v>38</v>
      </c>
      <c r="J1001" t="s">
        <v>39</v>
      </c>
      <c r="K1001">
        <v>4</v>
      </c>
      <c r="L1001" t="s">
        <v>29</v>
      </c>
      <c r="M1001">
        <v>137000</v>
      </c>
      <c r="N1001">
        <v>11.3</v>
      </c>
      <c r="O1001">
        <v>7.4</v>
      </c>
      <c r="P1001">
        <v>5.5</v>
      </c>
      <c r="Q1001">
        <v>1.6</v>
      </c>
      <c r="R1001">
        <v>3</v>
      </c>
      <c r="S1001">
        <v>4</v>
      </c>
      <c r="T1001">
        <v>3</v>
      </c>
      <c r="U1001" t="s">
        <v>23</v>
      </c>
      <c r="V1001">
        <v>4</v>
      </c>
      <c r="W1001">
        <v>1</v>
      </c>
    </row>
    <row r="1002" spans="1:23" x14ac:dyDescent="0.35">
      <c r="A1002" t="s">
        <v>122</v>
      </c>
      <c r="B1002" s="6">
        <v>45829</v>
      </c>
      <c r="D1002" t="s">
        <v>23</v>
      </c>
      <c r="E1002">
        <v>43</v>
      </c>
      <c r="F1002" t="s">
        <v>36</v>
      </c>
      <c r="G1002" t="s">
        <v>42</v>
      </c>
      <c r="H1002" t="s">
        <v>58</v>
      </c>
      <c r="I1002" t="s">
        <v>48</v>
      </c>
      <c r="J1002" t="s">
        <v>63</v>
      </c>
      <c r="K1002">
        <v>2</v>
      </c>
      <c r="L1002" t="s">
        <v>66</v>
      </c>
      <c r="M1002">
        <v>70000</v>
      </c>
      <c r="N1002">
        <v>21.6</v>
      </c>
      <c r="O1002">
        <v>3.3</v>
      </c>
      <c r="P1002">
        <v>0.5</v>
      </c>
      <c r="Q1002">
        <v>0</v>
      </c>
      <c r="R1002">
        <v>4</v>
      </c>
      <c r="S1002">
        <v>2</v>
      </c>
      <c r="T1002">
        <v>3</v>
      </c>
      <c r="U1002" t="s">
        <v>23</v>
      </c>
      <c r="V1002">
        <v>4</v>
      </c>
      <c r="W1002">
        <v>1</v>
      </c>
    </row>
    <row r="1003" spans="1:23" x14ac:dyDescent="0.35">
      <c r="A1003" t="s">
        <v>119</v>
      </c>
      <c r="B1003" s="6">
        <v>41808</v>
      </c>
      <c r="D1003" t="s">
        <v>23</v>
      </c>
      <c r="E1003">
        <v>35</v>
      </c>
      <c r="F1003" t="s">
        <v>24</v>
      </c>
      <c r="G1003" t="s">
        <v>25</v>
      </c>
      <c r="H1003" t="s">
        <v>58</v>
      </c>
      <c r="I1003" t="s">
        <v>55</v>
      </c>
      <c r="J1003" t="s">
        <v>80</v>
      </c>
      <c r="K1003">
        <v>3</v>
      </c>
      <c r="L1003" t="s">
        <v>34</v>
      </c>
      <c r="M1003">
        <v>71000</v>
      </c>
      <c r="N1003">
        <v>11.2</v>
      </c>
      <c r="O1003">
        <v>16.5</v>
      </c>
      <c r="P1003">
        <v>11.5</v>
      </c>
      <c r="Q1003">
        <v>5.3</v>
      </c>
      <c r="R1003">
        <v>3</v>
      </c>
      <c r="S1003">
        <v>3</v>
      </c>
      <c r="T1003">
        <v>4</v>
      </c>
      <c r="U1003" t="s">
        <v>23</v>
      </c>
      <c r="V1003">
        <v>3</v>
      </c>
      <c r="W1003">
        <v>1</v>
      </c>
    </row>
    <row r="1004" spans="1:23" x14ac:dyDescent="0.35">
      <c r="A1004" t="s">
        <v>535</v>
      </c>
      <c r="B1004" s="6">
        <v>45843</v>
      </c>
      <c r="C1004">
        <v>45955</v>
      </c>
      <c r="D1004" t="s">
        <v>30</v>
      </c>
      <c r="E1004">
        <v>46</v>
      </c>
      <c r="F1004" t="s">
        <v>62</v>
      </c>
      <c r="G1004" t="s">
        <v>25</v>
      </c>
      <c r="H1004" t="s">
        <v>54</v>
      </c>
      <c r="I1004" t="s">
        <v>55</v>
      </c>
      <c r="J1004" t="s">
        <v>80</v>
      </c>
      <c r="K1004">
        <v>5</v>
      </c>
      <c r="L1004" t="s">
        <v>29</v>
      </c>
      <c r="M1004">
        <v>172000</v>
      </c>
      <c r="N1004">
        <v>2.2000000000000002</v>
      </c>
      <c r="O1004">
        <v>7.2</v>
      </c>
      <c r="P1004">
        <v>0.3</v>
      </c>
      <c r="Q1004">
        <v>0</v>
      </c>
      <c r="R1004">
        <v>3</v>
      </c>
      <c r="S1004">
        <v>3</v>
      </c>
      <c r="T1004">
        <v>4</v>
      </c>
      <c r="U1004" t="s">
        <v>30</v>
      </c>
      <c r="V1004">
        <v>2</v>
      </c>
      <c r="W1004">
        <v>1</v>
      </c>
    </row>
    <row r="1005" spans="1:23" x14ac:dyDescent="0.35">
      <c r="A1005" t="s">
        <v>178</v>
      </c>
      <c r="B1005" s="6">
        <v>45724</v>
      </c>
      <c r="C1005">
        <v>46019</v>
      </c>
      <c r="D1005" t="s">
        <v>30</v>
      </c>
      <c r="E1005">
        <v>21</v>
      </c>
      <c r="F1005" t="s">
        <v>24</v>
      </c>
      <c r="G1005" t="s">
        <v>37</v>
      </c>
      <c r="H1005" t="s">
        <v>58</v>
      </c>
      <c r="I1005" t="s">
        <v>55</v>
      </c>
      <c r="J1005" t="s">
        <v>179</v>
      </c>
      <c r="K1005">
        <v>1</v>
      </c>
      <c r="L1005" t="s">
        <v>40</v>
      </c>
      <c r="M1005">
        <v>46000</v>
      </c>
      <c r="N1005">
        <v>0.7</v>
      </c>
      <c r="O1005">
        <v>5.5</v>
      </c>
      <c r="P1005">
        <v>0.8</v>
      </c>
      <c r="Q1005">
        <v>0</v>
      </c>
      <c r="R1005">
        <v>2</v>
      </c>
      <c r="S1005">
        <v>3</v>
      </c>
      <c r="T1005">
        <v>3</v>
      </c>
      <c r="U1005" t="s">
        <v>30</v>
      </c>
      <c r="V1005">
        <v>3</v>
      </c>
      <c r="W1005">
        <v>1</v>
      </c>
    </row>
    <row r="1006" spans="1:23" x14ac:dyDescent="0.35">
      <c r="A1006" t="s">
        <v>1371</v>
      </c>
      <c r="B1006" s="6">
        <v>45889</v>
      </c>
      <c r="D1006" t="s">
        <v>23</v>
      </c>
      <c r="E1006">
        <v>21</v>
      </c>
      <c r="F1006" t="s">
        <v>62</v>
      </c>
      <c r="H1006" t="s">
        <v>26</v>
      </c>
      <c r="I1006" t="s">
        <v>27</v>
      </c>
      <c r="J1006" t="s">
        <v>43</v>
      </c>
      <c r="K1006">
        <v>1</v>
      </c>
      <c r="L1006" t="s">
        <v>34</v>
      </c>
      <c r="M1006">
        <v>29000</v>
      </c>
      <c r="N1006">
        <v>15.6</v>
      </c>
      <c r="O1006">
        <v>7.9</v>
      </c>
      <c r="P1006">
        <v>0.4</v>
      </c>
      <c r="Q1006">
        <v>0</v>
      </c>
      <c r="R1006">
        <v>3</v>
      </c>
      <c r="S1006">
        <v>3</v>
      </c>
      <c r="T1006">
        <v>3</v>
      </c>
      <c r="U1006" t="s">
        <v>30</v>
      </c>
      <c r="V1006">
        <v>2</v>
      </c>
      <c r="W1006">
        <v>1</v>
      </c>
    </row>
    <row r="1007" spans="1:23" x14ac:dyDescent="0.35">
      <c r="A1007" t="s">
        <v>1149</v>
      </c>
      <c r="B1007" s="6">
        <v>43966</v>
      </c>
      <c r="D1007" t="s">
        <v>23</v>
      </c>
      <c r="E1007">
        <v>27</v>
      </c>
      <c r="F1007" t="s">
        <v>36</v>
      </c>
      <c r="G1007" t="s">
        <v>25</v>
      </c>
      <c r="H1007" t="s">
        <v>32</v>
      </c>
      <c r="I1007" t="s">
        <v>59</v>
      </c>
      <c r="J1007" t="s">
        <v>86</v>
      </c>
      <c r="K1007">
        <v>1</v>
      </c>
      <c r="L1007" t="s">
        <v>50</v>
      </c>
      <c r="M1007">
        <v>33000</v>
      </c>
      <c r="N1007">
        <v>9.1</v>
      </c>
      <c r="O1007">
        <v>7.5</v>
      </c>
      <c r="P1007">
        <v>5.6</v>
      </c>
      <c r="Q1007">
        <v>3.2</v>
      </c>
      <c r="R1007">
        <v>2</v>
      </c>
      <c r="S1007">
        <v>1</v>
      </c>
      <c r="T1007">
        <v>3</v>
      </c>
      <c r="U1007" t="s">
        <v>23</v>
      </c>
      <c r="V1007">
        <v>5</v>
      </c>
      <c r="W1007">
        <v>1</v>
      </c>
    </row>
    <row r="1008" spans="1:23" x14ac:dyDescent="0.35">
      <c r="A1008" t="s">
        <v>1495</v>
      </c>
      <c r="B1008" s="6">
        <v>44946</v>
      </c>
      <c r="C1008">
        <v>45738</v>
      </c>
      <c r="D1008" t="s">
        <v>30</v>
      </c>
      <c r="E1008">
        <v>23</v>
      </c>
      <c r="F1008" t="s">
        <v>36</v>
      </c>
      <c r="G1008" t="s">
        <v>42</v>
      </c>
      <c r="H1008" t="s">
        <v>26</v>
      </c>
      <c r="I1008" t="s">
        <v>45</v>
      </c>
      <c r="J1008" t="s">
        <v>164</v>
      </c>
      <c r="K1008">
        <v>1</v>
      </c>
      <c r="L1008" t="s">
        <v>29</v>
      </c>
      <c r="M1008">
        <v>37000</v>
      </c>
      <c r="N1008">
        <v>0</v>
      </c>
      <c r="O1008">
        <v>4</v>
      </c>
      <c r="P1008">
        <v>2.2000000000000002</v>
      </c>
      <c r="Q1008">
        <v>0.1</v>
      </c>
      <c r="R1008">
        <v>3</v>
      </c>
      <c r="S1008">
        <v>2</v>
      </c>
      <c r="T1008">
        <v>4</v>
      </c>
      <c r="U1008" t="s">
        <v>23</v>
      </c>
      <c r="V1008">
        <v>3</v>
      </c>
      <c r="W1008">
        <v>1</v>
      </c>
    </row>
    <row r="1009" spans="1:23" x14ac:dyDescent="0.35">
      <c r="A1009" t="s">
        <v>808</v>
      </c>
      <c r="B1009" s="6">
        <v>45801</v>
      </c>
      <c r="D1009" t="s">
        <v>23</v>
      </c>
      <c r="E1009">
        <v>30</v>
      </c>
      <c r="F1009" t="s">
        <v>24</v>
      </c>
      <c r="G1009" t="s">
        <v>42</v>
      </c>
      <c r="H1009" t="s">
        <v>54</v>
      </c>
      <c r="I1009" t="s">
        <v>48</v>
      </c>
      <c r="J1009" t="s">
        <v>49</v>
      </c>
      <c r="K1009">
        <v>3</v>
      </c>
      <c r="L1009" t="s">
        <v>50</v>
      </c>
      <c r="M1009">
        <v>86000</v>
      </c>
      <c r="N1009">
        <v>9.1</v>
      </c>
      <c r="O1009">
        <v>6.7</v>
      </c>
      <c r="P1009">
        <v>0.6</v>
      </c>
      <c r="Q1009">
        <v>0</v>
      </c>
      <c r="R1009">
        <v>3</v>
      </c>
      <c r="S1009">
        <v>4</v>
      </c>
      <c r="T1009">
        <v>3</v>
      </c>
      <c r="U1009" t="s">
        <v>23</v>
      </c>
      <c r="V1009">
        <v>4</v>
      </c>
      <c r="W1009">
        <v>1</v>
      </c>
    </row>
    <row r="1010" spans="1:23" x14ac:dyDescent="0.35">
      <c r="A1010" t="s">
        <v>1175</v>
      </c>
      <c r="B1010" s="6">
        <v>45840</v>
      </c>
      <c r="D1010" t="s">
        <v>23</v>
      </c>
      <c r="E1010">
        <v>26</v>
      </c>
      <c r="F1010" t="s">
        <v>62</v>
      </c>
      <c r="G1010" t="s">
        <v>37</v>
      </c>
      <c r="H1010" t="s">
        <v>58</v>
      </c>
      <c r="I1010" t="s">
        <v>55</v>
      </c>
      <c r="J1010" t="s">
        <v>88</v>
      </c>
      <c r="K1010">
        <v>1</v>
      </c>
      <c r="L1010" t="s">
        <v>29</v>
      </c>
      <c r="M1010">
        <v>41000</v>
      </c>
      <c r="N1010">
        <v>8.6999999999999993</v>
      </c>
      <c r="O1010">
        <v>1.2</v>
      </c>
      <c r="P1010">
        <v>0.5</v>
      </c>
      <c r="Q1010">
        <v>0</v>
      </c>
      <c r="R1010">
        <v>4</v>
      </c>
      <c r="S1010">
        <v>2</v>
      </c>
      <c r="T1010">
        <v>3</v>
      </c>
      <c r="U1010" t="s">
        <v>30</v>
      </c>
      <c r="V1010">
        <v>3</v>
      </c>
      <c r="W1010">
        <v>1</v>
      </c>
    </row>
    <row r="1011" spans="1:23" x14ac:dyDescent="0.35">
      <c r="A1011" t="s">
        <v>427</v>
      </c>
      <c r="B1011" s="6">
        <v>45355</v>
      </c>
      <c r="D1011" t="s">
        <v>23</v>
      </c>
      <c r="E1011">
        <v>30</v>
      </c>
      <c r="F1011" t="s">
        <v>36</v>
      </c>
      <c r="G1011" t="s">
        <v>25</v>
      </c>
      <c r="H1011" t="s">
        <v>32</v>
      </c>
      <c r="I1011" t="s">
        <v>27</v>
      </c>
      <c r="J1011" t="s">
        <v>28</v>
      </c>
      <c r="K1011">
        <v>4</v>
      </c>
      <c r="L1011" t="s">
        <v>29</v>
      </c>
      <c r="M1011">
        <v>112000</v>
      </c>
      <c r="N1011">
        <v>6.9</v>
      </c>
      <c r="O1011">
        <v>9.5</v>
      </c>
      <c r="P1011">
        <v>1.8</v>
      </c>
      <c r="Q1011">
        <v>0.8</v>
      </c>
      <c r="R1011">
        <v>3</v>
      </c>
      <c r="S1011">
        <v>3</v>
      </c>
      <c r="T1011">
        <v>4</v>
      </c>
      <c r="U1011" t="s">
        <v>23</v>
      </c>
      <c r="V1011">
        <v>3</v>
      </c>
      <c r="W1011">
        <v>1</v>
      </c>
    </row>
    <row r="1012" spans="1:23" x14ac:dyDescent="0.35">
      <c r="A1012" t="s">
        <v>639</v>
      </c>
      <c r="B1012" s="6">
        <v>44650</v>
      </c>
      <c r="D1012" t="s">
        <v>23</v>
      </c>
      <c r="E1012">
        <v>48</v>
      </c>
      <c r="F1012" t="s">
        <v>62</v>
      </c>
      <c r="G1012" t="s">
        <v>37</v>
      </c>
      <c r="H1012" t="s">
        <v>54</v>
      </c>
      <c r="I1012" t="s">
        <v>59</v>
      </c>
      <c r="J1012" t="s">
        <v>75</v>
      </c>
      <c r="K1012">
        <v>2</v>
      </c>
      <c r="L1012" t="s">
        <v>34</v>
      </c>
      <c r="M1012">
        <v>39000</v>
      </c>
      <c r="N1012">
        <v>1.6</v>
      </c>
      <c r="O1012">
        <v>8.4</v>
      </c>
      <c r="P1012">
        <v>3.8</v>
      </c>
      <c r="Q1012">
        <v>3</v>
      </c>
      <c r="R1012">
        <v>3</v>
      </c>
      <c r="S1012">
        <v>2</v>
      </c>
      <c r="T1012">
        <v>1</v>
      </c>
      <c r="U1012" t="s">
        <v>23</v>
      </c>
      <c r="V1012">
        <v>4</v>
      </c>
      <c r="W1012">
        <v>1</v>
      </c>
    </row>
    <row r="1013" spans="1:23" x14ac:dyDescent="0.35">
      <c r="A1013" t="s">
        <v>666</v>
      </c>
      <c r="B1013" s="6">
        <v>45407</v>
      </c>
      <c r="D1013" t="s">
        <v>23</v>
      </c>
      <c r="E1013">
        <v>28</v>
      </c>
      <c r="F1013" t="s">
        <v>24</v>
      </c>
      <c r="G1013" t="s">
        <v>42</v>
      </c>
      <c r="H1013" t="s">
        <v>26</v>
      </c>
      <c r="I1013" t="s">
        <v>45</v>
      </c>
      <c r="J1013" t="s">
        <v>97</v>
      </c>
      <c r="K1013">
        <v>1</v>
      </c>
      <c r="L1013" t="s">
        <v>84</v>
      </c>
      <c r="M1013">
        <v>29000</v>
      </c>
      <c r="N1013">
        <v>5.9</v>
      </c>
      <c r="O1013">
        <v>2.1</v>
      </c>
      <c r="P1013">
        <v>1.7</v>
      </c>
      <c r="Q1013">
        <v>1.5</v>
      </c>
      <c r="R1013">
        <v>4</v>
      </c>
      <c r="S1013">
        <v>3</v>
      </c>
      <c r="T1013">
        <v>2</v>
      </c>
      <c r="U1013" t="s">
        <v>23</v>
      </c>
      <c r="V1013">
        <v>4</v>
      </c>
      <c r="W1013">
        <v>1</v>
      </c>
    </row>
    <row r="1014" spans="1:23" x14ac:dyDescent="0.35">
      <c r="A1014" t="s">
        <v>753</v>
      </c>
      <c r="B1014" s="6">
        <v>42374</v>
      </c>
      <c r="D1014" t="s">
        <v>23</v>
      </c>
      <c r="E1014">
        <v>44</v>
      </c>
      <c r="F1014" t="s">
        <v>36</v>
      </c>
      <c r="G1014" t="s">
        <v>37</v>
      </c>
      <c r="H1014" t="s">
        <v>54</v>
      </c>
      <c r="I1014" t="s">
        <v>68</v>
      </c>
      <c r="J1014" t="s">
        <v>69</v>
      </c>
      <c r="K1014">
        <v>3</v>
      </c>
      <c r="L1014" t="s">
        <v>29</v>
      </c>
      <c r="M1014">
        <v>84000</v>
      </c>
      <c r="N1014">
        <v>12.4</v>
      </c>
      <c r="O1014">
        <v>11.1</v>
      </c>
      <c r="P1014">
        <v>10</v>
      </c>
      <c r="Q1014">
        <v>4.7</v>
      </c>
      <c r="R1014">
        <v>3</v>
      </c>
      <c r="S1014">
        <v>3</v>
      </c>
      <c r="T1014">
        <v>2</v>
      </c>
      <c r="U1014" t="s">
        <v>30</v>
      </c>
      <c r="V1014">
        <v>2</v>
      </c>
      <c r="W1014">
        <v>1</v>
      </c>
    </row>
    <row r="1015" spans="1:23" x14ac:dyDescent="0.35">
      <c r="A1015" t="s">
        <v>652</v>
      </c>
      <c r="B1015" s="6">
        <v>44646</v>
      </c>
      <c r="D1015" t="s">
        <v>23</v>
      </c>
      <c r="E1015">
        <v>25</v>
      </c>
      <c r="F1015" t="s">
        <v>62</v>
      </c>
      <c r="G1015" t="s">
        <v>37</v>
      </c>
      <c r="H1015" t="s">
        <v>26</v>
      </c>
      <c r="I1015" t="s">
        <v>45</v>
      </c>
      <c r="J1015" t="s">
        <v>164</v>
      </c>
      <c r="K1015">
        <v>1</v>
      </c>
      <c r="L1015" t="s">
        <v>50</v>
      </c>
      <c r="M1015">
        <v>22000</v>
      </c>
      <c r="N1015">
        <v>5.8</v>
      </c>
      <c r="O1015">
        <v>10.5</v>
      </c>
      <c r="P1015">
        <v>3.8</v>
      </c>
      <c r="Q1015">
        <v>0.1</v>
      </c>
      <c r="R1015">
        <v>2</v>
      </c>
      <c r="S1015">
        <v>4</v>
      </c>
      <c r="T1015">
        <v>4</v>
      </c>
      <c r="U1015" t="s">
        <v>23</v>
      </c>
      <c r="V1015">
        <v>4</v>
      </c>
      <c r="W1015">
        <v>1</v>
      </c>
    </row>
    <row r="1016" spans="1:23" x14ac:dyDescent="0.35">
      <c r="A1016" t="s">
        <v>1021</v>
      </c>
      <c r="B1016" s="6">
        <v>42460</v>
      </c>
      <c r="D1016" t="s">
        <v>23</v>
      </c>
      <c r="E1016">
        <v>37</v>
      </c>
      <c r="F1016" t="s">
        <v>62</v>
      </c>
      <c r="G1016" t="s">
        <v>25</v>
      </c>
      <c r="H1016" t="s">
        <v>26</v>
      </c>
      <c r="I1016" t="s">
        <v>68</v>
      </c>
      <c r="J1016" t="s">
        <v>109</v>
      </c>
      <c r="K1016">
        <v>3</v>
      </c>
      <c r="L1016" t="s">
        <v>29</v>
      </c>
      <c r="M1016">
        <v>75000</v>
      </c>
      <c r="N1016">
        <v>8.9</v>
      </c>
      <c r="O1016">
        <v>17.399999999999999</v>
      </c>
      <c r="P1016">
        <v>9.8000000000000007</v>
      </c>
      <c r="Q1016">
        <v>0.6</v>
      </c>
      <c r="R1016">
        <v>2</v>
      </c>
      <c r="S1016">
        <v>4</v>
      </c>
      <c r="T1016">
        <v>3</v>
      </c>
      <c r="U1016" t="s">
        <v>23</v>
      </c>
      <c r="V1016">
        <v>3</v>
      </c>
      <c r="W1016">
        <v>1</v>
      </c>
    </row>
    <row r="1017" spans="1:23" x14ac:dyDescent="0.35">
      <c r="A1017" t="s">
        <v>356</v>
      </c>
      <c r="B1017" s="6">
        <v>43040</v>
      </c>
      <c r="D1017" t="s">
        <v>23</v>
      </c>
      <c r="E1017">
        <v>34</v>
      </c>
      <c r="F1017" t="s">
        <v>62</v>
      </c>
      <c r="G1017" t="s">
        <v>42</v>
      </c>
      <c r="H1017" t="s">
        <v>58</v>
      </c>
      <c r="I1017" t="s">
        <v>55</v>
      </c>
      <c r="J1017" t="s">
        <v>88</v>
      </c>
      <c r="K1017">
        <v>2</v>
      </c>
      <c r="L1017" t="s">
        <v>34</v>
      </c>
      <c r="M1017">
        <v>68000</v>
      </c>
      <c r="N1017">
        <v>2.5</v>
      </c>
      <c r="O1017">
        <v>10.5</v>
      </c>
      <c r="P1017">
        <v>8.1999999999999993</v>
      </c>
      <c r="Q1017">
        <v>1</v>
      </c>
      <c r="R1017">
        <v>3</v>
      </c>
      <c r="S1017">
        <v>3</v>
      </c>
      <c r="T1017">
        <v>2</v>
      </c>
      <c r="U1017" t="s">
        <v>23</v>
      </c>
      <c r="V1017">
        <v>4</v>
      </c>
      <c r="W1017">
        <v>1</v>
      </c>
    </row>
    <row r="1018" spans="1:23" x14ac:dyDescent="0.35">
      <c r="A1018" t="s">
        <v>1141</v>
      </c>
      <c r="B1018" s="6">
        <v>42390</v>
      </c>
      <c r="C1018">
        <v>45852</v>
      </c>
      <c r="D1018" t="s">
        <v>30</v>
      </c>
      <c r="E1018">
        <v>40</v>
      </c>
      <c r="F1018" t="s">
        <v>62</v>
      </c>
      <c r="G1018" t="s">
        <v>42</v>
      </c>
      <c r="H1018" t="s">
        <v>32</v>
      </c>
      <c r="I1018" t="s">
        <v>27</v>
      </c>
      <c r="J1018" t="s">
        <v>43</v>
      </c>
      <c r="K1018">
        <v>2</v>
      </c>
      <c r="L1018" t="s">
        <v>34</v>
      </c>
      <c r="M1018">
        <v>47000</v>
      </c>
      <c r="N1018">
        <v>11.8</v>
      </c>
      <c r="O1018">
        <v>13.2</v>
      </c>
      <c r="P1018">
        <v>9.5</v>
      </c>
      <c r="Q1018">
        <v>3</v>
      </c>
      <c r="R1018">
        <v>3</v>
      </c>
      <c r="S1018">
        <v>3</v>
      </c>
      <c r="T1018">
        <v>1</v>
      </c>
      <c r="U1018" t="s">
        <v>23</v>
      </c>
      <c r="V1018">
        <v>1</v>
      </c>
      <c r="W1018">
        <v>1</v>
      </c>
    </row>
    <row r="1019" spans="1:23" x14ac:dyDescent="0.35">
      <c r="A1019" t="s">
        <v>616</v>
      </c>
      <c r="B1019" s="6">
        <v>42819</v>
      </c>
      <c r="D1019" t="s">
        <v>23</v>
      </c>
      <c r="E1019">
        <v>32</v>
      </c>
      <c r="F1019" t="s">
        <v>36</v>
      </c>
      <c r="G1019" t="s">
        <v>25</v>
      </c>
      <c r="H1019" t="s">
        <v>26</v>
      </c>
      <c r="I1019" t="s">
        <v>68</v>
      </c>
      <c r="J1019" t="s">
        <v>69</v>
      </c>
      <c r="K1019">
        <v>1</v>
      </c>
      <c r="L1019" t="s">
        <v>84</v>
      </c>
      <c r="M1019">
        <v>37000</v>
      </c>
      <c r="N1019">
        <v>6</v>
      </c>
      <c r="O1019">
        <v>9.8000000000000007</v>
      </c>
      <c r="P1019">
        <v>8.8000000000000007</v>
      </c>
      <c r="Q1019">
        <v>2.5</v>
      </c>
      <c r="R1019">
        <v>2</v>
      </c>
      <c r="S1019">
        <v>4</v>
      </c>
      <c r="T1019">
        <v>3</v>
      </c>
      <c r="U1019" t="s">
        <v>30</v>
      </c>
      <c r="V1019">
        <v>5</v>
      </c>
      <c r="W1019">
        <v>1</v>
      </c>
    </row>
    <row r="1020" spans="1:23" x14ac:dyDescent="0.35">
      <c r="A1020" t="s">
        <v>931</v>
      </c>
      <c r="B1020" s="6">
        <v>44309</v>
      </c>
      <c r="D1020" t="s">
        <v>23</v>
      </c>
      <c r="E1020">
        <v>36</v>
      </c>
      <c r="F1020" t="s">
        <v>62</v>
      </c>
      <c r="G1020" t="s">
        <v>42</v>
      </c>
      <c r="H1020" t="s">
        <v>26</v>
      </c>
      <c r="I1020" t="s">
        <v>68</v>
      </c>
      <c r="J1020" t="s">
        <v>109</v>
      </c>
      <c r="K1020">
        <v>3</v>
      </c>
      <c r="L1020" t="s">
        <v>66</v>
      </c>
      <c r="M1020">
        <v>79000</v>
      </c>
      <c r="N1020">
        <v>4.9000000000000004</v>
      </c>
      <c r="O1020">
        <v>5.0999999999999996</v>
      </c>
      <c r="P1020">
        <v>4.7</v>
      </c>
      <c r="Q1020">
        <v>1</v>
      </c>
      <c r="R1020">
        <v>3</v>
      </c>
      <c r="S1020">
        <v>3</v>
      </c>
      <c r="T1020">
        <v>4</v>
      </c>
      <c r="U1020" t="s">
        <v>30</v>
      </c>
      <c r="V1020">
        <v>4</v>
      </c>
      <c r="W1020">
        <v>1</v>
      </c>
    </row>
    <row r="1021" spans="1:23" x14ac:dyDescent="0.35">
      <c r="A1021" t="s">
        <v>830</v>
      </c>
      <c r="B1021" s="6">
        <v>45653</v>
      </c>
      <c r="D1021" t="s">
        <v>23</v>
      </c>
      <c r="E1021">
        <v>43</v>
      </c>
      <c r="F1021" t="s">
        <v>36</v>
      </c>
      <c r="G1021" t="s">
        <v>25</v>
      </c>
      <c r="H1021" t="s">
        <v>58</v>
      </c>
      <c r="I1021" t="s">
        <v>59</v>
      </c>
      <c r="J1021" t="s">
        <v>86</v>
      </c>
      <c r="K1021">
        <v>2</v>
      </c>
      <c r="L1021" t="s">
        <v>29</v>
      </c>
      <c r="M1021">
        <v>56000</v>
      </c>
      <c r="N1021">
        <v>12.8</v>
      </c>
      <c r="O1021">
        <v>3</v>
      </c>
      <c r="P1021">
        <v>1</v>
      </c>
      <c r="Q1021">
        <v>0.5</v>
      </c>
      <c r="R1021">
        <v>4</v>
      </c>
      <c r="S1021">
        <v>4</v>
      </c>
      <c r="T1021">
        <v>4</v>
      </c>
      <c r="U1021" t="s">
        <v>23</v>
      </c>
      <c r="V1021">
        <v>4</v>
      </c>
      <c r="W1021">
        <v>1</v>
      </c>
    </row>
    <row r="1022" spans="1:23" x14ac:dyDescent="0.35">
      <c r="A1022" t="s">
        <v>1355</v>
      </c>
      <c r="B1022" s="6">
        <v>41935</v>
      </c>
      <c r="D1022" t="s">
        <v>23</v>
      </c>
      <c r="E1022">
        <v>38</v>
      </c>
      <c r="F1022" t="s">
        <v>62</v>
      </c>
      <c r="G1022" t="s">
        <v>42</v>
      </c>
      <c r="H1022" t="s">
        <v>58</v>
      </c>
      <c r="I1022" t="s">
        <v>55</v>
      </c>
      <c r="J1022" t="s">
        <v>80</v>
      </c>
      <c r="K1022">
        <v>3</v>
      </c>
      <c r="L1022" t="s">
        <v>29</v>
      </c>
      <c r="M1022">
        <v>92000</v>
      </c>
      <c r="N1022">
        <v>5.2</v>
      </c>
      <c r="O1022">
        <v>15.4</v>
      </c>
      <c r="P1022">
        <v>11.2</v>
      </c>
      <c r="Q1022">
        <v>0.4</v>
      </c>
      <c r="R1022">
        <v>3</v>
      </c>
      <c r="S1022">
        <v>3</v>
      </c>
      <c r="T1022">
        <v>2</v>
      </c>
      <c r="U1022" t="s">
        <v>23</v>
      </c>
      <c r="V1022">
        <v>2</v>
      </c>
      <c r="W1022">
        <v>1</v>
      </c>
    </row>
    <row r="1023" spans="1:23" x14ac:dyDescent="0.35">
      <c r="A1023" t="s">
        <v>169</v>
      </c>
      <c r="B1023" s="6">
        <v>45064</v>
      </c>
      <c r="D1023" t="s">
        <v>23</v>
      </c>
      <c r="E1023">
        <v>26</v>
      </c>
      <c r="F1023" t="s">
        <v>36</v>
      </c>
      <c r="G1023" t="s">
        <v>42</v>
      </c>
      <c r="H1023" t="s">
        <v>26</v>
      </c>
      <c r="I1023" t="s">
        <v>55</v>
      </c>
      <c r="J1023" t="s">
        <v>88</v>
      </c>
      <c r="K1023">
        <v>1</v>
      </c>
      <c r="L1023" t="s">
        <v>34</v>
      </c>
      <c r="M1023">
        <v>34000</v>
      </c>
      <c r="N1023">
        <v>9.8000000000000007</v>
      </c>
      <c r="O1023">
        <v>8.4</v>
      </c>
      <c r="P1023">
        <v>2.6</v>
      </c>
      <c r="Q1023">
        <v>1</v>
      </c>
      <c r="R1023">
        <v>2</v>
      </c>
      <c r="S1023">
        <v>3</v>
      </c>
      <c r="T1023">
        <v>3</v>
      </c>
      <c r="U1023" t="s">
        <v>30</v>
      </c>
      <c r="V1023">
        <v>3</v>
      </c>
      <c r="W1023">
        <v>1</v>
      </c>
    </row>
    <row r="1024" spans="1:23" x14ac:dyDescent="0.35">
      <c r="A1024" t="s">
        <v>811</v>
      </c>
      <c r="B1024" s="6">
        <v>44502</v>
      </c>
      <c r="D1024" t="s">
        <v>23</v>
      </c>
      <c r="E1024">
        <v>25</v>
      </c>
      <c r="F1024" t="s">
        <v>36</v>
      </c>
      <c r="G1024" t="s">
        <v>37</v>
      </c>
      <c r="H1024" t="s">
        <v>58</v>
      </c>
      <c r="I1024" t="s">
        <v>59</v>
      </c>
      <c r="J1024" t="s">
        <v>75</v>
      </c>
      <c r="K1024">
        <v>1</v>
      </c>
      <c r="L1024" t="s">
        <v>84</v>
      </c>
      <c r="M1024">
        <v>42000</v>
      </c>
      <c r="N1024">
        <v>11.3</v>
      </c>
      <c r="O1024">
        <v>7</v>
      </c>
      <c r="P1024">
        <v>4.2</v>
      </c>
      <c r="Q1024">
        <v>3.2</v>
      </c>
      <c r="R1024">
        <v>4</v>
      </c>
      <c r="S1024">
        <v>4</v>
      </c>
      <c r="T1024">
        <v>4</v>
      </c>
      <c r="U1024" t="s">
        <v>23</v>
      </c>
      <c r="V1024">
        <v>1</v>
      </c>
      <c r="W1024">
        <v>1</v>
      </c>
    </row>
    <row r="1025" spans="1:23" x14ac:dyDescent="0.35">
      <c r="A1025" t="s">
        <v>694</v>
      </c>
      <c r="B1025" s="6">
        <v>45730</v>
      </c>
      <c r="C1025">
        <v>45811</v>
      </c>
      <c r="D1025" t="s">
        <v>30</v>
      </c>
      <c r="E1025">
        <v>22</v>
      </c>
      <c r="F1025" t="s">
        <v>62</v>
      </c>
      <c r="G1025" t="s">
        <v>25</v>
      </c>
      <c r="H1025" t="s">
        <v>26</v>
      </c>
      <c r="I1025" t="s">
        <v>27</v>
      </c>
      <c r="J1025" t="s">
        <v>95</v>
      </c>
      <c r="K1025">
        <v>1</v>
      </c>
      <c r="L1025" t="s">
        <v>40</v>
      </c>
      <c r="M1025">
        <v>31000</v>
      </c>
      <c r="N1025">
        <v>7.2</v>
      </c>
      <c r="O1025">
        <v>4</v>
      </c>
      <c r="P1025">
        <v>0.2</v>
      </c>
      <c r="Q1025">
        <v>0</v>
      </c>
      <c r="R1025">
        <v>4</v>
      </c>
      <c r="S1025">
        <v>4</v>
      </c>
      <c r="T1025">
        <v>4</v>
      </c>
      <c r="U1025" t="s">
        <v>23</v>
      </c>
      <c r="V1025">
        <v>3</v>
      </c>
      <c r="W1025">
        <v>1</v>
      </c>
    </row>
    <row r="1026" spans="1:23" x14ac:dyDescent="0.35">
      <c r="A1026" t="s">
        <v>1184</v>
      </c>
      <c r="B1026" s="6">
        <v>43943</v>
      </c>
      <c r="D1026" t="s">
        <v>23</v>
      </c>
      <c r="E1026">
        <v>30</v>
      </c>
      <c r="F1026" t="s">
        <v>62</v>
      </c>
      <c r="G1026" t="s">
        <v>42</v>
      </c>
      <c r="H1026" t="s">
        <v>26</v>
      </c>
      <c r="I1026" t="s">
        <v>45</v>
      </c>
      <c r="J1026" t="s">
        <v>164</v>
      </c>
      <c r="K1026">
        <v>2</v>
      </c>
      <c r="L1026" t="s">
        <v>84</v>
      </c>
      <c r="M1026" t="s">
        <v>1185</v>
      </c>
      <c r="N1026">
        <v>7.4</v>
      </c>
      <c r="O1026">
        <v>8.3000000000000007</v>
      </c>
      <c r="P1026">
        <v>5.7</v>
      </c>
      <c r="Q1026">
        <v>5.5</v>
      </c>
      <c r="R1026">
        <v>2</v>
      </c>
      <c r="S1026">
        <v>3</v>
      </c>
      <c r="T1026">
        <v>4</v>
      </c>
      <c r="U1026" t="s">
        <v>23</v>
      </c>
      <c r="V1026">
        <v>2</v>
      </c>
      <c r="W1026">
        <v>1</v>
      </c>
    </row>
    <row r="1027" spans="1:23" x14ac:dyDescent="0.35">
      <c r="A1027" t="s">
        <v>372</v>
      </c>
      <c r="B1027" s="6">
        <v>44668</v>
      </c>
      <c r="D1027" t="s">
        <v>23</v>
      </c>
      <c r="E1027">
        <v>37</v>
      </c>
      <c r="F1027" t="s">
        <v>24</v>
      </c>
      <c r="G1027" t="s">
        <v>42</v>
      </c>
      <c r="H1027" t="s">
        <v>32</v>
      </c>
      <c r="I1027" t="s">
        <v>45</v>
      </c>
      <c r="J1027" t="s">
        <v>164</v>
      </c>
      <c r="K1027">
        <v>5</v>
      </c>
      <c r="L1027" t="s">
        <v>40</v>
      </c>
      <c r="M1027">
        <v>138000</v>
      </c>
      <c r="N1027">
        <v>15.7</v>
      </c>
      <c r="O1027">
        <v>10.3</v>
      </c>
      <c r="P1027">
        <v>3.7</v>
      </c>
      <c r="Q1027">
        <v>0.7</v>
      </c>
      <c r="R1027">
        <v>2</v>
      </c>
      <c r="S1027">
        <v>3</v>
      </c>
      <c r="T1027">
        <v>3</v>
      </c>
      <c r="U1027" t="s">
        <v>30</v>
      </c>
      <c r="V1027">
        <v>5</v>
      </c>
      <c r="W1027">
        <v>1</v>
      </c>
    </row>
    <row r="1028" spans="1:23" x14ac:dyDescent="0.35">
      <c r="A1028" t="s">
        <v>379</v>
      </c>
      <c r="B1028" s="6">
        <v>42873</v>
      </c>
      <c r="D1028" t="s">
        <v>23</v>
      </c>
      <c r="E1028">
        <v>42</v>
      </c>
      <c r="F1028" t="s">
        <v>62</v>
      </c>
      <c r="G1028" t="s">
        <v>37</v>
      </c>
      <c r="H1028" t="s">
        <v>54</v>
      </c>
      <c r="I1028" t="s">
        <v>59</v>
      </c>
      <c r="J1028" t="s">
        <v>75</v>
      </c>
      <c r="K1028">
        <v>1</v>
      </c>
      <c r="L1028" t="s">
        <v>40</v>
      </c>
      <c r="M1028">
        <v>31000</v>
      </c>
      <c r="N1028">
        <v>12.4</v>
      </c>
      <c r="O1028">
        <v>9.6</v>
      </c>
      <c r="P1028">
        <v>8.6</v>
      </c>
      <c r="Q1028">
        <v>0.3</v>
      </c>
      <c r="R1028">
        <v>3</v>
      </c>
      <c r="S1028">
        <v>4</v>
      </c>
      <c r="T1028">
        <v>2</v>
      </c>
      <c r="U1028" t="s">
        <v>23</v>
      </c>
      <c r="V1028">
        <v>2</v>
      </c>
      <c r="W1028">
        <v>1</v>
      </c>
    </row>
    <row r="1029" spans="1:23" x14ac:dyDescent="0.35">
      <c r="A1029" t="s">
        <v>1264</v>
      </c>
      <c r="B1029" s="6">
        <v>41642</v>
      </c>
      <c r="C1029">
        <v>45697</v>
      </c>
      <c r="D1029" t="s">
        <v>30</v>
      </c>
      <c r="E1029">
        <v>41</v>
      </c>
      <c r="F1029" t="s">
        <v>36</v>
      </c>
      <c r="G1029" t="s">
        <v>42</v>
      </c>
      <c r="H1029" t="s">
        <v>26</v>
      </c>
      <c r="I1029" t="s">
        <v>55</v>
      </c>
      <c r="J1029" t="s">
        <v>80</v>
      </c>
      <c r="K1029">
        <v>3</v>
      </c>
      <c r="L1029" t="s">
        <v>34</v>
      </c>
      <c r="M1029">
        <v>86000</v>
      </c>
      <c r="N1029">
        <v>4.5999999999999996</v>
      </c>
      <c r="O1029">
        <v>18.8</v>
      </c>
      <c r="P1029">
        <v>11.1</v>
      </c>
      <c r="Q1029">
        <v>5.5</v>
      </c>
      <c r="R1029">
        <v>3</v>
      </c>
      <c r="S1029">
        <v>3</v>
      </c>
      <c r="T1029">
        <v>3</v>
      </c>
      <c r="U1029" t="s">
        <v>30</v>
      </c>
      <c r="V1029">
        <v>4</v>
      </c>
      <c r="W1029">
        <v>1</v>
      </c>
    </row>
    <row r="1030" spans="1:23" x14ac:dyDescent="0.35">
      <c r="A1030" t="s">
        <v>1334</v>
      </c>
      <c r="B1030" s="6">
        <v>42835</v>
      </c>
      <c r="D1030" t="s">
        <v>23</v>
      </c>
      <c r="E1030">
        <v>32</v>
      </c>
      <c r="F1030" t="s">
        <v>36</v>
      </c>
      <c r="G1030" t="s">
        <v>37</v>
      </c>
      <c r="H1030" t="s">
        <v>32</v>
      </c>
      <c r="I1030" t="s">
        <v>27</v>
      </c>
      <c r="J1030" t="s">
        <v>33</v>
      </c>
      <c r="K1030">
        <v>3</v>
      </c>
      <c r="L1030" t="s">
        <v>66</v>
      </c>
      <c r="M1030">
        <v>76000</v>
      </c>
      <c r="N1030">
        <v>13.9</v>
      </c>
      <c r="O1030">
        <v>10.4</v>
      </c>
      <c r="P1030">
        <v>8.6999999999999993</v>
      </c>
      <c r="Q1030">
        <v>0.2</v>
      </c>
      <c r="R1030">
        <v>1</v>
      </c>
      <c r="S1030">
        <v>4</v>
      </c>
      <c r="T1030">
        <v>3</v>
      </c>
      <c r="U1030" t="s">
        <v>23</v>
      </c>
      <c r="V1030">
        <v>3</v>
      </c>
      <c r="W1030">
        <v>1</v>
      </c>
    </row>
    <row r="1031" spans="1:23" x14ac:dyDescent="0.35">
      <c r="A1031" t="s">
        <v>1532</v>
      </c>
      <c r="B1031" s="6">
        <v>44301</v>
      </c>
      <c r="D1031" t="s">
        <v>23</v>
      </c>
      <c r="E1031">
        <v>37</v>
      </c>
      <c r="F1031" t="s">
        <v>24</v>
      </c>
      <c r="G1031" t="s">
        <v>25</v>
      </c>
      <c r="H1031" t="s">
        <v>32</v>
      </c>
      <c r="I1031" t="s">
        <v>27</v>
      </c>
      <c r="J1031" t="s">
        <v>43</v>
      </c>
      <c r="K1031">
        <v>2</v>
      </c>
      <c r="L1031" t="s">
        <v>34</v>
      </c>
      <c r="M1031">
        <v>45000</v>
      </c>
      <c r="N1031">
        <v>8.5</v>
      </c>
      <c r="O1031">
        <v>7</v>
      </c>
      <c r="P1031">
        <v>4.7</v>
      </c>
      <c r="Q1031">
        <v>4.5999999999999996</v>
      </c>
      <c r="R1031">
        <v>3</v>
      </c>
      <c r="S1031">
        <v>2</v>
      </c>
      <c r="T1031">
        <v>3</v>
      </c>
      <c r="U1031" t="s">
        <v>23</v>
      </c>
      <c r="V1031">
        <v>3</v>
      </c>
      <c r="W1031">
        <v>1</v>
      </c>
    </row>
    <row r="1032" spans="1:23" x14ac:dyDescent="0.35">
      <c r="A1032" t="s">
        <v>1426</v>
      </c>
      <c r="B1032" s="6">
        <v>45830</v>
      </c>
      <c r="C1032">
        <v>45921</v>
      </c>
      <c r="D1032" t="s">
        <v>30</v>
      </c>
      <c r="E1032">
        <v>22</v>
      </c>
      <c r="F1032" t="s">
        <v>24</v>
      </c>
      <c r="G1032" t="s">
        <v>42</v>
      </c>
      <c r="H1032" t="s">
        <v>54</v>
      </c>
      <c r="I1032" t="s">
        <v>68</v>
      </c>
      <c r="J1032" t="s">
        <v>69</v>
      </c>
      <c r="K1032">
        <v>1</v>
      </c>
      <c r="L1032" t="s">
        <v>84</v>
      </c>
      <c r="M1032">
        <v>27000</v>
      </c>
      <c r="N1032">
        <v>14.4</v>
      </c>
      <c r="O1032">
        <v>7.2</v>
      </c>
      <c r="P1032">
        <v>0.2</v>
      </c>
      <c r="Q1032">
        <v>0</v>
      </c>
      <c r="R1032">
        <v>3</v>
      </c>
      <c r="S1032">
        <v>3</v>
      </c>
      <c r="T1032">
        <v>2</v>
      </c>
      <c r="U1032" t="s">
        <v>30</v>
      </c>
      <c r="V1032">
        <v>3</v>
      </c>
      <c r="W1032">
        <v>1</v>
      </c>
    </row>
    <row r="1033" spans="1:23" x14ac:dyDescent="0.35">
      <c r="A1033" t="s">
        <v>815</v>
      </c>
      <c r="B1033" s="6">
        <v>42680</v>
      </c>
      <c r="D1033" t="s">
        <v>23</v>
      </c>
      <c r="E1033">
        <v>33</v>
      </c>
      <c r="F1033" t="s">
        <v>36</v>
      </c>
      <c r="G1033" t="s">
        <v>42</v>
      </c>
      <c r="H1033" t="s">
        <v>54</v>
      </c>
      <c r="I1033" t="s">
        <v>59</v>
      </c>
      <c r="J1033" t="s">
        <v>75</v>
      </c>
      <c r="K1033">
        <v>3</v>
      </c>
      <c r="L1033" t="s">
        <v>50</v>
      </c>
      <c r="M1033">
        <v>77000</v>
      </c>
      <c r="N1033">
        <v>7.8</v>
      </c>
      <c r="O1033">
        <v>16.7</v>
      </c>
      <c r="P1033">
        <v>9.1</v>
      </c>
      <c r="Q1033">
        <v>3.6</v>
      </c>
      <c r="R1033">
        <v>2</v>
      </c>
      <c r="S1033">
        <v>3</v>
      </c>
      <c r="T1033">
        <v>2</v>
      </c>
      <c r="U1033" t="s">
        <v>23</v>
      </c>
      <c r="V1033">
        <v>3</v>
      </c>
      <c r="W1033">
        <v>1</v>
      </c>
    </row>
    <row r="1034" spans="1:23" x14ac:dyDescent="0.35">
      <c r="A1034" t="s">
        <v>671</v>
      </c>
      <c r="B1034" s="6">
        <v>42941</v>
      </c>
      <c r="D1034" t="s">
        <v>23</v>
      </c>
      <c r="E1034">
        <v>32</v>
      </c>
      <c r="F1034" t="s">
        <v>36</v>
      </c>
      <c r="G1034" t="s">
        <v>37</v>
      </c>
      <c r="H1034" t="s">
        <v>54</v>
      </c>
      <c r="I1034" t="s">
        <v>38</v>
      </c>
      <c r="J1034" t="s">
        <v>39</v>
      </c>
      <c r="K1034">
        <v>4</v>
      </c>
      <c r="L1034" t="s">
        <v>34</v>
      </c>
      <c r="M1034">
        <v>126000</v>
      </c>
      <c r="N1034">
        <v>13.6</v>
      </c>
      <c r="O1034">
        <v>11.7</v>
      </c>
      <c r="P1034">
        <v>8.4</v>
      </c>
      <c r="Q1034">
        <v>4.5</v>
      </c>
      <c r="R1034">
        <v>3</v>
      </c>
      <c r="S1034">
        <v>4</v>
      </c>
      <c r="T1034">
        <v>3</v>
      </c>
      <c r="U1034" t="s">
        <v>23</v>
      </c>
      <c r="V1034">
        <v>4</v>
      </c>
      <c r="W1034">
        <v>1</v>
      </c>
    </row>
    <row r="1035" spans="1:23" x14ac:dyDescent="0.35">
      <c r="A1035" t="s">
        <v>1133</v>
      </c>
      <c r="B1035" s="6">
        <v>42735</v>
      </c>
      <c r="D1035" t="s">
        <v>23</v>
      </c>
      <c r="E1035">
        <v>44</v>
      </c>
      <c r="F1035" t="s">
        <v>24</v>
      </c>
      <c r="G1035" t="s">
        <v>25</v>
      </c>
      <c r="H1035" t="s">
        <v>32</v>
      </c>
      <c r="I1035" t="s">
        <v>48</v>
      </c>
      <c r="J1035" t="s">
        <v>201</v>
      </c>
      <c r="K1035">
        <v>5</v>
      </c>
      <c r="L1035" t="s">
        <v>84</v>
      </c>
      <c r="M1035">
        <v>146000</v>
      </c>
      <c r="N1035">
        <v>15.5</v>
      </c>
      <c r="O1035">
        <v>12.4</v>
      </c>
      <c r="P1035">
        <v>9</v>
      </c>
      <c r="Q1035">
        <v>5.0999999999999996</v>
      </c>
      <c r="R1035">
        <v>2</v>
      </c>
      <c r="S1035">
        <v>4</v>
      </c>
      <c r="T1035">
        <v>4</v>
      </c>
      <c r="U1035" t="s">
        <v>23</v>
      </c>
      <c r="V1035">
        <v>5</v>
      </c>
      <c r="W1035">
        <v>1</v>
      </c>
    </row>
    <row r="1036" spans="1:23" x14ac:dyDescent="0.35">
      <c r="A1036" t="s">
        <v>1176</v>
      </c>
      <c r="B1036" s="6">
        <v>45568</v>
      </c>
      <c r="C1036">
        <v>45891</v>
      </c>
      <c r="D1036" t="s">
        <v>30</v>
      </c>
      <c r="E1036">
        <v>31</v>
      </c>
      <c r="F1036" t="s">
        <v>36</v>
      </c>
      <c r="G1036" t="s">
        <v>42</v>
      </c>
      <c r="H1036" t="s">
        <v>58</v>
      </c>
      <c r="I1036" t="s">
        <v>48</v>
      </c>
      <c r="J1036" t="s">
        <v>201</v>
      </c>
      <c r="K1036">
        <v>4</v>
      </c>
      <c r="L1036" t="s">
        <v>50</v>
      </c>
      <c r="M1036">
        <v>98000</v>
      </c>
      <c r="N1036">
        <v>7.2</v>
      </c>
      <c r="O1036">
        <v>1.5</v>
      </c>
      <c r="P1036">
        <v>0.9</v>
      </c>
      <c r="Q1036">
        <v>0</v>
      </c>
      <c r="R1036">
        <v>1</v>
      </c>
      <c r="S1036">
        <v>2</v>
      </c>
      <c r="T1036">
        <v>4</v>
      </c>
      <c r="U1036" t="s">
        <v>23</v>
      </c>
      <c r="V1036">
        <v>4</v>
      </c>
      <c r="W1036">
        <v>1</v>
      </c>
    </row>
    <row r="1037" spans="1:23" x14ac:dyDescent="0.35">
      <c r="A1037" t="s">
        <v>90</v>
      </c>
      <c r="B1037" s="6">
        <v>45330</v>
      </c>
      <c r="D1037" t="s">
        <v>23</v>
      </c>
      <c r="E1037">
        <v>29</v>
      </c>
      <c r="F1037" t="s">
        <v>36</v>
      </c>
      <c r="G1037" t="s">
        <v>42</v>
      </c>
      <c r="H1037" t="s">
        <v>26</v>
      </c>
      <c r="I1037" t="s">
        <v>59</v>
      </c>
      <c r="J1037" t="s">
        <v>60</v>
      </c>
      <c r="K1037">
        <v>3</v>
      </c>
      <c r="L1037" t="s">
        <v>50</v>
      </c>
      <c r="M1037">
        <v>74000</v>
      </c>
      <c r="N1037">
        <v>12.8</v>
      </c>
      <c r="O1037">
        <v>5.3</v>
      </c>
      <c r="P1037">
        <v>1.9</v>
      </c>
      <c r="Q1037">
        <v>1.1000000000000001</v>
      </c>
      <c r="R1037">
        <v>3</v>
      </c>
      <c r="S1037">
        <v>4</v>
      </c>
      <c r="T1037">
        <v>3</v>
      </c>
      <c r="U1037" t="s">
        <v>23</v>
      </c>
      <c r="V1037">
        <v>5</v>
      </c>
      <c r="W1037">
        <v>1</v>
      </c>
    </row>
    <row r="1038" spans="1:23" x14ac:dyDescent="0.35">
      <c r="A1038" t="s">
        <v>469</v>
      </c>
      <c r="B1038" s="6">
        <v>45892</v>
      </c>
      <c r="D1038" t="s">
        <v>23</v>
      </c>
      <c r="E1038">
        <v>35</v>
      </c>
      <c r="F1038" t="s">
        <v>24</v>
      </c>
      <c r="G1038" t="s">
        <v>42</v>
      </c>
      <c r="H1038" t="s">
        <v>26</v>
      </c>
      <c r="I1038" t="s">
        <v>55</v>
      </c>
      <c r="J1038" t="s">
        <v>88</v>
      </c>
      <c r="K1038">
        <v>4</v>
      </c>
      <c r="L1038" t="s">
        <v>40</v>
      </c>
      <c r="M1038">
        <v>119000</v>
      </c>
      <c r="N1038">
        <v>5.5</v>
      </c>
      <c r="O1038">
        <v>2.7</v>
      </c>
      <c r="P1038">
        <v>0.4</v>
      </c>
      <c r="Q1038">
        <v>0</v>
      </c>
      <c r="R1038">
        <v>3</v>
      </c>
      <c r="S1038">
        <v>3</v>
      </c>
      <c r="T1038">
        <v>3</v>
      </c>
      <c r="U1038" t="s">
        <v>23</v>
      </c>
      <c r="V1038">
        <v>5</v>
      </c>
      <c r="W1038">
        <v>1</v>
      </c>
    </row>
    <row r="1039" spans="1:23" x14ac:dyDescent="0.35">
      <c r="A1039" t="s">
        <v>817</v>
      </c>
      <c r="B1039" s="6">
        <v>45564</v>
      </c>
      <c r="D1039" t="s">
        <v>23</v>
      </c>
      <c r="E1039">
        <v>28</v>
      </c>
      <c r="F1039" t="s">
        <v>24</v>
      </c>
      <c r="G1039" t="s">
        <v>42</v>
      </c>
      <c r="H1039" t="s">
        <v>58</v>
      </c>
      <c r="I1039" t="s">
        <v>55</v>
      </c>
      <c r="J1039" t="s">
        <v>88</v>
      </c>
      <c r="K1039">
        <v>3</v>
      </c>
      <c r="L1039" t="s">
        <v>66</v>
      </c>
      <c r="M1039">
        <v>105000</v>
      </c>
      <c r="N1039">
        <v>8</v>
      </c>
      <c r="O1039">
        <v>1.4</v>
      </c>
      <c r="P1039">
        <v>1.3</v>
      </c>
      <c r="Q1039">
        <v>1.1000000000000001</v>
      </c>
      <c r="R1039">
        <v>3</v>
      </c>
      <c r="S1039">
        <v>3</v>
      </c>
      <c r="T1039">
        <v>4</v>
      </c>
      <c r="U1039" t="s">
        <v>30</v>
      </c>
      <c r="V1039">
        <v>4</v>
      </c>
      <c r="W1039">
        <v>1</v>
      </c>
    </row>
    <row r="1040" spans="1:23" x14ac:dyDescent="0.35">
      <c r="A1040" t="s">
        <v>454</v>
      </c>
      <c r="B1040" s="6">
        <v>43977</v>
      </c>
      <c r="D1040" t="s">
        <v>23</v>
      </c>
      <c r="E1040">
        <v>40</v>
      </c>
      <c r="F1040" t="s">
        <v>36</v>
      </c>
      <c r="G1040" t="s">
        <v>25</v>
      </c>
      <c r="H1040" t="s">
        <v>58</v>
      </c>
      <c r="I1040" t="s">
        <v>55</v>
      </c>
      <c r="J1040" t="s">
        <v>56</v>
      </c>
      <c r="K1040">
        <v>3</v>
      </c>
      <c r="L1040" t="s">
        <v>66</v>
      </c>
      <c r="M1040">
        <v>101000</v>
      </c>
      <c r="N1040">
        <v>8.6</v>
      </c>
      <c r="O1040">
        <v>10.4</v>
      </c>
      <c r="P1040">
        <v>5.6</v>
      </c>
      <c r="Q1040">
        <v>3.2</v>
      </c>
      <c r="R1040">
        <v>4</v>
      </c>
      <c r="S1040">
        <v>4</v>
      </c>
      <c r="T1040">
        <v>3</v>
      </c>
      <c r="U1040" t="s">
        <v>30</v>
      </c>
      <c r="V1040">
        <v>4</v>
      </c>
      <c r="W1040">
        <v>1</v>
      </c>
    </row>
    <row r="1041" spans="1:23" x14ac:dyDescent="0.35">
      <c r="A1041" t="s">
        <v>1014</v>
      </c>
      <c r="B1041" s="6">
        <v>43681</v>
      </c>
      <c r="D1041" t="s">
        <v>23</v>
      </c>
      <c r="E1041">
        <v>33</v>
      </c>
      <c r="F1041" t="s">
        <v>62</v>
      </c>
      <c r="G1041" t="s">
        <v>42</v>
      </c>
      <c r="H1041" t="s">
        <v>32</v>
      </c>
      <c r="I1041" t="s">
        <v>45</v>
      </c>
      <c r="J1041" t="s">
        <v>46</v>
      </c>
      <c r="K1041">
        <v>1</v>
      </c>
      <c r="L1041" t="s">
        <v>40</v>
      </c>
      <c r="M1041">
        <v>35000</v>
      </c>
      <c r="N1041">
        <v>12.6</v>
      </c>
      <c r="O1041">
        <v>11.5</v>
      </c>
      <c r="P1041">
        <v>6.4</v>
      </c>
      <c r="Q1041">
        <v>3.4</v>
      </c>
      <c r="R1041">
        <v>4</v>
      </c>
      <c r="S1041">
        <v>2</v>
      </c>
      <c r="T1041">
        <v>3</v>
      </c>
      <c r="U1041" t="s">
        <v>30</v>
      </c>
      <c r="V1041">
        <v>3</v>
      </c>
      <c r="W1041">
        <v>1</v>
      </c>
    </row>
    <row r="1042" spans="1:23" x14ac:dyDescent="0.35">
      <c r="A1042" t="s">
        <v>677</v>
      </c>
      <c r="B1042" s="6">
        <v>42578</v>
      </c>
      <c r="D1042" t="s">
        <v>23</v>
      </c>
      <c r="E1042">
        <v>37</v>
      </c>
      <c r="F1042" t="s">
        <v>62</v>
      </c>
      <c r="G1042" t="s">
        <v>37</v>
      </c>
      <c r="H1042" t="s">
        <v>54</v>
      </c>
      <c r="I1042" t="s">
        <v>55</v>
      </c>
      <c r="J1042" t="s">
        <v>56</v>
      </c>
      <c r="K1042">
        <v>2</v>
      </c>
      <c r="L1042" t="s">
        <v>40</v>
      </c>
      <c r="M1042">
        <v>76000</v>
      </c>
      <c r="N1042">
        <v>10.5</v>
      </c>
      <c r="O1042">
        <v>17.2</v>
      </c>
      <c r="P1042">
        <v>9.4</v>
      </c>
      <c r="Q1042">
        <v>2.4</v>
      </c>
      <c r="R1042">
        <v>3</v>
      </c>
      <c r="S1042">
        <v>3</v>
      </c>
      <c r="T1042">
        <v>4</v>
      </c>
      <c r="U1042" t="s">
        <v>23</v>
      </c>
      <c r="V1042">
        <v>3</v>
      </c>
      <c r="W1042">
        <v>1</v>
      </c>
    </row>
    <row r="1043" spans="1:23" x14ac:dyDescent="0.35">
      <c r="A1043" t="s">
        <v>866</v>
      </c>
      <c r="B1043" s="6">
        <v>45629</v>
      </c>
      <c r="D1043" t="s">
        <v>23</v>
      </c>
      <c r="E1043">
        <v>22</v>
      </c>
      <c r="F1043" t="s">
        <v>62</v>
      </c>
      <c r="G1043" t="s">
        <v>37</v>
      </c>
      <c r="H1043" t="s">
        <v>58</v>
      </c>
      <c r="I1043" t="s">
        <v>48</v>
      </c>
      <c r="J1043" t="s">
        <v>63</v>
      </c>
      <c r="K1043">
        <v>1</v>
      </c>
      <c r="L1043" t="s">
        <v>29</v>
      </c>
      <c r="M1043">
        <v>22000</v>
      </c>
      <c r="N1043">
        <v>10.6</v>
      </c>
      <c r="O1043">
        <v>2.5</v>
      </c>
      <c r="P1043">
        <v>1.1000000000000001</v>
      </c>
      <c r="Q1043">
        <v>0.2</v>
      </c>
      <c r="R1043">
        <v>4</v>
      </c>
      <c r="S1043">
        <v>3</v>
      </c>
      <c r="T1043">
        <v>4</v>
      </c>
      <c r="U1043" t="s">
        <v>23</v>
      </c>
      <c r="V1043">
        <v>3</v>
      </c>
      <c r="W1043">
        <v>1</v>
      </c>
    </row>
    <row r="1044" spans="1:23" x14ac:dyDescent="0.35">
      <c r="A1044" t="s">
        <v>230</v>
      </c>
      <c r="B1044" s="6">
        <v>43058</v>
      </c>
      <c r="D1044" t="s">
        <v>23</v>
      </c>
      <c r="E1044">
        <v>29</v>
      </c>
      <c r="F1044" t="s">
        <v>36</v>
      </c>
      <c r="G1044" t="s">
        <v>25</v>
      </c>
      <c r="H1044" t="s">
        <v>26</v>
      </c>
      <c r="I1044" t="s">
        <v>45</v>
      </c>
      <c r="J1044" t="s">
        <v>77</v>
      </c>
      <c r="K1044">
        <v>3</v>
      </c>
      <c r="L1044" t="s">
        <v>40</v>
      </c>
      <c r="M1044">
        <v>74000</v>
      </c>
      <c r="N1044">
        <v>8.8000000000000007</v>
      </c>
      <c r="O1044">
        <v>8.3000000000000007</v>
      </c>
      <c r="P1044">
        <v>8.1</v>
      </c>
      <c r="Q1044">
        <v>4.9000000000000004</v>
      </c>
      <c r="R1044">
        <v>3</v>
      </c>
      <c r="S1044">
        <v>3</v>
      </c>
      <c r="T1044">
        <v>1</v>
      </c>
      <c r="U1044" t="s">
        <v>23</v>
      </c>
      <c r="V1044">
        <v>3</v>
      </c>
      <c r="W1044">
        <v>1</v>
      </c>
    </row>
    <row r="1045" spans="1:23" x14ac:dyDescent="0.35">
      <c r="A1045" t="s">
        <v>1376</v>
      </c>
      <c r="B1045" s="6">
        <v>43566</v>
      </c>
      <c r="D1045" t="s">
        <v>23</v>
      </c>
      <c r="E1045">
        <v>34</v>
      </c>
      <c r="F1045" t="s">
        <v>36</v>
      </c>
      <c r="G1045" t="s">
        <v>25</v>
      </c>
      <c r="H1045" t="s">
        <v>54</v>
      </c>
      <c r="I1045" t="s">
        <v>45</v>
      </c>
      <c r="J1045" t="s">
        <v>46</v>
      </c>
      <c r="K1045">
        <v>2</v>
      </c>
      <c r="L1045" t="s">
        <v>84</v>
      </c>
      <c r="M1045">
        <v>43000</v>
      </c>
      <c r="N1045">
        <v>13</v>
      </c>
      <c r="O1045">
        <v>9.6</v>
      </c>
      <c r="P1045">
        <v>6.7</v>
      </c>
      <c r="Q1045">
        <v>4.0999999999999996</v>
      </c>
      <c r="R1045">
        <v>2</v>
      </c>
      <c r="S1045">
        <v>3</v>
      </c>
      <c r="T1045">
        <v>3</v>
      </c>
      <c r="U1045" t="s">
        <v>23</v>
      </c>
      <c r="V1045">
        <v>4</v>
      </c>
      <c r="W1045">
        <v>1</v>
      </c>
    </row>
    <row r="1046" spans="1:23" x14ac:dyDescent="0.35">
      <c r="A1046" t="s">
        <v>442</v>
      </c>
      <c r="B1046" s="6">
        <v>44987</v>
      </c>
      <c r="C1046">
        <v>44957</v>
      </c>
      <c r="D1046" t="s">
        <v>30</v>
      </c>
      <c r="E1046">
        <v>37</v>
      </c>
      <c r="F1046" t="s">
        <v>24</v>
      </c>
      <c r="G1046" t="s">
        <v>42</v>
      </c>
      <c r="H1046" t="s">
        <v>32</v>
      </c>
      <c r="I1046" t="s">
        <v>48</v>
      </c>
      <c r="J1046" t="s">
        <v>63</v>
      </c>
      <c r="K1046">
        <v>4</v>
      </c>
      <c r="L1046" t="s">
        <v>84</v>
      </c>
      <c r="M1046">
        <v>111000</v>
      </c>
      <c r="N1046">
        <v>6.4</v>
      </c>
      <c r="O1046">
        <v>9.9</v>
      </c>
      <c r="P1046">
        <v>2.8</v>
      </c>
      <c r="Q1046">
        <v>2.1</v>
      </c>
      <c r="R1046">
        <v>4</v>
      </c>
      <c r="S1046">
        <v>4</v>
      </c>
      <c r="T1046">
        <v>3</v>
      </c>
      <c r="U1046" t="s">
        <v>23</v>
      </c>
      <c r="V1046">
        <v>3</v>
      </c>
      <c r="W1046">
        <v>1</v>
      </c>
    </row>
    <row r="1047" spans="1:23" x14ac:dyDescent="0.35">
      <c r="A1047" t="s">
        <v>1393</v>
      </c>
      <c r="B1047" s="6">
        <v>42510</v>
      </c>
      <c r="D1047" t="s">
        <v>23</v>
      </c>
      <c r="E1047">
        <v>33</v>
      </c>
      <c r="F1047" t="s">
        <v>24</v>
      </c>
      <c r="G1047" t="s">
        <v>25</v>
      </c>
      <c r="H1047" t="s">
        <v>54</v>
      </c>
      <c r="I1047" t="s">
        <v>48</v>
      </c>
      <c r="J1047" t="s">
        <v>49</v>
      </c>
      <c r="K1047">
        <v>2</v>
      </c>
      <c r="L1047" t="s">
        <v>66</v>
      </c>
      <c r="M1047">
        <v>59000</v>
      </c>
      <c r="N1047">
        <v>7.9</v>
      </c>
      <c r="O1047">
        <v>9.9</v>
      </c>
      <c r="P1047">
        <v>9.6</v>
      </c>
      <c r="Q1047">
        <v>0.2</v>
      </c>
      <c r="R1047">
        <v>3</v>
      </c>
      <c r="S1047">
        <v>4</v>
      </c>
      <c r="T1047">
        <v>3</v>
      </c>
      <c r="U1047" t="s">
        <v>23</v>
      </c>
      <c r="V1047">
        <v>3</v>
      </c>
      <c r="W1047">
        <v>1</v>
      </c>
    </row>
    <row r="1048" spans="1:23" x14ac:dyDescent="0.35">
      <c r="A1048" t="s">
        <v>214</v>
      </c>
      <c r="B1048" s="6">
        <v>45718</v>
      </c>
      <c r="D1048" t="s">
        <v>23</v>
      </c>
      <c r="E1048">
        <v>30</v>
      </c>
      <c r="F1048" t="s">
        <v>24</v>
      </c>
      <c r="G1048" t="s">
        <v>37</v>
      </c>
      <c r="H1048" t="s">
        <v>26</v>
      </c>
      <c r="I1048" t="s">
        <v>48</v>
      </c>
      <c r="J1048" t="s">
        <v>201</v>
      </c>
      <c r="K1048">
        <v>1</v>
      </c>
      <c r="L1048" t="s">
        <v>34</v>
      </c>
      <c r="M1048">
        <v>42000</v>
      </c>
      <c r="N1048">
        <v>7.8</v>
      </c>
      <c r="O1048">
        <v>1.4</v>
      </c>
      <c r="P1048">
        <v>0.8</v>
      </c>
      <c r="Q1048">
        <v>0</v>
      </c>
      <c r="R1048">
        <v>4</v>
      </c>
      <c r="S1048">
        <v>4</v>
      </c>
      <c r="T1048">
        <v>3</v>
      </c>
      <c r="U1048" t="s">
        <v>23</v>
      </c>
      <c r="V1048">
        <v>5</v>
      </c>
      <c r="W1048">
        <v>1</v>
      </c>
    </row>
    <row r="1049" spans="1:23" x14ac:dyDescent="0.35">
      <c r="A1049" t="s">
        <v>285</v>
      </c>
      <c r="B1049" s="6">
        <v>44720</v>
      </c>
      <c r="D1049" t="s">
        <v>23</v>
      </c>
      <c r="E1049">
        <v>40</v>
      </c>
      <c r="F1049" t="s">
        <v>62</v>
      </c>
      <c r="G1049" t="s">
        <v>42</v>
      </c>
      <c r="H1049" t="s">
        <v>54</v>
      </c>
      <c r="I1049" t="s">
        <v>27</v>
      </c>
      <c r="J1049" t="s">
        <v>43</v>
      </c>
      <c r="K1049">
        <v>3</v>
      </c>
      <c r="L1049" t="s">
        <v>29</v>
      </c>
      <c r="M1049">
        <v>67000</v>
      </c>
      <c r="N1049">
        <v>2.8</v>
      </c>
      <c r="O1049">
        <v>6.1</v>
      </c>
      <c r="P1049">
        <v>3.6</v>
      </c>
      <c r="Q1049">
        <v>1.6</v>
      </c>
      <c r="R1049">
        <v>3</v>
      </c>
      <c r="S1049">
        <v>4</v>
      </c>
      <c r="T1049">
        <v>4</v>
      </c>
      <c r="U1049" t="s">
        <v>23</v>
      </c>
      <c r="V1049">
        <v>4</v>
      </c>
      <c r="W1049">
        <v>1</v>
      </c>
    </row>
    <row r="1050" spans="1:23" x14ac:dyDescent="0.35">
      <c r="A1050" t="s">
        <v>185</v>
      </c>
      <c r="B1050" s="6">
        <v>45132</v>
      </c>
      <c r="D1050" t="s">
        <v>23</v>
      </c>
      <c r="E1050">
        <v>30</v>
      </c>
      <c r="F1050" t="s">
        <v>24</v>
      </c>
      <c r="G1050" t="s">
        <v>25</v>
      </c>
      <c r="H1050" t="s">
        <v>54</v>
      </c>
      <c r="I1050" t="s">
        <v>55</v>
      </c>
      <c r="J1050" t="s">
        <v>56</v>
      </c>
      <c r="K1050">
        <v>3</v>
      </c>
      <c r="L1050" t="s">
        <v>34</v>
      </c>
      <c r="M1050">
        <v>81000</v>
      </c>
      <c r="N1050">
        <v>8.3000000000000007</v>
      </c>
      <c r="O1050">
        <v>6</v>
      </c>
      <c r="P1050">
        <v>2.4</v>
      </c>
      <c r="Q1050">
        <v>0.7</v>
      </c>
      <c r="R1050">
        <v>1</v>
      </c>
      <c r="S1050">
        <v>2</v>
      </c>
      <c r="T1050">
        <v>3</v>
      </c>
      <c r="U1050" t="s">
        <v>30</v>
      </c>
      <c r="V1050">
        <v>3</v>
      </c>
      <c r="W1050">
        <v>1</v>
      </c>
    </row>
    <row r="1051" spans="1:23" x14ac:dyDescent="0.35">
      <c r="A1051" t="s">
        <v>1571</v>
      </c>
      <c r="B1051" s="6">
        <v>44441</v>
      </c>
      <c r="D1051" t="s">
        <v>23</v>
      </c>
      <c r="E1051">
        <v>33</v>
      </c>
      <c r="F1051" t="s">
        <v>62</v>
      </c>
      <c r="G1051" t="s">
        <v>25</v>
      </c>
      <c r="H1051" t="s">
        <v>26</v>
      </c>
      <c r="I1051" t="s">
        <v>45</v>
      </c>
      <c r="J1051" t="s">
        <v>97</v>
      </c>
      <c r="K1051">
        <v>3</v>
      </c>
      <c r="L1051" t="s">
        <v>84</v>
      </c>
      <c r="M1051">
        <v>75000</v>
      </c>
      <c r="N1051">
        <v>16.3</v>
      </c>
      <c r="O1051">
        <v>10.1</v>
      </c>
      <c r="P1051">
        <v>4.3</v>
      </c>
      <c r="Q1051">
        <v>3.6</v>
      </c>
      <c r="R1051">
        <v>2</v>
      </c>
      <c r="S1051">
        <v>4</v>
      </c>
      <c r="T1051">
        <v>4</v>
      </c>
      <c r="U1051" t="s">
        <v>23</v>
      </c>
      <c r="V1051">
        <v>5</v>
      </c>
      <c r="W1051">
        <v>1</v>
      </c>
    </row>
    <row r="1052" spans="1:23" x14ac:dyDescent="0.35">
      <c r="A1052" t="s">
        <v>176</v>
      </c>
      <c r="B1052" s="6">
        <v>43030</v>
      </c>
      <c r="D1052" t="s">
        <v>23</v>
      </c>
      <c r="E1052">
        <v>35</v>
      </c>
      <c r="F1052" t="s">
        <v>24</v>
      </c>
      <c r="G1052" t="s">
        <v>37</v>
      </c>
      <c r="H1052" t="s">
        <v>58</v>
      </c>
      <c r="I1052" t="s">
        <v>38</v>
      </c>
      <c r="J1052" t="s">
        <v>52</v>
      </c>
      <c r="K1052">
        <v>4</v>
      </c>
      <c r="L1052" t="s">
        <v>34</v>
      </c>
      <c r="M1052">
        <v>120000</v>
      </c>
      <c r="N1052">
        <v>5.6</v>
      </c>
      <c r="O1052">
        <v>11.8</v>
      </c>
      <c r="P1052">
        <v>8.1999999999999993</v>
      </c>
      <c r="Q1052">
        <v>0.5</v>
      </c>
      <c r="R1052">
        <v>4</v>
      </c>
      <c r="S1052">
        <v>2</v>
      </c>
      <c r="T1052">
        <v>4</v>
      </c>
      <c r="U1052" t="s">
        <v>30</v>
      </c>
      <c r="V1052">
        <v>3</v>
      </c>
      <c r="W1052">
        <v>1</v>
      </c>
    </row>
    <row r="1053" spans="1:23" x14ac:dyDescent="0.35">
      <c r="A1053" t="s">
        <v>695</v>
      </c>
      <c r="B1053" s="6">
        <v>45632</v>
      </c>
      <c r="D1053" t="s">
        <v>23</v>
      </c>
      <c r="E1053">
        <v>30</v>
      </c>
      <c r="F1053" t="s">
        <v>36</v>
      </c>
      <c r="G1053" t="s">
        <v>37</v>
      </c>
      <c r="H1053" t="s">
        <v>58</v>
      </c>
      <c r="I1053" t="s">
        <v>38</v>
      </c>
      <c r="J1053" t="s">
        <v>52</v>
      </c>
      <c r="K1053">
        <v>3</v>
      </c>
      <c r="L1053" t="s">
        <v>40</v>
      </c>
      <c r="M1053">
        <v>90000</v>
      </c>
      <c r="N1053">
        <v>18.399999999999999</v>
      </c>
      <c r="O1053">
        <v>2.4</v>
      </c>
      <c r="P1053">
        <v>1.1000000000000001</v>
      </c>
      <c r="Q1053">
        <v>0.1</v>
      </c>
      <c r="R1053">
        <v>4</v>
      </c>
      <c r="S1053">
        <v>3</v>
      </c>
      <c r="T1053">
        <v>1</v>
      </c>
      <c r="U1053" t="s">
        <v>30</v>
      </c>
      <c r="V1053">
        <v>2</v>
      </c>
      <c r="W1053">
        <v>1</v>
      </c>
    </row>
    <row r="1054" spans="1:23" x14ac:dyDescent="0.35">
      <c r="A1054" t="s">
        <v>831</v>
      </c>
      <c r="B1054" s="6">
        <v>42453</v>
      </c>
      <c r="D1054" t="s">
        <v>23</v>
      </c>
      <c r="E1054">
        <v>30</v>
      </c>
      <c r="F1054" t="s">
        <v>24</v>
      </c>
      <c r="G1054" t="s">
        <v>25</v>
      </c>
      <c r="H1054" t="s">
        <v>58</v>
      </c>
      <c r="I1054" t="s">
        <v>48</v>
      </c>
      <c r="J1054" t="s">
        <v>201</v>
      </c>
      <c r="K1054">
        <v>3</v>
      </c>
      <c r="L1054" t="s">
        <v>50</v>
      </c>
      <c r="M1054">
        <v>79000</v>
      </c>
      <c r="N1054">
        <v>10.6</v>
      </c>
      <c r="O1054">
        <v>16.899999999999999</v>
      </c>
      <c r="P1054">
        <v>9.8000000000000007</v>
      </c>
      <c r="Q1054">
        <v>3.3</v>
      </c>
      <c r="R1054">
        <v>2</v>
      </c>
      <c r="S1054">
        <v>3</v>
      </c>
      <c r="T1054">
        <v>3</v>
      </c>
      <c r="U1054" t="s">
        <v>23</v>
      </c>
      <c r="V1054">
        <v>4</v>
      </c>
      <c r="W1054">
        <v>1</v>
      </c>
    </row>
    <row r="1055" spans="1:23" x14ac:dyDescent="0.35">
      <c r="A1055" t="s">
        <v>1315</v>
      </c>
      <c r="B1055" s="6">
        <v>45729</v>
      </c>
      <c r="D1055" t="s">
        <v>23</v>
      </c>
      <c r="E1055">
        <v>42</v>
      </c>
      <c r="F1055" t="s">
        <v>62</v>
      </c>
      <c r="G1055" t="s">
        <v>37</v>
      </c>
      <c r="H1055" t="s">
        <v>32</v>
      </c>
      <c r="I1055" t="s">
        <v>55</v>
      </c>
      <c r="J1055" t="s">
        <v>80</v>
      </c>
      <c r="K1055">
        <v>2</v>
      </c>
      <c r="L1055" t="s">
        <v>34</v>
      </c>
      <c r="M1055">
        <v>40000</v>
      </c>
      <c r="N1055">
        <v>0</v>
      </c>
      <c r="O1055">
        <v>1.2</v>
      </c>
      <c r="P1055">
        <v>0.8</v>
      </c>
      <c r="Q1055">
        <v>0</v>
      </c>
      <c r="R1055">
        <v>3</v>
      </c>
      <c r="S1055">
        <v>3</v>
      </c>
      <c r="T1055">
        <v>4</v>
      </c>
      <c r="U1055" t="s">
        <v>23</v>
      </c>
      <c r="V1055">
        <v>3</v>
      </c>
      <c r="W1055">
        <v>1</v>
      </c>
    </row>
    <row r="1056" spans="1:23" x14ac:dyDescent="0.35">
      <c r="A1056" t="s">
        <v>323</v>
      </c>
      <c r="B1056" s="6">
        <v>45185</v>
      </c>
      <c r="C1056">
        <v>45705</v>
      </c>
      <c r="D1056" t="s">
        <v>30</v>
      </c>
      <c r="E1056">
        <v>41</v>
      </c>
      <c r="F1056" t="s">
        <v>24</v>
      </c>
      <c r="G1056" t="s">
        <v>42</v>
      </c>
      <c r="H1056" t="s">
        <v>54</v>
      </c>
      <c r="I1056" t="s">
        <v>45</v>
      </c>
      <c r="J1056" t="s">
        <v>46</v>
      </c>
      <c r="K1056">
        <v>3</v>
      </c>
      <c r="L1056" t="s">
        <v>40</v>
      </c>
      <c r="M1056">
        <v>58000</v>
      </c>
      <c r="N1056">
        <v>0</v>
      </c>
      <c r="O1056">
        <v>8.4</v>
      </c>
      <c r="P1056">
        <v>1.4</v>
      </c>
      <c r="Q1056">
        <v>1.3</v>
      </c>
      <c r="R1056">
        <v>1</v>
      </c>
      <c r="S1056">
        <v>3</v>
      </c>
      <c r="T1056">
        <v>4</v>
      </c>
      <c r="U1056" t="s">
        <v>30</v>
      </c>
      <c r="V1056">
        <v>2</v>
      </c>
      <c r="W1056">
        <v>1</v>
      </c>
    </row>
    <row r="1057" spans="1:23" x14ac:dyDescent="0.35">
      <c r="A1057" t="s">
        <v>316</v>
      </c>
      <c r="B1057" s="6">
        <v>43813</v>
      </c>
      <c r="D1057" t="s">
        <v>23</v>
      </c>
      <c r="E1057">
        <v>35</v>
      </c>
      <c r="F1057" t="s">
        <v>62</v>
      </c>
      <c r="G1057" t="s">
        <v>37</v>
      </c>
      <c r="H1057" t="s">
        <v>58</v>
      </c>
      <c r="I1057" t="s">
        <v>27</v>
      </c>
      <c r="J1057" t="s">
        <v>28</v>
      </c>
      <c r="K1057">
        <v>3</v>
      </c>
      <c r="L1057" t="s">
        <v>34</v>
      </c>
      <c r="M1057">
        <v>64000</v>
      </c>
      <c r="N1057">
        <v>5.0999999999999996</v>
      </c>
      <c r="O1057">
        <v>9.5</v>
      </c>
      <c r="P1057">
        <v>6</v>
      </c>
      <c r="Q1057">
        <v>5</v>
      </c>
      <c r="R1057">
        <v>3</v>
      </c>
      <c r="S1057">
        <v>4</v>
      </c>
      <c r="T1057">
        <v>3</v>
      </c>
      <c r="U1057" t="s">
        <v>23</v>
      </c>
      <c r="V1057">
        <v>5</v>
      </c>
      <c r="W1057">
        <v>1</v>
      </c>
    </row>
    <row r="1058" spans="1:23" x14ac:dyDescent="0.35">
      <c r="A1058" t="s">
        <v>879</v>
      </c>
      <c r="B1058" s="6">
        <v>42707</v>
      </c>
      <c r="D1058" t="s">
        <v>23</v>
      </c>
      <c r="E1058">
        <v>34</v>
      </c>
      <c r="F1058" t="s">
        <v>36</v>
      </c>
      <c r="G1058" t="s">
        <v>42</v>
      </c>
      <c r="H1058" t="s">
        <v>26</v>
      </c>
      <c r="I1058" t="s">
        <v>38</v>
      </c>
      <c r="J1058" t="s">
        <v>39</v>
      </c>
      <c r="K1058">
        <v>2</v>
      </c>
      <c r="L1058" t="s">
        <v>34</v>
      </c>
      <c r="M1058">
        <v>54000</v>
      </c>
      <c r="N1058">
        <v>11</v>
      </c>
      <c r="O1058">
        <v>13.8</v>
      </c>
      <c r="P1058">
        <v>9.1</v>
      </c>
      <c r="Q1058">
        <v>4.3</v>
      </c>
      <c r="R1058">
        <v>1</v>
      </c>
      <c r="S1058">
        <v>3</v>
      </c>
      <c r="T1058">
        <v>3</v>
      </c>
      <c r="U1058" t="s">
        <v>23</v>
      </c>
      <c r="V1058">
        <v>5</v>
      </c>
      <c r="W1058">
        <v>1</v>
      </c>
    </row>
    <row r="1059" spans="1:23" x14ac:dyDescent="0.35">
      <c r="A1059" t="s">
        <v>135</v>
      </c>
      <c r="B1059" s="6">
        <v>45336</v>
      </c>
      <c r="C1059">
        <v>45665</v>
      </c>
      <c r="D1059" t="s">
        <v>30</v>
      </c>
      <c r="E1059">
        <v>27</v>
      </c>
      <c r="F1059" t="s">
        <v>24</v>
      </c>
      <c r="G1059" t="s">
        <v>37</v>
      </c>
      <c r="H1059" t="s">
        <v>58</v>
      </c>
      <c r="I1059" t="s">
        <v>59</v>
      </c>
      <c r="J1059" t="s">
        <v>60</v>
      </c>
      <c r="K1059">
        <v>1</v>
      </c>
      <c r="L1059" t="s">
        <v>84</v>
      </c>
      <c r="M1059">
        <v>23000</v>
      </c>
      <c r="N1059">
        <v>8</v>
      </c>
      <c r="O1059">
        <v>3.8</v>
      </c>
      <c r="P1059">
        <v>0.9</v>
      </c>
      <c r="Q1059">
        <v>0</v>
      </c>
      <c r="R1059">
        <v>4</v>
      </c>
      <c r="S1059">
        <v>3</v>
      </c>
      <c r="T1059">
        <v>2</v>
      </c>
      <c r="U1059" t="s">
        <v>23</v>
      </c>
      <c r="V1059">
        <v>4</v>
      </c>
      <c r="W1059">
        <v>1</v>
      </c>
    </row>
    <row r="1060" spans="1:23" x14ac:dyDescent="0.35">
      <c r="A1060" t="s">
        <v>722</v>
      </c>
      <c r="B1060" s="6">
        <v>44232</v>
      </c>
      <c r="D1060" t="s">
        <v>23</v>
      </c>
      <c r="E1060">
        <v>39</v>
      </c>
      <c r="F1060" t="s">
        <v>62</v>
      </c>
      <c r="G1060" t="s">
        <v>37</v>
      </c>
      <c r="H1060" t="s">
        <v>32</v>
      </c>
      <c r="I1060" t="s">
        <v>45</v>
      </c>
      <c r="J1060" t="s">
        <v>97</v>
      </c>
      <c r="K1060">
        <v>1</v>
      </c>
      <c r="L1060" t="s">
        <v>50</v>
      </c>
      <c r="M1060">
        <v>22000</v>
      </c>
      <c r="N1060">
        <v>9.1999999999999993</v>
      </c>
      <c r="O1060">
        <v>9.1999999999999993</v>
      </c>
      <c r="P1060">
        <v>4.9000000000000004</v>
      </c>
      <c r="Q1060">
        <v>2.2000000000000002</v>
      </c>
      <c r="R1060">
        <v>3</v>
      </c>
      <c r="S1060">
        <v>2</v>
      </c>
      <c r="T1060">
        <v>3</v>
      </c>
      <c r="U1060" t="s">
        <v>23</v>
      </c>
      <c r="V1060">
        <v>4</v>
      </c>
      <c r="W1060">
        <v>1</v>
      </c>
    </row>
    <row r="1061" spans="1:23" x14ac:dyDescent="0.35">
      <c r="A1061" t="s">
        <v>1067</v>
      </c>
      <c r="B1061" s="6">
        <v>44212</v>
      </c>
      <c r="C1061">
        <v>45960</v>
      </c>
      <c r="D1061" t="s">
        <v>30</v>
      </c>
      <c r="E1061">
        <v>46</v>
      </c>
      <c r="F1061" t="s">
        <v>62</v>
      </c>
      <c r="G1061" t="s">
        <v>37</v>
      </c>
      <c r="H1061" t="s">
        <v>32</v>
      </c>
      <c r="I1061" t="s">
        <v>27</v>
      </c>
      <c r="J1061" t="s">
        <v>95</v>
      </c>
      <c r="K1061">
        <v>2</v>
      </c>
      <c r="L1061" t="s">
        <v>40</v>
      </c>
      <c r="M1061">
        <v>46000</v>
      </c>
      <c r="N1061">
        <v>10.3</v>
      </c>
      <c r="O1061">
        <v>9.1</v>
      </c>
      <c r="P1061">
        <v>4.8</v>
      </c>
      <c r="Q1061">
        <v>3.3</v>
      </c>
      <c r="R1061">
        <v>3</v>
      </c>
      <c r="S1061">
        <v>2</v>
      </c>
      <c r="T1061">
        <v>3</v>
      </c>
      <c r="U1061" t="s">
        <v>23</v>
      </c>
      <c r="V1061">
        <v>4</v>
      </c>
      <c r="W1061">
        <v>1</v>
      </c>
    </row>
    <row r="1062" spans="1:23" x14ac:dyDescent="0.35">
      <c r="A1062" t="s">
        <v>1335</v>
      </c>
      <c r="B1062" s="6">
        <v>45709</v>
      </c>
      <c r="C1062">
        <v>45984</v>
      </c>
      <c r="D1062" t="s">
        <v>30</v>
      </c>
      <c r="E1062">
        <v>21</v>
      </c>
      <c r="F1062" t="s">
        <v>36</v>
      </c>
      <c r="G1062" t="s">
        <v>25</v>
      </c>
      <c r="H1062" t="s">
        <v>32</v>
      </c>
      <c r="I1062" t="s">
        <v>38</v>
      </c>
      <c r="J1062" t="s">
        <v>39</v>
      </c>
      <c r="K1062">
        <v>1</v>
      </c>
      <c r="L1062" t="s">
        <v>84</v>
      </c>
      <c r="M1062">
        <v>45000</v>
      </c>
      <c r="N1062">
        <v>9</v>
      </c>
      <c r="O1062">
        <v>5.0999999999999996</v>
      </c>
      <c r="P1062">
        <v>0.8</v>
      </c>
      <c r="Q1062">
        <v>0</v>
      </c>
      <c r="R1062">
        <v>3</v>
      </c>
      <c r="S1062">
        <v>3</v>
      </c>
      <c r="T1062">
        <v>3</v>
      </c>
      <c r="U1062" t="s">
        <v>23</v>
      </c>
      <c r="V1062">
        <v>3</v>
      </c>
      <c r="W1062">
        <v>1</v>
      </c>
    </row>
    <row r="1063" spans="1:23" x14ac:dyDescent="0.35">
      <c r="A1063" t="s">
        <v>742</v>
      </c>
      <c r="B1063" s="6">
        <v>45078</v>
      </c>
      <c r="C1063">
        <v>45701</v>
      </c>
      <c r="D1063" t="s">
        <v>30</v>
      </c>
      <c r="E1063">
        <v>23</v>
      </c>
      <c r="F1063" t="s">
        <v>24</v>
      </c>
      <c r="G1063" t="s">
        <v>25</v>
      </c>
      <c r="H1063" t="s">
        <v>54</v>
      </c>
      <c r="I1063" t="s">
        <v>27</v>
      </c>
      <c r="J1063" t="s">
        <v>28</v>
      </c>
      <c r="K1063">
        <v>1</v>
      </c>
      <c r="L1063" t="s">
        <v>50</v>
      </c>
      <c r="M1063">
        <v>37000</v>
      </c>
      <c r="N1063">
        <v>16.5</v>
      </c>
      <c r="O1063">
        <v>4</v>
      </c>
      <c r="P1063">
        <v>1.7</v>
      </c>
      <c r="Q1063">
        <v>0.8</v>
      </c>
      <c r="R1063">
        <v>3</v>
      </c>
      <c r="S1063">
        <v>3</v>
      </c>
      <c r="T1063">
        <v>3</v>
      </c>
      <c r="U1063" t="s">
        <v>23</v>
      </c>
      <c r="V1063">
        <v>4</v>
      </c>
      <c r="W1063">
        <v>1</v>
      </c>
    </row>
    <row r="1064" spans="1:23" x14ac:dyDescent="0.35">
      <c r="A1064" t="s">
        <v>395</v>
      </c>
      <c r="B1064" s="6">
        <v>43588</v>
      </c>
      <c r="D1064" t="s">
        <v>23</v>
      </c>
      <c r="E1064">
        <v>35</v>
      </c>
      <c r="F1064" t="s">
        <v>24</v>
      </c>
      <c r="G1064" t="s">
        <v>25</v>
      </c>
      <c r="H1064" t="s">
        <v>26</v>
      </c>
      <c r="I1064" t="s">
        <v>68</v>
      </c>
      <c r="J1064" t="s">
        <v>109</v>
      </c>
      <c r="K1064">
        <v>2</v>
      </c>
      <c r="L1064" t="s">
        <v>29</v>
      </c>
      <c r="M1064">
        <v>53000</v>
      </c>
      <c r="N1064">
        <v>2.7</v>
      </c>
      <c r="O1064">
        <v>14.4</v>
      </c>
      <c r="P1064">
        <v>6.7</v>
      </c>
      <c r="Q1064">
        <v>1.1000000000000001</v>
      </c>
      <c r="R1064">
        <v>3</v>
      </c>
      <c r="S1064">
        <v>4</v>
      </c>
      <c r="T1064">
        <v>3</v>
      </c>
      <c r="U1064" t="s">
        <v>23</v>
      </c>
      <c r="V1064">
        <v>3</v>
      </c>
      <c r="W1064">
        <v>1</v>
      </c>
    </row>
    <row r="1065" spans="1:23" x14ac:dyDescent="0.35">
      <c r="A1065" t="s">
        <v>1487</v>
      </c>
      <c r="B1065" s="6">
        <v>44222</v>
      </c>
      <c r="D1065" t="s">
        <v>23</v>
      </c>
      <c r="E1065">
        <v>29</v>
      </c>
      <c r="F1065" t="s">
        <v>36</v>
      </c>
      <c r="G1065" t="s">
        <v>25</v>
      </c>
      <c r="H1065" t="s">
        <v>32</v>
      </c>
      <c r="I1065" t="s">
        <v>45</v>
      </c>
      <c r="J1065" t="s">
        <v>46</v>
      </c>
      <c r="K1065">
        <v>3</v>
      </c>
      <c r="L1065" t="s">
        <v>34</v>
      </c>
      <c r="M1065">
        <v>77000</v>
      </c>
      <c r="N1065">
        <v>2.7</v>
      </c>
      <c r="O1065">
        <v>12.3</v>
      </c>
      <c r="P1065">
        <v>4.9000000000000004</v>
      </c>
      <c r="Q1065">
        <v>2.5</v>
      </c>
      <c r="R1065">
        <v>2</v>
      </c>
      <c r="S1065">
        <v>3</v>
      </c>
      <c r="T1065">
        <v>2</v>
      </c>
      <c r="U1065" t="s">
        <v>23</v>
      </c>
      <c r="V1065">
        <v>4</v>
      </c>
      <c r="W1065">
        <v>1</v>
      </c>
    </row>
    <row r="1066" spans="1:23" x14ac:dyDescent="0.35">
      <c r="A1066" t="s">
        <v>1590</v>
      </c>
      <c r="B1066" s="6">
        <v>43639</v>
      </c>
      <c r="D1066" t="s">
        <v>23</v>
      </c>
      <c r="E1066">
        <v>43</v>
      </c>
      <c r="F1066" t="s">
        <v>62</v>
      </c>
      <c r="G1066" t="s">
        <v>42</v>
      </c>
      <c r="H1066" t="s">
        <v>54</v>
      </c>
      <c r="I1066" t="s">
        <v>45</v>
      </c>
      <c r="J1066" t="s">
        <v>164</v>
      </c>
      <c r="K1066">
        <v>3</v>
      </c>
      <c r="L1066" t="s">
        <v>34</v>
      </c>
      <c r="M1066">
        <v>69000</v>
      </c>
      <c r="N1066">
        <v>14.8</v>
      </c>
      <c r="O1066">
        <v>12</v>
      </c>
      <c r="P1066">
        <v>6.5</v>
      </c>
      <c r="Q1066">
        <v>4.8</v>
      </c>
      <c r="R1066">
        <v>1</v>
      </c>
      <c r="S1066">
        <v>3</v>
      </c>
      <c r="T1066">
        <v>3</v>
      </c>
      <c r="U1066" t="s">
        <v>23</v>
      </c>
      <c r="V1066">
        <v>5</v>
      </c>
      <c r="W1066">
        <v>1</v>
      </c>
    </row>
    <row r="1067" spans="1:23" x14ac:dyDescent="0.35">
      <c r="A1067" t="s">
        <v>183</v>
      </c>
      <c r="B1067" s="6">
        <v>45738</v>
      </c>
      <c r="C1067">
        <v>45869</v>
      </c>
      <c r="D1067" t="s">
        <v>30</v>
      </c>
      <c r="E1067">
        <v>21</v>
      </c>
      <c r="F1067" t="s">
        <v>24</v>
      </c>
      <c r="G1067" t="s">
        <v>25</v>
      </c>
      <c r="H1067" t="s">
        <v>54</v>
      </c>
      <c r="I1067" t="s">
        <v>45</v>
      </c>
      <c r="J1067" t="s">
        <v>77</v>
      </c>
      <c r="K1067">
        <v>1</v>
      </c>
      <c r="L1067" t="s">
        <v>34</v>
      </c>
      <c r="M1067">
        <v>40000</v>
      </c>
      <c r="N1067">
        <v>6.6</v>
      </c>
      <c r="O1067">
        <v>7.6</v>
      </c>
      <c r="P1067">
        <v>0.4</v>
      </c>
      <c r="Q1067">
        <v>0</v>
      </c>
      <c r="R1067">
        <v>1</v>
      </c>
      <c r="S1067">
        <v>4</v>
      </c>
      <c r="T1067">
        <v>4</v>
      </c>
      <c r="U1067" t="s">
        <v>23</v>
      </c>
      <c r="V1067">
        <v>3</v>
      </c>
      <c r="W1067">
        <v>1</v>
      </c>
    </row>
    <row r="1068" spans="1:23" x14ac:dyDescent="0.35">
      <c r="A1068" t="s">
        <v>383</v>
      </c>
      <c r="B1068" s="6">
        <v>44404</v>
      </c>
      <c r="D1068" t="s">
        <v>23</v>
      </c>
      <c r="E1068">
        <v>33</v>
      </c>
      <c r="F1068" t="s">
        <v>36</v>
      </c>
      <c r="G1068" t="s">
        <v>37</v>
      </c>
      <c r="H1068" t="s">
        <v>32</v>
      </c>
      <c r="I1068" t="s">
        <v>27</v>
      </c>
      <c r="J1068" t="s">
        <v>33</v>
      </c>
      <c r="K1068">
        <v>2</v>
      </c>
      <c r="L1068" t="s">
        <v>66</v>
      </c>
      <c r="M1068">
        <v>37000</v>
      </c>
      <c r="N1068">
        <v>9.6999999999999993</v>
      </c>
      <c r="O1068">
        <v>9.5</v>
      </c>
      <c r="P1068">
        <v>4.4000000000000004</v>
      </c>
      <c r="Q1068">
        <v>0.6</v>
      </c>
      <c r="R1068">
        <v>3</v>
      </c>
      <c r="S1068">
        <v>3</v>
      </c>
      <c r="T1068">
        <v>3</v>
      </c>
      <c r="U1068" t="s">
        <v>23</v>
      </c>
      <c r="V1068">
        <v>3</v>
      </c>
      <c r="W1068">
        <v>1</v>
      </c>
    </row>
    <row r="1069" spans="1:23" x14ac:dyDescent="0.35">
      <c r="A1069" t="s">
        <v>1466</v>
      </c>
      <c r="B1069" s="6">
        <v>45210</v>
      </c>
      <c r="D1069" t="s">
        <v>23</v>
      </c>
      <c r="E1069">
        <v>36</v>
      </c>
      <c r="F1069" t="s">
        <v>36</v>
      </c>
      <c r="G1069" t="s">
        <v>42</v>
      </c>
      <c r="H1069" t="s">
        <v>32</v>
      </c>
      <c r="I1069" t="s">
        <v>27</v>
      </c>
      <c r="J1069" t="s">
        <v>43</v>
      </c>
      <c r="K1069">
        <v>2</v>
      </c>
      <c r="L1069" t="s">
        <v>66</v>
      </c>
      <c r="M1069">
        <v>50000</v>
      </c>
      <c r="N1069">
        <v>13.3</v>
      </c>
      <c r="O1069">
        <v>6.5</v>
      </c>
      <c r="P1069">
        <v>2.2000000000000002</v>
      </c>
      <c r="Q1069">
        <v>0.7</v>
      </c>
      <c r="R1069">
        <v>3</v>
      </c>
      <c r="S1069">
        <v>4</v>
      </c>
      <c r="T1069">
        <v>3</v>
      </c>
      <c r="U1069" t="s">
        <v>30</v>
      </c>
      <c r="V1069">
        <v>5</v>
      </c>
      <c r="W1069">
        <v>1</v>
      </c>
    </row>
    <row r="1070" spans="1:23" x14ac:dyDescent="0.35">
      <c r="A1070" t="s">
        <v>1460</v>
      </c>
      <c r="B1070" s="6">
        <v>44966</v>
      </c>
      <c r="D1070" t="s">
        <v>23</v>
      </c>
      <c r="E1070">
        <v>34</v>
      </c>
      <c r="F1070" t="s">
        <v>62</v>
      </c>
      <c r="G1070" t="s">
        <v>42</v>
      </c>
      <c r="H1070" t="s">
        <v>58</v>
      </c>
      <c r="I1070" t="s">
        <v>55</v>
      </c>
      <c r="J1070" t="s">
        <v>80</v>
      </c>
      <c r="K1070">
        <v>4</v>
      </c>
      <c r="L1070" t="s">
        <v>84</v>
      </c>
      <c r="M1070">
        <v>119000</v>
      </c>
      <c r="N1070">
        <v>9.9</v>
      </c>
      <c r="O1070">
        <v>8.4</v>
      </c>
      <c r="P1070">
        <v>2.9</v>
      </c>
      <c r="Q1070">
        <v>0.3</v>
      </c>
      <c r="R1070">
        <v>3</v>
      </c>
      <c r="S1070">
        <v>4</v>
      </c>
      <c r="T1070">
        <v>4</v>
      </c>
      <c r="U1070" t="s">
        <v>23</v>
      </c>
      <c r="V1070">
        <v>2</v>
      </c>
      <c r="W1070">
        <v>1</v>
      </c>
    </row>
    <row r="1071" spans="1:23" x14ac:dyDescent="0.35">
      <c r="A1071" t="s">
        <v>991</v>
      </c>
      <c r="B1071" s="6">
        <v>44643</v>
      </c>
      <c r="D1071" t="s">
        <v>23</v>
      </c>
      <c r="E1071">
        <v>27</v>
      </c>
      <c r="F1071" t="s">
        <v>24</v>
      </c>
      <c r="G1071" t="s">
        <v>37</v>
      </c>
      <c r="H1071" t="s">
        <v>32</v>
      </c>
      <c r="I1071" t="s">
        <v>38</v>
      </c>
      <c r="J1071" t="s">
        <v>52</v>
      </c>
      <c r="K1071">
        <v>1</v>
      </c>
      <c r="L1071" t="s">
        <v>84</v>
      </c>
      <c r="M1071">
        <v>51000</v>
      </c>
      <c r="N1071">
        <v>8.6</v>
      </c>
      <c r="O1071">
        <v>3.9</v>
      </c>
      <c r="P1071">
        <v>3.8</v>
      </c>
      <c r="Q1071">
        <v>1.2</v>
      </c>
      <c r="R1071">
        <v>4</v>
      </c>
      <c r="S1071">
        <v>3</v>
      </c>
      <c r="T1071">
        <v>3</v>
      </c>
      <c r="U1071" t="s">
        <v>23</v>
      </c>
      <c r="V1071">
        <v>4</v>
      </c>
      <c r="W1071">
        <v>1</v>
      </c>
    </row>
    <row r="1072" spans="1:23" x14ac:dyDescent="0.35">
      <c r="A1072" t="s">
        <v>577</v>
      </c>
      <c r="B1072" s="6">
        <v>42093</v>
      </c>
      <c r="D1072" t="s">
        <v>23</v>
      </c>
      <c r="E1072">
        <v>40</v>
      </c>
      <c r="F1072" t="s">
        <v>36</v>
      </c>
      <c r="G1072" t="s">
        <v>25</v>
      </c>
      <c r="H1072" t="s">
        <v>32</v>
      </c>
      <c r="I1072" t="s">
        <v>45</v>
      </c>
      <c r="J1072" t="s">
        <v>164</v>
      </c>
      <c r="K1072">
        <v>4</v>
      </c>
      <c r="L1072" t="s">
        <v>84</v>
      </c>
      <c r="M1072">
        <v>101000</v>
      </c>
      <c r="N1072">
        <v>12</v>
      </c>
      <c r="O1072">
        <v>18.100000000000001</v>
      </c>
      <c r="P1072">
        <v>10.8</v>
      </c>
      <c r="Q1072">
        <v>3.6</v>
      </c>
      <c r="R1072">
        <v>1</v>
      </c>
      <c r="S1072">
        <v>2</v>
      </c>
      <c r="T1072">
        <v>2</v>
      </c>
      <c r="U1072" t="s">
        <v>23</v>
      </c>
      <c r="V1072">
        <v>4</v>
      </c>
      <c r="W1072">
        <v>1</v>
      </c>
    </row>
    <row r="1073" spans="1:23" x14ac:dyDescent="0.35">
      <c r="A1073" t="s">
        <v>979</v>
      </c>
      <c r="B1073" s="6">
        <v>44356</v>
      </c>
      <c r="D1073" t="s">
        <v>23</v>
      </c>
      <c r="E1073">
        <v>33</v>
      </c>
      <c r="F1073" t="s">
        <v>62</v>
      </c>
      <c r="G1073" t="s">
        <v>37</v>
      </c>
      <c r="H1073" t="s">
        <v>54</v>
      </c>
      <c r="I1073" t="s">
        <v>59</v>
      </c>
      <c r="J1073" t="s">
        <v>75</v>
      </c>
      <c r="K1073">
        <v>1</v>
      </c>
      <c r="L1073" t="s">
        <v>34</v>
      </c>
      <c r="M1073">
        <v>37000</v>
      </c>
      <c r="N1073">
        <v>10.199999999999999</v>
      </c>
      <c r="O1073">
        <v>5.4</v>
      </c>
      <c r="P1073">
        <v>4.5999999999999996</v>
      </c>
      <c r="Q1073">
        <v>3.8</v>
      </c>
      <c r="R1073">
        <v>2</v>
      </c>
      <c r="S1073">
        <v>2</v>
      </c>
      <c r="T1073">
        <v>2</v>
      </c>
      <c r="U1073" t="s">
        <v>23</v>
      </c>
      <c r="V1073">
        <v>3</v>
      </c>
      <c r="W1073">
        <v>1</v>
      </c>
    </row>
    <row r="1074" spans="1:23" x14ac:dyDescent="0.35">
      <c r="A1074" t="s">
        <v>1171</v>
      </c>
      <c r="B1074" s="6">
        <v>45504</v>
      </c>
      <c r="C1074">
        <v>45975</v>
      </c>
      <c r="D1074" t="s">
        <v>30</v>
      </c>
      <c r="E1074">
        <v>25</v>
      </c>
      <c r="F1074" t="s">
        <v>24</v>
      </c>
      <c r="G1074" t="s">
        <v>37</v>
      </c>
      <c r="H1074" t="s">
        <v>58</v>
      </c>
      <c r="I1074" t="s">
        <v>45</v>
      </c>
      <c r="J1074" t="s">
        <v>164</v>
      </c>
      <c r="K1074">
        <v>1</v>
      </c>
      <c r="L1074" t="s">
        <v>40</v>
      </c>
      <c r="M1074">
        <v>40000</v>
      </c>
      <c r="N1074">
        <v>8.5</v>
      </c>
      <c r="O1074">
        <v>3.4</v>
      </c>
      <c r="P1074">
        <v>1.3</v>
      </c>
      <c r="Q1074">
        <v>1.1000000000000001</v>
      </c>
      <c r="R1074">
        <v>4</v>
      </c>
      <c r="S1074">
        <v>3</v>
      </c>
      <c r="T1074">
        <v>3</v>
      </c>
      <c r="U1074" t="s">
        <v>23</v>
      </c>
      <c r="V1074">
        <v>2</v>
      </c>
      <c r="W1074">
        <v>1</v>
      </c>
    </row>
    <row r="1075" spans="1:23" x14ac:dyDescent="0.35">
      <c r="A1075" t="s">
        <v>324</v>
      </c>
      <c r="B1075" s="6">
        <v>45306</v>
      </c>
      <c r="D1075" t="s">
        <v>23</v>
      </c>
      <c r="E1075">
        <v>23</v>
      </c>
      <c r="F1075" t="s">
        <v>36</v>
      </c>
      <c r="G1075" t="s">
        <v>42</v>
      </c>
      <c r="H1075" t="s">
        <v>32</v>
      </c>
      <c r="I1075" t="s">
        <v>48</v>
      </c>
      <c r="J1075" t="s">
        <v>201</v>
      </c>
      <c r="K1075">
        <v>1</v>
      </c>
      <c r="L1075" t="s">
        <v>40</v>
      </c>
      <c r="M1075">
        <v>25000</v>
      </c>
      <c r="N1075">
        <v>0.9</v>
      </c>
      <c r="O1075">
        <v>5.7</v>
      </c>
      <c r="P1075">
        <v>2</v>
      </c>
      <c r="Q1075">
        <v>0.1</v>
      </c>
      <c r="R1075">
        <v>2</v>
      </c>
      <c r="S1075">
        <v>3</v>
      </c>
      <c r="T1075">
        <v>2</v>
      </c>
      <c r="U1075" t="s">
        <v>23</v>
      </c>
      <c r="V1075">
        <v>3</v>
      </c>
      <c r="W1075">
        <v>1</v>
      </c>
    </row>
    <row r="1076" spans="1:23" x14ac:dyDescent="0.35">
      <c r="A1076" t="s">
        <v>1238</v>
      </c>
      <c r="B1076" s="6">
        <v>43084</v>
      </c>
      <c r="D1076" t="s">
        <v>23</v>
      </c>
      <c r="E1076">
        <v>29</v>
      </c>
      <c r="F1076" t="s">
        <v>36</v>
      </c>
      <c r="G1076" t="s">
        <v>42</v>
      </c>
      <c r="H1076" t="s">
        <v>54</v>
      </c>
      <c r="I1076" t="s">
        <v>59</v>
      </c>
      <c r="J1076" t="s">
        <v>150</v>
      </c>
      <c r="K1076">
        <v>2</v>
      </c>
      <c r="L1076" t="s">
        <v>84</v>
      </c>
      <c r="M1076">
        <v>43000</v>
      </c>
      <c r="N1076">
        <v>8.6999999999999993</v>
      </c>
      <c r="O1076">
        <v>14.3</v>
      </c>
      <c r="P1076">
        <v>8</v>
      </c>
      <c r="Q1076">
        <v>2.5</v>
      </c>
      <c r="R1076">
        <v>3</v>
      </c>
      <c r="S1076">
        <v>4</v>
      </c>
      <c r="T1076">
        <v>4</v>
      </c>
      <c r="U1076" t="s">
        <v>23</v>
      </c>
      <c r="V1076">
        <v>4</v>
      </c>
      <c r="W1076">
        <v>1</v>
      </c>
    </row>
    <row r="1077" spans="1:23" x14ac:dyDescent="0.35">
      <c r="A1077" t="s">
        <v>783</v>
      </c>
      <c r="B1077" s="6">
        <v>42895</v>
      </c>
      <c r="D1077" t="s">
        <v>23</v>
      </c>
      <c r="E1077">
        <v>48</v>
      </c>
      <c r="F1077" t="s">
        <v>36</v>
      </c>
      <c r="G1077" t="s">
        <v>25</v>
      </c>
      <c r="H1077" t="s">
        <v>58</v>
      </c>
      <c r="I1077" t="s">
        <v>68</v>
      </c>
      <c r="J1077" t="s">
        <v>109</v>
      </c>
      <c r="K1077">
        <v>2</v>
      </c>
      <c r="L1077" t="s">
        <v>40</v>
      </c>
      <c r="M1077">
        <v>39000</v>
      </c>
      <c r="N1077">
        <v>13.6</v>
      </c>
      <c r="O1077">
        <v>10.8</v>
      </c>
      <c r="P1077">
        <v>8.6</v>
      </c>
      <c r="Q1077">
        <v>3.8</v>
      </c>
      <c r="R1077">
        <v>4</v>
      </c>
      <c r="S1077">
        <v>3</v>
      </c>
      <c r="T1077">
        <v>3</v>
      </c>
      <c r="U1077" t="s">
        <v>23</v>
      </c>
      <c r="V1077">
        <v>3</v>
      </c>
      <c r="W1077">
        <v>1</v>
      </c>
    </row>
    <row r="1078" spans="1:23" x14ac:dyDescent="0.35">
      <c r="A1078" t="s">
        <v>895</v>
      </c>
      <c r="B1078" s="6">
        <v>44185</v>
      </c>
      <c r="D1078" t="s">
        <v>23</v>
      </c>
      <c r="E1078">
        <v>28</v>
      </c>
      <c r="F1078" t="s">
        <v>24</v>
      </c>
      <c r="G1078" t="s">
        <v>42</v>
      </c>
      <c r="H1078" t="s">
        <v>58</v>
      </c>
      <c r="I1078" t="s">
        <v>27</v>
      </c>
      <c r="J1078" t="s">
        <v>95</v>
      </c>
      <c r="K1078">
        <v>2</v>
      </c>
      <c r="L1078" t="s">
        <v>29</v>
      </c>
      <c r="M1078">
        <v>52000</v>
      </c>
      <c r="N1078">
        <v>7.2</v>
      </c>
      <c r="O1078">
        <v>12.9</v>
      </c>
      <c r="P1078">
        <v>5</v>
      </c>
      <c r="Q1078">
        <v>0.1</v>
      </c>
      <c r="R1078">
        <v>2</v>
      </c>
      <c r="S1078">
        <v>4</v>
      </c>
      <c r="T1078">
        <v>1</v>
      </c>
      <c r="U1078" t="s">
        <v>30</v>
      </c>
      <c r="V1078">
        <v>1</v>
      </c>
      <c r="W1078">
        <v>1</v>
      </c>
    </row>
    <row r="1079" spans="1:23" x14ac:dyDescent="0.35">
      <c r="A1079" t="s">
        <v>1139</v>
      </c>
      <c r="B1079" s="6">
        <v>44903</v>
      </c>
      <c r="D1079" t="s">
        <v>23</v>
      </c>
      <c r="E1079">
        <v>44</v>
      </c>
      <c r="F1079" t="s">
        <v>36</v>
      </c>
      <c r="G1079" t="s">
        <v>37</v>
      </c>
      <c r="H1079" t="s">
        <v>32</v>
      </c>
      <c r="I1079" t="s">
        <v>55</v>
      </c>
      <c r="J1079" t="s">
        <v>179</v>
      </c>
      <c r="K1079">
        <v>1</v>
      </c>
      <c r="L1079" t="s">
        <v>29</v>
      </c>
      <c r="M1079">
        <v>45000</v>
      </c>
      <c r="N1079">
        <v>11</v>
      </c>
      <c r="O1079">
        <v>4</v>
      </c>
      <c r="P1079">
        <v>3.1</v>
      </c>
      <c r="Q1079">
        <v>1</v>
      </c>
      <c r="R1079">
        <v>4</v>
      </c>
      <c r="S1079">
        <v>3</v>
      </c>
      <c r="T1079">
        <v>2</v>
      </c>
      <c r="U1079" t="s">
        <v>23</v>
      </c>
      <c r="V1079">
        <v>3</v>
      </c>
      <c r="W1079">
        <v>1</v>
      </c>
    </row>
    <row r="1080" spans="1:23" x14ac:dyDescent="0.35">
      <c r="A1080" t="s">
        <v>898</v>
      </c>
      <c r="B1080" s="6">
        <v>45365</v>
      </c>
      <c r="D1080" t="s">
        <v>23</v>
      </c>
      <c r="E1080">
        <v>23</v>
      </c>
      <c r="F1080" t="s">
        <v>36</v>
      </c>
      <c r="G1080" t="s">
        <v>37</v>
      </c>
      <c r="H1080" t="s">
        <v>54</v>
      </c>
      <c r="I1080" t="s">
        <v>45</v>
      </c>
      <c r="J1080" t="s">
        <v>46</v>
      </c>
      <c r="K1080">
        <v>1</v>
      </c>
      <c r="L1080" t="s">
        <v>29</v>
      </c>
      <c r="M1080">
        <v>30000</v>
      </c>
      <c r="N1080">
        <v>13.8</v>
      </c>
      <c r="O1080">
        <v>8.6</v>
      </c>
      <c r="P1080">
        <v>1.8</v>
      </c>
      <c r="Q1080">
        <v>0.9</v>
      </c>
      <c r="R1080">
        <v>2</v>
      </c>
      <c r="S1080">
        <v>3</v>
      </c>
      <c r="T1080">
        <v>3</v>
      </c>
      <c r="U1080" t="s">
        <v>30</v>
      </c>
      <c r="V1080">
        <v>5</v>
      </c>
      <c r="W1080">
        <v>1</v>
      </c>
    </row>
    <row r="1081" spans="1:23" x14ac:dyDescent="0.35">
      <c r="A1081" t="s">
        <v>704</v>
      </c>
      <c r="B1081" s="6">
        <v>44978</v>
      </c>
      <c r="D1081" t="s">
        <v>23</v>
      </c>
      <c r="E1081">
        <v>26</v>
      </c>
      <c r="F1081" t="s">
        <v>62</v>
      </c>
      <c r="G1081" t="s">
        <v>25</v>
      </c>
      <c r="H1081" t="s">
        <v>32</v>
      </c>
      <c r="I1081" t="s">
        <v>55</v>
      </c>
      <c r="J1081" t="s">
        <v>80</v>
      </c>
      <c r="K1081">
        <v>1</v>
      </c>
      <c r="L1081" t="s">
        <v>84</v>
      </c>
      <c r="M1081">
        <v>40000</v>
      </c>
      <c r="N1081">
        <v>5.0999999999999996</v>
      </c>
      <c r="O1081">
        <v>8</v>
      </c>
      <c r="P1081">
        <v>2.9</v>
      </c>
      <c r="Q1081">
        <v>0.4</v>
      </c>
      <c r="R1081">
        <v>3</v>
      </c>
      <c r="S1081">
        <v>1</v>
      </c>
      <c r="T1081">
        <v>3</v>
      </c>
      <c r="U1081" t="s">
        <v>23</v>
      </c>
      <c r="V1081">
        <v>3</v>
      </c>
      <c r="W1081">
        <v>1</v>
      </c>
    </row>
    <row r="1082" spans="1:23" x14ac:dyDescent="0.35">
      <c r="A1082" t="s">
        <v>1190</v>
      </c>
      <c r="B1082" s="6">
        <v>45666</v>
      </c>
      <c r="D1082" t="s">
        <v>23</v>
      </c>
      <c r="E1082">
        <v>30</v>
      </c>
      <c r="F1082" t="s">
        <v>62</v>
      </c>
      <c r="G1082" t="s">
        <v>37</v>
      </c>
      <c r="H1082" t="s">
        <v>26</v>
      </c>
      <c r="I1082" t="s">
        <v>68</v>
      </c>
      <c r="J1082" t="s">
        <v>109</v>
      </c>
      <c r="K1082">
        <v>4</v>
      </c>
      <c r="L1082" t="s">
        <v>29</v>
      </c>
      <c r="M1082">
        <v>98000</v>
      </c>
      <c r="N1082">
        <v>5.0999999999999996</v>
      </c>
      <c r="O1082">
        <v>7.4</v>
      </c>
      <c r="P1082">
        <v>1</v>
      </c>
      <c r="Q1082">
        <v>0.1</v>
      </c>
      <c r="R1082">
        <v>4</v>
      </c>
      <c r="S1082">
        <v>2</v>
      </c>
      <c r="T1082">
        <v>4</v>
      </c>
      <c r="U1082" t="s">
        <v>30</v>
      </c>
      <c r="V1082">
        <v>2</v>
      </c>
      <c r="W1082">
        <v>1</v>
      </c>
    </row>
    <row r="1083" spans="1:23" x14ac:dyDescent="0.35">
      <c r="A1083" t="s">
        <v>1444</v>
      </c>
      <c r="B1083" s="6">
        <v>45833</v>
      </c>
      <c r="D1083" t="s">
        <v>23</v>
      </c>
      <c r="E1083">
        <v>24</v>
      </c>
      <c r="F1083" t="s">
        <v>62</v>
      </c>
      <c r="G1083" t="s">
        <v>37</v>
      </c>
      <c r="H1083" t="s">
        <v>54</v>
      </c>
      <c r="I1083" t="s">
        <v>68</v>
      </c>
      <c r="J1083" t="s">
        <v>102</v>
      </c>
      <c r="K1083">
        <v>1</v>
      </c>
      <c r="L1083" t="s">
        <v>34</v>
      </c>
      <c r="M1083">
        <v>22000</v>
      </c>
      <c r="N1083">
        <v>6.5</v>
      </c>
      <c r="O1083">
        <v>3.8</v>
      </c>
      <c r="P1083">
        <v>0.5</v>
      </c>
      <c r="Q1083">
        <v>0</v>
      </c>
      <c r="R1083">
        <v>4</v>
      </c>
      <c r="S1083">
        <v>2</v>
      </c>
      <c r="T1083">
        <v>3</v>
      </c>
      <c r="U1083" t="s">
        <v>23</v>
      </c>
      <c r="V1083">
        <v>3</v>
      </c>
      <c r="W1083">
        <v>1</v>
      </c>
    </row>
    <row r="1084" spans="1:23" x14ac:dyDescent="0.35">
      <c r="A1084" t="s">
        <v>1061</v>
      </c>
      <c r="B1084" s="6">
        <v>45157</v>
      </c>
      <c r="D1084" t="s">
        <v>23</v>
      </c>
      <c r="E1084">
        <v>32</v>
      </c>
      <c r="F1084" t="s">
        <v>24</v>
      </c>
      <c r="G1084" t="s">
        <v>25</v>
      </c>
      <c r="H1084" t="s">
        <v>26</v>
      </c>
      <c r="I1084" t="s">
        <v>27</v>
      </c>
      <c r="J1084" t="s">
        <v>43</v>
      </c>
      <c r="K1084">
        <v>3</v>
      </c>
      <c r="L1084" t="s">
        <v>84</v>
      </c>
      <c r="M1084">
        <v>69000</v>
      </c>
      <c r="N1084">
        <v>9.1999999999999993</v>
      </c>
      <c r="O1084">
        <v>4.5</v>
      </c>
      <c r="P1084">
        <v>2.4</v>
      </c>
      <c r="Q1084">
        <v>2.2999999999999998</v>
      </c>
      <c r="R1084">
        <v>3</v>
      </c>
      <c r="S1084">
        <v>3</v>
      </c>
      <c r="T1084">
        <v>3</v>
      </c>
      <c r="U1084" t="s">
        <v>30</v>
      </c>
      <c r="V1084">
        <v>2</v>
      </c>
      <c r="W1084">
        <v>1</v>
      </c>
    </row>
    <row r="1085" spans="1:23" x14ac:dyDescent="0.35">
      <c r="A1085" t="s">
        <v>1085</v>
      </c>
      <c r="B1085" s="6">
        <v>42599</v>
      </c>
      <c r="D1085" t="s">
        <v>23</v>
      </c>
      <c r="E1085">
        <v>36</v>
      </c>
      <c r="F1085" t="s">
        <v>36</v>
      </c>
      <c r="G1085" t="s">
        <v>37</v>
      </c>
      <c r="H1085" t="s">
        <v>54</v>
      </c>
      <c r="I1085" t="s">
        <v>55</v>
      </c>
      <c r="J1085" t="s">
        <v>56</v>
      </c>
      <c r="K1085">
        <v>3</v>
      </c>
      <c r="L1085" t="s">
        <v>40</v>
      </c>
      <c r="M1085">
        <v>93000</v>
      </c>
      <c r="N1085">
        <v>7.4</v>
      </c>
      <c r="O1085">
        <v>13.8</v>
      </c>
      <c r="P1085">
        <v>9.4</v>
      </c>
      <c r="Q1085">
        <v>4.4000000000000004</v>
      </c>
      <c r="R1085">
        <v>3</v>
      </c>
      <c r="S1085">
        <v>3</v>
      </c>
      <c r="T1085">
        <v>3</v>
      </c>
      <c r="U1085" t="s">
        <v>23</v>
      </c>
      <c r="V1085">
        <v>3</v>
      </c>
      <c r="W1085">
        <v>1</v>
      </c>
    </row>
    <row r="1086" spans="1:23" x14ac:dyDescent="0.35">
      <c r="A1086" t="s">
        <v>111</v>
      </c>
      <c r="B1086" s="6">
        <v>44733</v>
      </c>
      <c r="D1086" t="s">
        <v>23</v>
      </c>
      <c r="E1086">
        <v>25</v>
      </c>
      <c r="F1086" t="s">
        <v>36</v>
      </c>
      <c r="G1086" t="s">
        <v>37</v>
      </c>
      <c r="H1086" t="s">
        <v>32</v>
      </c>
      <c r="I1086" t="s">
        <v>38</v>
      </c>
      <c r="J1086" t="s">
        <v>52</v>
      </c>
      <c r="K1086">
        <v>1</v>
      </c>
      <c r="L1086" t="s">
        <v>40</v>
      </c>
      <c r="M1086">
        <v>48000</v>
      </c>
      <c r="N1086">
        <v>9.6</v>
      </c>
      <c r="O1086">
        <v>10.9</v>
      </c>
      <c r="P1086">
        <v>3.5</v>
      </c>
      <c r="Q1086">
        <v>2.2999999999999998</v>
      </c>
      <c r="R1086">
        <v>4</v>
      </c>
      <c r="S1086">
        <v>4</v>
      </c>
      <c r="T1086">
        <v>4</v>
      </c>
      <c r="U1086" t="s">
        <v>30</v>
      </c>
      <c r="V1086">
        <v>5</v>
      </c>
      <c r="W1086">
        <v>1</v>
      </c>
    </row>
    <row r="1087" spans="1:23" x14ac:dyDescent="0.35">
      <c r="A1087" t="s">
        <v>305</v>
      </c>
      <c r="B1087" s="6">
        <v>42146</v>
      </c>
      <c r="D1087" t="s">
        <v>23</v>
      </c>
      <c r="E1087">
        <v>33</v>
      </c>
      <c r="F1087" t="s">
        <v>24</v>
      </c>
      <c r="G1087" t="s">
        <v>37</v>
      </c>
      <c r="H1087" t="s">
        <v>58</v>
      </c>
      <c r="I1087" t="s">
        <v>27</v>
      </c>
      <c r="J1087" t="s">
        <v>95</v>
      </c>
      <c r="K1087">
        <v>3</v>
      </c>
      <c r="L1087" t="s">
        <v>29</v>
      </c>
      <c r="M1087">
        <v>73000</v>
      </c>
      <c r="N1087">
        <v>13.9</v>
      </c>
      <c r="O1087">
        <v>15.9</v>
      </c>
      <c r="P1087">
        <v>10.6</v>
      </c>
      <c r="Q1087">
        <v>3.5</v>
      </c>
      <c r="R1087">
        <v>4</v>
      </c>
      <c r="S1087">
        <v>3</v>
      </c>
      <c r="T1087">
        <v>2</v>
      </c>
      <c r="U1087" t="s">
        <v>23</v>
      </c>
      <c r="V1087">
        <v>4</v>
      </c>
      <c r="W1087">
        <v>1</v>
      </c>
    </row>
    <row r="1088" spans="1:23" x14ac:dyDescent="0.35">
      <c r="A1088" t="s">
        <v>812</v>
      </c>
      <c r="B1088" s="6">
        <v>43506</v>
      </c>
      <c r="D1088" t="s">
        <v>23</v>
      </c>
      <c r="E1088">
        <v>28</v>
      </c>
      <c r="F1088" t="s">
        <v>36</v>
      </c>
      <c r="G1088" t="s">
        <v>37</v>
      </c>
      <c r="H1088" t="s">
        <v>32</v>
      </c>
      <c r="I1088" t="s">
        <v>68</v>
      </c>
      <c r="J1088" t="s">
        <v>109</v>
      </c>
      <c r="K1088">
        <v>3</v>
      </c>
      <c r="L1088" t="s">
        <v>34</v>
      </c>
      <c r="M1088">
        <v>86000</v>
      </c>
      <c r="N1088">
        <v>6.6</v>
      </c>
      <c r="O1088">
        <v>9</v>
      </c>
      <c r="P1088">
        <v>6.9</v>
      </c>
      <c r="Q1088">
        <v>0.7</v>
      </c>
      <c r="R1088">
        <v>3</v>
      </c>
      <c r="S1088">
        <v>3</v>
      </c>
      <c r="T1088">
        <v>3</v>
      </c>
      <c r="U1088" t="s">
        <v>23</v>
      </c>
      <c r="V1088">
        <v>4</v>
      </c>
      <c r="W1088">
        <v>1</v>
      </c>
    </row>
    <row r="1089" spans="1:23" x14ac:dyDescent="0.35">
      <c r="A1089" t="s">
        <v>1274</v>
      </c>
      <c r="B1089" s="6">
        <v>43473</v>
      </c>
      <c r="D1089" t="s">
        <v>23</v>
      </c>
      <c r="E1089">
        <v>45</v>
      </c>
      <c r="F1089" t="s">
        <v>62</v>
      </c>
      <c r="G1089" t="s">
        <v>42</v>
      </c>
      <c r="H1089" t="s">
        <v>26</v>
      </c>
      <c r="I1089" t="s">
        <v>68</v>
      </c>
      <c r="J1089" t="s">
        <v>109</v>
      </c>
      <c r="K1089">
        <v>4</v>
      </c>
      <c r="L1089" t="s">
        <v>40</v>
      </c>
      <c r="M1089">
        <v>107000</v>
      </c>
      <c r="N1089">
        <v>11.7</v>
      </c>
      <c r="O1089">
        <v>13.2</v>
      </c>
      <c r="P1089">
        <v>7</v>
      </c>
      <c r="Q1089">
        <v>3.7</v>
      </c>
      <c r="R1089">
        <v>3</v>
      </c>
      <c r="S1089">
        <v>3</v>
      </c>
      <c r="T1089">
        <v>2</v>
      </c>
      <c r="U1089" t="s">
        <v>30</v>
      </c>
      <c r="V1089">
        <v>3</v>
      </c>
      <c r="W1089">
        <v>1</v>
      </c>
    </row>
    <row r="1090" spans="1:23" x14ac:dyDescent="0.35">
      <c r="A1090" t="s">
        <v>1569</v>
      </c>
      <c r="B1090" s="6">
        <v>45220</v>
      </c>
      <c r="D1090" t="s">
        <v>23</v>
      </c>
      <c r="E1090">
        <v>38</v>
      </c>
      <c r="F1090" t="s">
        <v>36</v>
      </c>
      <c r="G1090" t="s">
        <v>37</v>
      </c>
      <c r="H1090" t="s">
        <v>32</v>
      </c>
      <c r="I1090" t="s">
        <v>27</v>
      </c>
      <c r="J1090" t="s">
        <v>95</v>
      </c>
      <c r="K1090">
        <v>2</v>
      </c>
      <c r="L1090" t="s">
        <v>40</v>
      </c>
      <c r="M1090">
        <v>52000</v>
      </c>
      <c r="N1090">
        <v>10.9</v>
      </c>
      <c r="O1090">
        <v>8.3000000000000007</v>
      </c>
      <c r="P1090">
        <v>2.2000000000000002</v>
      </c>
      <c r="Q1090">
        <v>2</v>
      </c>
      <c r="R1090">
        <v>3</v>
      </c>
      <c r="S1090">
        <v>3</v>
      </c>
      <c r="T1090">
        <v>2</v>
      </c>
      <c r="U1090" t="s">
        <v>23</v>
      </c>
      <c r="V1090">
        <v>4</v>
      </c>
      <c r="W1090">
        <v>1</v>
      </c>
    </row>
    <row r="1091" spans="1:23" x14ac:dyDescent="0.35">
      <c r="A1091" t="s">
        <v>796</v>
      </c>
      <c r="B1091" s="6">
        <v>45705</v>
      </c>
      <c r="D1091" t="s">
        <v>23</v>
      </c>
      <c r="E1091">
        <v>21</v>
      </c>
      <c r="F1091" t="s">
        <v>24</v>
      </c>
      <c r="G1091" t="s">
        <v>42</v>
      </c>
      <c r="H1091" t="s">
        <v>54</v>
      </c>
      <c r="I1091" t="s">
        <v>55</v>
      </c>
      <c r="J1091" t="s">
        <v>56</v>
      </c>
      <c r="K1091">
        <v>1</v>
      </c>
      <c r="L1091" t="s">
        <v>66</v>
      </c>
      <c r="M1091">
        <v>44000</v>
      </c>
      <c r="N1091">
        <v>0.7</v>
      </c>
      <c r="O1091">
        <v>4</v>
      </c>
      <c r="P1091">
        <v>0.9</v>
      </c>
      <c r="Q1091">
        <v>0</v>
      </c>
      <c r="R1091">
        <v>2</v>
      </c>
      <c r="S1091">
        <v>4</v>
      </c>
      <c r="T1091">
        <v>3</v>
      </c>
      <c r="U1091" t="s">
        <v>334</v>
      </c>
      <c r="V1091">
        <v>3</v>
      </c>
      <c r="W1091">
        <v>1</v>
      </c>
    </row>
    <row r="1092" spans="1:23" x14ac:dyDescent="0.35">
      <c r="A1092" t="s">
        <v>850</v>
      </c>
      <c r="B1092" s="6">
        <v>43751</v>
      </c>
      <c r="D1092" t="s">
        <v>23</v>
      </c>
      <c r="E1092">
        <v>40</v>
      </c>
      <c r="F1092" t="s">
        <v>62</v>
      </c>
      <c r="G1092" t="s">
        <v>25</v>
      </c>
      <c r="H1092" t="s">
        <v>54</v>
      </c>
      <c r="I1092" t="s">
        <v>59</v>
      </c>
      <c r="J1092" t="s">
        <v>60</v>
      </c>
      <c r="K1092">
        <v>3</v>
      </c>
      <c r="L1092" t="s">
        <v>50</v>
      </c>
      <c r="M1092">
        <v>77000</v>
      </c>
      <c r="N1092">
        <v>16.8</v>
      </c>
      <c r="O1092">
        <v>12.1</v>
      </c>
      <c r="P1092">
        <v>6.2</v>
      </c>
      <c r="Q1092">
        <v>4.2</v>
      </c>
      <c r="R1092">
        <v>3</v>
      </c>
      <c r="S1092">
        <v>3</v>
      </c>
      <c r="T1092">
        <v>3</v>
      </c>
      <c r="U1092" t="s">
        <v>23</v>
      </c>
      <c r="V1092">
        <v>3</v>
      </c>
      <c r="W1092">
        <v>1</v>
      </c>
    </row>
    <row r="1093" spans="1:23" x14ac:dyDescent="0.35">
      <c r="A1093" t="s">
        <v>1559</v>
      </c>
      <c r="B1093" s="6">
        <v>45131</v>
      </c>
      <c r="D1093" t="s">
        <v>23</v>
      </c>
      <c r="E1093">
        <v>28</v>
      </c>
      <c r="F1093" t="s">
        <v>24</v>
      </c>
      <c r="G1093" t="s">
        <v>37</v>
      </c>
      <c r="H1093" t="s">
        <v>26</v>
      </c>
      <c r="I1093" t="s">
        <v>59</v>
      </c>
      <c r="J1093" t="s">
        <v>75</v>
      </c>
      <c r="K1093">
        <v>2</v>
      </c>
      <c r="L1093" t="s">
        <v>50</v>
      </c>
      <c r="M1093">
        <v>52000</v>
      </c>
      <c r="N1093">
        <v>8.8000000000000007</v>
      </c>
      <c r="O1093">
        <v>9</v>
      </c>
      <c r="P1093">
        <v>2.4</v>
      </c>
      <c r="Q1093">
        <v>2.1</v>
      </c>
      <c r="R1093">
        <v>4</v>
      </c>
      <c r="S1093">
        <v>3</v>
      </c>
      <c r="T1093">
        <v>2</v>
      </c>
      <c r="U1093" t="s">
        <v>23</v>
      </c>
      <c r="V1093">
        <v>2</v>
      </c>
      <c r="W1093">
        <v>1</v>
      </c>
    </row>
    <row r="1094" spans="1:23" x14ac:dyDescent="0.35">
      <c r="A1094" t="s">
        <v>918</v>
      </c>
      <c r="B1094" s="6">
        <v>44574</v>
      </c>
      <c r="D1094" t="s">
        <v>23</v>
      </c>
      <c r="E1094">
        <v>26</v>
      </c>
      <c r="F1094" t="s">
        <v>62</v>
      </c>
      <c r="G1094" t="s">
        <v>25</v>
      </c>
      <c r="H1094" t="s">
        <v>32</v>
      </c>
      <c r="I1094" t="s">
        <v>59</v>
      </c>
      <c r="J1094" t="s">
        <v>86</v>
      </c>
      <c r="K1094">
        <v>1</v>
      </c>
      <c r="L1094" t="s">
        <v>50</v>
      </c>
      <c r="M1094">
        <v>28000</v>
      </c>
      <c r="N1094">
        <v>0.9</v>
      </c>
      <c r="O1094">
        <v>10</v>
      </c>
      <c r="P1094">
        <v>4</v>
      </c>
      <c r="Q1094">
        <v>2.7</v>
      </c>
      <c r="R1094">
        <v>4</v>
      </c>
      <c r="S1094">
        <v>2</v>
      </c>
      <c r="T1094">
        <v>2</v>
      </c>
      <c r="U1094" t="s">
        <v>30</v>
      </c>
      <c r="V1094">
        <v>3</v>
      </c>
      <c r="W1094">
        <v>1</v>
      </c>
    </row>
    <row r="1095" spans="1:23" x14ac:dyDescent="0.35">
      <c r="A1095" t="s">
        <v>906</v>
      </c>
      <c r="B1095" s="6">
        <v>43660</v>
      </c>
      <c r="D1095" t="s">
        <v>23</v>
      </c>
      <c r="E1095">
        <v>31</v>
      </c>
      <c r="F1095" t="s">
        <v>62</v>
      </c>
      <c r="G1095" t="s">
        <v>37</v>
      </c>
      <c r="H1095" t="s">
        <v>26</v>
      </c>
      <c r="I1095" t="s">
        <v>27</v>
      </c>
      <c r="J1095" t="s">
        <v>95</v>
      </c>
      <c r="K1095">
        <v>4</v>
      </c>
      <c r="L1095" t="s">
        <v>40</v>
      </c>
      <c r="M1095">
        <v>91000</v>
      </c>
      <c r="N1095">
        <v>10.6</v>
      </c>
      <c r="O1095">
        <v>10.5</v>
      </c>
      <c r="P1095">
        <v>6.5</v>
      </c>
      <c r="Q1095">
        <v>3.7</v>
      </c>
      <c r="R1095">
        <v>2</v>
      </c>
      <c r="S1095">
        <v>2</v>
      </c>
      <c r="T1095">
        <v>3</v>
      </c>
      <c r="U1095" t="s">
        <v>23</v>
      </c>
      <c r="V1095">
        <v>4</v>
      </c>
      <c r="W1095">
        <v>1</v>
      </c>
    </row>
    <row r="1096" spans="1:23" x14ac:dyDescent="0.35">
      <c r="A1096" t="s">
        <v>248</v>
      </c>
      <c r="B1096" s="6">
        <v>41964</v>
      </c>
      <c r="D1096" t="s">
        <v>23</v>
      </c>
      <c r="E1096">
        <v>35</v>
      </c>
      <c r="F1096" t="s">
        <v>36</v>
      </c>
      <c r="G1096" t="s">
        <v>42</v>
      </c>
      <c r="H1096" t="s">
        <v>26</v>
      </c>
      <c r="I1096" t="s">
        <v>55</v>
      </c>
      <c r="J1096" t="s">
        <v>56</v>
      </c>
      <c r="K1096">
        <v>4</v>
      </c>
      <c r="L1096" t="s">
        <v>40</v>
      </c>
      <c r="M1096">
        <v>126000</v>
      </c>
      <c r="N1096">
        <v>11.4</v>
      </c>
      <c r="O1096">
        <v>12.2</v>
      </c>
      <c r="P1096">
        <v>11.1</v>
      </c>
      <c r="Q1096">
        <v>0.7</v>
      </c>
      <c r="R1096">
        <v>3</v>
      </c>
      <c r="S1096">
        <v>4</v>
      </c>
      <c r="T1096">
        <v>3</v>
      </c>
      <c r="U1096" t="s">
        <v>23</v>
      </c>
      <c r="V1096">
        <v>2</v>
      </c>
      <c r="W1096">
        <v>1</v>
      </c>
    </row>
    <row r="1097" spans="1:23" x14ac:dyDescent="0.35">
      <c r="A1097" t="s">
        <v>821</v>
      </c>
      <c r="B1097" s="6">
        <v>42829</v>
      </c>
      <c r="D1097" t="s">
        <v>23</v>
      </c>
      <c r="E1097">
        <v>35</v>
      </c>
      <c r="F1097" t="s">
        <v>62</v>
      </c>
      <c r="G1097" t="s">
        <v>37</v>
      </c>
      <c r="H1097" t="s">
        <v>26</v>
      </c>
      <c r="I1097" t="s">
        <v>55</v>
      </c>
      <c r="J1097" t="s">
        <v>56</v>
      </c>
      <c r="K1097">
        <v>2</v>
      </c>
      <c r="L1097" t="s">
        <v>84</v>
      </c>
      <c r="M1097">
        <v>54000</v>
      </c>
      <c r="N1097">
        <v>10.1</v>
      </c>
      <c r="O1097">
        <v>16.100000000000001</v>
      </c>
      <c r="P1097">
        <v>8.6999999999999993</v>
      </c>
      <c r="Q1097">
        <v>4.5999999999999996</v>
      </c>
      <c r="R1097">
        <v>3</v>
      </c>
      <c r="S1097">
        <v>4</v>
      </c>
      <c r="T1097">
        <v>2</v>
      </c>
      <c r="U1097" t="s">
        <v>23</v>
      </c>
      <c r="V1097">
        <v>4</v>
      </c>
      <c r="W1097">
        <v>1</v>
      </c>
    </row>
    <row r="1098" spans="1:23" x14ac:dyDescent="0.35">
      <c r="A1098" t="s">
        <v>1450</v>
      </c>
      <c r="B1098" s="6">
        <v>44841</v>
      </c>
      <c r="D1098" t="s">
        <v>23</v>
      </c>
      <c r="E1098">
        <v>29</v>
      </c>
      <c r="F1098" t="s">
        <v>36</v>
      </c>
      <c r="G1098" t="s">
        <v>37</v>
      </c>
      <c r="H1098" t="s">
        <v>26</v>
      </c>
      <c r="I1098" t="s">
        <v>27</v>
      </c>
      <c r="J1098" t="s">
        <v>95</v>
      </c>
      <c r="K1098">
        <v>2</v>
      </c>
      <c r="L1098" t="s">
        <v>50</v>
      </c>
      <c r="M1098">
        <v>69000</v>
      </c>
      <c r="N1098">
        <v>6.9</v>
      </c>
      <c r="O1098">
        <v>10.199999999999999</v>
      </c>
      <c r="P1098">
        <v>3.2</v>
      </c>
      <c r="Q1098">
        <v>2.6</v>
      </c>
      <c r="R1098">
        <v>3</v>
      </c>
      <c r="S1098">
        <v>4</v>
      </c>
      <c r="T1098">
        <v>2</v>
      </c>
      <c r="U1098" t="s">
        <v>23</v>
      </c>
      <c r="V1098">
        <v>4</v>
      </c>
      <c r="W1098">
        <v>1</v>
      </c>
    </row>
    <row r="1099" spans="1:23" x14ac:dyDescent="0.35">
      <c r="A1099" t="s">
        <v>1587</v>
      </c>
      <c r="B1099" s="6">
        <v>43992</v>
      </c>
      <c r="D1099" t="s">
        <v>23</v>
      </c>
      <c r="E1099">
        <v>28</v>
      </c>
      <c r="F1099" t="s">
        <v>24</v>
      </c>
      <c r="G1099" t="s">
        <v>37</v>
      </c>
      <c r="H1099" t="s">
        <v>32</v>
      </c>
      <c r="I1099" t="s">
        <v>68</v>
      </c>
      <c r="J1099" t="s">
        <v>102</v>
      </c>
      <c r="K1099">
        <v>3</v>
      </c>
      <c r="L1099" t="s">
        <v>29</v>
      </c>
      <c r="M1099">
        <v>79000</v>
      </c>
      <c r="N1099">
        <v>2</v>
      </c>
      <c r="O1099">
        <v>5.6</v>
      </c>
      <c r="P1099">
        <v>5.6</v>
      </c>
      <c r="Q1099">
        <v>3.7</v>
      </c>
      <c r="R1099">
        <v>2</v>
      </c>
      <c r="S1099">
        <v>4</v>
      </c>
      <c r="T1099">
        <v>2</v>
      </c>
      <c r="U1099" t="s">
        <v>23</v>
      </c>
      <c r="V1099">
        <v>3</v>
      </c>
      <c r="W1099">
        <v>1</v>
      </c>
    </row>
    <row r="1100" spans="1:23" x14ac:dyDescent="0.35">
      <c r="A1100" t="s">
        <v>1269</v>
      </c>
      <c r="B1100" s="6">
        <v>44206</v>
      </c>
      <c r="D1100" t="s">
        <v>23</v>
      </c>
      <c r="E1100">
        <v>25</v>
      </c>
      <c r="F1100" t="s">
        <v>62</v>
      </c>
      <c r="G1100" t="s">
        <v>25</v>
      </c>
      <c r="H1100" t="s">
        <v>58</v>
      </c>
      <c r="I1100" t="s">
        <v>59</v>
      </c>
      <c r="J1100" t="s">
        <v>150</v>
      </c>
      <c r="K1100">
        <v>1</v>
      </c>
      <c r="L1100" t="s">
        <v>40</v>
      </c>
      <c r="M1100">
        <v>34000</v>
      </c>
      <c r="N1100">
        <v>13</v>
      </c>
      <c r="O1100">
        <v>11.5</v>
      </c>
      <c r="P1100">
        <v>5</v>
      </c>
      <c r="Q1100">
        <v>3.7</v>
      </c>
      <c r="R1100">
        <v>3</v>
      </c>
      <c r="S1100">
        <v>1</v>
      </c>
      <c r="T1100">
        <v>4</v>
      </c>
      <c r="U1100" t="s">
        <v>23</v>
      </c>
      <c r="V1100">
        <v>4</v>
      </c>
      <c r="W1100">
        <v>1</v>
      </c>
    </row>
    <row r="1101" spans="1:23" x14ac:dyDescent="0.35">
      <c r="A1101" t="s">
        <v>1433</v>
      </c>
      <c r="B1101" s="6">
        <v>45702</v>
      </c>
      <c r="D1101" t="s">
        <v>23</v>
      </c>
      <c r="E1101">
        <v>21</v>
      </c>
      <c r="F1101" t="s">
        <v>36</v>
      </c>
      <c r="G1101" t="s">
        <v>42</v>
      </c>
      <c r="H1101" t="s">
        <v>32</v>
      </c>
      <c r="I1101" t="s">
        <v>59</v>
      </c>
      <c r="J1101" t="s">
        <v>60</v>
      </c>
      <c r="K1101">
        <v>1</v>
      </c>
      <c r="L1101" t="s">
        <v>40</v>
      </c>
      <c r="M1101">
        <v>51000</v>
      </c>
      <c r="N1101">
        <v>10.199999999999999</v>
      </c>
      <c r="O1101">
        <v>2</v>
      </c>
      <c r="P1101">
        <v>0.9</v>
      </c>
      <c r="Q1101">
        <v>0</v>
      </c>
      <c r="R1101">
        <v>2</v>
      </c>
      <c r="S1101">
        <v>4</v>
      </c>
      <c r="T1101">
        <v>3</v>
      </c>
      <c r="U1101" t="s">
        <v>23</v>
      </c>
      <c r="V1101">
        <v>4</v>
      </c>
      <c r="W1101">
        <v>1</v>
      </c>
    </row>
    <row r="1102" spans="1:23" x14ac:dyDescent="0.35">
      <c r="A1102" t="s">
        <v>854</v>
      </c>
      <c r="B1102" s="6">
        <v>45593</v>
      </c>
      <c r="C1102">
        <v>45904</v>
      </c>
      <c r="D1102" t="s">
        <v>30</v>
      </c>
      <c r="E1102">
        <v>34</v>
      </c>
      <c r="F1102" t="s">
        <v>36</v>
      </c>
      <c r="G1102" t="s">
        <v>42</v>
      </c>
      <c r="H1102" t="s">
        <v>26</v>
      </c>
      <c r="I1102" t="s">
        <v>59</v>
      </c>
      <c r="J1102" t="s">
        <v>75</v>
      </c>
      <c r="K1102">
        <v>2</v>
      </c>
      <c r="L1102" t="s">
        <v>40</v>
      </c>
      <c r="M1102">
        <v>53000</v>
      </c>
      <c r="N1102">
        <v>6.3</v>
      </c>
      <c r="O1102">
        <v>8.3000000000000007</v>
      </c>
      <c r="P1102">
        <v>0.9</v>
      </c>
      <c r="Q1102">
        <v>0</v>
      </c>
      <c r="R1102">
        <v>2</v>
      </c>
      <c r="S1102">
        <v>3</v>
      </c>
      <c r="T1102">
        <v>2</v>
      </c>
      <c r="U1102" t="s">
        <v>23</v>
      </c>
      <c r="V1102">
        <v>3</v>
      </c>
      <c r="W1102">
        <v>1</v>
      </c>
    </row>
    <row r="1103" spans="1:23" x14ac:dyDescent="0.35">
      <c r="A1103" t="s">
        <v>997</v>
      </c>
      <c r="B1103" s="6">
        <v>43620</v>
      </c>
      <c r="D1103" t="s">
        <v>23</v>
      </c>
      <c r="E1103">
        <v>29</v>
      </c>
      <c r="F1103" t="s">
        <v>24</v>
      </c>
      <c r="G1103" t="s">
        <v>42</v>
      </c>
      <c r="H1103" t="s">
        <v>58</v>
      </c>
      <c r="I1103" t="s">
        <v>27</v>
      </c>
      <c r="J1103" t="s">
        <v>43</v>
      </c>
      <c r="K1103">
        <v>2</v>
      </c>
      <c r="L1103" t="s">
        <v>84</v>
      </c>
      <c r="M1103">
        <v>47000</v>
      </c>
      <c r="N1103">
        <v>6.3</v>
      </c>
      <c r="O1103">
        <v>9.9</v>
      </c>
      <c r="P1103">
        <v>6.6</v>
      </c>
      <c r="Q1103">
        <v>0.8</v>
      </c>
      <c r="R1103">
        <v>3</v>
      </c>
      <c r="S1103">
        <v>4</v>
      </c>
      <c r="T1103">
        <v>3</v>
      </c>
      <c r="U1103" t="s">
        <v>30</v>
      </c>
      <c r="V1103">
        <v>5</v>
      </c>
      <c r="W1103">
        <v>1</v>
      </c>
    </row>
    <row r="1104" spans="1:23" x14ac:dyDescent="0.35">
      <c r="A1104" t="s">
        <v>470</v>
      </c>
      <c r="B1104" s="6">
        <v>42988</v>
      </c>
      <c r="D1104" t="s">
        <v>23</v>
      </c>
      <c r="E1104">
        <v>34</v>
      </c>
      <c r="F1104" t="s">
        <v>36</v>
      </c>
      <c r="G1104" t="s">
        <v>42</v>
      </c>
      <c r="H1104" t="s">
        <v>54</v>
      </c>
      <c r="I1104" t="s">
        <v>59</v>
      </c>
      <c r="J1104" t="s">
        <v>86</v>
      </c>
      <c r="K1104">
        <v>4</v>
      </c>
      <c r="L1104" t="s">
        <v>84</v>
      </c>
      <c r="M1104">
        <v>113000</v>
      </c>
      <c r="N1104">
        <v>11.1</v>
      </c>
      <c r="O1104">
        <v>10.6</v>
      </c>
      <c r="P1104">
        <v>8.3000000000000007</v>
      </c>
      <c r="Q1104">
        <v>1.5</v>
      </c>
      <c r="R1104">
        <v>2</v>
      </c>
      <c r="S1104">
        <v>2</v>
      </c>
      <c r="T1104">
        <v>3</v>
      </c>
      <c r="U1104" t="s">
        <v>23</v>
      </c>
      <c r="V1104">
        <v>5</v>
      </c>
      <c r="W1104">
        <v>1</v>
      </c>
    </row>
    <row r="1105" spans="1:23" x14ac:dyDescent="0.35">
      <c r="A1105" t="s">
        <v>889</v>
      </c>
      <c r="B1105" s="6">
        <v>44328</v>
      </c>
      <c r="D1105" t="s">
        <v>23</v>
      </c>
      <c r="E1105">
        <v>35</v>
      </c>
      <c r="F1105" t="s">
        <v>24</v>
      </c>
      <c r="G1105" t="s">
        <v>42</v>
      </c>
      <c r="H1105" t="s">
        <v>54</v>
      </c>
      <c r="I1105" t="s">
        <v>48</v>
      </c>
      <c r="J1105" t="s">
        <v>129</v>
      </c>
      <c r="K1105">
        <v>3</v>
      </c>
      <c r="L1105" t="s">
        <v>34</v>
      </c>
      <c r="M1105">
        <v>75000</v>
      </c>
      <c r="N1105">
        <v>12.4</v>
      </c>
      <c r="O1105">
        <v>6.9</v>
      </c>
      <c r="P1105">
        <v>4.5999999999999996</v>
      </c>
      <c r="Q1105">
        <v>3.9</v>
      </c>
      <c r="R1105">
        <v>4</v>
      </c>
      <c r="S1105">
        <v>4</v>
      </c>
      <c r="T1105">
        <v>2</v>
      </c>
      <c r="U1105" t="s">
        <v>23</v>
      </c>
      <c r="V1105">
        <v>4</v>
      </c>
      <c r="W1105">
        <v>1</v>
      </c>
    </row>
    <row r="1106" spans="1:23" x14ac:dyDescent="0.35">
      <c r="A1106" t="s">
        <v>790</v>
      </c>
      <c r="B1106" s="6">
        <v>45805</v>
      </c>
      <c r="D1106" t="s">
        <v>23</v>
      </c>
      <c r="E1106">
        <v>27</v>
      </c>
      <c r="F1106" t="s">
        <v>24</v>
      </c>
      <c r="G1106" t="s">
        <v>37</v>
      </c>
      <c r="H1106" t="s">
        <v>54</v>
      </c>
      <c r="I1106" t="s">
        <v>38</v>
      </c>
      <c r="J1106" t="s">
        <v>118</v>
      </c>
      <c r="K1106">
        <v>1</v>
      </c>
      <c r="L1106" t="s">
        <v>34</v>
      </c>
      <c r="M1106">
        <v>29000</v>
      </c>
      <c r="N1106">
        <v>13.3</v>
      </c>
      <c r="O1106">
        <v>1.6</v>
      </c>
      <c r="P1106">
        <v>0.6</v>
      </c>
      <c r="Q1106">
        <v>0</v>
      </c>
      <c r="R1106">
        <v>2</v>
      </c>
      <c r="S1106">
        <v>4</v>
      </c>
      <c r="T1106">
        <v>3</v>
      </c>
      <c r="U1106" t="s">
        <v>30</v>
      </c>
      <c r="V1106">
        <v>3</v>
      </c>
      <c r="W1106">
        <v>1</v>
      </c>
    </row>
    <row r="1107" spans="1:23" x14ac:dyDescent="0.35">
      <c r="A1107" t="s">
        <v>1327</v>
      </c>
      <c r="B1107" s="6">
        <v>44102</v>
      </c>
      <c r="C1107">
        <v>46001</v>
      </c>
      <c r="D1107" t="s">
        <v>30</v>
      </c>
      <c r="E1107">
        <v>36</v>
      </c>
      <c r="F1107" t="s">
        <v>36</v>
      </c>
      <c r="G1107" t="s">
        <v>25</v>
      </c>
      <c r="H1107" t="s">
        <v>26</v>
      </c>
      <c r="I1107" t="s">
        <v>68</v>
      </c>
      <c r="J1107" t="s">
        <v>102</v>
      </c>
      <c r="K1107">
        <v>3</v>
      </c>
      <c r="L1107" t="s">
        <v>34</v>
      </c>
      <c r="M1107">
        <v>86000</v>
      </c>
      <c r="N1107">
        <v>5.5</v>
      </c>
      <c r="O1107">
        <v>8.1</v>
      </c>
      <c r="P1107">
        <v>5.2</v>
      </c>
      <c r="Q1107">
        <v>0.6</v>
      </c>
      <c r="R1107">
        <v>1</v>
      </c>
      <c r="S1107">
        <v>3</v>
      </c>
      <c r="T1107">
        <v>4</v>
      </c>
      <c r="U1107" t="s">
        <v>30</v>
      </c>
      <c r="V1107">
        <v>2</v>
      </c>
      <c r="W1107">
        <v>1</v>
      </c>
    </row>
    <row r="1108" spans="1:23" x14ac:dyDescent="0.35">
      <c r="A1108" t="s">
        <v>1536</v>
      </c>
      <c r="B1108" s="6">
        <v>44167</v>
      </c>
      <c r="D1108" t="s">
        <v>23</v>
      </c>
      <c r="E1108">
        <v>32</v>
      </c>
      <c r="F1108" t="s">
        <v>36</v>
      </c>
      <c r="G1108" t="s">
        <v>42</v>
      </c>
      <c r="H1108" t="s">
        <v>58</v>
      </c>
      <c r="I1108" t="s">
        <v>38</v>
      </c>
      <c r="J1108" t="s">
        <v>139</v>
      </c>
      <c r="K1108">
        <v>3</v>
      </c>
      <c r="L1108" t="s">
        <v>40</v>
      </c>
      <c r="M1108">
        <v>94000</v>
      </c>
      <c r="N1108">
        <v>8.5</v>
      </c>
      <c r="O1108">
        <v>7.7</v>
      </c>
      <c r="P1108">
        <v>5.0999999999999996</v>
      </c>
      <c r="Q1108">
        <v>4.9000000000000004</v>
      </c>
      <c r="R1108">
        <v>1</v>
      </c>
      <c r="S1108">
        <v>4</v>
      </c>
      <c r="T1108">
        <v>3</v>
      </c>
      <c r="U1108" t="s">
        <v>30</v>
      </c>
      <c r="V1108">
        <v>5</v>
      </c>
      <c r="W1108">
        <v>1</v>
      </c>
    </row>
    <row r="1109" spans="1:23" x14ac:dyDescent="0.35">
      <c r="A1109" t="s">
        <v>1162</v>
      </c>
      <c r="B1109" s="6">
        <v>42904</v>
      </c>
      <c r="D1109" t="s">
        <v>23</v>
      </c>
      <c r="E1109">
        <v>37</v>
      </c>
      <c r="F1109" t="s">
        <v>36</v>
      </c>
      <c r="G1109" t="s">
        <v>42</v>
      </c>
      <c r="H1109" t="s">
        <v>26</v>
      </c>
      <c r="I1109" t="s">
        <v>59</v>
      </c>
      <c r="J1109" t="s">
        <v>60</v>
      </c>
      <c r="K1109">
        <v>2</v>
      </c>
      <c r="L1109" t="s">
        <v>40</v>
      </c>
      <c r="M1109">
        <v>60000</v>
      </c>
      <c r="N1109">
        <v>6.3</v>
      </c>
      <c r="O1109">
        <v>12.8</v>
      </c>
      <c r="P1109">
        <v>8.5</v>
      </c>
      <c r="Q1109">
        <v>3.2</v>
      </c>
      <c r="R1109">
        <v>3</v>
      </c>
      <c r="S1109">
        <v>3</v>
      </c>
      <c r="T1109">
        <v>3</v>
      </c>
      <c r="U1109" t="s">
        <v>30</v>
      </c>
      <c r="V1109">
        <v>3</v>
      </c>
      <c r="W1109">
        <v>1</v>
      </c>
    </row>
    <row r="1110" spans="1:23" x14ac:dyDescent="0.35">
      <c r="A1110" t="s">
        <v>361</v>
      </c>
      <c r="B1110" s="6">
        <v>45218</v>
      </c>
      <c r="D1110" t="s">
        <v>23</v>
      </c>
      <c r="E1110">
        <v>26</v>
      </c>
      <c r="F1110" t="s">
        <v>36</v>
      </c>
      <c r="G1110" t="s">
        <v>42</v>
      </c>
      <c r="H1110" t="s">
        <v>54</v>
      </c>
      <c r="I1110" t="s">
        <v>38</v>
      </c>
      <c r="J1110" t="s">
        <v>118</v>
      </c>
      <c r="K1110">
        <v>1</v>
      </c>
      <c r="L1110" t="s">
        <v>40</v>
      </c>
      <c r="M1110">
        <v>22000</v>
      </c>
      <c r="N1110">
        <v>9.8000000000000007</v>
      </c>
      <c r="O1110">
        <v>7.1</v>
      </c>
      <c r="P1110">
        <v>2.2000000000000002</v>
      </c>
      <c r="Q1110">
        <v>0.3</v>
      </c>
      <c r="R1110">
        <v>4</v>
      </c>
      <c r="S1110">
        <v>4</v>
      </c>
      <c r="T1110">
        <v>4</v>
      </c>
      <c r="U1110" t="s">
        <v>23</v>
      </c>
      <c r="V1110">
        <v>5</v>
      </c>
      <c r="W1110">
        <v>1</v>
      </c>
    </row>
    <row r="1111" spans="1:23" x14ac:dyDescent="0.35">
      <c r="A1111" t="s">
        <v>937</v>
      </c>
      <c r="B1111" s="6">
        <v>43671</v>
      </c>
      <c r="D1111" t="s">
        <v>23</v>
      </c>
      <c r="E1111">
        <v>35</v>
      </c>
      <c r="F1111" t="s">
        <v>36</v>
      </c>
      <c r="G1111" t="s">
        <v>25</v>
      </c>
      <c r="H1111" t="s">
        <v>26</v>
      </c>
      <c r="I1111" t="s">
        <v>38</v>
      </c>
      <c r="J1111" t="s">
        <v>39</v>
      </c>
      <c r="K1111">
        <v>3</v>
      </c>
      <c r="L1111" t="s">
        <v>50</v>
      </c>
      <c r="M1111">
        <v>69000</v>
      </c>
      <c r="N1111">
        <v>7.6</v>
      </c>
      <c r="O1111">
        <v>6.7</v>
      </c>
      <c r="P1111">
        <v>6.4</v>
      </c>
      <c r="Q1111">
        <v>5.9</v>
      </c>
      <c r="R1111">
        <v>3</v>
      </c>
      <c r="S1111">
        <v>3</v>
      </c>
      <c r="T1111">
        <v>3</v>
      </c>
      <c r="U1111" t="s">
        <v>23</v>
      </c>
      <c r="V1111">
        <v>3</v>
      </c>
      <c r="W1111">
        <v>1</v>
      </c>
    </row>
    <row r="1112" spans="1:23" x14ac:dyDescent="0.35">
      <c r="A1112" t="s">
        <v>626</v>
      </c>
      <c r="B1112" s="6">
        <v>43398</v>
      </c>
      <c r="D1112" t="s">
        <v>23</v>
      </c>
      <c r="E1112">
        <v>43</v>
      </c>
      <c r="F1112" t="s">
        <v>24</v>
      </c>
      <c r="G1112" t="s">
        <v>25</v>
      </c>
      <c r="H1112" t="s">
        <v>58</v>
      </c>
      <c r="I1112" t="s">
        <v>59</v>
      </c>
      <c r="J1112" t="s">
        <v>75</v>
      </c>
      <c r="K1112">
        <v>1</v>
      </c>
      <c r="L1112" t="s">
        <v>66</v>
      </c>
      <c r="M1112">
        <v>23000</v>
      </c>
      <c r="N1112">
        <v>14</v>
      </c>
      <c r="O1112">
        <v>7.3</v>
      </c>
      <c r="P1112">
        <v>7.2</v>
      </c>
      <c r="Q1112">
        <v>3.9</v>
      </c>
      <c r="R1112">
        <v>2</v>
      </c>
      <c r="S1112">
        <v>3</v>
      </c>
      <c r="T1112">
        <v>3</v>
      </c>
      <c r="U1112" t="s">
        <v>23</v>
      </c>
      <c r="V1112">
        <v>5</v>
      </c>
      <c r="W1112">
        <v>1</v>
      </c>
    </row>
    <row r="1113" spans="1:23" x14ac:dyDescent="0.35">
      <c r="A1113" t="s">
        <v>1319</v>
      </c>
      <c r="B1113" s="6">
        <v>45303</v>
      </c>
      <c r="D1113" t="s">
        <v>23</v>
      </c>
      <c r="E1113">
        <v>27</v>
      </c>
      <c r="F1113" t="s">
        <v>62</v>
      </c>
      <c r="G1113" t="s">
        <v>42</v>
      </c>
      <c r="H1113" t="s">
        <v>54</v>
      </c>
      <c r="I1113" t="s">
        <v>38</v>
      </c>
      <c r="J1113" t="s">
        <v>39</v>
      </c>
      <c r="K1113">
        <v>1</v>
      </c>
      <c r="L1113" t="s">
        <v>66</v>
      </c>
      <c r="M1113">
        <v>28000</v>
      </c>
      <c r="N1113">
        <v>10.4</v>
      </c>
      <c r="O1113">
        <v>2.2999999999999998</v>
      </c>
      <c r="P1113">
        <v>2</v>
      </c>
      <c r="Q1113">
        <v>1.2</v>
      </c>
      <c r="R1113">
        <v>1</v>
      </c>
      <c r="S1113">
        <v>3</v>
      </c>
      <c r="T1113">
        <v>4</v>
      </c>
      <c r="U1113" t="s">
        <v>23</v>
      </c>
      <c r="V1113">
        <v>3</v>
      </c>
      <c r="W1113">
        <v>1</v>
      </c>
    </row>
    <row r="1114" spans="1:23" x14ac:dyDescent="0.35">
      <c r="A1114" t="s">
        <v>1524</v>
      </c>
      <c r="B1114" s="6">
        <v>43144</v>
      </c>
      <c r="D1114" t="s">
        <v>23</v>
      </c>
      <c r="E1114">
        <v>34</v>
      </c>
      <c r="F1114" t="s">
        <v>36</v>
      </c>
      <c r="G1114" t="s">
        <v>37</v>
      </c>
      <c r="H1114" t="s">
        <v>32</v>
      </c>
      <c r="I1114" t="s">
        <v>27</v>
      </c>
      <c r="J1114" t="s">
        <v>33</v>
      </c>
      <c r="K1114">
        <v>3</v>
      </c>
      <c r="L1114" t="s">
        <v>40</v>
      </c>
      <c r="M1114">
        <v>69000</v>
      </c>
      <c r="N1114">
        <v>1.9</v>
      </c>
      <c r="O1114">
        <v>14.4</v>
      </c>
      <c r="P1114">
        <v>7.9</v>
      </c>
      <c r="Q1114">
        <v>2.2999999999999998</v>
      </c>
      <c r="R1114">
        <v>3</v>
      </c>
      <c r="S1114">
        <v>3</v>
      </c>
      <c r="T1114">
        <v>3</v>
      </c>
      <c r="U1114" t="s">
        <v>30</v>
      </c>
      <c r="V1114">
        <v>3</v>
      </c>
      <c r="W1114">
        <v>1</v>
      </c>
    </row>
    <row r="1115" spans="1:23" x14ac:dyDescent="0.35">
      <c r="A1115" t="s">
        <v>609</v>
      </c>
      <c r="B1115" s="6">
        <v>43840</v>
      </c>
      <c r="D1115" t="s">
        <v>23</v>
      </c>
      <c r="E1115">
        <v>35</v>
      </c>
      <c r="F1115" t="s">
        <v>62</v>
      </c>
      <c r="G1115" t="s">
        <v>25</v>
      </c>
      <c r="H1115" t="s">
        <v>58</v>
      </c>
      <c r="I1115" t="s">
        <v>48</v>
      </c>
      <c r="J1115" t="s">
        <v>129</v>
      </c>
      <c r="K1115">
        <v>5</v>
      </c>
      <c r="L1115" t="s">
        <v>66</v>
      </c>
      <c r="M1115">
        <v>155000</v>
      </c>
      <c r="N1115">
        <v>6.8</v>
      </c>
      <c r="O1115">
        <v>12.1</v>
      </c>
      <c r="P1115">
        <v>6</v>
      </c>
      <c r="Q1115">
        <v>2.6</v>
      </c>
      <c r="R1115">
        <v>2</v>
      </c>
      <c r="S1115">
        <v>2</v>
      </c>
      <c r="T1115">
        <v>3</v>
      </c>
      <c r="U1115" t="s">
        <v>23</v>
      </c>
      <c r="V1115">
        <v>3</v>
      </c>
      <c r="W1115">
        <v>1</v>
      </c>
    </row>
    <row r="1116" spans="1:23" x14ac:dyDescent="0.35">
      <c r="A1116" t="s">
        <v>1248</v>
      </c>
      <c r="B1116" s="6">
        <v>44007</v>
      </c>
      <c r="D1116" t="s">
        <v>23</v>
      </c>
      <c r="E1116">
        <v>41</v>
      </c>
      <c r="F1116" t="s">
        <v>36</v>
      </c>
      <c r="G1116" t="s">
        <v>37</v>
      </c>
      <c r="H1116" t="s">
        <v>54</v>
      </c>
      <c r="I1116" t="s">
        <v>27</v>
      </c>
      <c r="J1116" t="s">
        <v>43</v>
      </c>
      <c r="K1116">
        <v>5</v>
      </c>
      <c r="L1116" t="s">
        <v>66</v>
      </c>
      <c r="M1116">
        <v>145000</v>
      </c>
      <c r="N1116">
        <v>7.6</v>
      </c>
      <c r="O1116">
        <v>6.8</v>
      </c>
      <c r="P1116">
        <v>5.5</v>
      </c>
      <c r="Q1116">
        <v>2.4</v>
      </c>
      <c r="R1116">
        <v>3</v>
      </c>
      <c r="S1116">
        <v>4</v>
      </c>
      <c r="T1116">
        <v>3</v>
      </c>
      <c r="U1116" t="s">
        <v>30</v>
      </c>
      <c r="V1116">
        <v>1</v>
      </c>
      <c r="W1116">
        <v>1</v>
      </c>
    </row>
    <row r="1117" spans="1:23" x14ac:dyDescent="0.35">
      <c r="A1117" t="s">
        <v>1027</v>
      </c>
      <c r="B1117" s="6">
        <v>45770</v>
      </c>
      <c r="D1117" t="s">
        <v>23</v>
      </c>
      <c r="E1117">
        <v>24</v>
      </c>
      <c r="F1117" t="s">
        <v>62</v>
      </c>
      <c r="G1117" t="s">
        <v>37</v>
      </c>
      <c r="H1117" t="s">
        <v>32</v>
      </c>
      <c r="I1117" t="s">
        <v>59</v>
      </c>
      <c r="J1117" t="s">
        <v>86</v>
      </c>
      <c r="K1117">
        <v>1</v>
      </c>
      <c r="L1117" t="s">
        <v>84</v>
      </c>
      <c r="M1117">
        <v>35000</v>
      </c>
      <c r="N1117">
        <v>11.2</v>
      </c>
      <c r="O1117">
        <v>6</v>
      </c>
      <c r="P1117">
        <v>0.7</v>
      </c>
      <c r="Q1117">
        <v>0</v>
      </c>
      <c r="R1117">
        <v>4</v>
      </c>
      <c r="S1117">
        <v>3</v>
      </c>
      <c r="T1117">
        <v>2</v>
      </c>
      <c r="U1117" t="s">
        <v>23</v>
      </c>
      <c r="V1117">
        <v>4</v>
      </c>
      <c r="W1117">
        <v>1</v>
      </c>
    </row>
    <row r="1118" spans="1:23" x14ac:dyDescent="0.35">
      <c r="A1118" t="s">
        <v>1159</v>
      </c>
      <c r="B1118" s="6">
        <v>45683</v>
      </c>
      <c r="D1118" t="s">
        <v>23</v>
      </c>
      <c r="E1118">
        <v>21</v>
      </c>
      <c r="F1118" t="s">
        <v>62</v>
      </c>
      <c r="G1118" t="s">
        <v>25</v>
      </c>
      <c r="H1118" t="s">
        <v>26</v>
      </c>
      <c r="I1118" t="s">
        <v>45</v>
      </c>
      <c r="J1118" t="s">
        <v>46</v>
      </c>
      <c r="K1118">
        <v>1</v>
      </c>
      <c r="L1118" t="s">
        <v>50</v>
      </c>
      <c r="M1118">
        <v>25000</v>
      </c>
      <c r="N1118">
        <v>5.5</v>
      </c>
      <c r="O1118">
        <v>1.1000000000000001</v>
      </c>
      <c r="P1118">
        <v>0.9</v>
      </c>
      <c r="Q1118">
        <v>0</v>
      </c>
      <c r="R1118">
        <v>2</v>
      </c>
      <c r="S1118">
        <v>3</v>
      </c>
      <c r="T1118">
        <v>3</v>
      </c>
      <c r="U1118" t="s">
        <v>23</v>
      </c>
      <c r="V1118">
        <v>3</v>
      </c>
      <c r="W1118">
        <v>1</v>
      </c>
    </row>
    <row r="1119" spans="1:23" x14ac:dyDescent="0.35">
      <c r="A1119" t="s">
        <v>1535</v>
      </c>
      <c r="B1119" s="6">
        <v>44613</v>
      </c>
      <c r="D1119" t="s">
        <v>23</v>
      </c>
      <c r="E1119">
        <v>36</v>
      </c>
      <c r="F1119" t="s">
        <v>36</v>
      </c>
      <c r="G1119" t="s">
        <v>25</v>
      </c>
      <c r="H1119" t="s">
        <v>58</v>
      </c>
      <c r="I1119" t="s">
        <v>27</v>
      </c>
      <c r="J1119" t="s">
        <v>33</v>
      </c>
      <c r="K1119">
        <v>4</v>
      </c>
      <c r="L1119" t="s">
        <v>34</v>
      </c>
      <c r="M1119">
        <v>119000</v>
      </c>
      <c r="N1119">
        <v>7</v>
      </c>
      <c r="O1119">
        <v>10.9</v>
      </c>
      <c r="P1119">
        <v>3.9</v>
      </c>
      <c r="Q1119">
        <v>1.4</v>
      </c>
      <c r="R1119">
        <v>4</v>
      </c>
      <c r="S1119">
        <v>3</v>
      </c>
      <c r="T1119">
        <v>4</v>
      </c>
      <c r="U1119" t="s">
        <v>30</v>
      </c>
      <c r="V1119">
        <v>4</v>
      </c>
      <c r="W1119">
        <v>1</v>
      </c>
    </row>
    <row r="1120" spans="1:23" x14ac:dyDescent="0.35">
      <c r="A1120" t="s">
        <v>397</v>
      </c>
      <c r="B1120" s="6">
        <v>45803</v>
      </c>
      <c r="D1120" t="s">
        <v>23</v>
      </c>
      <c r="E1120">
        <v>41</v>
      </c>
      <c r="F1120" t="s">
        <v>36</v>
      </c>
      <c r="G1120" t="s">
        <v>25</v>
      </c>
      <c r="H1120" t="s">
        <v>54</v>
      </c>
      <c r="I1120" t="s">
        <v>38</v>
      </c>
      <c r="J1120" t="s">
        <v>139</v>
      </c>
      <c r="K1120">
        <v>1</v>
      </c>
      <c r="L1120" t="s">
        <v>50</v>
      </c>
      <c r="M1120">
        <v>40000</v>
      </c>
      <c r="N1120">
        <v>14.1</v>
      </c>
      <c r="O1120">
        <v>5.9</v>
      </c>
      <c r="P1120">
        <v>0.6</v>
      </c>
      <c r="Q1120">
        <v>0</v>
      </c>
      <c r="R1120">
        <v>3</v>
      </c>
      <c r="S1120">
        <v>2</v>
      </c>
      <c r="T1120">
        <v>2</v>
      </c>
      <c r="U1120" t="s">
        <v>23</v>
      </c>
      <c r="V1120">
        <v>4</v>
      </c>
      <c r="W1120">
        <v>1</v>
      </c>
    </row>
    <row r="1121" spans="1:23" x14ac:dyDescent="0.35">
      <c r="A1121" t="s">
        <v>920</v>
      </c>
      <c r="B1121" s="6">
        <v>44309</v>
      </c>
      <c r="D1121" t="s">
        <v>23</v>
      </c>
      <c r="E1121">
        <v>25</v>
      </c>
      <c r="F1121" t="s">
        <v>36</v>
      </c>
      <c r="G1121" t="s">
        <v>25</v>
      </c>
      <c r="H1121" t="s">
        <v>54</v>
      </c>
      <c r="I1121" t="s">
        <v>59</v>
      </c>
      <c r="J1121" t="s">
        <v>75</v>
      </c>
      <c r="K1121">
        <v>1</v>
      </c>
      <c r="L1121" t="s">
        <v>66</v>
      </c>
      <c r="M1121">
        <v>22000</v>
      </c>
      <c r="N1121">
        <v>2.8</v>
      </c>
      <c r="O1121">
        <v>6.9</v>
      </c>
      <c r="P1121">
        <v>4.7</v>
      </c>
      <c r="Q1121">
        <v>0.8</v>
      </c>
      <c r="S1121">
        <v>3</v>
      </c>
      <c r="T1121">
        <v>3</v>
      </c>
      <c r="U1121" t="s">
        <v>23</v>
      </c>
      <c r="V1121">
        <v>3</v>
      </c>
      <c r="W1121">
        <v>1</v>
      </c>
    </row>
    <row r="1122" spans="1:23" x14ac:dyDescent="0.35">
      <c r="A1122" t="s">
        <v>1210</v>
      </c>
      <c r="B1122" s="6">
        <v>45699</v>
      </c>
      <c r="D1122" t="s">
        <v>23</v>
      </c>
      <c r="E1122">
        <v>41</v>
      </c>
      <c r="F1122" t="s">
        <v>24</v>
      </c>
      <c r="G1122" t="s">
        <v>42</v>
      </c>
      <c r="H1122" t="s">
        <v>32</v>
      </c>
      <c r="I1122" t="s">
        <v>45</v>
      </c>
      <c r="J1122" t="s">
        <v>46</v>
      </c>
      <c r="K1122">
        <v>3</v>
      </c>
      <c r="L1122" t="s">
        <v>40</v>
      </c>
      <c r="M1122" t="s">
        <v>1211</v>
      </c>
      <c r="N1122">
        <v>12.4</v>
      </c>
      <c r="O1122">
        <v>3</v>
      </c>
      <c r="P1122">
        <v>0.9</v>
      </c>
      <c r="Q1122">
        <v>0</v>
      </c>
      <c r="R1122">
        <v>3</v>
      </c>
      <c r="S1122">
        <v>4</v>
      </c>
      <c r="T1122">
        <v>3</v>
      </c>
      <c r="U1122" t="s">
        <v>30</v>
      </c>
      <c r="V1122">
        <v>3</v>
      </c>
      <c r="W1122">
        <v>1</v>
      </c>
    </row>
    <row r="1123" spans="1:23" x14ac:dyDescent="0.35">
      <c r="A1123" t="s">
        <v>370</v>
      </c>
      <c r="B1123" s="6">
        <v>43344</v>
      </c>
      <c r="D1123" t="s">
        <v>23</v>
      </c>
      <c r="E1123">
        <v>29</v>
      </c>
      <c r="F1123" t="s">
        <v>62</v>
      </c>
      <c r="G1123" t="s">
        <v>25</v>
      </c>
      <c r="H1123" t="s">
        <v>54</v>
      </c>
      <c r="I1123" t="s">
        <v>48</v>
      </c>
      <c r="J1123" t="s">
        <v>129</v>
      </c>
      <c r="K1123">
        <v>3</v>
      </c>
      <c r="L1123" t="s">
        <v>40</v>
      </c>
      <c r="M1123">
        <v>70000</v>
      </c>
      <c r="N1123">
        <v>12.4</v>
      </c>
      <c r="O1123">
        <v>10.199999999999999</v>
      </c>
      <c r="P1123">
        <v>7.3</v>
      </c>
      <c r="Q1123">
        <v>4.7</v>
      </c>
      <c r="R1123">
        <v>2</v>
      </c>
      <c r="S1123">
        <v>3</v>
      </c>
      <c r="T1123">
        <v>4</v>
      </c>
      <c r="U1123" t="s">
        <v>23</v>
      </c>
      <c r="V1123">
        <v>4</v>
      </c>
      <c r="W1123">
        <v>1</v>
      </c>
    </row>
    <row r="1124" spans="1:23" x14ac:dyDescent="0.35">
      <c r="A1124" t="s">
        <v>101</v>
      </c>
      <c r="B1124" s="6">
        <v>41955</v>
      </c>
      <c r="D1124" t="s">
        <v>23</v>
      </c>
      <c r="E1124">
        <v>34</v>
      </c>
      <c r="F1124" t="s">
        <v>36</v>
      </c>
      <c r="G1124" t="s">
        <v>25</v>
      </c>
      <c r="H1124" t="s">
        <v>58</v>
      </c>
      <c r="I1124" t="s">
        <v>68</v>
      </c>
      <c r="J1124" t="s">
        <v>102</v>
      </c>
      <c r="K1124">
        <v>4</v>
      </c>
      <c r="L1124" t="s">
        <v>40</v>
      </c>
      <c r="M1124">
        <v>114000</v>
      </c>
      <c r="N1124">
        <v>10.3</v>
      </c>
      <c r="O1124">
        <v>14.2</v>
      </c>
      <c r="P1124">
        <v>11.1</v>
      </c>
      <c r="Q1124">
        <v>1.5</v>
      </c>
      <c r="R1124">
        <v>3</v>
      </c>
      <c r="S1124">
        <v>3</v>
      </c>
      <c r="T1124">
        <v>3</v>
      </c>
      <c r="U1124" t="s">
        <v>23</v>
      </c>
      <c r="V1124">
        <v>1</v>
      </c>
      <c r="W1124">
        <v>1</v>
      </c>
    </row>
    <row r="1125" spans="1:23" x14ac:dyDescent="0.35">
      <c r="A1125" t="s">
        <v>1458</v>
      </c>
      <c r="B1125" s="6">
        <v>43516</v>
      </c>
      <c r="D1125" t="s">
        <v>23</v>
      </c>
      <c r="E1125">
        <v>42</v>
      </c>
      <c r="F1125" t="s">
        <v>24</v>
      </c>
      <c r="G1125" t="s">
        <v>37</v>
      </c>
      <c r="H1125" t="s">
        <v>32</v>
      </c>
      <c r="I1125" t="s">
        <v>38</v>
      </c>
      <c r="J1125" t="s">
        <v>52</v>
      </c>
      <c r="K1125">
        <v>1</v>
      </c>
      <c r="L1125" t="s">
        <v>84</v>
      </c>
      <c r="M1125">
        <v>43000</v>
      </c>
      <c r="N1125">
        <v>12.4</v>
      </c>
      <c r="O1125">
        <v>9.6999999999999993</v>
      </c>
      <c r="P1125">
        <v>6.9</v>
      </c>
      <c r="Q1125">
        <v>4.5999999999999996</v>
      </c>
      <c r="R1125">
        <v>2</v>
      </c>
      <c r="S1125">
        <v>4</v>
      </c>
      <c r="T1125">
        <v>3</v>
      </c>
      <c r="U1125" t="s">
        <v>30</v>
      </c>
      <c r="V1125">
        <v>4</v>
      </c>
      <c r="W1125">
        <v>1</v>
      </c>
    </row>
    <row r="1126" spans="1:23" x14ac:dyDescent="0.35">
      <c r="A1126" t="s">
        <v>1541</v>
      </c>
      <c r="B1126" s="6">
        <v>44135</v>
      </c>
      <c r="D1126" t="s">
        <v>23</v>
      </c>
      <c r="E1126">
        <v>30</v>
      </c>
      <c r="F1126" t="s">
        <v>62</v>
      </c>
      <c r="G1126" t="s">
        <v>37</v>
      </c>
      <c r="H1126" t="s">
        <v>54</v>
      </c>
      <c r="I1126" t="s">
        <v>27</v>
      </c>
      <c r="J1126" t="s">
        <v>33</v>
      </c>
      <c r="K1126">
        <v>3</v>
      </c>
      <c r="L1126" t="s">
        <v>50</v>
      </c>
      <c r="M1126">
        <v>80000</v>
      </c>
      <c r="N1126">
        <v>3.4</v>
      </c>
      <c r="O1126">
        <v>7.2</v>
      </c>
      <c r="P1126">
        <v>5.2</v>
      </c>
      <c r="Q1126">
        <v>2.5</v>
      </c>
      <c r="R1126">
        <v>4</v>
      </c>
      <c r="S1126">
        <v>4</v>
      </c>
      <c r="T1126">
        <v>3</v>
      </c>
      <c r="U1126" t="s">
        <v>23</v>
      </c>
      <c r="V1126">
        <v>3</v>
      </c>
      <c r="W1126">
        <v>1</v>
      </c>
    </row>
    <row r="1127" spans="1:23" x14ac:dyDescent="0.35">
      <c r="A1127" t="s">
        <v>1253</v>
      </c>
      <c r="B1127" s="6">
        <v>45760</v>
      </c>
      <c r="C1127">
        <v>46013</v>
      </c>
      <c r="D1127" t="s">
        <v>30</v>
      </c>
      <c r="E1127">
        <v>25</v>
      </c>
      <c r="F1127" t="s">
        <v>24</v>
      </c>
      <c r="G1127" t="s">
        <v>37</v>
      </c>
      <c r="H1127" t="s">
        <v>54</v>
      </c>
      <c r="I1127" t="s">
        <v>27</v>
      </c>
      <c r="J1127" t="s">
        <v>43</v>
      </c>
      <c r="K1127">
        <v>1</v>
      </c>
      <c r="L1127" t="s">
        <v>50</v>
      </c>
      <c r="M1127">
        <v>35000</v>
      </c>
      <c r="N1127">
        <v>5.6</v>
      </c>
      <c r="O1127">
        <v>8.6</v>
      </c>
      <c r="P1127">
        <v>0.7</v>
      </c>
      <c r="Q1127">
        <v>0</v>
      </c>
      <c r="R1127">
        <v>4</v>
      </c>
      <c r="S1127">
        <v>3</v>
      </c>
      <c r="T1127">
        <v>4</v>
      </c>
      <c r="U1127" t="s">
        <v>30</v>
      </c>
      <c r="V1127">
        <v>4</v>
      </c>
      <c r="W1127">
        <v>1</v>
      </c>
    </row>
    <row r="1128" spans="1:23" x14ac:dyDescent="0.35">
      <c r="A1128" t="s">
        <v>1309</v>
      </c>
      <c r="B1128" s="6">
        <v>44171</v>
      </c>
      <c r="D1128" t="s">
        <v>23</v>
      </c>
      <c r="E1128">
        <v>33</v>
      </c>
      <c r="F1128" t="s">
        <v>62</v>
      </c>
      <c r="G1128" t="s">
        <v>37</v>
      </c>
      <c r="H1128" t="s">
        <v>32</v>
      </c>
      <c r="I1128" t="s">
        <v>55</v>
      </c>
      <c r="J1128" t="s">
        <v>179</v>
      </c>
      <c r="K1128">
        <v>3</v>
      </c>
      <c r="L1128" t="s">
        <v>84</v>
      </c>
      <c r="M1128">
        <v>75000</v>
      </c>
      <c r="N1128">
        <v>10.7</v>
      </c>
      <c r="O1128">
        <v>12.4</v>
      </c>
      <c r="P1128">
        <v>5.0999999999999996</v>
      </c>
      <c r="Q1128">
        <v>1.6</v>
      </c>
      <c r="R1128">
        <v>2</v>
      </c>
      <c r="S1128">
        <v>3</v>
      </c>
      <c r="T1128">
        <v>3</v>
      </c>
      <c r="U1128" t="s">
        <v>30</v>
      </c>
      <c r="V1128">
        <v>4</v>
      </c>
      <c r="W1128">
        <v>1</v>
      </c>
    </row>
    <row r="1129" spans="1:23" x14ac:dyDescent="0.35">
      <c r="A1129" t="s">
        <v>1436</v>
      </c>
      <c r="B1129" s="6">
        <v>44793</v>
      </c>
      <c r="D1129" t="s">
        <v>23</v>
      </c>
      <c r="E1129">
        <v>39</v>
      </c>
      <c r="F1129" t="s">
        <v>24</v>
      </c>
      <c r="G1129" t="s">
        <v>42</v>
      </c>
      <c r="H1129" t="s">
        <v>54</v>
      </c>
      <c r="I1129" t="s">
        <v>68</v>
      </c>
      <c r="J1129" t="s">
        <v>69</v>
      </c>
      <c r="K1129">
        <v>3</v>
      </c>
      <c r="L1129" t="s">
        <v>29</v>
      </c>
      <c r="M1129">
        <v>77000</v>
      </c>
      <c r="N1129">
        <v>10.6</v>
      </c>
      <c r="O1129">
        <v>10.3</v>
      </c>
      <c r="P1129">
        <v>3.4</v>
      </c>
      <c r="Q1129">
        <v>2.4</v>
      </c>
      <c r="R1129">
        <v>3</v>
      </c>
      <c r="S1129">
        <v>3</v>
      </c>
      <c r="T1129">
        <v>4</v>
      </c>
      <c r="U1129" t="s">
        <v>23</v>
      </c>
      <c r="V1129">
        <v>3</v>
      </c>
      <c r="W1129">
        <v>1</v>
      </c>
    </row>
    <row r="1130" spans="1:23" x14ac:dyDescent="0.35">
      <c r="A1130" t="s">
        <v>480</v>
      </c>
      <c r="B1130" s="6">
        <v>44024</v>
      </c>
      <c r="C1130">
        <v>45935</v>
      </c>
      <c r="D1130" t="s">
        <v>30</v>
      </c>
      <c r="E1130">
        <v>29</v>
      </c>
      <c r="F1130" t="s">
        <v>24</v>
      </c>
      <c r="G1130" t="s">
        <v>42</v>
      </c>
      <c r="H1130" t="s">
        <v>26</v>
      </c>
      <c r="I1130" t="s">
        <v>38</v>
      </c>
      <c r="J1130" t="s">
        <v>139</v>
      </c>
      <c r="K1130">
        <v>3</v>
      </c>
      <c r="L1130" t="s">
        <v>34</v>
      </c>
      <c r="M1130">
        <v>82000</v>
      </c>
      <c r="N1130">
        <v>12.4</v>
      </c>
      <c r="O1130">
        <v>12.9</v>
      </c>
      <c r="P1130">
        <v>5.2</v>
      </c>
      <c r="Q1130">
        <v>3.8</v>
      </c>
      <c r="R1130">
        <v>3</v>
      </c>
      <c r="S1130">
        <v>4</v>
      </c>
      <c r="T1130">
        <v>3</v>
      </c>
      <c r="U1130" t="s">
        <v>23</v>
      </c>
      <c r="V1130">
        <v>4</v>
      </c>
      <c r="W1130">
        <v>1</v>
      </c>
    </row>
    <row r="1131" spans="1:23" x14ac:dyDescent="0.35">
      <c r="A1131" t="s">
        <v>1137</v>
      </c>
      <c r="B1131" s="6">
        <v>44648</v>
      </c>
      <c r="D1131" t="s">
        <v>23</v>
      </c>
      <c r="E1131">
        <v>27</v>
      </c>
      <c r="F1131" t="s">
        <v>62</v>
      </c>
      <c r="G1131" t="s">
        <v>25</v>
      </c>
      <c r="H1131" t="s">
        <v>32</v>
      </c>
      <c r="I1131" t="s">
        <v>68</v>
      </c>
      <c r="J1131" t="s">
        <v>121</v>
      </c>
      <c r="K1131">
        <v>1</v>
      </c>
      <c r="L1131" t="s">
        <v>29</v>
      </c>
      <c r="M1131">
        <v>43000</v>
      </c>
      <c r="N1131">
        <v>0.3</v>
      </c>
      <c r="O1131">
        <v>8.6999999999999993</v>
      </c>
      <c r="P1131">
        <v>3.8</v>
      </c>
      <c r="Q1131">
        <v>3.5</v>
      </c>
      <c r="R1131">
        <v>4</v>
      </c>
      <c r="S1131">
        <v>3</v>
      </c>
      <c r="T1131">
        <v>4</v>
      </c>
      <c r="U1131" t="s">
        <v>23</v>
      </c>
      <c r="V1131">
        <v>4</v>
      </c>
      <c r="W1131">
        <v>1</v>
      </c>
    </row>
    <row r="1132" spans="1:23" x14ac:dyDescent="0.35">
      <c r="A1132" t="s">
        <v>805</v>
      </c>
      <c r="B1132" s="6">
        <v>44463</v>
      </c>
      <c r="D1132" t="s">
        <v>23</v>
      </c>
      <c r="E1132">
        <v>26</v>
      </c>
      <c r="F1132" t="s">
        <v>36</v>
      </c>
      <c r="G1132" t="s">
        <v>25</v>
      </c>
      <c r="H1132" t="s">
        <v>26</v>
      </c>
      <c r="I1132" t="s">
        <v>27</v>
      </c>
      <c r="J1132" t="s">
        <v>33</v>
      </c>
      <c r="K1132">
        <v>1</v>
      </c>
      <c r="L1132" t="s">
        <v>50</v>
      </c>
      <c r="M1132">
        <v>22000</v>
      </c>
      <c r="N1132">
        <v>2.7</v>
      </c>
      <c r="O1132">
        <v>8.8000000000000007</v>
      </c>
      <c r="P1132">
        <v>4.3</v>
      </c>
      <c r="Q1132">
        <v>3</v>
      </c>
      <c r="R1132">
        <v>3</v>
      </c>
      <c r="S1132">
        <v>4</v>
      </c>
      <c r="T1132">
        <v>3</v>
      </c>
      <c r="U1132" t="s">
        <v>23</v>
      </c>
      <c r="V1132">
        <v>4</v>
      </c>
      <c r="W1132">
        <v>1</v>
      </c>
    </row>
    <row r="1133" spans="1:23" x14ac:dyDescent="0.35">
      <c r="A1133" t="s">
        <v>160</v>
      </c>
      <c r="B1133" s="6">
        <v>43009</v>
      </c>
      <c r="D1133" t="s">
        <v>23</v>
      </c>
      <c r="E1133">
        <v>32</v>
      </c>
      <c r="F1133" t="s">
        <v>24</v>
      </c>
      <c r="G1133" t="s">
        <v>42</v>
      </c>
      <c r="H1133" t="s">
        <v>26</v>
      </c>
      <c r="I1133" t="s">
        <v>38</v>
      </c>
      <c r="J1133" t="s">
        <v>139</v>
      </c>
      <c r="K1133">
        <v>3</v>
      </c>
      <c r="L1133" t="s">
        <v>34</v>
      </c>
      <c r="M1133">
        <v>90000</v>
      </c>
      <c r="N1133">
        <v>11.8</v>
      </c>
      <c r="O1133">
        <v>11.1</v>
      </c>
      <c r="P1133">
        <v>8.1999999999999993</v>
      </c>
      <c r="Q1133">
        <v>4.2</v>
      </c>
      <c r="R1133">
        <v>3</v>
      </c>
      <c r="S1133">
        <v>3</v>
      </c>
      <c r="T1133">
        <v>3</v>
      </c>
      <c r="U1133" t="s">
        <v>30</v>
      </c>
      <c r="V1133">
        <v>3</v>
      </c>
      <c r="W1133">
        <v>1</v>
      </c>
    </row>
    <row r="1134" spans="1:23" x14ac:dyDescent="0.35">
      <c r="A1134" t="s">
        <v>1170</v>
      </c>
      <c r="B1134" s="6">
        <v>43366</v>
      </c>
      <c r="D1134" t="s">
        <v>23</v>
      </c>
      <c r="E1134">
        <v>38</v>
      </c>
      <c r="F1134" t="s">
        <v>62</v>
      </c>
      <c r="G1134" t="s">
        <v>42</v>
      </c>
      <c r="H1134" t="s">
        <v>58</v>
      </c>
      <c r="I1134" t="s">
        <v>45</v>
      </c>
      <c r="J1134" t="s">
        <v>164</v>
      </c>
      <c r="K1134">
        <v>2</v>
      </c>
      <c r="L1134" t="s">
        <v>84</v>
      </c>
      <c r="M1134">
        <v>49000</v>
      </c>
      <c r="N1134">
        <v>4.3</v>
      </c>
      <c r="O1134">
        <v>10.6</v>
      </c>
      <c r="P1134">
        <v>7.3</v>
      </c>
      <c r="Q1134">
        <v>1.5</v>
      </c>
      <c r="R1134">
        <v>3</v>
      </c>
      <c r="S1134">
        <v>4</v>
      </c>
      <c r="T1134">
        <v>3</v>
      </c>
      <c r="U1134" t="s">
        <v>23</v>
      </c>
      <c r="V1134">
        <v>2</v>
      </c>
      <c r="W1134">
        <v>1</v>
      </c>
    </row>
    <row r="1135" spans="1:23" x14ac:dyDescent="0.35">
      <c r="A1135" t="s">
        <v>749</v>
      </c>
      <c r="B1135" s="6">
        <v>45889</v>
      </c>
      <c r="D1135" t="s">
        <v>23</v>
      </c>
      <c r="E1135">
        <v>29</v>
      </c>
      <c r="F1135" t="s">
        <v>36</v>
      </c>
      <c r="G1135" t="s">
        <v>42</v>
      </c>
      <c r="H1135" t="s">
        <v>58</v>
      </c>
      <c r="I1135" t="s">
        <v>27</v>
      </c>
      <c r="J1135" t="s">
        <v>43</v>
      </c>
      <c r="K1135">
        <v>2</v>
      </c>
      <c r="L1135" t="s">
        <v>29</v>
      </c>
      <c r="M1135">
        <v>42000</v>
      </c>
      <c r="N1135">
        <v>8.3000000000000007</v>
      </c>
      <c r="O1135">
        <v>6.8</v>
      </c>
      <c r="P1135">
        <v>0.4</v>
      </c>
      <c r="Q1135">
        <v>0</v>
      </c>
      <c r="S1135">
        <v>4</v>
      </c>
      <c r="T1135">
        <v>2</v>
      </c>
      <c r="U1135" t="s">
        <v>30</v>
      </c>
      <c r="V1135">
        <v>1</v>
      </c>
      <c r="W1135">
        <v>1</v>
      </c>
    </row>
    <row r="1136" spans="1:23" x14ac:dyDescent="0.35">
      <c r="A1136" t="s">
        <v>1157</v>
      </c>
      <c r="B1136" s="6">
        <v>44459</v>
      </c>
      <c r="D1136" t="s">
        <v>23</v>
      </c>
      <c r="E1136">
        <v>30</v>
      </c>
      <c r="F1136" t="s">
        <v>36</v>
      </c>
      <c r="G1136" t="s">
        <v>42</v>
      </c>
      <c r="H1136" t="s">
        <v>26</v>
      </c>
      <c r="I1136" t="s">
        <v>59</v>
      </c>
      <c r="J1136" t="s">
        <v>60</v>
      </c>
      <c r="K1136">
        <v>2</v>
      </c>
      <c r="L1136" t="s">
        <v>66</v>
      </c>
      <c r="M1136">
        <v>55000</v>
      </c>
      <c r="N1136">
        <v>10.4</v>
      </c>
      <c r="O1136">
        <v>10.8</v>
      </c>
      <c r="P1136">
        <v>4.3</v>
      </c>
      <c r="Q1136">
        <v>4</v>
      </c>
      <c r="R1136">
        <v>3</v>
      </c>
      <c r="S1136">
        <v>3</v>
      </c>
      <c r="T1136">
        <v>4</v>
      </c>
      <c r="U1136" t="s">
        <v>23</v>
      </c>
      <c r="V1136">
        <v>3</v>
      </c>
      <c r="W1136">
        <v>1</v>
      </c>
    </row>
    <row r="1137" spans="1:23" x14ac:dyDescent="0.35">
      <c r="A1137" t="s">
        <v>1311</v>
      </c>
      <c r="B1137" s="6">
        <v>42495</v>
      </c>
      <c r="D1137" t="s">
        <v>23</v>
      </c>
      <c r="E1137">
        <v>30</v>
      </c>
      <c r="F1137" t="s">
        <v>36</v>
      </c>
      <c r="G1137" t="s">
        <v>37</v>
      </c>
      <c r="H1137" t="s">
        <v>32</v>
      </c>
      <c r="I1137" t="s">
        <v>48</v>
      </c>
      <c r="J1137" t="s">
        <v>129</v>
      </c>
      <c r="K1137">
        <v>3</v>
      </c>
      <c r="L1137" t="s">
        <v>34</v>
      </c>
      <c r="M1137">
        <v>90000</v>
      </c>
      <c r="N1137">
        <v>11</v>
      </c>
      <c r="O1137">
        <v>13.1</v>
      </c>
      <c r="P1137">
        <v>9.6999999999999993</v>
      </c>
      <c r="Q1137">
        <v>1.5</v>
      </c>
      <c r="R1137">
        <v>3</v>
      </c>
      <c r="S1137">
        <v>4</v>
      </c>
      <c r="T1137">
        <v>2</v>
      </c>
      <c r="U1137" t="s">
        <v>30</v>
      </c>
      <c r="V1137">
        <v>3</v>
      </c>
      <c r="W1137">
        <v>1</v>
      </c>
    </row>
    <row r="1138" spans="1:23" x14ac:dyDescent="0.35">
      <c r="A1138" t="s">
        <v>1045</v>
      </c>
      <c r="B1138" s="6">
        <v>44219</v>
      </c>
      <c r="D1138" t="s">
        <v>23</v>
      </c>
      <c r="E1138">
        <v>41</v>
      </c>
      <c r="F1138" t="s">
        <v>24</v>
      </c>
      <c r="G1138" t="s">
        <v>37</v>
      </c>
      <c r="H1138" t="s">
        <v>58</v>
      </c>
      <c r="I1138" t="s">
        <v>68</v>
      </c>
      <c r="J1138" t="s">
        <v>69</v>
      </c>
      <c r="K1138">
        <v>1</v>
      </c>
      <c r="L1138" t="s">
        <v>40</v>
      </c>
      <c r="M1138">
        <v>44000</v>
      </c>
      <c r="N1138">
        <v>3.4</v>
      </c>
      <c r="O1138">
        <v>5.4</v>
      </c>
      <c r="P1138">
        <v>4.9000000000000004</v>
      </c>
      <c r="Q1138">
        <v>3.4</v>
      </c>
      <c r="R1138">
        <v>3</v>
      </c>
      <c r="S1138">
        <v>3</v>
      </c>
      <c r="T1138">
        <v>2</v>
      </c>
      <c r="U1138" t="s">
        <v>23</v>
      </c>
      <c r="V1138">
        <v>3</v>
      </c>
      <c r="W1138">
        <v>1</v>
      </c>
    </row>
    <row r="1139" spans="1:23" x14ac:dyDescent="0.35">
      <c r="A1139" t="s">
        <v>490</v>
      </c>
      <c r="B1139" s="6">
        <v>42147</v>
      </c>
      <c r="D1139" t="s">
        <v>23</v>
      </c>
      <c r="E1139">
        <v>33</v>
      </c>
      <c r="F1139" t="s">
        <v>62</v>
      </c>
      <c r="G1139" t="s">
        <v>37</v>
      </c>
      <c r="H1139" t="s">
        <v>26</v>
      </c>
      <c r="I1139" t="s">
        <v>59</v>
      </c>
      <c r="J1139" t="s">
        <v>60</v>
      </c>
      <c r="K1139">
        <v>2</v>
      </c>
      <c r="L1139" t="s">
        <v>84</v>
      </c>
      <c r="M1139">
        <v>47000</v>
      </c>
      <c r="N1139">
        <v>9.6999999999999993</v>
      </c>
      <c r="O1139">
        <v>16.7</v>
      </c>
      <c r="P1139">
        <v>10.6</v>
      </c>
      <c r="Q1139">
        <v>3.7</v>
      </c>
      <c r="R1139">
        <v>3</v>
      </c>
      <c r="S1139">
        <v>3</v>
      </c>
      <c r="T1139">
        <v>2</v>
      </c>
      <c r="U1139" t="s">
        <v>23</v>
      </c>
      <c r="V1139">
        <v>3</v>
      </c>
      <c r="W1139">
        <v>1</v>
      </c>
    </row>
    <row r="1140" spans="1:23" x14ac:dyDescent="0.35">
      <c r="A1140" t="s">
        <v>1087</v>
      </c>
      <c r="B1140" s="6">
        <v>43703</v>
      </c>
      <c r="D1140" t="s">
        <v>23</v>
      </c>
      <c r="E1140">
        <v>37</v>
      </c>
      <c r="F1140" t="s">
        <v>62</v>
      </c>
      <c r="G1140" t="s">
        <v>42</v>
      </c>
      <c r="H1140" t="s">
        <v>32</v>
      </c>
      <c r="I1140" t="s">
        <v>59</v>
      </c>
      <c r="J1140" t="s">
        <v>150</v>
      </c>
      <c r="K1140">
        <v>3</v>
      </c>
      <c r="L1140" t="s">
        <v>40</v>
      </c>
      <c r="M1140">
        <v>67000</v>
      </c>
      <c r="N1140">
        <v>12</v>
      </c>
      <c r="O1140">
        <v>14.2</v>
      </c>
      <c r="P1140">
        <v>6.3</v>
      </c>
      <c r="Q1140">
        <v>0.1</v>
      </c>
      <c r="R1140">
        <v>1</v>
      </c>
      <c r="S1140">
        <v>3</v>
      </c>
      <c r="T1140">
        <v>3</v>
      </c>
      <c r="U1140" t="s">
        <v>23</v>
      </c>
      <c r="V1140">
        <v>3</v>
      </c>
      <c r="W1140">
        <v>1</v>
      </c>
    </row>
    <row r="1141" spans="1:23" x14ac:dyDescent="0.35">
      <c r="A1141" t="s">
        <v>1333</v>
      </c>
      <c r="B1141" s="6">
        <v>43368</v>
      </c>
      <c r="D1141" t="s">
        <v>23</v>
      </c>
      <c r="E1141">
        <v>35</v>
      </c>
      <c r="F1141" t="s">
        <v>36</v>
      </c>
      <c r="G1141" t="s">
        <v>37</v>
      </c>
      <c r="H1141" t="s">
        <v>54</v>
      </c>
      <c r="I1141" t="s">
        <v>59</v>
      </c>
      <c r="J1141" t="s">
        <v>75</v>
      </c>
      <c r="K1141">
        <v>2</v>
      </c>
      <c r="L1141" t="s">
        <v>50</v>
      </c>
      <c r="M1141">
        <v>49000</v>
      </c>
      <c r="N1141">
        <v>8.1</v>
      </c>
      <c r="O1141">
        <v>7.4</v>
      </c>
      <c r="P1141">
        <v>7.3</v>
      </c>
      <c r="Q1141">
        <v>4.8</v>
      </c>
      <c r="R1141">
        <v>3</v>
      </c>
      <c r="S1141">
        <v>3</v>
      </c>
      <c r="T1141">
        <v>4</v>
      </c>
      <c r="U1141" t="s">
        <v>23</v>
      </c>
      <c r="V1141">
        <v>3</v>
      </c>
      <c r="W1141">
        <v>1</v>
      </c>
    </row>
    <row r="1142" spans="1:23" x14ac:dyDescent="0.35">
      <c r="A1142" t="s">
        <v>457</v>
      </c>
      <c r="B1142" s="6">
        <v>43999</v>
      </c>
      <c r="D1142" t="s">
        <v>23</v>
      </c>
      <c r="E1142">
        <v>26</v>
      </c>
      <c r="F1142" t="s">
        <v>36</v>
      </c>
      <c r="G1142" t="s">
        <v>25</v>
      </c>
      <c r="H1142" t="s">
        <v>26</v>
      </c>
      <c r="I1142" t="s">
        <v>55</v>
      </c>
      <c r="J1142" t="s">
        <v>56</v>
      </c>
      <c r="K1142">
        <v>1</v>
      </c>
      <c r="L1142" t="s">
        <v>34</v>
      </c>
      <c r="M1142">
        <v>57000</v>
      </c>
      <c r="N1142">
        <v>1.7</v>
      </c>
      <c r="O1142">
        <v>11.6</v>
      </c>
      <c r="P1142">
        <v>5.5</v>
      </c>
      <c r="Q1142">
        <v>2.6</v>
      </c>
      <c r="R1142">
        <v>3</v>
      </c>
      <c r="S1142">
        <v>2</v>
      </c>
      <c r="T1142">
        <v>3</v>
      </c>
      <c r="U1142" t="s">
        <v>30</v>
      </c>
      <c r="V1142">
        <v>4</v>
      </c>
      <c r="W1142">
        <v>1</v>
      </c>
    </row>
    <row r="1143" spans="1:23" x14ac:dyDescent="0.35">
      <c r="A1143" t="s">
        <v>1064</v>
      </c>
      <c r="B1143" s="6">
        <v>43197</v>
      </c>
      <c r="D1143" t="s">
        <v>23</v>
      </c>
      <c r="E1143">
        <v>36</v>
      </c>
      <c r="F1143" t="s">
        <v>36</v>
      </c>
      <c r="G1143" t="s">
        <v>42</v>
      </c>
      <c r="H1143" t="s">
        <v>58</v>
      </c>
      <c r="I1143" t="s">
        <v>27</v>
      </c>
      <c r="J1143" t="s">
        <v>28</v>
      </c>
      <c r="K1143">
        <v>5</v>
      </c>
      <c r="L1143" t="s">
        <v>50</v>
      </c>
      <c r="M1143">
        <v>152000</v>
      </c>
      <c r="N1143">
        <v>8.6</v>
      </c>
      <c r="O1143">
        <v>10.199999999999999</v>
      </c>
      <c r="P1143">
        <v>7.7</v>
      </c>
      <c r="Q1143">
        <v>0.7</v>
      </c>
      <c r="R1143">
        <v>3</v>
      </c>
      <c r="S1143">
        <v>3</v>
      </c>
      <c r="T1143">
        <v>3</v>
      </c>
      <c r="U1143" t="s">
        <v>23</v>
      </c>
      <c r="V1143">
        <v>3</v>
      </c>
      <c r="W1143">
        <v>1</v>
      </c>
    </row>
    <row r="1144" spans="1:23" x14ac:dyDescent="0.35">
      <c r="A1144" t="s">
        <v>455</v>
      </c>
      <c r="B1144" s="6">
        <v>43123</v>
      </c>
      <c r="D1144" t="s">
        <v>23</v>
      </c>
      <c r="E1144">
        <v>36</v>
      </c>
      <c r="F1144" t="s">
        <v>62</v>
      </c>
      <c r="G1144" t="s">
        <v>42</v>
      </c>
      <c r="H1144" t="s">
        <v>58</v>
      </c>
      <c r="I1144" t="s">
        <v>38</v>
      </c>
      <c r="J1144" t="s">
        <v>52</v>
      </c>
      <c r="K1144">
        <v>2</v>
      </c>
      <c r="L1144" t="s">
        <v>66</v>
      </c>
      <c r="M1144">
        <v>57000</v>
      </c>
      <c r="N1144">
        <v>14.6</v>
      </c>
      <c r="O1144">
        <v>14.9</v>
      </c>
      <c r="P1144">
        <v>7.9</v>
      </c>
      <c r="Q1144">
        <v>5.0999999999999996</v>
      </c>
      <c r="R1144">
        <v>3</v>
      </c>
      <c r="S1144">
        <v>2</v>
      </c>
      <c r="T1144">
        <v>2</v>
      </c>
      <c r="U1144" t="s">
        <v>23</v>
      </c>
      <c r="V1144">
        <v>3</v>
      </c>
      <c r="W1144">
        <v>1</v>
      </c>
    </row>
    <row r="1145" spans="1:23" x14ac:dyDescent="0.35">
      <c r="A1145" t="s">
        <v>1428</v>
      </c>
      <c r="B1145" s="6">
        <v>43260</v>
      </c>
      <c r="D1145" t="s">
        <v>23</v>
      </c>
      <c r="E1145">
        <v>39</v>
      </c>
      <c r="F1145" t="s">
        <v>62</v>
      </c>
      <c r="G1145" t="s">
        <v>37</v>
      </c>
      <c r="H1145" t="s">
        <v>54</v>
      </c>
      <c r="I1145" t="s">
        <v>27</v>
      </c>
      <c r="J1145" t="s">
        <v>33</v>
      </c>
      <c r="K1145">
        <v>3</v>
      </c>
      <c r="L1145" t="s">
        <v>40</v>
      </c>
      <c r="M1145">
        <v>65000</v>
      </c>
      <c r="N1145">
        <v>8.6999999999999993</v>
      </c>
      <c r="O1145">
        <v>13.8</v>
      </c>
      <c r="P1145">
        <v>7.6</v>
      </c>
      <c r="Q1145">
        <v>4.5999999999999996</v>
      </c>
      <c r="R1145">
        <v>2</v>
      </c>
      <c r="S1145">
        <v>2</v>
      </c>
      <c r="T1145">
        <v>3</v>
      </c>
      <c r="U1145" t="s">
        <v>23</v>
      </c>
      <c r="V1145">
        <v>4</v>
      </c>
      <c r="W1145">
        <v>1</v>
      </c>
    </row>
    <row r="1146" spans="1:23" x14ac:dyDescent="0.35">
      <c r="A1146" t="s">
        <v>551</v>
      </c>
      <c r="B1146" s="6">
        <v>44107</v>
      </c>
      <c r="D1146" t="s">
        <v>23</v>
      </c>
      <c r="E1146">
        <v>26</v>
      </c>
      <c r="F1146" t="s">
        <v>24</v>
      </c>
      <c r="G1146" t="s">
        <v>25</v>
      </c>
      <c r="H1146" t="s">
        <v>54</v>
      </c>
      <c r="I1146" t="s">
        <v>38</v>
      </c>
      <c r="J1146" t="s">
        <v>139</v>
      </c>
      <c r="K1146">
        <v>1</v>
      </c>
      <c r="L1146" t="s">
        <v>40</v>
      </c>
      <c r="M1146">
        <v>41000</v>
      </c>
      <c r="N1146">
        <v>6.8</v>
      </c>
      <c r="O1146">
        <v>5.8</v>
      </c>
      <c r="P1146">
        <v>5.2</v>
      </c>
      <c r="Q1146">
        <v>2.5</v>
      </c>
      <c r="R1146">
        <v>3</v>
      </c>
      <c r="S1146">
        <v>3</v>
      </c>
      <c r="T1146">
        <v>3</v>
      </c>
      <c r="U1146" t="s">
        <v>23</v>
      </c>
      <c r="V1146">
        <v>2</v>
      </c>
      <c r="W1146">
        <v>1</v>
      </c>
    </row>
    <row r="1147" spans="1:23" x14ac:dyDescent="0.35">
      <c r="A1147" t="s">
        <v>1358</v>
      </c>
      <c r="B1147" s="6">
        <v>45382</v>
      </c>
      <c r="D1147" t="s">
        <v>23</v>
      </c>
      <c r="E1147">
        <v>26</v>
      </c>
      <c r="F1147" t="s">
        <v>36</v>
      </c>
      <c r="G1147" t="s">
        <v>25</v>
      </c>
      <c r="H1147" t="s">
        <v>32</v>
      </c>
      <c r="I1147" t="s">
        <v>59</v>
      </c>
      <c r="J1147" t="s">
        <v>75</v>
      </c>
      <c r="K1147">
        <v>1</v>
      </c>
      <c r="L1147" t="s">
        <v>84</v>
      </c>
      <c r="M1147">
        <v>48000</v>
      </c>
      <c r="N1147">
        <v>5.4</v>
      </c>
      <c r="O1147">
        <v>9.6999999999999993</v>
      </c>
      <c r="P1147">
        <v>1.8</v>
      </c>
      <c r="Q1147">
        <v>1.8</v>
      </c>
      <c r="R1147">
        <v>2</v>
      </c>
      <c r="S1147">
        <v>3</v>
      </c>
      <c r="T1147">
        <v>3</v>
      </c>
      <c r="U1147" t="s">
        <v>23</v>
      </c>
      <c r="V1147">
        <v>4</v>
      </c>
      <c r="W1147">
        <v>1</v>
      </c>
    </row>
    <row r="1148" spans="1:23" x14ac:dyDescent="0.35">
      <c r="A1148" t="s">
        <v>610</v>
      </c>
      <c r="B1148" s="6">
        <v>45862</v>
      </c>
      <c r="D1148" t="s">
        <v>23</v>
      </c>
      <c r="E1148">
        <v>39</v>
      </c>
      <c r="F1148" t="s">
        <v>36</v>
      </c>
      <c r="G1148" t="s">
        <v>25</v>
      </c>
      <c r="H1148" t="s">
        <v>26</v>
      </c>
      <c r="I1148" t="s">
        <v>59</v>
      </c>
      <c r="J1148" t="s">
        <v>86</v>
      </c>
      <c r="K1148">
        <v>4</v>
      </c>
      <c r="L1148" t="s">
        <v>34</v>
      </c>
      <c r="M1148">
        <v>103000</v>
      </c>
      <c r="N1148">
        <v>12.4</v>
      </c>
      <c r="O1148">
        <v>6.4</v>
      </c>
      <c r="P1148">
        <v>0.4</v>
      </c>
      <c r="Q1148">
        <v>0</v>
      </c>
      <c r="R1148">
        <v>4</v>
      </c>
      <c r="S1148">
        <v>3</v>
      </c>
      <c r="T1148">
        <v>3</v>
      </c>
      <c r="U1148" t="s">
        <v>23</v>
      </c>
      <c r="V1148">
        <v>3</v>
      </c>
      <c r="W1148">
        <v>1</v>
      </c>
    </row>
    <row r="1149" spans="1:23" x14ac:dyDescent="0.35">
      <c r="A1149" t="s">
        <v>343</v>
      </c>
      <c r="B1149" s="6">
        <v>44826</v>
      </c>
      <c r="D1149" t="s">
        <v>23</v>
      </c>
      <c r="E1149">
        <v>43</v>
      </c>
      <c r="F1149" t="s">
        <v>36</v>
      </c>
      <c r="G1149" t="s">
        <v>25</v>
      </c>
      <c r="H1149" t="s">
        <v>32</v>
      </c>
      <c r="I1149" t="s">
        <v>68</v>
      </c>
      <c r="J1149" t="s">
        <v>109</v>
      </c>
      <c r="K1149">
        <v>2</v>
      </c>
      <c r="L1149" t="s">
        <v>34</v>
      </c>
      <c r="M1149">
        <v>53000</v>
      </c>
      <c r="N1149">
        <v>6.6</v>
      </c>
      <c r="O1149">
        <v>3.7</v>
      </c>
      <c r="P1149">
        <v>3.3</v>
      </c>
      <c r="Q1149">
        <v>1.8</v>
      </c>
      <c r="R1149">
        <v>3</v>
      </c>
      <c r="S1149">
        <v>4</v>
      </c>
      <c r="T1149">
        <v>4</v>
      </c>
      <c r="U1149" t="s">
        <v>23</v>
      </c>
      <c r="V1149">
        <v>4</v>
      </c>
      <c r="W1149">
        <v>1</v>
      </c>
    </row>
    <row r="1150" spans="1:23" x14ac:dyDescent="0.35">
      <c r="A1150" t="s">
        <v>391</v>
      </c>
      <c r="B1150" s="6">
        <v>42980</v>
      </c>
      <c r="D1150" t="s">
        <v>23</v>
      </c>
      <c r="E1150">
        <v>39</v>
      </c>
      <c r="F1150" t="s">
        <v>62</v>
      </c>
      <c r="G1150" t="s">
        <v>42</v>
      </c>
      <c r="H1150" t="s">
        <v>54</v>
      </c>
      <c r="I1150" t="s">
        <v>45</v>
      </c>
      <c r="J1150" t="s">
        <v>164</v>
      </c>
      <c r="K1150">
        <v>1</v>
      </c>
      <c r="L1150" t="s">
        <v>66</v>
      </c>
      <c r="M1150">
        <v>26000</v>
      </c>
      <c r="N1150">
        <v>6</v>
      </c>
      <c r="O1150">
        <v>10.3</v>
      </c>
      <c r="P1150">
        <v>8.3000000000000007</v>
      </c>
      <c r="Q1150">
        <v>3.6</v>
      </c>
      <c r="R1150">
        <v>4</v>
      </c>
      <c r="S1150">
        <v>2</v>
      </c>
      <c r="T1150">
        <v>3</v>
      </c>
      <c r="U1150" t="s">
        <v>23</v>
      </c>
      <c r="V1150">
        <v>3</v>
      </c>
      <c r="W1150">
        <v>1</v>
      </c>
    </row>
    <row r="1151" spans="1:23" x14ac:dyDescent="0.35">
      <c r="A1151" t="s">
        <v>1379</v>
      </c>
      <c r="B1151" s="6">
        <v>44217</v>
      </c>
      <c r="D1151" t="s">
        <v>23</v>
      </c>
      <c r="E1151">
        <v>25</v>
      </c>
      <c r="F1151" t="s">
        <v>62</v>
      </c>
      <c r="G1151" t="s">
        <v>37</v>
      </c>
      <c r="H1151" t="s">
        <v>54</v>
      </c>
      <c r="I1151" t="s">
        <v>27</v>
      </c>
      <c r="J1151" t="s">
        <v>33</v>
      </c>
      <c r="K1151">
        <v>1</v>
      </c>
      <c r="L1151" t="s">
        <v>50</v>
      </c>
      <c r="M1151">
        <v>49000</v>
      </c>
      <c r="N1151">
        <v>6.7</v>
      </c>
      <c r="O1151">
        <v>11.1</v>
      </c>
      <c r="P1151">
        <v>4.9000000000000004</v>
      </c>
      <c r="Q1151">
        <v>2.9</v>
      </c>
      <c r="R1151">
        <v>4</v>
      </c>
      <c r="S1151">
        <v>3</v>
      </c>
      <c r="T1151">
        <v>4</v>
      </c>
      <c r="U1151" t="s">
        <v>23</v>
      </c>
      <c r="V1151">
        <v>3</v>
      </c>
      <c r="W1151">
        <v>1</v>
      </c>
    </row>
    <row r="1152" spans="1:23" x14ac:dyDescent="0.35">
      <c r="A1152" t="s">
        <v>1254</v>
      </c>
      <c r="B1152" s="6">
        <v>44828</v>
      </c>
      <c r="D1152" t="s">
        <v>23</v>
      </c>
      <c r="E1152">
        <v>34</v>
      </c>
      <c r="F1152" t="s">
        <v>24</v>
      </c>
      <c r="G1152" t="s">
        <v>37</v>
      </c>
      <c r="H1152" t="s">
        <v>32</v>
      </c>
      <c r="I1152" t="s">
        <v>68</v>
      </c>
      <c r="J1152" t="s">
        <v>121</v>
      </c>
      <c r="K1152">
        <v>3</v>
      </c>
      <c r="L1152" t="s">
        <v>66</v>
      </c>
      <c r="M1152">
        <v>68000</v>
      </c>
      <c r="N1152">
        <v>9</v>
      </c>
      <c r="O1152">
        <v>11.2</v>
      </c>
      <c r="P1152">
        <v>3.3</v>
      </c>
      <c r="Q1152">
        <v>1.8</v>
      </c>
      <c r="R1152">
        <v>4</v>
      </c>
      <c r="S1152">
        <v>4</v>
      </c>
      <c r="T1152">
        <v>3</v>
      </c>
      <c r="U1152" t="s">
        <v>30</v>
      </c>
      <c r="V1152">
        <v>3</v>
      </c>
      <c r="W1152">
        <v>1</v>
      </c>
    </row>
    <row r="1153" spans="1:23" x14ac:dyDescent="0.35">
      <c r="A1153" t="s">
        <v>104</v>
      </c>
      <c r="B1153" s="6">
        <v>44895</v>
      </c>
      <c r="C1153">
        <v>45988</v>
      </c>
      <c r="D1153" t="s">
        <v>30</v>
      </c>
      <c r="E1153">
        <v>32</v>
      </c>
      <c r="F1153" t="s">
        <v>62</v>
      </c>
      <c r="G1153" t="s">
        <v>37</v>
      </c>
      <c r="H1153" t="s">
        <v>32</v>
      </c>
      <c r="I1153" t="s">
        <v>48</v>
      </c>
      <c r="J1153" t="s">
        <v>49</v>
      </c>
      <c r="K1153">
        <v>3</v>
      </c>
      <c r="L1153" t="s">
        <v>66</v>
      </c>
      <c r="M1153">
        <v>91000</v>
      </c>
      <c r="N1153">
        <v>13.1</v>
      </c>
      <c r="O1153">
        <v>8.3000000000000007</v>
      </c>
      <c r="P1153">
        <v>3</v>
      </c>
      <c r="Q1153">
        <v>1.5</v>
      </c>
      <c r="R1153">
        <v>2</v>
      </c>
      <c r="S1153">
        <v>3</v>
      </c>
      <c r="T1153">
        <v>4</v>
      </c>
      <c r="U1153" t="s">
        <v>23</v>
      </c>
      <c r="V1153">
        <v>5</v>
      </c>
      <c r="W1153">
        <v>1</v>
      </c>
    </row>
    <row r="1154" spans="1:23" x14ac:dyDescent="0.35">
      <c r="A1154" t="s">
        <v>1539</v>
      </c>
      <c r="B1154" s="6">
        <v>43939</v>
      </c>
      <c r="C1154">
        <v>45717</v>
      </c>
      <c r="D1154" t="s">
        <v>30</v>
      </c>
      <c r="E1154">
        <v>30</v>
      </c>
      <c r="F1154" t="s">
        <v>36</v>
      </c>
      <c r="G1154" t="s">
        <v>42</v>
      </c>
      <c r="H1154" t="s">
        <v>54</v>
      </c>
      <c r="I1154" t="s">
        <v>59</v>
      </c>
      <c r="J1154" t="s">
        <v>75</v>
      </c>
      <c r="K1154">
        <v>3</v>
      </c>
      <c r="L1154" t="s">
        <v>34</v>
      </c>
      <c r="M1154">
        <v>65000</v>
      </c>
      <c r="N1154">
        <v>6.5</v>
      </c>
      <c r="O1154">
        <v>5</v>
      </c>
      <c r="P1154">
        <v>4.9000000000000004</v>
      </c>
      <c r="Q1154">
        <v>1.1000000000000001</v>
      </c>
      <c r="R1154">
        <v>2</v>
      </c>
      <c r="S1154">
        <v>4</v>
      </c>
      <c r="T1154">
        <v>1</v>
      </c>
      <c r="U1154" t="s">
        <v>30</v>
      </c>
      <c r="V1154">
        <v>4</v>
      </c>
      <c r="W1154">
        <v>1</v>
      </c>
    </row>
    <row r="1155" spans="1:23" x14ac:dyDescent="0.35">
      <c r="A1155" t="s">
        <v>761</v>
      </c>
      <c r="B1155" s="6">
        <v>43742</v>
      </c>
      <c r="D1155" t="s">
        <v>23</v>
      </c>
      <c r="E1155">
        <v>37</v>
      </c>
      <c r="F1155" t="s">
        <v>36</v>
      </c>
      <c r="G1155" t="s">
        <v>37</v>
      </c>
      <c r="H1155" t="s">
        <v>58</v>
      </c>
      <c r="I1155" t="s">
        <v>38</v>
      </c>
      <c r="J1155" t="s">
        <v>118</v>
      </c>
      <c r="K1155">
        <v>4</v>
      </c>
      <c r="L1155" t="s">
        <v>34</v>
      </c>
      <c r="M1155">
        <v>105000</v>
      </c>
      <c r="N1155">
        <v>9</v>
      </c>
      <c r="O1155">
        <v>12.7</v>
      </c>
      <c r="P1155">
        <v>6.2</v>
      </c>
      <c r="Q1155">
        <v>2.9</v>
      </c>
      <c r="R1155">
        <v>3</v>
      </c>
      <c r="S1155">
        <v>3</v>
      </c>
      <c r="T1155">
        <v>1</v>
      </c>
      <c r="U1155" t="s">
        <v>23</v>
      </c>
      <c r="V1155">
        <v>2</v>
      </c>
      <c r="W1155">
        <v>1</v>
      </c>
    </row>
    <row r="1156" spans="1:23" x14ac:dyDescent="0.35">
      <c r="A1156" t="s">
        <v>257</v>
      </c>
      <c r="B1156" s="6">
        <v>42328</v>
      </c>
      <c r="C1156">
        <v>42298</v>
      </c>
      <c r="D1156" t="s">
        <v>30</v>
      </c>
      <c r="E1156">
        <v>31</v>
      </c>
      <c r="F1156" t="s">
        <v>36</v>
      </c>
      <c r="G1156" t="s">
        <v>42</v>
      </c>
      <c r="H1156" t="s">
        <v>54</v>
      </c>
      <c r="I1156" t="s">
        <v>59</v>
      </c>
      <c r="J1156" t="s">
        <v>75</v>
      </c>
      <c r="K1156">
        <v>2</v>
      </c>
      <c r="L1156" t="s">
        <v>66</v>
      </c>
      <c r="M1156">
        <v>63000</v>
      </c>
      <c r="N1156">
        <v>10.7</v>
      </c>
      <c r="O1156">
        <v>15.3</v>
      </c>
      <c r="P1156">
        <v>10.1</v>
      </c>
      <c r="Q1156">
        <v>3.8</v>
      </c>
      <c r="R1156">
        <v>3</v>
      </c>
      <c r="S1156">
        <v>2</v>
      </c>
      <c r="T1156">
        <v>3</v>
      </c>
      <c r="U1156" t="s">
        <v>30</v>
      </c>
      <c r="V1156">
        <v>1</v>
      </c>
      <c r="W1156">
        <v>1</v>
      </c>
    </row>
    <row r="1157" spans="1:23" x14ac:dyDescent="0.35">
      <c r="A1157" t="s">
        <v>257</v>
      </c>
      <c r="B1157" s="6">
        <v>42328</v>
      </c>
      <c r="D1157" t="s">
        <v>23</v>
      </c>
      <c r="E1157">
        <v>31</v>
      </c>
      <c r="F1157" t="s">
        <v>36</v>
      </c>
      <c r="G1157" t="s">
        <v>42</v>
      </c>
      <c r="H1157" t="s">
        <v>54</v>
      </c>
      <c r="I1157" t="s">
        <v>59</v>
      </c>
      <c r="J1157" t="s">
        <v>75</v>
      </c>
      <c r="K1157">
        <v>2</v>
      </c>
      <c r="L1157" t="s">
        <v>66</v>
      </c>
      <c r="M1157">
        <v>63000</v>
      </c>
      <c r="N1157">
        <v>10.7</v>
      </c>
      <c r="O1157">
        <v>15.3</v>
      </c>
      <c r="P1157">
        <v>10.1</v>
      </c>
      <c r="Q1157">
        <v>3.8</v>
      </c>
      <c r="R1157">
        <v>3</v>
      </c>
      <c r="S1157">
        <v>2</v>
      </c>
      <c r="T1157">
        <v>3</v>
      </c>
      <c r="U1157" t="s">
        <v>30</v>
      </c>
      <c r="V1157">
        <v>1</v>
      </c>
      <c r="W1157">
        <v>2</v>
      </c>
    </row>
    <row r="1158" spans="1:23" x14ac:dyDescent="0.35">
      <c r="A1158" t="s">
        <v>574</v>
      </c>
      <c r="B1158" s="6">
        <v>44704</v>
      </c>
      <c r="D1158" t="s">
        <v>23</v>
      </c>
      <c r="E1158">
        <v>31</v>
      </c>
      <c r="F1158" t="s">
        <v>36</v>
      </c>
      <c r="G1158" t="s">
        <v>37</v>
      </c>
      <c r="H1158" t="s">
        <v>26</v>
      </c>
      <c r="I1158" t="s">
        <v>45</v>
      </c>
      <c r="J1158" t="s">
        <v>97</v>
      </c>
      <c r="K1158">
        <v>2</v>
      </c>
      <c r="L1158" t="s">
        <v>84</v>
      </c>
      <c r="M1158">
        <v>58000</v>
      </c>
      <c r="N1158">
        <v>15.5</v>
      </c>
      <c r="O1158">
        <v>9.9</v>
      </c>
      <c r="P1158">
        <v>3.6</v>
      </c>
      <c r="Q1158">
        <v>0.1</v>
      </c>
      <c r="R1158">
        <v>3</v>
      </c>
      <c r="S1158">
        <v>2</v>
      </c>
      <c r="T1158">
        <v>4</v>
      </c>
      <c r="U1158" t="s">
        <v>23</v>
      </c>
      <c r="V1158">
        <v>1</v>
      </c>
      <c r="W1158">
        <v>1</v>
      </c>
    </row>
    <row r="1159" spans="1:23" x14ac:dyDescent="0.35">
      <c r="A1159" t="s">
        <v>1452</v>
      </c>
      <c r="B1159" s="6">
        <v>44293</v>
      </c>
      <c r="D1159" t="s">
        <v>23</v>
      </c>
      <c r="E1159">
        <v>25</v>
      </c>
      <c r="F1159" t="s">
        <v>62</v>
      </c>
      <c r="G1159" t="s">
        <v>42</v>
      </c>
      <c r="H1159" t="s">
        <v>54</v>
      </c>
      <c r="I1159" t="s">
        <v>59</v>
      </c>
      <c r="J1159" t="s">
        <v>150</v>
      </c>
      <c r="K1159">
        <v>1</v>
      </c>
      <c r="L1159" t="s">
        <v>84</v>
      </c>
      <c r="M1159">
        <v>31000</v>
      </c>
      <c r="N1159">
        <v>7.6</v>
      </c>
      <c r="O1159">
        <v>5.3</v>
      </c>
      <c r="P1159">
        <v>4.7</v>
      </c>
      <c r="Q1159">
        <v>0.1</v>
      </c>
      <c r="R1159">
        <v>3</v>
      </c>
      <c r="S1159">
        <v>3</v>
      </c>
      <c r="T1159">
        <v>3</v>
      </c>
      <c r="U1159" t="s">
        <v>23</v>
      </c>
      <c r="V1159">
        <v>5</v>
      </c>
      <c r="W1159">
        <v>1</v>
      </c>
    </row>
    <row r="1160" spans="1:23" x14ac:dyDescent="0.35">
      <c r="A1160" t="s">
        <v>1340</v>
      </c>
      <c r="B1160" s="6">
        <v>43147</v>
      </c>
      <c r="C1160">
        <v>45704</v>
      </c>
      <c r="D1160" t="s">
        <v>30</v>
      </c>
      <c r="E1160">
        <v>38</v>
      </c>
      <c r="F1160" t="s">
        <v>36</v>
      </c>
      <c r="G1160" t="s">
        <v>25</v>
      </c>
      <c r="H1160" t="s">
        <v>58</v>
      </c>
      <c r="I1160" t="s">
        <v>38</v>
      </c>
      <c r="J1160" t="s">
        <v>118</v>
      </c>
      <c r="K1160">
        <v>1</v>
      </c>
      <c r="L1160" t="s">
        <v>50</v>
      </c>
      <c r="M1160">
        <v>30000</v>
      </c>
      <c r="N1160">
        <v>9.3000000000000007</v>
      </c>
      <c r="O1160">
        <v>12.6</v>
      </c>
      <c r="P1160">
        <v>7</v>
      </c>
      <c r="Q1160">
        <v>5.4</v>
      </c>
      <c r="R1160">
        <v>3</v>
      </c>
      <c r="S1160">
        <v>4</v>
      </c>
      <c r="T1160">
        <v>4</v>
      </c>
      <c r="U1160" t="s">
        <v>23</v>
      </c>
      <c r="V1160">
        <v>1</v>
      </c>
      <c r="W1160">
        <v>1</v>
      </c>
    </row>
    <row r="1161" spans="1:23" x14ac:dyDescent="0.35">
      <c r="A1161" t="s">
        <v>439</v>
      </c>
      <c r="B1161" s="6">
        <v>43907</v>
      </c>
      <c r="D1161" t="s">
        <v>23</v>
      </c>
      <c r="E1161">
        <v>43</v>
      </c>
      <c r="F1161" t="s">
        <v>62</v>
      </c>
      <c r="G1161" t="s">
        <v>25</v>
      </c>
      <c r="H1161" t="s">
        <v>54</v>
      </c>
      <c r="I1161" t="s">
        <v>48</v>
      </c>
      <c r="J1161" t="s">
        <v>129</v>
      </c>
      <c r="K1161">
        <v>3</v>
      </c>
      <c r="L1161" t="s">
        <v>40</v>
      </c>
      <c r="M1161">
        <v>75000</v>
      </c>
      <c r="N1161">
        <v>9.1999999999999993</v>
      </c>
      <c r="O1161">
        <v>11.9</v>
      </c>
      <c r="P1161">
        <v>5.8</v>
      </c>
      <c r="Q1161">
        <v>2.5</v>
      </c>
      <c r="R1161">
        <v>1</v>
      </c>
      <c r="S1161">
        <v>3</v>
      </c>
      <c r="T1161">
        <v>3</v>
      </c>
      <c r="U1161" t="s">
        <v>23</v>
      </c>
      <c r="V1161">
        <v>2</v>
      </c>
      <c r="W1161">
        <v>1</v>
      </c>
    </row>
    <row r="1162" spans="1:23" x14ac:dyDescent="0.35">
      <c r="A1162" t="s">
        <v>1461</v>
      </c>
      <c r="B1162" s="6">
        <v>43657</v>
      </c>
      <c r="D1162" t="s">
        <v>23</v>
      </c>
      <c r="E1162">
        <v>41</v>
      </c>
      <c r="F1162" t="s">
        <v>62</v>
      </c>
      <c r="G1162" t="s">
        <v>37</v>
      </c>
      <c r="H1162" t="s">
        <v>58</v>
      </c>
      <c r="I1162" t="s">
        <v>48</v>
      </c>
      <c r="J1162" t="s">
        <v>201</v>
      </c>
      <c r="K1162">
        <v>3</v>
      </c>
      <c r="L1162" t="s">
        <v>50</v>
      </c>
      <c r="M1162">
        <v>54000</v>
      </c>
      <c r="N1162">
        <v>8.9</v>
      </c>
      <c r="O1162">
        <v>11.6</v>
      </c>
      <c r="P1162">
        <v>6.5</v>
      </c>
      <c r="Q1162">
        <v>0.7</v>
      </c>
      <c r="R1162">
        <v>3</v>
      </c>
      <c r="S1162">
        <v>3</v>
      </c>
      <c r="T1162">
        <v>3</v>
      </c>
      <c r="U1162" t="s">
        <v>23</v>
      </c>
      <c r="V1162">
        <v>4</v>
      </c>
      <c r="W1162">
        <v>1</v>
      </c>
    </row>
    <row r="1163" spans="1:23" x14ac:dyDescent="0.35">
      <c r="A1163" t="s">
        <v>1080</v>
      </c>
      <c r="B1163" s="6">
        <v>44306</v>
      </c>
      <c r="D1163" t="s">
        <v>23</v>
      </c>
      <c r="E1163">
        <v>30</v>
      </c>
      <c r="F1163" t="s">
        <v>62</v>
      </c>
      <c r="G1163" t="s">
        <v>42</v>
      </c>
      <c r="H1163" t="s">
        <v>54</v>
      </c>
      <c r="I1163" t="s">
        <v>68</v>
      </c>
      <c r="J1163" t="s">
        <v>121</v>
      </c>
      <c r="K1163">
        <v>2</v>
      </c>
      <c r="L1163" t="s">
        <v>29</v>
      </c>
      <c r="M1163">
        <v>68000</v>
      </c>
      <c r="N1163">
        <v>5.5</v>
      </c>
      <c r="O1163">
        <v>10.199999999999999</v>
      </c>
      <c r="P1163">
        <v>4.7</v>
      </c>
      <c r="Q1163">
        <v>1.1000000000000001</v>
      </c>
      <c r="R1163">
        <v>3</v>
      </c>
      <c r="S1163">
        <v>1</v>
      </c>
      <c r="T1163">
        <v>2</v>
      </c>
      <c r="U1163" t="s">
        <v>30</v>
      </c>
      <c r="V1163">
        <v>3</v>
      </c>
      <c r="W1163">
        <v>1</v>
      </c>
    </row>
    <row r="1164" spans="1:23" x14ac:dyDescent="0.35">
      <c r="A1164" t="s">
        <v>631</v>
      </c>
      <c r="B1164" s="6">
        <v>44619</v>
      </c>
      <c r="D1164" t="s">
        <v>23</v>
      </c>
      <c r="E1164">
        <v>35</v>
      </c>
      <c r="F1164" t="s">
        <v>36</v>
      </c>
      <c r="G1164" t="s">
        <v>42</v>
      </c>
      <c r="H1164" t="s">
        <v>58</v>
      </c>
      <c r="I1164" t="s">
        <v>27</v>
      </c>
      <c r="J1164" t="s">
        <v>95</v>
      </c>
      <c r="K1164">
        <v>2</v>
      </c>
      <c r="L1164" t="s">
        <v>50</v>
      </c>
      <c r="M1164">
        <v>62000</v>
      </c>
      <c r="N1164">
        <v>6.3</v>
      </c>
      <c r="O1164">
        <v>11.7</v>
      </c>
      <c r="P1164">
        <v>3.8</v>
      </c>
      <c r="Q1164">
        <v>2.2000000000000002</v>
      </c>
      <c r="R1164">
        <v>4</v>
      </c>
      <c r="S1164">
        <v>4</v>
      </c>
      <c r="T1164">
        <v>4</v>
      </c>
      <c r="U1164" t="s">
        <v>30</v>
      </c>
      <c r="V1164">
        <v>4</v>
      </c>
      <c r="W1164">
        <v>1</v>
      </c>
    </row>
    <row r="1165" spans="1:23" x14ac:dyDescent="0.35">
      <c r="A1165" t="s">
        <v>1413</v>
      </c>
      <c r="B1165" s="6">
        <v>42896</v>
      </c>
      <c r="D1165" t="s">
        <v>23</v>
      </c>
      <c r="E1165">
        <v>41</v>
      </c>
      <c r="F1165" t="s">
        <v>62</v>
      </c>
      <c r="G1165" t="s">
        <v>37</v>
      </c>
      <c r="H1165" t="s">
        <v>58</v>
      </c>
      <c r="I1165" t="s">
        <v>48</v>
      </c>
      <c r="J1165" t="s">
        <v>201</v>
      </c>
      <c r="K1165">
        <v>3</v>
      </c>
      <c r="L1165" t="s">
        <v>50</v>
      </c>
      <c r="M1165">
        <v>84000</v>
      </c>
      <c r="N1165">
        <v>2.8</v>
      </c>
      <c r="O1165">
        <v>13.4</v>
      </c>
      <c r="P1165">
        <v>8.6</v>
      </c>
      <c r="Q1165">
        <v>4.7</v>
      </c>
      <c r="R1165">
        <v>2</v>
      </c>
      <c r="S1165">
        <v>2</v>
      </c>
      <c r="T1165">
        <v>3</v>
      </c>
      <c r="U1165" t="s">
        <v>23</v>
      </c>
      <c r="V1165">
        <v>4</v>
      </c>
      <c r="W1165">
        <v>1</v>
      </c>
    </row>
    <row r="1166" spans="1:23" x14ac:dyDescent="0.35">
      <c r="A1166" t="s">
        <v>508</v>
      </c>
      <c r="B1166" s="6">
        <v>44051</v>
      </c>
      <c r="D1166" t="s">
        <v>23</v>
      </c>
      <c r="E1166">
        <v>36</v>
      </c>
      <c r="F1166" t="s">
        <v>36</v>
      </c>
      <c r="G1166" t="s">
        <v>25</v>
      </c>
      <c r="H1166" t="s">
        <v>58</v>
      </c>
      <c r="I1166" t="s">
        <v>27</v>
      </c>
      <c r="J1166" t="s">
        <v>33</v>
      </c>
      <c r="K1166">
        <v>4</v>
      </c>
      <c r="L1166" t="s">
        <v>84</v>
      </c>
      <c r="M1166">
        <v>113000</v>
      </c>
      <c r="N1166">
        <v>6.3</v>
      </c>
      <c r="O1166">
        <v>8.1</v>
      </c>
      <c r="P1166">
        <v>5.4</v>
      </c>
      <c r="Q1166">
        <v>3.2</v>
      </c>
      <c r="R1166">
        <v>2</v>
      </c>
      <c r="S1166">
        <v>3</v>
      </c>
      <c r="T1166">
        <v>4</v>
      </c>
      <c r="U1166" t="s">
        <v>30</v>
      </c>
      <c r="V1166">
        <v>5</v>
      </c>
      <c r="W1166">
        <v>1</v>
      </c>
    </row>
    <row r="1167" spans="1:23" x14ac:dyDescent="0.35">
      <c r="A1167" t="s">
        <v>484</v>
      </c>
      <c r="B1167" s="6">
        <v>44432</v>
      </c>
      <c r="D1167" t="s">
        <v>23</v>
      </c>
      <c r="E1167">
        <v>37</v>
      </c>
      <c r="F1167" t="s">
        <v>36</v>
      </c>
      <c r="G1167" t="s">
        <v>42</v>
      </c>
      <c r="H1167" t="s">
        <v>26</v>
      </c>
      <c r="I1167" t="s">
        <v>55</v>
      </c>
      <c r="J1167" t="s">
        <v>56</v>
      </c>
      <c r="K1167">
        <v>4</v>
      </c>
      <c r="L1167" t="s">
        <v>29</v>
      </c>
      <c r="M1167">
        <v>118000</v>
      </c>
      <c r="N1167">
        <v>0.9</v>
      </c>
      <c r="O1167">
        <v>6.9</v>
      </c>
      <c r="P1167">
        <v>4.4000000000000004</v>
      </c>
      <c r="Q1167">
        <v>3.4</v>
      </c>
      <c r="R1167">
        <v>3</v>
      </c>
      <c r="S1167">
        <v>2</v>
      </c>
      <c r="T1167">
        <v>4</v>
      </c>
      <c r="U1167" t="s">
        <v>23</v>
      </c>
      <c r="V1167">
        <v>2</v>
      </c>
      <c r="W1167">
        <v>1</v>
      </c>
    </row>
    <row r="1168" spans="1:23" x14ac:dyDescent="0.35">
      <c r="A1168" t="s">
        <v>375</v>
      </c>
      <c r="B1168" s="6">
        <v>45700</v>
      </c>
      <c r="D1168" t="s">
        <v>23</v>
      </c>
      <c r="E1168">
        <v>39</v>
      </c>
      <c r="F1168" t="s">
        <v>36</v>
      </c>
      <c r="G1168" t="s">
        <v>42</v>
      </c>
      <c r="H1168" t="s">
        <v>32</v>
      </c>
      <c r="I1168" t="s">
        <v>27</v>
      </c>
      <c r="J1168" t="s">
        <v>43</v>
      </c>
      <c r="K1168">
        <v>4</v>
      </c>
      <c r="L1168" t="s">
        <v>66</v>
      </c>
      <c r="M1168">
        <v>107000</v>
      </c>
      <c r="N1168">
        <v>8.1</v>
      </c>
      <c r="O1168">
        <v>3.6</v>
      </c>
      <c r="P1168">
        <v>0.9</v>
      </c>
      <c r="Q1168">
        <v>0</v>
      </c>
      <c r="R1168">
        <v>2</v>
      </c>
      <c r="S1168">
        <v>1</v>
      </c>
      <c r="T1168">
        <v>2</v>
      </c>
      <c r="U1168" t="s">
        <v>23</v>
      </c>
      <c r="V1168">
        <v>4</v>
      </c>
      <c r="W1168">
        <v>1</v>
      </c>
    </row>
    <row r="1169" spans="1:23" x14ac:dyDescent="0.35">
      <c r="A1169" t="s">
        <v>719</v>
      </c>
      <c r="B1169" s="6">
        <v>42129</v>
      </c>
      <c r="D1169" t="s">
        <v>23</v>
      </c>
      <c r="E1169">
        <v>37</v>
      </c>
      <c r="F1169" t="s">
        <v>36</v>
      </c>
      <c r="G1169" t="s">
        <v>37</v>
      </c>
      <c r="H1169" t="s">
        <v>26</v>
      </c>
      <c r="I1169" t="s">
        <v>55</v>
      </c>
      <c r="J1169" t="s">
        <v>88</v>
      </c>
      <c r="K1169">
        <v>4</v>
      </c>
      <c r="L1169" t="s">
        <v>40</v>
      </c>
      <c r="M1169">
        <v>143000</v>
      </c>
      <c r="N1169">
        <v>3.4</v>
      </c>
      <c r="O1169">
        <v>15.9</v>
      </c>
      <c r="P1169">
        <v>10.7</v>
      </c>
      <c r="Q1169">
        <v>5.5</v>
      </c>
      <c r="R1169">
        <v>1</v>
      </c>
      <c r="S1169">
        <v>3</v>
      </c>
      <c r="T1169">
        <v>2</v>
      </c>
      <c r="U1169" t="s">
        <v>30</v>
      </c>
      <c r="V1169">
        <v>3</v>
      </c>
      <c r="W1169">
        <v>1</v>
      </c>
    </row>
    <row r="1170" spans="1:23" x14ac:dyDescent="0.35">
      <c r="A1170" t="s">
        <v>743</v>
      </c>
      <c r="B1170" s="6">
        <v>45671</v>
      </c>
      <c r="D1170" t="s">
        <v>23</v>
      </c>
      <c r="E1170">
        <v>22</v>
      </c>
      <c r="F1170" t="s">
        <v>62</v>
      </c>
      <c r="G1170" t="s">
        <v>37</v>
      </c>
      <c r="H1170" t="s">
        <v>26</v>
      </c>
      <c r="I1170" t="s">
        <v>48</v>
      </c>
      <c r="J1170" t="s">
        <v>63</v>
      </c>
      <c r="K1170">
        <v>1</v>
      </c>
      <c r="L1170" t="s">
        <v>50</v>
      </c>
      <c r="M1170">
        <v>33000</v>
      </c>
      <c r="N1170">
        <v>8</v>
      </c>
      <c r="O1170">
        <v>3.9</v>
      </c>
      <c r="P1170">
        <v>1</v>
      </c>
      <c r="Q1170">
        <v>0.5</v>
      </c>
      <c r="R1170">
        <v>4</v>
      </c>
      <c r="S1170">
        <v>1</v>
      </c>
      <c r="T1170">
        <v>3</v>
      </c>
      <c r="U1170" t="s">
        <v>23</v>
      </c>
      <c r="V1170">
        <v>4</v>
      </c>
      <c r="W1170">
        <v>1</v>
      </c>
    </row>
    <row r="1171" spans="1:23" x14ac:dyDescent="0.35">
      <c r="A1171" t="s">
        <v>1453</v>
      </c>
      <c r="B1171" s="6">
        <v>43304</v>
      </c>
      <c r="C1171">
        <v>45994</v>
      </c>
      <c r="D1171" t="s">
        <v>30</v>
      </c>
      <c r="E1171">
        <v>33</v>
      </c>
      <c r="F1171" t="s">
        <v>24</v>
      </c>
      <c r="G1171" t="s">
        <v>42</v>
      </c>
      <c r="H1171" t="s">
        <v>26</v>
      </c>
      <c r="I1171" t="s">
        <v>27</v>
      </c>
      <c r="J1171" t="s">
        <v>28</v>
      </c>
      <c r="K1171">
        <v>5</v>
      </c>
      <c r="L1171" t="s">
        <v>66</v>
      </c>
      <c r="M1171">
        <v>153000</v>
      </c>
      <c r="N1171">
        <v>11.8</v>
      </c>
      <c r="O1171">
        <v>8.1</v>
      </c>
      <c r="P1171">
        <v>7.4</v>
      </c>
      <c r="Q1171">
        <v>1.1000000000000001</v>
      </c>
      <c r="R1171">
        <v>4</v>
      </c>
      <c r="S1171">
        <v>2</v>
      </c>
      <c r="T1171">
        <v>4</v>
      </c>
      <c r="U1171" t="s">
        <v>23</v>
      </c>
      <c r="V1171">
        <v>4</v>
      </c>
      <c r="W1171">
        <v>1</v>
      </c>
    </row>
    <row r="1172" spans="1:23" x14ac:dyDescent="0.35">
      <c r="A1172" t="s">
        <v>412</v>
      </c>
      <c r="B1172" s="6">
        <v>44106</v>
      </c>
      <c r="D1172" t="s">
        <v>23</v>
      </c>
      <c r="E1172">
        <v>31</v>
      </c>
      <c r="F1172" t="s">
        <v>62</v>
      </c>
      <c r="G1172" t="s">
        <v>25</v>
      </c>
      <c r="H1172" t="s">
        <v>58</v>
      </c>
      <c r="I1172" t="s">
        <v>55</v>
      </c>
      <c r="J1172" t="s">
        <v>179</v>
      </c>
      <c r="K1172">
        <v>1</v>
      </c>
      <c r="L1172" t="s">
        <v>66</v>
      </c>
      <c r="M1172">
        <v>31000</v>
      </c>
      <c r="N1172">
        <v>10</v>
      </c>
      <c r="O1172">
        <v>5.3</v>
      </c>
      <c r="P1172">
        <v>5.2</v>
      </c>
      <c r="Q1172">
        <v>2.5</v>
      </c>
      <c r="R1172">
        <v>3</v>
      </c>
      <c r="S1172">
        <v>4</v>
      </c>
      <c r="T1172">
        <v>4</v>
      </c>
      <c r="U1172" t="s">
        <v>23</v>
      </c>
      <c r="V1172">
        <v>4</v>
      </c>
      <c r="W1172">
        <v>1</v>
      </c>
    </row>
    <row r="1173" spans="1:23" x14ac:dyDescent="0.35">
      <c r="A1173" t="s">
        <v>244</v>
      </c>
      <c r="B1173" s="6">
        <v>44943</v>
      </c>
      <c r="D1173" t="s">
        <v>23</v>
      </c>
      <c r="E1173">
        <v>43</v>
      </c>
      <c r="F1173" t="s">
        <v>62</v>
      </c>
      <c r="G1173" t="s">
        <v>42</v>
      </c>
      <c r="H1173" t="s">
        <v>58</v>
      </c>
      <c r="I1173" t="s">
        <v>45</v>
      </c>
      <c r="J1173" t="s">
        <v>77</v>
      </c>
      <c r="K1173">
        <v>3</v>
      </c>
      <c r="L1173" t="s">
        <v>34</v>
      </c>
      <c r="M1173">
        <v>69000</v>
      </c>
      <c r="N1173">
        <v>6.7</v>
      </c>
      <c r="O1173">
        <v>6.3</v>
      </c>
      <c r="P1173">
        <v>3</v>
      </c>
      <c r="Q1173">
        <v>1.7</v>
      </c>
      <c r="R1173">
        <v>4</v>
      </c>
      <c r="S1173">
        <v>2</v>
      </c>
      <c r="T1173">
        <v>4</v>
      </c>
      <c r="U1173" t="s">
        <v>23</v>
      </c>
      <c r="V1173">
        <v>3</v>
      </c>
      <c r="W1173">
        <v>1</v>
      </c>
    </row>
    <row r="1174" spans="1:23" x14ac:dyDescent="0.35">
      <c r="A1174" t="s">
        <v>707</v>
      </c>
      <c r="B1174" s="6">
        <v>42782</v>
      </c>
      <c r="D1174" t="s">
        <v>23</v>
      </c>
      <c r="E1174">
        <v>38</v>
      </c>
      <c r="F1174" t="s">
        <v>62</v>
      </c>
      <c r="G1174" t="s">
        <v>37</v>
      </c>
      <c r="H1174" t="s">
        <v>26</v>
      </c>
      <c r="I1174" t="s">
        <v>59</v>
      </c>
      <c r="J1174" t="s">
        <v>75</v>
      </c>
      <c r="K1174">
        <v>2</v>
      </c>
      <c r="L1174" t="s">
        <v>84</v>
      </c>
      <c r="M1174">
        <v>50000</v>
      </c>
      <c r="N1174">
        <v>6.4</v>
      </c>
      <c r="O1174">
        <v>10</v>
      </c>
      <c r="P1174">
        <v>8.9</v>
      </c>
      <c r="Q1174">
        <v>2.8</v>
      </c>
      <c r="R1174">
        <v>4</v>
      </c>
      <c r="S1174">
        <v>4</v>
      </c>
      <c r="T1174">
        <v>4</v>
      </c>
      <c r="U1174" t="s">
        <v>23</v>
      </c>
      <c r="V1174">
        <v>2</v>
      </c>
      <c r="W1174">
        <v>1</v>
      </c>
    </row>
    <row r="1175" spans="1:23" x14ac:dyDescent="0.35">
      <c r="A1175" t="s">
        <v>124</v>
      </c>
      <c r="B1175" s="6">
        <v>45537</v>
      </c>
      <c r="D1175" t="s">
        <v>23</v>
      </c>
      <c r="E1175">
        <v>27</v>
      </c>
      <c r="F1175" t="s">
        <v>62</v>
      </c>
      <c r="G1175" t="s">
        <v>42</v>
      </c>
      <c r="H1175" t="s">
        <v>54</v>
      </c>
      <c r="I1175" t="s">
        <v>68</v>
      </c>
      <c r="J1175" t="s">
        <v>102</v>
      </c>
      <c r="K1175">
        <v>1</v>
      </c>
      <c r="L1175" t="s">
        <v>84</v>
      </c>
      <c r="M1175">
        <v>34000</v>
      </c>
      <c r="N1175">
        <v>11.6</v>
      </c>
      <c r="O1175">
        <v>6.8</v>
      </c>
      <c r="P1175">
        <v>1.3</v>
      </c>
      <c r="Q1175">
        <v>0.1</v>
      </c>
      <c r="R1175">
        <v>3</v>
      </c>
      <c r="S1175">
        <v>4</v>
      </c>
      <c r="T1175">
        <v>2</v>
      </c>
      <c r="U1175" t="s">
        <v>23</v>
      </c>
      <c r="V1175">
        <v>5</v>
      </c>
      <c r="W1175">
        <v>1</v>
      </c>
    </row>
    <row r="1176" spans="1:23" x14ac:dyDescent="0.35">
      <c r="A1176" t="s">
        <v>115</v>
      </c>
      <c r="B1176" s="6">
        <v>41988</v>
      </c>
      <c r="D1176" t="s">
        <v>23</v>
      </c>
      <c r="E1176">
        <v>36</v>
      </c>
      <c r="F1176" t="s">
        <v>24</v>
      </c>
      <c r="G1176" t="s">
        <v>25</v>
      </c>
      <c r="H1176" t="s">
        <v>58</v>
      </c>
      <c r="I1176" t="s">
        <v>27</v>
      </c>
      <c r="J1176" t="s">
        <v>95</v>
      </c>
      <c r="K1176">
        <v>2</v>
      </c>
      <c r="L1176" t="s">
        <v>84</v>
      </c>
      <c r="M1176">
        <v>41000</v>
      </c>
      <c r="N1176">
        <v>12.3</v>
      </c>
      <c r="O1176">
        <v>18.899999999999999</v>
      </c>
      <c r="P1176">
        <v>11</v>
      </c>
      <c r="Q1176">
        <v>2.6</v>
      </c>
      <c r="R1176">
        <v>1</v>
      </c>
      <c r="S1176">
        <v>4</v>
      </c>
      <c r="T1176">
        <v>3</v>
      </c>
      <c r="U1176" t="s">
        <v>23</v>
      </c>
      <c r="V1176">
        <v>4</v>
      </c>
      <c r="W1176">
        <v>1</v>
      </c>
    </row>
    <row r="1177" spans="1:23" x14ac:dyDescent="0.35">
      <c r="A1177" t="s">
        <v>1109</v>
      </c>
      <c r="B1177" s="6">
        <v>41778</v>
      </c>
      <c r="D1177" t="s">
        <v>23</v>
      </c>
      <c r="E1177">
        <v>38</v>
      </c>
      <c r="F1177" t="s">
        <v>24</v>
      </c>
      <c r="G1177" t="s">
        <v>42</v>
      </c>
      <c r="H1177" t="s">
        <v>58</v>
      </c>
      <c r="I1177" t="s">
        <v>27</v>
      </c>
      <c r="J1177" t="s">
        <v>95</v>
      </c>
      <c r="K1177">
        <v>3</v>
      </c>
      <c r="L1177" t="s">
        <v>50</v>
      </c>
      <c r="M1177">
        <v>84000</v>
      </c>
      <c r="N1177">
        <v>12.4</v>
      </c>
      <c r="O1177">
        <v>18</v>
      </c>
      <c r="P1177">
        <v>11.6</v>
      </c>
      <c r="Q1177">
        <v>3.8</v>
      </c>
      <c r="R1177">
        <v>2</v>
      </c>
      <c r="S1177">
        <v>4</v>
      </c>
      <c r="T1177">
        <v>3</v>
      </c>
      <c r="U1177" t="s">
        <v>23</v>
      </c>
      <c r="V1177">
        <v>2</v>
      </c>
      <c r="W1177">
        <v>1</v>
      </c>
    </row>
    <row r="1178" spans="1:23" x14ac:dyDescent="0.35">
      <c r="A1178" t="s">
        <v>963</v>
      </c>
      <c r="B1178" s="6">
        <v>43159</v>
      </c>
      <c r="D1178" t="s">
        <v>23</v>
      </c>
      <c r="E1178">
        <v>31</v>
      </c>
      <c r="F1178" t="s">
        <v>24</v>
      </c>
      <c r="G1178" t="s">
        <v>25</v>
      </c>
      <c r="H1178" t="s">
        <v>26</v>
      </c>
      <c r="I1178" t="s">
        <v>48</v>
      </c>
      <c r="J1178" t="s">
        <v>201</v>
      </c>
      <c r="K1178">
        <v>4</v>
      </c>
      <c r="L1178" t="s">
        <v>66</v>
      </c>
      <c r="M1178">
        <v>110000</v>
      </c>
      <c r="N1178">
        <v>14.9</v>
      </c>
      <c r="O1178">
        <v>8.5</v>
      </c>
      <c r="P1178">
        <v>7.8</v>
      </c>
      <c r="Q1178">
        <v>5.8</v>
      </c>
      <c r="R1178">
        <v>3</v>
      </c>
      <c r="S1178">
        <v>2</v>
      </c>
      <c r="T1178">
        <v>3</v>
      </c>
      <c r="U1178" t="s">
        <v>23</v>
      </c>
      <c r="V1178">
        <v>4</v>
      </c>
      <c r="W1178">
        <v>1</v>
      </c>
    </row>
    <row r="1179" spans="1:23" x14ac:dyDescent="0.35">
      <c r="A1179" t="s">
        <v>1281</v>
      </c>
      <c r="B1179" s="6">
        <v>45690</v>
      </c>
      <c r="D1179" t="s">
        <v>23</v>
      </c>
      <c r="E1179">
        <v>26</v>
      </c>
      <c r="F1179" t="s">
        <v>24</v>
      </c>
      <c r="G1179" t="s">
        <v>42</v>
      </c>
      <c r="H1179" t="s">
        <v>54</v>
      </c>
      <c r="I1179" t="s">
        <v>68</v>
      </c>
      <c r="J1179" t="s">
        <v>69</v>
      </c>
      <c r="K1179">
        <v>1</v>
      </c>
      <c r="L1179" t="s">
        <v>50</v>
      </c>
      <c r="M1179">
        <v>40000</v>
      </c>
      <c r="N1179">
        <v>5.8</v>
      </c>
      <c r="O1179">
        <v>6.2</v>
      </c>
      <c r="P1179">
        <v>0.9</v>
      </c>
      <c r="Q1179">
        <v>0</v>
      </c>
      <c r="R1179">
        <v>3</v>
      </c>
      <c r="S1179">
        <v>4</v>
      </c>
      <c r="T1179">
        <v>2</v>
      </c>
      <c r="U1179" t="s">
        <v>23</v>
      </c>
      <c r="V1179">
        <v>2</v>
      </c>
      <c r="W1179">
        <v>1</v>
      </c>
    </row>
    <row r="1180" spans="1:23" x14ac:dyDescent="0.35">
      <c r="A1180" t="s">
        <v>556</v>
      </c>
      <c r="B1180" s="6">
        <v>45773</v>
      </c>
      <c r="D1180" t="s">
        <v>23</v>
      </c>
      <c r="E1180">
        <v>23</v>
      </c>
      <c r="F1180" t="s">
        <v>62</v>
      </c>
      <c r="G1180" t="s">
        <v>42</v>
      </c>
      <c r="H1180" t="s">
        <v>32</v>
      </c>
      <c r="I1180" t="s">
        <v>27</v>
      </c>
      <c r="J1180" t="s">
        <v>43</v>
      </c>
      <c r="K1180">
        <v>1</v>
      </c>
      <c r="L1180" t="s">
        <v>84</v>
      </c>
      <c r="M1180">
        <v>28000</v>
      </c>
      <c r="N1180">
        <v>8.6999999999999993</v>
      </c>
      <c r="O1180">
        <v>3.8</v>
      </c>
      <c r="P1180">
        <v>0.7</v>
      </c>
      <c r="Q1180">
        <v>0</v>
      </c>
      <c r="R1180">
        <v>3</v>
      </c>
      <c r="S1180">
        <v>2</v>
      </c>
      <c r="T1180">
        <v>3</v>
      </c>
      <c r="U1180" t="s">
        <v>23</v>
      </c>
      <c r="V1180">
        <v>3</v>
      </c>
      <c r="W1180">
        <v>1</v>
      </c>
    </row>
    <row r="1181" spans="1:23" x14ac:dyDescent="0.35">
      <c r="A1181" t="s">
        <v>1441</v>
      </c>
      <c r="B1181" s="6">
        <v>45558</v>
      </c>
      <c r="C1181">
        <v>45727</v>
      </c>
      <c r="D1181" t="s">
        <v>30</v>
      </c>
      <c r="E1181">
        <v>40</v>
      </c>
      <c r="F1181" t="s">
        <v>24</v>
      </c>
      <c r="G1181" t="s">
        <v>37</v>
      </c>
      <c r="H1181" t="s">
        <v>32</v>
      </c>
      <c r="I1181" t="s">
        <v>59</v>
      </c>
      <c r="J1181" t="s">
        <v>150</v>
      </c>
      <c r="K1181">
        <v>3</v>
      </c>
      <c r="L1181" t="s">
        <v>34</v>
      </c>
      <c r="M1181">
        <v>80000</v>
      </c>
      <c r="N1181">
        <v>8.1999999999999993</v>
      </c>
      <c r="O1181">
        <v>1.9</v>
      </c>
      <c r="P1181">
        <v>0.5</v>
      </c>
      <c r="Q1181">
        <v>0</v>
      </c>
      <c r="R1181">
        <v>1</v>
      </c>
      <c r="S1181">
        <v>4</v>
      </c>
      <c r="T1181">
        <v>4</v>
      </c>
      <c r="U1181" t="s">
        <v>30</v>
      </c>
      <c r="V1181">
        <v>3</v>
      </c>
      <c r="W1181">
        <v>1</v>
      </c>
    </row>
    <row r="1182" spans="1:23" x14ac:dyDescent="0.35">
      <c r="A1182" t="s">
        <v>1152</v>
      </c>
      <c r="B1182" s="6">
        <v>45439</v>
      </c>
      <c r="C1182">
        <v>45835</v>
      </c>
      <c r="D1182" t="s">
        <v>30</v>
      </c>
      <c r="E1182">
        <v>37</v>
      </c>
      <c r="F1182" t="s">
        <v>62</v>
      </c>
      <c r="G1182" t="s">
        <v>42</v>
      </c>
      <c r="H1182" t="s">
        <v>26</v>
      </c>
      <c r="I1182" t="s">
        <v>59</v>
      </c>
      <c r="J1182" t="s">
        <v>75</v>
      </c>
      <c r="K1182">
        <v>1</v>
      </c>
      <c r="L1182" t="s">
        <v>34</v>
      </c>
      <c r="M1182">
        <v>44000</v>
      </c>
      <c r="N1182">
        <v>9.5</v>
      </c>
      <c r="O1182">
        <v>8.8000000000000007</v>
      </c>
      <c r="P1182">
        <v>1.1000000000000001</v>
      </c>
      <c r="Q1182">
        <v>0.7</v>
      </c>
      <c r="R1182">
        <v>3</v>
      </c>
      <c r="S1182">
        <v>3</v>
      </c>
      <c r="T1182">
        <v>2</v>
      </c>
      <c r="U1182" t="s">
        <v>30</v>
      </c>
      <c r="V1182">
        <v>4</v>
      </c>
      <c r="W1182">
        <v>1</v>
      </c>
    </row>
    <row r="1183" spans="1:23" x14ac:dyDescent="0.35">
      <c r="A1183" t="s">
        <v>1408</v>
      </c>
      <c r="B1183" s="6">
        <v>43923</v>
      </c>
      <c r="D1183" t="s">
        <v>23</v>
      </c>
      <c r="E1183">
        <v>26</v>
      </c>
      <c r="F1183" t="s">
        <v>62</v>
      </c>
      <c r="G1183" t="s">
        <v>25</v>
      </c>
      <c r="H1183" t="s">
        <v>58</v>
      </c>
      <c r="I1183" t="s">
        <v>68</v>
      </c>
      <c r="J1183" t="s">
        <v>102</v>
      </c>
      <c r="K1183">
        <v>1</v>
      </c>
      <c r="L1183" t="s">
        <v>29</v>
      </c>
      <c r="M1183">
        <v>22000</v>
      </c>
      <c r="N1183">
        <v>11.7</v>
      </c>
      <c r="O1183">
        <v>12.5</v>
      </c>
      <c r="P1183">
        <v>5.7</v>
      </c>
      <c r="Q1183">
        <v>2.6</v>
      </c>
      <c r="R1183">
        <v>4</v>
      </c>
      <c r="S1183">
        <v>3</v>
      </c>
      <c r="T1183">
        <v>4</v>
      </c>
      <c r="U1183" t="s">
        <v>23</v>
      </c>
      <c r="V1183">
        <v>4</v>
      </c>
      <c r="W1183">
        <v>1</v>
      </c>
    </row>
    <row r="1184" spans="1:23" x14ac:dyDescent="0.35">
      <c r="A1184" t="s">
        <v>1250</v>
      </c>
      <c r="B1184" s="6">
        <v>42369</v>
      </c>
      <c r="D1184" t="s">
        <v>23</v>
      </c>
      <c r="E1184">
        <v>37</v>
      </c>
      <c r="F1184" t="s">
        <v>62</v>
      </c>
      <c r="G1184" t="s">
        <v>37</v>
      </c>
      <c r="H1184" t="s">
        <v>26</v>
      </c>
      <c r="I1184" t="s">
        <v>38</v>
      </c>
      <c r="J1184" t="s">
        <v>139</v>
      </c>
      <c r="K1184">
        <v>3</v>
      </c>
      <c r="L1184" t="s">
        <v>84</v>
      </c>
      <c r="M1184">
        <v>85000</v>
      </c>
      <c r="N1184">
        <v>14.6</v>
      </c>
      <c r="O1184">
        <v>15.4</v>
      </c>
      <c r="P1184">
        <v>10</v>
      </c>
      <c r="Q1184">
        <v>1.3</v>
      </c>
      <c r="R1184">
        <v>4</v>
      </c>
      <c r="S1184">
        <v>3</v>
      </c>
      <c r="T1184">
        <v>3</v>
      </c>
      <c r="U1184" t="s">
        <v>30</v>
      </c>
      <c r="V1184">
        <v>3</v>
      </c>
      <c r="W1184">
        <v>1</v>
      </c>
    </row>
    <row r="1185" spans="1:23" x14ac:dyDescent="0.35">
      <c r="A1185" t="s">
        <v>692</v>
      </c>
      <c r="B1185" s="6">
        <v>42160</v>
      </c>
      <c r="D1185" t="s">
        <v>23</v>
      </c>
      <c r="E1185">
        <v>40</v>
      </c>
      <c r="F1185" t="s">
        <v>24</v>
      </c>
      <c r="G1185" t="s">
        <v>25</v>
      </c>
      <c r="H1185" t="s">
        <v>58</v>
      </c>
      <c r="I1185" t="s">
        <v>68</v>
      </c>
      <c r="J1185" t="s">
        <v>109</v>
      </c>
      <c r="K1185">
        <v>4</v>
      </c>
      <c r="L1185" t="s">
        <v>66</v>
      </c>
      <c r="M1185">
        <v>110000</v>
      </c>
      <c r="N1185">
        <v>6.6</v>
      </c>
      <c r="O1185">
        <v>16.7</v>
      </c>
      <c r="P1185">
        <v>10.6</v>
      </c>
      <c r="Q1185">
        <v>0.4</v>
      </c>
      <c r="R1185">
        <v>3</v>
      </c>
      <c r="S1185">
        <v>3</v>
      </c>
      <c r="T1185">
        <v>3</v>
      </c>
      <c r="U1185" t="s">
        <v>23</v>
      </c>
      <c r="V1185">
        <v>5</v>
      </c>
      <c r="W1185">
        <v>1</v>
      </c>
    </row>
    <row r="1186" spans="1:23" x14ac:dyDescent="0.35">
      <c r="A1186" t="s">
        <v>605</v>
      </c>
      <c r="B1186" s="6">
        <v>44378</v>
      </c>
      <c r="D1186" t="s">
        <v>23</v>
      </c>
      <c r="E1186">
        <v>36</v>
      </c>
      <c r="F1186" t="s">
        <v>36</v>
      </c>
      <c r="G1186" t="s">
        <v>25</v>
      </c>
      <c r="H1186" t="s">
        <v>26</v>
      </c>
      <c r="I1186" t="s">
        <v>27</v>
      </c>
      <c r="J1186" t="s">
        <v>95</v>
      </c>
      <c r="K1186">
        <v>5</v>
      </c>
      <c r="L1186" t="s">
        <v>29</v>
      </c>
      <c r="M1186">
        <v>150000</v>
      </c>
      <c r="N1186">
        <v>9.3000000000000007</v>
      </c>
      <c r="O1186">
        <v>9</v>
      </c>
      <c r="P1186">
        <v>4.5</v>
      </c>
      <c r="Q1186">
        <v>0.7</v>
      </c>
      <c r="R1186">
        <v>2</v>
      </c>
      <c r="S1186">
        <v>3</v>
      </c>
      <c r="T1186">
        <v>2</v>
      </c>
      <c r="U1186" t="s">
        <v>23</v>
      </c>
      <c r="V1186">
        <v>2</v>
      </c>
      <c r="W1186">
        <v>1</v>
      </c>
    </row>
    <row r="1187" spans="1:23" x14ac:dyDescent="0.35">
      <c r="A1187" t="s">
        <v>1035</v>
      </c>
      <c r="B1187" s="6">
        <v>41883</v>
      </c>
      <c r="C1187">
        <v>45856</v>
      </c>
      <c r="D1187" t="s">
        <v>30</v>
      </c>
      <c r="E1187">
        <v>50</v>
      </c>
      <c r="F1187" t="s">
        <v>36</v>
      </c>
      <c r="G1187" t="s">
        <v>25</v>
      </c>
      <c r="H1187" t="s">
        <v>58</v>
      </c>
      <c r="I1187" t="s">
        <v>38</v>
      </c>
      <c r="J1187" t="s">
        <v>52</v>
      </c>
      <c r="K1187">
        <v>3</v>
      </c>
      <c r="L1187" t="s">
        <v>29</v>
      </c>
      <c r="M1187">
        <v>97000</v>
      </c>
      <c r="N1187">
        <v>11.9</v>
      </c>
      <c r="O1187">
        <v>16.600000000000001</v>
      </c>
      <c r="P1187">
        <v>10.9</v>
      </c>
      <c r="Q1187">
        <v>2.9</v>
      </c>
      <c r="R1187">
        <v>3</v>
      </c>
      <c r="S1187">
        <v>1</v>
      </c>
      <c r="T1187">
        <v>3</v>
      </c>
      <c r="U1187" t="s">
        <v>23</v>
      </c>
      <c r="V1187">
        <v>3</v>
      </c>
      <c r="W1187">
        <v>1</v>
      </c>
    </row>
    <row r="1188" spans="1:23" x14ac:dyDescent="0.35">
      <c r="A1188" t="s">
        <v>1229</v>
      </c>
      <c r="B1188" s="6">
        <v>41826</v>
      </c>
      <c r="D1188" t="s">
        <v>23</v>
      </c>
      <c r="E1188">
        <v>40</v>
      </c>
      <c r="F1188" t="s">
        <v>36</v>
      </c>
      <c r="G1188" t="s">
        <v>42</v>
      </c>
      <c r="H1188" t="s">
        <v>54</v>
      </c>
      <c r="I1188" t="s">
        <v>45</v>
      </c>
      <c r="J1188" t="s">
        <v>97</v>
      </c>
      <c r="K1188">
        <v>3</v>
      </c>
      <c r="L1188" t="s">
        <v>40</v>
      </c>
      <c r="M1188">
        <v>77000</v>
      </c>
      <c r="N1188">
        <v>9.1</v>
      </c>
      <c r="O1188">
        <v>16.100000000000001</v>
      </c>
      <c r="P1188">
        <v>11.5</v>
      </c>
      <c r="Q1188">
        <v>5.8</v>
      </c>
      <c r="R1188">
        <v>3</v>
      </c>
      <c r="S1188">
        <v>3</v>
      </c>
      <c r="T1188">
        <v>2</v>
      </c>
      <c r="U1188" t="s">
        <v>23</v>
      </c>
      <c r="V1188">
        <v>1</v>
      </c>
      <c r="W1188">
        <v>1</v>
      </c>
    </row>
    <row r="1189" spans="1:23" x14ac:dyDescent="0.35">
      <c r="A1189" t="s">
        <v>793</v>
      </c>
      <c r="B1189" s="6">
        <v>45226</v>
      </c>
      <c r="D1189" t="s">
        <v>23</v>
      </c>
      <c r="E1189">
        <v>32</v>
      </c>
      <c r="F1189" t="s">
        <v>36</v>
      </c>
      <c r="G1189" t="s">
        <v>25</v>
      </c>
      <c r="H1189" t="s">
        <v>58</v>
      </c>
      <c r="I1189" t="s">
        <v>68</v>
      </c>
      <c r="J1189" t="s">
        <v>69</v>
      </c>
      <c r="K1189">
        <v>1</v>
      </c>
      <c r="L1189" t="s">
        <v>40</v>
      </c>
      <c r="M1189">
        <v>22000</v>
      </c>
      <c r="O1189">
        <v>10.1</v>
      </c>
      <c r="P1189">
        <v>2.2000000000000002</v>
      </c>
      <c r="Q1189">
        <v>0.7</v>
      </c>
      <c r="R1189">
        <v>1</v>
      </c>
      <c r="S1189">
        <v>2</v>
      </c>
      <c r="T1189">
        <v>3</v>
      </c>
      <c r="U1189" t="s">
        <v>23</v>
      </c>
      <c r="V1189">
        <v>3</v>
      </c>
      <c r="W1189">
        <v>1</v>
      </c>
    </row>
    <row r="1190" spans="1:23" x14ac:dyDescent="0.35">
      <c r="A1190" t="s">
        <v>1394</v>
      </c>
      <c r="B1190" s="6">
        <v>43086</v>
      </c>
      <c r="D1190" t="s">
        <v>23</v>
      </c>
      <c r="E1190">
        <v>44</v>
      </c>
      <c r="F1190" t="s">
        <v>62</v>
      </c>
      <c r="G1190" t="s">
        <v>37</v>
      </c>
      <c r="H1190" t="s">
        <v>54</v>
      </c>
      <c r="I1190" t="s">
        <v>27</v>
      </c>
      <c r="J1190" t="s">
        <v>43</v>
      </c>
      <c r="K1190">
        <v>3</v>
      </c>
      <c r="L1190" t="s">
        <v>29</v>
      </c>
      <c r="M1190">
        <v>74000</v>
      </c>
      <c r="N1190">
        <v>4.2</v>
      </c>
      <c r="O1190">
        <v>9.8000000000000007</v>
      </c>
      <c r="P1190">
        <v>8</v>
      </c>
      <c r="Q1190">
        <v>2</v>
      </c>
      <c r="R1190">
        <v>4</v>
      </c>
      <c r="S1190">
        <v>2</v>
      </c>
      <c r="T1190">
        <v>1</v>
      </c>
      <c r="U1190" t="s">
        <v>23</v>
      </c>
      <c r="V1190">
        <v>4</v>
      </c>
      <c r="W1190">
        <v>1</v>
      </c>
    </row>
    <row r="1191" spans="1:23" x14ac:dyDescent="0.35">
      <c r="A1191" t="s">
        <v>1270</v>
      </c>
      <c r="B1191" s="6">
        <v>45404</v>
      </c>
      <c r="D1191" t="s">
        <v>23</v>
      </c>
      <c r="E1191">
        <v>26</v>
      </c>
      <c r="F1191" t="s">
        <v>36</v>
      </c>
      <c r="G1191" t="s">
        <v>42</v>
      </c>
      <c r="H1191" t="s">
        <v>54</v>
      </c>
      <c r="I1191" t="s">
        <v>38</v>
      </c>
      <c r="J1191" t="s">
        <v>39</v>
      </c>
      <c r="K1191">
        <v>1</v>
      </c>
      <c r="L1191" t="s">
        <v>40</v>
      </c>
      <c r="M1191">
        <v>42000</v>
      </c>
      <c r="N1191">
        <v>10.199999999999999</v>
      </c>
      <c r="O1191">
        <v>5</v>
      </c>
      <c r="P1191">
        <v>1.7</v>
      </c>
      <c r="Q1191">
        <v>0.4</v>
      </c>
      <c r="R1191">
        <v>4</v>
      </c>
      <c r="S1191">
        <v>1</v>
      </c>
      <c r="T1191">
        <v>4</v>
      </c>
      <c r="U1191" t="s">
        <v>23</v>
      </c>
      <c r="V1191">
        <v>2</v>
      </c>
      <c r="W1191">
        <v>1</v>
      </c>
    </row>
    <row r="1192" spans="1:23" x14ac:dyDescent="0.35">
      <c r="A1192" t="s">
        <v>1557</v>
      </c>
      <c r="B1192" s="6">
        <v>44405</v>
      </c>
      <c r="D1192" t="s">
        <v>23</v>
      </c>
      <c r="E1192">
        <v>27</v>
      </c>
      <c r="F1192" t="s">
        <v>62</v>
      </c>
      <c r="G1192" t="s">
        <v>42</v>
      </c>
      <c r="H1192" t="s">
        <v>58</v>
      </c>
      <c r="I1192" t="s">
        <v>59</v>
      </c>
      <c r="J1192" t="s">
        <v>86</v>
      </c>
      <c r="K1192">
        <v>1</v>
      </c>
      <c r="L1192" t="s">
        <v>66</v>
      </c>
      <c r="M1192">
        <v>33000</v>
      </c>
      <c r="N1192">
        <v>3.5</v>
      </c>
      <c r="O1192">
        <v>12.2</v>
      </c>
      <c r="P1192">
        <v>4.4000000000000004</v>
      </c>
      <c r="Q1192">
        <v>4</v>
      </c>
      <c r="R1192">
        <v>4</v>
      </c>
      <c r="S1192">
        <v>3</v>
      </c>
      <c r="T1192">
        <v>4</v>
      </c>
      <c r="U1192" t="s">
        <v>30</v>
      </c>
      <c r="V1192">
        <v>4</v>
      </c>
      <c r="W1192">
        <v>1</v>
      </c>
    </row>
    <row r="1193" spans="1:23" x14ac:dyDescent="0.35">
      <c r="A1193" t="s">
        <v>1417</v>
      </c>
      <c r="B1193" s="6">
        <v>43377</v>
      </c>
      <c r="D1193" t="s">
        <v>23</v>
      </c>
      <c r="E1193">
        <v>37</v>
      </c>
      <c r="F1193" t="s">
        <v>24</v>
      </c>
      <c r="G1193" t="s">
        <v>25</v>
      </c>
      <c r="H1193" t="s">
        <v>32</v>
      </c>
      <c r="I1193" t="s">
        <v>59</v>
      </c>
      <c r="J1193" t="s">
        <v>86</v>
      </c>
      <c r="K1193">
        <v>1</v>
      </c>
      <c r="L1193" t="s">
        <v>34</v>
      </c>
      <c r="M1193" t="s">
        <v>1418</v>
      </c>
      <c r="N1193">
        <v>9</v>
      </c>
      <c r="O1193">
        <v>7.6</v>
      </c>
      <c r="P1193">
        <v>7.2</v>
      </c>
      <c r="Q1193">
        <v>5.7</v>
      </c>
      <c r="R1193">
        <v>3</v>
      </c>
      <c r="S1193">
        <v>2</v>
      </c>
      <c r="T1193">
        <v>3</v>
      </c>
      <c r="U1193" t="s">
        <v>23</v>
      </c>
      <c r="V1193">
        <v>5</v>
      </c>
      <c r="W1193">
        <v>1</v>
      </c>
    </row>
    <row r="1194" spans="1:23" x14ac:dyDescent="0.35">
      <c r="A1194" t="s">
        <v>945</v>
      </c>
      <c r="B1194" s="6">
        <v>45581</v>
      </c>
      <c r="C1194">
        <v>45963</v>
      </c>
      <c r="D1194" t="s">
        <v>30</v>
      </c>
      <c r="E1194">
        <v>44</v>
      </c>
      <c r="F1194" t="s">
        <v>24</v>
      </c>
      <c r="G1194" t="s">
        <v>25</v>
      </c>
      <c r="H1194" t="s">
        <v>26</v>
      </c>
      <c r="I1194" t="s">
        <v>68</v>
      </c>
      <c r="J1194" t="s">
        <v>69</v>
      </c>
      <c r="K1194">
        <v>3</v>
      </c>
      <c r="L1194" t="s">
        <v>40</v>
      </c>
      <c r="M1194">
        <v>74000</v>
      </c>
      <c r="N1194">
        <v>9.6</v>
      </c>
      <c r="O1194">
        <v>2.1</v>
      </c>
      <c r="P1194">
        <v>1</v>
      </c>
      <c r="Q1194">
        <v>0.9</v>
      </c>
      <c r="R1194">
        <v>3</v>
      </c>
      <c r="S1194">
        <v>2</v>
      </c>
      <c r="T1194">
        <v>4</v>
      </c>
      <c r="U1194" t="s">
        <v>23</v>
      </c>
      <c r="V1194">
        <v>4</v>
      </c>
      <c r="W1194">
        <v>1</v>
      </c>
    </row>
    <row r="1195" spans="1:23" x14ac:dyDescent="0.35">
      <c r="A1195" t="s">
        <v>959</v>
      </c>
      <c r="B1195" s="6">
        <v>44199</v>
      </c>
      <c r="D1195" t="s">
        <v>23</v>
      </c>
      <c r="E1195">
        <v>27</v>
      </c>
      <c r="F1195" t="s">
        <v>62</v>
      </c>
      <c r="G1195" t="s">
        <v>42</v>
      </c>
      <c r="H1195" t="s">
        <v>26</v>
      </c>
      <c r="I1195" t="s">
        <v>55</v>
      </c>
      <c r="J1195" t="s">
        <v>80</v>
      </c>
      <c r="K1195">
        <v>1</v>
      </c>
      <c r="L1195" t="s">
        <v>29</v>
      </c>
      <c r="M1195">
        <v>40000</v>
      </c>
      <c r="N1195">
        <v>13.4</v>
      </c>
      <c r="O1195">
        <v>10.3</v>
      </c>
      <c r="P1195">
        <v>5</v>
      </c>
      <c r="Q1195">
        <v>0.3</v>
      </c>
      <c r="R1195">
        <v>3</v>
      </c>
      <c r="S1195">
        <v>4</v>
      </c>
      <c r="T1195">
        <v>3</v>
      </c>
      <c r="U1195" t="s">
        <v>30</v>
      </c>
      <c r="V1195">
        <v>2</v>
      </c>
      <c r="W1195">
        <v>1</v>
      </c>
    </row>
    <row r="1196" spans="1:23" x14ac:dyDescent="0.35">
      <c r="A1196" t="s">
        <v>1012</v>
      </c>
      <c r="B1196" s="6">
        <v>42893</v>
      </c>
      <c r="D1196" t="s">
        <v>23</v>
      </c>
      <c r="E1196">
        <v>31</v>
      </c>
      <c r="F1196" t="s">
        <v>62</v>
      </c>
      <c r="G1196" t="s">
        <v>42</v>
      </c>
      <c r="H1196" t="s">
        <v>32</v>
      </c>
      <c r="I1196" t="s">
        <v>68</v>
      </c>
      <c r="J1196" t="s">
        <v>102</v>
      </c>
      <c r="K1196">
        <v>2</v>
      </c>
      <c r="L1196" t="s">
        <v>29</v>
      </c>
      <c r="M1196">
        <v>49000</v>
      </c>
      <c r="N1196">
        <v>6.9</v>
      </c>
      <c r="O1196">
        <v>13</v>
      </c>
      <c r="P1196">
        <v>8.6</v>
      </c>
      <c r="Q1196">
        <v>0.5</v>
      </c>
      <c r="R1196">
        <v>2</v>
      </c>
      <c r="S1196">
        <v>3</v>
      </c>
      <c r="T1196">
        <v>3</v>
      </c>
      <c r="U1196" t="s">
        <v>23</v>
      </c>
      <c r="V1196">
        <v>4</v>
      </c>
      <c r="W1196">
        <v>1</v>
      </c>
    </row>
    <row r="1197" spans="1:23" x14ac:dyDescent="0.35">
      <c r="A1197" t="s">
        <v>1009</v>
      </c>
      <c r="B1197" s="6">
        <v>45536</v>
      </c>
      <c r="D1197" t="s">
        <v>23</v>
      </c>
      <c r="E1197">
        <v>23</v>
      </c>
      <c r="F1197" t="s">
        <v>24</v>
      </c>
      <c r="G1197" t="s">
        <v>37</v>
      </c>
      <c r="H1197" t="s">
        <v>54</v>
      </c>
      <c r="I1197" t="s">
        <v>45</v>
      </c>
      <c r="J1197" t="s">
        <v>164</v>
      </c>
      <c r="K1197">
        <v>1</v>
      </c>
      <c r="L1197" t="s">
        <v>66</v>
      </c>
      <c r="M1197">
        <v>43000</v>
      </c>
      <c r="N1197">
        <v>6.3</v>
      </c>
      <c r="O1197">
        <v>7.5</v>
      </c>
      <c r="P1197">
        <v>1.3</v>
      </c>
      <c r="Q1197">
        <v>1.2</v>
      </c>
      <c r="R1197">
        <v>3</v>
      </c>
      <c r="S1197">
        <v>3</v>
      </c>
      <c r="T1197">
        <v>4</v>
      </c>
      <c r="U1197" t="s">
        <v>23</v>
      </c>
      <c r="V1197">
        <v>4</v>
      </c>
      <c r="W1197">
        <v>1</v>
      </c>
    </row>
    <row r="1198" spans="1:23" x14ac:dyDescent="0.35">
      <c r="A1198" t="s">
        <v>676</v>
      </c>
      <c r="B1198" s="6">
        <v>44698</v>
      </c>
      <c r="D1198" t="s">
        <v>23</v>
      </c>
      <c r="E1198">
        <v>24</v>
      </c>
      <c r="F1198" t="s">
        <v>36</v>
      </c>
      <c r="G1198" t="s">
        <v>37</v>
      </c>
      <c r="H1198" t="s">
        <v>26</v>
      </c>
      <c r="I1198" t="s">
        <v>55</v>
      </c>
      <c r="J1198" t="s">
        <v>80</v>
      </c>
      <c r="K1198">
        <v>1</v>
      </c>
      <c r="L1198" t="s">
        <v>50</v>
      </c>
      <c r="M1198">
        <v>45000</v>
      </c>
      <c r="N1198">
        <v>11.7</v>
      </c>
      <c r="O1198">
        <v>6.1</v>
      </c>
      <c r="P1198">
        <v>3.6</v>
      </c>
      <c r="Q1198">
        <v>0.2</v>
      </c>
      <c r="R1198">
        <v>3</v>
      </c>
      <c r="S1198">
        <v>2</v>
      </c>
      <c r="T1198">
        <v>3</v>
      </c>
      <c r="U1198" t="s">
        <v>23</v>
      </c>
      <c r="V1198">
        <v>2</v>
      </c>
      <c r="W1198">
        <v>1</v>
      </c>
    </row>
    <row r="1199" spans="1:23" x14ac:dyDescent="0.35">
      <c r="A1199" t="s">
        <v>693</v>
      </c>
      <c r="B1199" s="6">
        <v>44632</v>
      </c>
      <c r="D1199" t="s">
        <v>23</v>
      </c>
      <c r="E1199">
        <v>26</v>
      </c>
      <c r="F1199" t="s">
        <v>36</v>
      </c>
      <c r="G1199" t="s">
        <v>42</v>
      </c>
      <c r="H1199" t="s">
        <v>32</v>
      </c>
      <c r="I1199" t="s">
        <v>55</v>
      </c>
      <c r="J1199" t="s">
        <v>179</v>
      </c>
      <c r="K1199">
        <v>1</v>
      </c>
      <c r="L1199" t="s">
        <v>29</v>
      </c>
      <c r="M1199">
        <v>41000</v>
      </c>
      <c r="N1199">
        <v>4.3</v>
      </c>
      <c r="O1199">
        <v>5.6</v>
      </c>
      <c r="P1199">
        <v>3.8</v>
      </c>
      <c r="Q1199">
        <v>2.5</v>
      </c>
      <c r="R1199">
        <v>3</v>
      </c>
      <c r="S1199">
        <v>2</v>
      </c>
      <c r="T1199">
        <v>2</v>
      </c>
      <c r="U1199" t="s">
        <v>23</v>
      </c>
      <c r="V1199">
        <v>3</v>
      </c>
      <c r="W1199">
        <v>1</v>
      </c>
    </row>
    <row r="1200" spans="1:23" x14ac:dyDescent="0.35">
      <c r="A1200" t="s">
        <v>1588</v>
      </c>
      <c r="B1200" s="6">
        <v>41751</v>
      </c>
      <c r="D1200" t="s">
        <v>23</v>
      </c>
      <c r="E1200">
        <v>40</v>
      </c>
      <c r="F1200" t="s">
        <v>62</v>
      </c>
      <c r="G1200" t="s">
        <v>37</v>
      </c>
      <c r="H1200" t="s">
        <v>26</v>
      </c>
      <c r="I1200" t="s">
        <v>55</v>
      </c>
      <c r="J1200" t="s">
        <v>56</v>
      </c>
      <c r="K1200">
        <v>1</v>
      </c>
      <c r="L1200" t="s">
        <v>84</v>
      </c>
      <c r="M1200">
        <v>46000</v>
      </c>
      <c r="N1200">
        <v>9.1</v>
      </c>
      <c r="O1200">
        <v>17.3</v>
      </c>
      <c r="P1200">
        <v>11.7</v>
      </c>
      <c r="Q1200">
        <v>4</v>
      </c>
      <c r="R1200">
        <v>3</v>
      </c>
      <c r="S1200">
        <v>3</v>
      </c>
      <c r="T1200">
        <v>3</v>
      </c>
      <c r="U1200" t="s">
        <v>23</v>
      </c>
      <c r="V1200">
        <v>2</v>
      </c>
      <c r="W1200">
        <v>1</v>
      </c>
    </row>
    <row r="1201" spans="1:23" x14ac:dyDescent="0.35">
      <c r="A1201" t="s">
        <v>657</v>
      </c>
      <c r="B1201" s="6">
        <v>45352</v>
      </c>
      <c r="D1201" t="s">
        <v>23</v>
      </c>
      <c r="E1201">
        <v>38</v>
      </c>
      <c r="F1201" t="s">
        <v>24</v>
      </c>
      <c r="G1201" t="s">
        <v>25</v>
      </c>
      <c r="H1201" t="s">
        <v>26</v>
      </c>
      <c r="I1201" t="s">
        <v>45</v>
      </c>
      <c r="J1201" t="s">
        <v>97</v>
      </c>
      <c r="K1201">
        <v>2</v>
      </c>
      <c r="L1201" t="s">
        <v>34</v>
      </c>
      <c r="M1201">
        <v>50000</v>
      </c>
      <c r="N1201">
        <v>0</v>
      </c>
      <c r="O1201">
        <v>2.9</v>
      </c>
      <c r="P1201">
        <v>1.8</v>
      </c>
      <c r="Q1201">
        <v>1.6</v>
      </c>
      <c r="R1201">
        <v>3</v>
      </c>
      <c r="S1201">
        <v>2</v>
      </c>
      <c r="T1201">
        <v>3</v>
      </c>
      <c r="U1201" t="s">
        <v>23</v>
      </c>
      <c r="V1201">
        <v>1</v>
      </c>
      <c r="W1201">
        <v>1</v>
      </c>
    </row>
    <row r="1202" spans="1:23" x14ac:dyDescent="0.35">
      <c r="A1202" t="s">
        <v>841</v>
      </c>
      <c r="B1202" s="6">
        <v>44221</v>
      </c>
      <c r="C1202">
        <v>45962</v>
      </c>
      <c r="D1202" t="s">
        <v>30</v>
      </c>
      <c r="E1202">
        <v>33</v>
      </c>
      <c r="F1202" t="s">
        <v>24</v>
      </c>
      <c r="G1202" t="s">
        <v>25</v>
      </c>
      <c r="H1202" t="s">
        <v>32</v>
      </c>
      <c r="I1202" t="s">
        <v>68</v>
      </c>
      <c r="J1202" t="s">
        <v>102</v>
      </c>
      <c r="K1202">
        <v>2</v>
      </c>
      <c r="L1202" t="s">
        <v>40</v>
      </c>
      <c r="M1202">
        <v>64000</v>
      </c>
      <c r="N1202">
        <v>4.5999999999999996</v>
      </c>
      <c r="O1202">
        <v>6.6</v>
      </c>
      <c r="P1202">
        <v>4.8</v>
      </c>
      <c r="Q1202">
        <v>4</v>
      </c>
      <c r="R1202">
        <v>4</v>
      </c>
      <c r="S1202">
        <v>3</v>
      </c>
      <c r="T1202">
        <v>3</v>
      </c>
      <c r="U1202" t="s">
        <v>30</v>
      </c>
      <c r="V1202">
        <v>5</v>
      </c>
      <c r="W1202">
        <v>1</v>
      </c>
    </row>
    <row r="1203" spans="1:23" x14ac:dyDescent="0.35">
      <c r="A1203" t="s">
        <v>954</v>
      </c>
      <c r="B1203" s="6">
        <v>43128</v>
      </c>
      <c r="D1203" t="s">
        <v>23</v>
      </c>
      <c r="E1203">
        <v>35</v>
      </c>
      <c r="F1203" t="s">
        <v>24</v>
      </c>
      <c r="G1203" t="s">
        <v>37</v>
      </c>
      <c r="H1203" t="s">
        <v>32</v>
      </c>
      <c r="I1203" t="s">
        <v>59</v>
      </c>
      <c r="J1203" t="s">
        <v>75</v>
      </c>
      <c r="K1203">
        <v>3</v>
      </c>
      <c r="L1203" t="s">
        <v>50</v>
      </c>
      <c r="M1203">
        <v>78000</v>
      </c>
      <c r="N1203">
        <v>2.2000000000000002</v>
      </c>
      <c r="O1203">
        <v>14.4</v>
      </c>
      <c r="P1203">
        <v>7.9</v>
      </c>
      <c r="Q1203">
        <v>5.9</v>
      </c>
      <c r="R1203">
        <v>2</v>
      </c>
      <c r="S1203">
        <v>2</v>
      </c>
      <c r="T1203">
        <v>3</v>
      </c>
      <c r="U1203" t="s">
        <v>23</v>
      </c>
      <c r="V1203">
        <v>4</v>
      </c>
      <c r="W1203">
        <v>1</v>
      </c>
    </row>
    <row r="1204" spans="1:23" x14ac:dyDescent="0.35">
      <c r="A1204" t="s">
        <v>123</v>
      </c>
      <c r="B1204" s="6">
        <v>42314</v>
      </c>
      <c r="C1204">
        <v>45856</v>
      </c>
      <c r="D1204" t="s">
        <v>30</v>
      </c>
      <c r="E1204">
        <v>52</v>
      </c>
      <c r="F1204" t="s">
        <v>36</v>
      </c>
      <c r="G1204" t="s">
        <v>42</v>
      </c>
      <c r="H1204" t="s">
        <v>26</v>
      </c>
      <c r="I1204" t="s">
        <v>59</v>
      </c>
      <c r="J1204" t="s">
        <v>75</v>
      </c>
      <c r="K1204">
        <v>2</v>
      </c>
      <c r="L1204" t="s">
        <v>66</v>
      </c>
      <c r="M1204">
        <v>49000</v>
      </c>
      <c r="N1204">
        <v>11.9</v>
      </c>
      <c r="O1204">
        <v>12.8</v>
      </c>
      <c r="P1204">
        <v>9.6999999999999993</v>
      </c>
      <c r="Q1204">
        <v>0.9</v>
      </c>
      <c r="R1204">
        <v>4</v>
      </c>
      <c r="S1204">
        <v>2</v>
      </c>
      <c r="T1204">
        <v>4</v>
      </c>
      <c r="U1204" t="s">
        <v>23</v>
      </c>
      <c r="V1204">
        <v>5</v>
      </c>
      <c r="W1204">
        <v>1</v>
      </c>
    </row>
    <row r="1205" spans="1:23" x14ac:dyDescent="0.35">
      <c r="A1205" t="s">
        <v>1010</v>
      </c>
      <c r="B1205" s="6">
        <v>45809</v>
      </c>
      <c r="D1205" t="s">
        <v>23</v>
      </c>
      <c r="E1205">
        <v>21</v>
      </c>
      <c r="F1205" t="s">
        <v>24</v>
      </c>
      <c r="G1205" t="s">
        <v>25</v>
      </c>
      <c r="H1205" t="s">
        <v>54</v>
      </c>
      <c r="I1205" t="s">
        <v>38</v>
      </c>
      <c r="J1205" t="s">
        <v>39</v>
      </c>
      <c r="K1205">
        <v>1</v>
      </c>
      <c r="L1205" t="s">
        <v>40</v>
      </c>
      <c r="M1205">
        <v>36000</v>
      </c>
      <c r="N1205">
        <v>7.9</v>
      </c>
      <c r="O1205">
        <v>8.3000000000000007</v>
      </c>
      <c r="P1205">
        <v>0.6</v>
      </c>
      <c r="Q1205">
        <v>0</v>
      </c>
      <c r="R1205">
        <v>4</v>
      </c>
      <c r="S1205">
        <v>4</v>
      </c>
      <c r="T1205">
        <v>4</v>
      </c>
      <c r="U1205" t="s">
        <v>23</v>
      </c>
      <c r="V1205">
        <v>1</v>
      </c>
      <c r="W1205">
        <v>1</v>
      </c>
    </row>
    <row r="1206" spans="1:23" x14ac:dyDescent="0.35">
      <c r="A1206" t="s">
        <v>1256</v>
      </c>
      <c r="B1206" s="6">
        <v>45655</v>
      </c>
      <c r="D1206" t="s">
        <v>23</v>
      </c>
      <c r="E1206">
        <v>32</v>
      </c>
      <c r="F1206" t="s">
        <v>36</v>
      </c>
      <c r="G1206" t="s">
        <v>25</v>
      </c>
      <c r="H1206" t="s">
        <v>32</v>
      </c>
      <c r="I1206" t="s">
        <v>38</v>
      </c>
      <c r="J1206" t="s">
        <v>52</v>
      </c>
      <c r="K1206">
        <v>2</v>
      </c>
      <c r="L1206" t="s">
        <v>29</v>
      </c>
      <c r="M1206">
        <v>62000</v>
      </c>
      <c r="N1206">
        <v>8.4</v>
      </c>
      <c r="O1206">
        <v>3.4</v>
      </c>
      <c r="P1206">
        <v>1</v>
      </c>
      <c r="Q1206">
        <v>0</v>
      </c>
      <c r="R1206">
        <v>4</v>
      </c>
      <c r="S1206">
        <v>4</v>
      </c>
      <c r="T1206">
        <v>3</v>
      </c>
      <c r="U1206" t="s">
        <v>23</v>
      </c>
      <c r="V1206">
        <v>3</v>
      </c>
      <c r="W1206">
        <v>1</v>
      </c>
    </row>
    <row r="1207" spans="1:23" x14ac:dyDescent="0.35">
      <c r="A1207" t="s">
        <v>147</v>
      </c>
      <c r="B1207" s="6">
        <v>44621</v>
      </c>
      <c r="D1207" t="s">
        <v>23</v>
      </c>
      <c r="E1207">
        <v>36</v>
      </c>
      <c r="F1207" t="s">
        <v>24</v>
      </c>
      <c r="G1207" t="s">
        <v>42</v>
      </c>
      <c r="H1207" t="s">
        <v>32</v>
      </c>
      <c r="I1207" t="s">
        <v>55</v>
      </c>
      <c r="J1207" t="s">
        <v>80</v>
      </c>
      <c r="K1207">
        <v>2</v>
      </c>
      <c r="L1207" t="s">
        <v>34</v>
      </c>
      <c r="M1207">
        <v>44000</v>
      </c>
      <c r="N1207">
        <v>0.8</v>
      </c>
      <c r="O1207">
        <v>10.6</v>
      </c>
      <c r="P1207">
        <v>3.8</v>
      </c>
      <c r="Q1207">
        <v>1.5</v>
      </c>
      <c r="R1207">
        <v>2</v>
      </c>
      <c r="S1207">
        <v>3</v>
      </c>
      <c r="T1207">
        <v>4</v>
      </c>
      <c r="U1207" t="s">
        <v>23</v>
      </c>
      <c r="V1207">
        <v>2</v>
      </c>
      <c r="W1207">
        <v>1</v>
      </c>
    </row>
    <row r="1208" spans="1:23" x14ac:dyDescent="0.35">
      <c r="A1208" t="s">
        <v>293</v>
      </c>
      <c r="B1208" s="6">
        <v>42756</v>
      </c>
      <c r="D1208" t="s">
        <v>23</v>
      </c>
      <c r="E1208">
        <v>37</v>
      </c>
      <c r="F1208" t="s">
        <v>24</v>
      </c>
      <c r="G1208" t="s">
        <v>25</v>
      </c>
      <c r="H1208" t="s">
        <v>54</v>
      </c>
      <c r="I1208" t="s">
        <v>45</v>
      </c>
      <c r="J1208" t="s">
        <v>97</v>
      </c>
      <c r="K1208">
        <v>4</v>
      </c>
      <c r="L1208" t="s">
        <v>66</v>
      </c>
      <c r="M1208">
        <v>103000</v>
      </c>
      <c r="N1208">
        <v>3.4</v>
      </c>
      <c r="O1208">
        <v>14.3</v>
      </c>
      <c r="P1208">
        <v>8.9</v>
      </c>
      <c r="Q1208">
        <v>0.6</v>
      </c>
      <c r="R1208">
        <v>3</v>
      </c>
      <c r="S1208">
        <v>3</v>
      </c>
      <c r="T1208">
        <v>3</v>
      </c>
      <c r="U1208" t="s">
        <v>23</v>
      </c>
      <c r="V1208">
        <v>5</v>
      </c>
      <c r="W1208">
        <v>1</v>
      </c>
    </row>
    <row r="1209" spans="1:23" x14ac:dyDescent="0.35">
      <c r="A1209" t="s">
        <v>597</v>
      </c>
      <c r="B1209" s="6">
        <v>42277</v>
      </c>
      <c r="D1209" t="s">
        <v>23</v>
      </c>
      <c r="E1209">
        <v>31</v>
      </c>
      <c r="F1209" t="s">
        <v>24</v>
      </c>
      <c r="G1209" t="s">
        <v>25</v>
      </c>
      <c r="H1209" t="s">
        <v>58</v>
      </c>
      <c r="I1209" t="s">
        <v>45</v>
      </c>
      <c r="J1209" t="s">
        <v>164</v>
      </c>
      <c r="K1209">
        <v>3</v>
      </c>
      <c r="L1209" t="s">
        <v>40</v>
      </c>
      <c r="M1209">
        <v>58000</v>
      </c>
      <c r="N1209">
        <v>6</v>
      </c>
      <c r="O1209">
        <v>16.8</v>
      </c>
      <c r="P1209">
        <v>10.3</v>
      </c>
      <c r="Q1209">
        <v>0.5</v>
      </c>
      <c r="R1209">
        <v>2</v>
      </c>
      <c r="S1209">
        <v>3</v>
      </c>
      <c r="T1209">
        <v>3</v>
      </c>
      <c r="U1209" t="s">
        <v>30</v>
      </c>
      <c r="V1209">
        <v>3</v>
      </c>
      <c r="W1209">
        <v>1</v>
      </c>
    </row>
    <row r="1210" spans="1:23" x14ac:dyDescent="0.35">
      <c r="A1210" t="s">
        <v>516</v>
      </c>
      <c r="B1210" s="6">
        <v>41750</v>
      </c>
      <c r="C1210">
        <v>45930</v>
      </c>
      <c r="D1210" t="s">
        <v>30</v>
      </c>
      <c r="E1210">
        <v>43</v>
      </c>
      <c r="F1210" t="s">
        <v>62</v>
      </c>
      <c r="G1210" t="s">
        <v>37</v>
      </c>
      <c r="H1210" t="s">
        <v>26</v>
      </c>
      <c r="I1210" t="s">
        <v>55</v>
      </c>
      <c r="J1210" t="s">
        <v>88</v>
      </c>
      <c r="K1210">
        <v>4</v>
      </c>
      <c r="L1210" t="s">
        <v>50</v>
      </c>
      <c r="M1210">
        <v>125000</v>
      </c>
      <c r="N1210">
        <v>12</v>
      </c>
      <c r="O1210">
        <v>13.3</v>
      </c>
      <c r="P1210">
        <v>11.4</v>
      </c>
      <c r="Q1210">
        <v>1.5</v>
      </c>
      <c r="R1210">
        <v>3</v>
      </c>
      <c r="S1210">
        <v>4</v>
      </c>
      <c r="T1210">
        <v>4</v>
      </c>
      <c r="U1210" t="s">
        <v>30</v>
      </c>
      <c r="V1210">
        <v>1</v>
      </c>
      <c r="W1210">
        <v>1</v>
      </c>
    </row>
    <row r="1211" spans="1:23" x14ac:dyDescent="0.35">
      <c r="A1211" t="s">
        <v>76</v>
      </c>
      <c r="B1211" s="6">
        <v>43652</v>
      </c>
      <c r="D1211" t="s">
        <v>23</v>
      </c>
      <c r="E1211">
        <v>38</v>
      </c>
      <c r="F1211" t="s">
        <v>36</v>
      </c>
      <c r="G1211" t="s">
        <v>42</v>
      </c>
      <c r="H1211" t="s">
        <v>58</v>
      </c>
      <c r="I1211" t="s">
        <v>45</v>
      </c>
      <c r="J1211" t="s">
        <v>77</v>
      </c>
      <c r="K1211">
        <v>4</v>
      </c>
      <c r="L1211" t="s">
        <v>34</v>
      </c>
      <c r="M1211">
        <v>96000</v>
      </c>
      <c r="N1211">
        <v>10.199999999999999</v>
      </c>
      <c r="O1211">
        <v>9.4</v>
      </c>
      <c r="P1211">
        <v>6.5</v>
      </c>
      <c r="Q1211">
        <v>2.8</v>
      </c>
      <c r="R1211">
        <v>3</v>
      </c>
      <c r="S1211">
        <v>3</v>
      </c>
      <c r="T1211">
        <v>4</v>
      </c>
      <c r="U1211" t="s">
        <v>23</v>
      </c>
      <c r="V1211">
        <v>4</v>
      </c>
      <c r="W1211">
        <v>1</v>
      </c>
    </row>
    <row r="1212" spans="1:23" x14ac:dyDescent="0.35">
      <c r="A1212" t="s">
        <v>510</v>
      </c>
      <c r="B1212" s="6">
        <v>41884</v>
      </c>
      <c r="D1212" t="s">
        <v>23</v>
      </c>
      <c r="E1212">
        <v>42</v>
      </c>
      <c r="F1212" t="s">
        <v>36</v>
      </c>
      <c r="G1212" t="s">
        <v>25</v>
      </c>
      <c r="H1212" t="s">
        <v>54</v>
      </c>
      <c r="I1212" t="s">
        <v>48</v>
      </c>
      <c r="J1212" t="s">
        <v>129</v>
      </c>
      <c r="K1212">
        <v>3</v>
      </c>
      <c r="L1212" t="s">
        <v>50</v>
      </c>
      <c r="M1212">
        <v>72000</v>
      </c>
      <c r="N1212">
        <v>11.5</v>
      </c>
      <c r="O1212">
        <v>19.100000000000001</v>
      </c>
      <c r="P1212">
        <v>11.3</v>
      </c>
      <c r="Q1212">
        <v>2.6</v>
      </c>
      <c r="R1212">
        <v>3</v>
      </c>
      <c r="S1212">
        <v>3</v>
      </c>
      <c r="T1212">
        <v>4</v>
      </c>
      <c r="U1212" t="s">
        <v>23</v>
      </c>
      <c r="V1212">
        <v>3</v>
      </c>
      <c r="W1212">
        <v>1</v>
      </c>
    </row>
    <row r="1213" spans="1:23" x14ac:dyDescent="0.35">
      <c r="A1213" t="s">
        <v>1047</v>
      </c>
      <c r="B1213" s="6">
        <v>45372</v>
      </c>
      <c r="C1213">
        <v>46015</v>
      </c>
      <c r="D1213" t="s">
        <v>30</v>
      </c>
      <c r="E1213">
        <v>32</v>
      </c>
      <c r="F1213" t="s">
        <v>36</v>
      </c>
      <c r="G1213" t="s">
        <v>25</v>
      </c>
      <c r="H1213" t="s">
        <v>26</v>
      </c>
      <c r="I1213" t="s">
        <v>48</v>
      </c>
      <c r="J1213" t="s">
        <v>49</v>
      </c>
      <c r="K1213">
        <v>4</v>
      </c>
      <c r="L1213" t="s">
        <v>84</v>
      </c>
      <c r="M1213">
        <v>113000</v>
      </c>
      <c r="N1213">
        <v>5.6</v>
      </c>
      <c r="O1213">
        <v>9</v>
      </c>
      <c r="P1213">
        <v>1.8</v>
      </c>
      <c r="Q1213">
        <v>1</v>
      </c>
      <c r="R1213">
        <v>3</v>
      </c>
      <c r="S1213">
        <v>4</v>
      </c>
      <c r="T1213">
        <v>4</v>
      </c>
      <c r="U1213" t="s">
        <v>30</v>
      </c>
      <c r="V1213">
        <v>5</v>
      </c>
      <c r="W1213">
        <v>1</v>
      </c>
    </row>
    <row r="1214" spans="1:23" x14ac:dyDescent="0.35">
      <c r="A1214" t="s">
        <v>1191</v>
      </c>
      <c r="B1214" s="6">
        <v>44532</v>
      </c>
      <c r="D1214" t="s">
        <v>23</v>
      </c>
      <c r="E1214">
        <v>33</v>
      </c>
      <c r="F1214" t="s">
        <v>36</v>
      </c>
      <c r="G1214" t="s">
        <v>37</v>
      </c>
      <c r="H1214" t="s">
        <v>32</v>
      </c>
      <c r="I1214" t="s">
        <v>55</v>
      </c>
      <c r="J1214" t="s">
        <v>80</v>
      </c>
      <c r="K1214">
        <v>3</v>
      </c>
      <c r="L1214" t="s">
        <v>84</v>
      </c>
      <c r="M1214">
        <v>92000</v>
      </c>
      <c r="N1214">
        <v>9.3000000000000007</v>
      </c>
      <c r="O1214">
        <v>10.8</v>
      </c>
      <c r="P1214">
        <v>4.0999999999999996</v>
      </c>
      <c r="Q1214">
        <v>0.7</v>
      </c>
      <c r="R1214">
        <v>3</v>
      </c>
      <c r="S1214">
        <v>4</v>
      </c>
      <c r="T1214">
        <v>2</v>
      </c>
      <c r="U1214" t="s">
        <v>23</v>
      </c>
      <c r="V1214">
        <v>3</v>
      </c>
      <c r="W1214">
        <v>1</v>
      </c>
    </row>
    <row r="1215" spans="1:23" x14ac:dyDescent="0.35">
      <c r="A1215" t="s">
        <v>472</v>
      </c>
      <c r="B1215" s="6">
        <v>44268</v>
      </c>
      <c r="D1215" t="s">
        <v>23</v>
      </c>
      <c r="E1215">
        <v>39</v>
      </c>
      <c r="F1215" t="s">
        <v>36</v>
      </c>
      <c r="G1215" t="s">
        <v>37</v>
      </c>
      <c r="H1215" t="s">
        <v>58</v>
      </c>
      <c r="I1215" t="s">
        <v>59</v>
      </c>
      <c r="J1215" t="s">
        <v>75</v>
      </c>
      <c r="K1215">
        <v>2</v>
      </c>
      <c r="L1215" t="s">
        <v>84</v>
      </c>
      <c r="M1215">
        <v>42000</v>
      </c>
      <c r="N1215">
        <v>12.5</v>
      </c>
      <c r="O1215">
        <v>12.4</v>
      </c>
      <c r="P1215">
        <v>4.8</v>
      </c>
      <c r="Q1215">
        <v>3.1</v>
      </c>
      <c r="R1215">
        <v>3</v>
      </c>
      <c r="S1215">
        <v>3</v>
      </c>
      <c r="T1215">
        <v>2</v>
      </c>
      <c r="U1215" t="s">
        <v>23</v>
      </c>
      <c r="V1215">
        <v>5</v>
      </c>
      <c r="W1215">
        <v>1</v>
      </c>
    </row>
    <row r="1216" spans="1:23" x14ac:dyDescent="0.35">
      <c r="A1216" t="s">
        <v>1002</v>
      </c>
      <c r="B1216" s="6">
        <v>45674</v>
      </c>
      <c r="D1216" t="s">
        <v>23</v>
      </c>
      <c r="E1216">
        <v>37</v>
      </c>
      <c r="F1216" t="s">
        <v>62</v>
      </c>
      <c r="G1216" t="s">
        <v>25</v>
      </c>
      <c r="H1216" t="s">
        <v>26</v>
      </c>
      <c r="I1216" t="s">
        <v>68</v>
      </c>
      <c r="J1216" t="s">
        <v>109</v>
      </c>
      <c r="K1216">
        <v>3</v>
      </c>
      <c r="L1216" t="s">
        <v>34</v>
      </c>
      <c r="M1216">
        <v>82000</v>
      </c>
      <c r="N1216">
        <v>1.4</v>
      </c>
      <c r="O1216">
        <v>2.8</v>
      </c>
      <c r="P1216">
        <v>1</v>
      </c>
      <c r="Q1216">
        <v>1</v>
      </c>
      <c r="R1216">
        <v>2</v>
      </c>
      <c r="S1216">
        <v>3</v>
      </c>
      <c r="T1216">
        <v>1</v>
      </c>
      <c r="U1216" t="s">
        <v>23</v>
      </c>
      <c r="V1216">
        <v>4</v>
      </c>
      <c r="W1216">
        <v>1</v>
      </c>
    </row>
    <row r="1217" spans="1:23" x14ac:dyDescent="0.35">
      <c r="A1217" t="s">
        <v>1589</v>
      </c>
      <c r="B1217" s="6">
        <v>45410</v>
      </c>
      <c r="D1217" t="s">
        <v>23</v>
      </c>
      <c r="E1217">
        <v>30</v>
      </c>
      <c r="F1217" t="s">
        <v>62</v>
      </c>
      <c r="G1217" t="s">
        <v>42</v>
      </c>
      <c r="H1217" t="s">
        <v>32</v>
      </c>
      <c r="I1217" t="s">
        <v>27</v>
      </c>
      <c r="J1217" t="s">
        <v>28</v>
      </c>
      <c r="K1217">
        <v>4</v>
      </c>
      <c r="L1217" t="s">
        <v>34</v>
      </c>
      <c r="M1217">
        <v>99000</v>
      </c>
      <c r="N1217">
        <v>14.4</v>
      </c>
      <c r="O1217">
        <v>2.4</v>
      </c>
      <c r="P1217">
        <v>1.7</v>
      </c>
      <c r="Q1217">
        <v>1.6</v>
      </c>
      <c r="R1217">
        <v>3</v>
      </c>
      <c r="S1217">
        <v>3</v>
      </c>
      <c r="T1217">
        <v>2</v>
      </c>
      <c r="U1217" t="s">
        <v>30</v>
      </c>
      <c r="V1217">
        <v>3</v>
      </c>
      <c r="W1217">
        <v>1</v>
      </c>
    </row>
    <row r="1218" spans="1:23" x14ac:dyDescent="0.35">
      <c r="A1218" t="s">
        <v>792</v>
      </c>
      <c r="B1218" s="6">
        <v>45277</v>
      </c>
      <c r="D1218" t="s">
        <v>23</v>
      </c>
      <c r="E1218">
        <v>27</v>
      </c>
      <c r="F1218" t="s">
        <v>62</v>
      </c>
      <c r="G1218" t="s">
        <v>37</v>
      </c>
      <c r="H1218" t="s">
        <v>54</v>
      </c>
      <c r="I1218" t="s">
        <v>27</v>
      </c>
      <c r="J1218" t="s">
        <v>33</v>
      </c>
      <c r="K1218">
        <v>1</v>
      </c>
      <c r="L1218" t="s">
        <v>84</v>
      </c>
      <c r="M1218">
        <v>33000</v>
      </c>
      <c r="N1218">
        <v>11.7</v>
      </c>
      <c r="O1218">
        <v>2.4</v>
      </c>
      <c r="P1218">
        <v>2</v>
      </c>
      <c r="Q1218">
        <v>1</v>
      </c>
      <c r="R1218">
        <v>3</v>
      </c>
      <c r="S1218">
        <v>3</v>
      </c>
      <c r="T1218">
        <v>2</v>
      </c>
      <c r="U1218" t="s">
        <v>23</v>
      </c>
      <c r="V1218">
        <v>4</v>
      </c>
      <c r="W1218">
        <v>1</v>
      </c>
    </row>
    <row r="1219" spans="1:23" x14ac:dyDescent="0.35">
      <c r="A1219" t="s">
        <v>943</v>
      </c>
      <c r="B1219" s="6">
        <v>44012</v>
      </c>
      <c r="D1219" t="s">
        <v>23</v>
      </c>
      <c r="E1219">
        <v>41</v>
      </c>
      <c r="F1219" t="s">
        <v>62</v>
      </c>
      <c r="G1219" t="s">
        <v>37</v>
      </c>
      <c r="H1219" t="s">
        <v>58</v>
      </c>
      <c r="I1219" t="s">
        <v>45</v>
      </c>
      <c r="J1219" t="s">
        <v>97</v>
      </c>
      <c r="K1219">
        <v>2</v>
      </c>
      <c r="L1219" t="s">
        <v>40</v>
      </c>
      <c r="M1219">
        <v>54000</v>
      </c>
      <c r="N1219">
        <v>0.3</v>
      </c>
      <c r="O1219">
        <v>8.1</v>
      </c>
      <c r="P1219">
        <v>5.5</v>
      </c>
      <c r="Q1219">
        <v>1</v>
      </c>
      <c r="R1219">
        <v>3</v>
      </c>
      <c r="S1219">
        <v>3</v>
      </c>
      <c r="T1219">
        <v>2</v>
      </c>
      <c r="U1219" t="s">
        <v>23</v>
      </c>
      <c r="V1219">
        <v>5</v>
      </c>
      <c r="W1219">
        <v>1</v>
      </c>
    </row>
    <row r="1220" spans="1:23" x14ac:dyDescent="0.35">
      <c r="A1220" t="s">
        <v>755</v>
      </c>
      <c r="B1220" s="6">
        <v>45713</v>
      </c>
      <c r="D1220" t="s">
        <v>23</v>
      </c>
      <c r="E1220">
        <v>29</v>
      </c>
      <c r="F1220" t="s">
        <v>24</v>
      </c>
      <c r="G1220" t="s">
        <v>25</v>
      </c>
      <c r="H1220" t="s">
        <v>32</v>
      </c>
      <c r="I1220" t="s">
        <v>59</v>
      </c>
      <c r="J1220" t="s">
        <v>60</v>
      </c>
      <c r="K1220">
        <v>4</v>
      </c>
      <c r="L1220" t="s">
        <v>50</v>
      </c>
      <c r="M1220">
        <v>112000</v>
      </c>
      <c r="N1220">
        <v>0</v>
      </c>
      <c r="O1220">
        <v>6.1</v>
      </c>
      <c r="P1220">
        <v>0.8</v>
      </c>
      <c r="Q1220">
        <v>0</v>
      </c>
      <c r="R1220">
        <v>3</v>
      </c>
      <c r="S1220">
        <v>1</v>
      </c>
      <c r="T1220">
        <v>2</v>
      </c>
      <c r="U1220" t="s">
        <v>23</v>
      </c>
      <c r="V1220">
        <v>4</v>
      </c>
      <c r="W1220">
        <v>1</v>
      </c>
    </row>
    <row r="1221" spans="1:23" x14ac:dyDescent="0.35">
      <c r="A1221" t="s">
        <v>802</v>
      </c>
      <c r="B1221" s="6">
        <v>43081</v>
      </c>
      <c r="C1221">
        <v>45812</v>
      </c>
      <c r="D1221" t="s">
        <v>30</v>
      </c>
      <c r="E1221">
        <v>37</v>
      </c>
      <c r="F1221" t="s">
        <v>36</v>
      </c>
      <c r="G1221" t="s">
        <v>25</v>
      </c>
      <c r="H1221" t="s">
        <v>26</v>
      </c>
      <c r="I1221" t="s">
        <v>68</v>
      </c>
      <c r="J1221" t="s">
        <v>109</v>
      </c>
      <c r="K1221">
        <v>2</v>
      </c>
      <c r="L1221" t="s">
        <v>34</v>
      </c>
      <c r="M1221">
        <v>54000</v>
      </c>
      <c r="N1221">
        <v>13.7</v>
      </c>
      <c r="O1221">
        <v>9.3000000000000007</v>
      </c>
      <c r="P1221">
        <v>7.5</v>
      </c>
      <c r="Q1221">
        <v>3.4</v>
      </c>
      <c r="R1221">
        <v>2</v>
      </c>
      <c r="S1221">
        <v>4</v>
      </c>
      <c r="T1221">
        <v>4</v>
      </c>
      <c r="U1221" t="s">
        <v>23</v>
      </c>
      <c r="V1221">
        <v>3</v>
      </c>
      <c r="W1221">
        <v>1</v>
      </c>
    </row>
    <row r="1222" spans="1:23" x14ac:dyDescent="0.35">
      <c r="A1222" t="s">
        <v>738</v>
      </c>
      <c r="B1222" s="6">
        <v>45066</v>
      </c>
      <c r="D1222" t="s">
        <v>23</v>
      </c>
      <c r="E1222">
        <v>39</v>
      </c>
      <c r="F1222" t="s">
        <v>62</v>
      </c>
      <c r="G1222" t="s">
        <v>25</v>
      </c>
      <c r="H1222" t="s">
        <v>54</v>
      </c>
      <c r="I1222" t="s">
        <v>55</v>
      </c>
      <c r="J1222" t="s">
        <v>56</v>
      </c>
      <c r="K1222">
        <v>2</v>
      </c>
      <c r="L1222" t="s">
        <v>40</v>
      </c>
      <c r="M1222">
        <v>70000</v>
      </c>
      <c r="N1222">
        <v>9.5</v>
      </c>
      <c r="O1222">
        <v>8.8000000000000007</v>
      </c>
      <c r="P1222">
        <v>2.6</v>
      </c>
      <c r="Q1222">
        <v>0.5</v>
      </c>
      <c r="R1222">
        <v>3</v>
      </c>
      <c r="S1222">
        <v>3</v>
      </c>
      <c r="T1222">
        <v>3</v>
      </c>
      <c r="U1222" t="s">
        <v>23</v>
      </c>
      <c r="V1222">
        <v>3</v>
      </c>
      <c r="W1222">
        <v>1</v>
      </c>
    </row>
    <row r="1223" spans="1:23" x14ac:dyDescent="0.35">
      <c r="A1223" t="s">
        <v>398</v>
      </c>
      <c r="B1223" s="6">
        <v>42489</v>
      </c>
      <c r="D1223" t="s">
        <v>23</v>
      </c>
      <c r="E1223">
        <v>30</v>
      </c>
      <c r="F1223" t="s">
        <v>36</v>
      </c>
      <c r="G1223" t="s">
        <v>37</v>
      </c>
      <c r="H1223" t="s">
        <v>32</v>
      </c>
      <c r="I1223" t="s">
        <v>68</v>
      </c>
      <c r="J1223" t="s">
        <v>109</v>
      </c>
      <c r="K1223">
        <v>3</v>
      </c>
      <c r="L1223" t="s">
        <v>66</v>
      </c>
      <c r="M1223">
        <v>69000</v>
      </c>
      <c r="N1223">
        <v>6.3</v>
      </c>
      <c r="O1223">
        <v>11.4</v>
      </c>
      <c r="P1223">
        <v>9.6999999999999993</v>
      </c>
      <c r="Q1223">
        <v>1.4</v>
      </c>
      <c r="R1223">
        <v>4</v>
      </c>
      <c r="S1223">
        <v>2</v>
      </c>
      <c r="T1223">
        <v>3</v>
      </c>
      <c r="U1223" t="s">
        <v>23</v>
      </c>
      <c r="V1223">
        <v>4</v>
      </c>
      <c r="W1223">
        <v>1</v>
      </c>
    </row>
    <row r="1224" spans="1:23" x14ac:dyDescent="0.35">
      <c r="A1224" t="s">
        <v>861</v>
      </c>
      <c r="B1224" s="6">
        <v>44359</v>
      </c>
      <c r="D1224" t="s">
        <v>23</v>
      </c>
      <c r="E1224">
        <v>32</v>
      </c>
      <c r="F1224" t="s">
        <v>62</v>
      </c>
      <c r="G1224" t="s">
        <v>42</v>
      </c>
      <c r="H1224" t="s">
        <v>26</v>
      </c>
      <c r="I1224" t="s">
        <v>27</v>
      </c>
      <c r="J1224" t="s">
        <v>95</v>
      </c>
      <c r="K1224">
        <v>1</v>
      </c>
      <c r="L1224" t="s">
        <v>34</v>
      </c>
      <c r="M1224">
        <v>22000</v>
      </c>
      <c r="N1224">
        <v>9.8000000000000007</v>
      </c>
      <c r="O1224">
        <v>11.2</v>
      </c>
      <c r="P1224">
        <v>4.5999999999999996</v>
      </c>
      <c r="Q1224">
        <v>3.6</v>
      </c>
      <c r="R1224">
        <v>3</v>
      </c>
      <c r="S1224">
        <v>2</v>
      </c>
      <c r="T1224">
        <v>2</v>
      </c>
      <c r="U1224" t="s">
        <v>23</v>
      </c>
      <c r="V1224">
        <v>3</v>
      </c>
      <c r="W1224">
        <v>1</v>
      </c>
    </row>
    <row r="1225" spans="1:23" x14ac:dyDescent="0.35">
      <c r="A1225" t="s">
        <v>1362</v>
      </c>
      <c r="B1225" s="6">
        <v>43557</v>
      </c>
      <c r="D1225" t="s">
        <v>23</v>
      </c>
      <c r="E1225">
        <v>34</v>
      </c>
      <c r="F1225" t="s">
        <v>24</v>
      </c>
      <c r="G1225" t="s">
        <v>42</v>
      </c>
      <c r="H1225" t="s">
        <v>26</v>
      </c>
      <c r="I1225" t="s">
        <v>48</v>
      </c>
      <c r="J1225" t="s">
        <v>63</v>
      </c>
      <c r="K1225">
        <v>4</v>
      </c>
      <c r="L1225" t="s">
        <v>50</v>
      </c>
      <c r="M1225">
        <v>110000</v>
      </c>
      <c r="N1225">
        <v>21.3</v>
      </c>
      <c r="O1225">
        <v>10.7</v>
      </c>
      <c r="P1225">
        <v>6.7</v>
      </c>
      <c r="Q1225">
        <v>5.8</v>
      </c>
      <c r="R1225">
        <v>3</v>
      </c>
      <c r="S1225">
        <v>4</v>
      </c>
      <c r="T1225">
        <v>4</v>
      </c>
      <c r="U1225" t="s">
        <v>23</v>
      </c>
      <c r="V1225">
        <v>4</v>
      </c>
      <c r="W1225">
        <v>1</v>
      </c>
    </row>
    <row r="1226" spans="1:23" x14ac:dyDescent="0.35">
      <c r="A1226" t="s">
        <v>658</v>
      </c>
      <c r="B1226" s="6">
        <v>45744</v>
      </c>
      <c r="D1226" t="s">
        <v>23</v>
      </c>
      <c r="E1226">
        <v>24</v>
      </c>
      <c r="F1226" t="s">
        <v>24</v>
      </c>
      <c r="G1226" t="s">
        <v>25</v>
      </c>
      <c r="H1226" t="s">
        <v>26</v>
      </c>
      <c r="I1226" t="s">
        <v>38</v>
      </c>
      <c r="J1226" t="s">
        <v>52</v>
      </c>
      <c r="K1226">
        <v>1</v>
      </c>
      <c r="L1226" t="s">
        <v>34</v>
      </c>
      <c r="M1226">
        <v>40000</v>
      </c>
      <c r="N1226">
        <v>6.6</v>
      </c>
      <c r="O1226">
        <v>7.4</v>
      </c>
      <c r="P1226">
        <v>0.8</v>
      </c>
      <c r="Q1226">
        <v>0</v>
      </c>
      <c r="R1226">
        <v>3</v>
      </c>
      <c r="S1226">
        <v>4</v>
      </c>
      <c r="T1226">
        <v>3</v>
      </c>
      <c r="U1226" t="s">
        <v>23</v>
      </c>
      <c r="V1226">
        <v>4</v>
      </c>
      <c r="W1226">
        <v>1</v>
      </c>
    </row>
    <row r="1227" spans="1:23" x14ac:dyDescent="0.35">
      <c r="A1227" t="s">
        <v>947</v>
      </c>
      <c r="B1227" s="6">
        <v>44666</v>
      </c>
      <c r="D1227" t="s">
        <v>23</v>
      </c>
      <c r="E1227">
        <v>24</v>
      </c>
      <c r="F1227" t="s">
        <v>24</v>
      </c>
      <c r="G1227" t="s">
        <v>25</v>
      </c>
      <c r="H1227" t="s">
        <v>32</v>
      </c>
      <c r="I1227" t="s">
        <v>45</v>
      </c>
      <c r="J1227" t="s">
        <v>46</v>
      </c>
      <c r="K1227">
        <v>1</v>
      </c>
      <c r="L1227" t="s">
        <v>40</v>
      </c>
      <c r="M1227">
        <v>35000</v>
      </c>
      <c r="N1227">
        <v>6.3</v>
      </c>
      <c r="O1227">
        <v>6.9</v>
      </c>
      <c r="P1227">
        <v>3.7</v>
      </c>
      <c r="Q1227">
        <v>0.7</v>
      </c>
      <c r="R1227">
        <v>3</v>
      </c>
      <c r="S1227">
        <v>3</v>
      </c>
      <c r="T1227">
        <v>3</v>
      </c>
      <c r="U1227" t="s">
        <v>23</v>
      </c>
      <c r="V1227">
        <v>2</v>
      </c>
      <c r="W1227">
        <v>1</v>
      </c>
    </row>
    <row r="1228" spans="1:23" x14ac:dyDescent="0.35">
      <c r="A1228" t="s">
        <v>1383</v>
      </c>
      <c r="B1228" s="6">
        <v>42689</v>
      </c>
      <c r="D1228" t="s">
        <v>23</v>
      </c>
      <c r="E1228">
        <v>40</v>
      </c>
      <c r="F1228" t="s">
        <v>62</v>
      </c>
      <c r="G1228" t="s">
        <v>25</v>
      </c>
      <c r="H1228" t="s">
        <v>32</v>
      </c>
      <c r="I1228" t="s">
        <v>55</v>
      </c>
      <c r="J1228" t="s">
        <v>56</v>
      </c>
      <c r="K1228">
        <v>3</v>
      </c>
      <c r="L1228" t="s">
        <v>40</v>
      </c>
      <c r="M1228">
        <v>102000</v>
      </c>
      <c r="N1228">
        <v>5.6</v>
      </c>
      <c r="O1228">
        <v>17</v>
      </c>
      <c r="P1228">
        <v>9.1</v>
      </c>
      <c r="Q1228">
        <v>5.0999999999999996</v>
      </c>
      <c r="R1228">
        <v>4</v>
      </c>
      <c r="S1228">
        <v>3</v>
      </c>
      <c r="T1228">
        <v>3</v>
      </c>
      <c r="U1228" t="s">
        <v>23</v>
      </c>
      <c r="V1228">
        <v>4</v>
      </c>
      <c r="W1228">
        <v>1</v>
      </c>
    </row>
    <row r="1229" spans="1:23" x14ac:dyDescent="0.35">
      <c r="A1229" t="s">
        <v>1586</v>
      </c>
      <c r="B1229" s="6">
        <v>44302</v>
      </c>
      <c r="D1229" t="s">
        <v>23</v>
      </c>
      <c r="E1229">
        <v>37</v>
      </c>
      <c r="F1229" t="s">
        <v>62</v>
      </c>
      <c r="G1229" t="s">
        <v>42</v>
      </c>
      <c r="H1229" t="s">
        <v>32</v>
      </c>
      <c r="I1229" t="s">
        <v>45</v>
      </c>
      <c r="J1229" t="s">
        <v>77</v>
      </c>
      <c r="K1229">
        <v>2</v>
      </c>
      <c r="L1229" t="s">
        <v>50</v>
      </c>
      <c r="M1229">
        <v>45000</v>
      </c>
      <c r="N1229">
        <v>5.9</v>
      </c>
      <c r="O1229">
        <v>6.4</v>
      </c>
      <c r="P1229">
        <v>4.7</v>
      </c>
      <c r="Q1229">
        <v>3.1</v>
      </c>
      <c r="R1229">
        <v>3</v>
      </c>
      <c r="S1229">
        <v>4</v>
      </c>
      <c r="T1229">
        <v>2</v>
      </c>
      <c r="U1229" t="s">
        <v>23</v>
      </c>
      <c r="V1229">
        <v>5</v>
      </c>
      <c r="W1229">
        <v>1</v>
      </c>
    </row>
    <row r="1230" spans="1:23" x14ac:dyDescent="0.35">
      <c r="A1230" t="s">
        <v>1446</v>
      </c>
      <c r="B1230" s="6">
        <v>44752</v>
      </c>
      <c r="C1230">
        <v>45778</v>
      </c>
      <c r="D1230" t="s">
        <v>30</v>
      </c>
      <c r="E1230">
        <v>35</v>
      </c>
      <c r="F1230" t="s">
        <v>24</v>
      </c>
      <c r="G1230" t="s">
        <v>25</v>
      </c>
      <c r="H1230" t="s">
        <v>58</v>
      </c>
      <c r="I1230" t="s">
        <v>59</v>
      </c>
      <c r="J1230" t="s">
        <v>75</v>
      </c>
      <c r="K1230">
        <v>3</v>
      </c>
      <c r="L1230" t="s">
        <v>40</v>
      </c>
      <c r="M1230">
        <v>81000</v>
      </c>
      <c r="N1230">
        <v>5.7</v>
      </c>
      <c r="O1230">
        <v>2.9</v>
      </c>
      <c r="P1230">
        <v>2.8</v>
      </c>
      <c r="Q1230">
        <v>1.9</v>
      </c>
      <c r="R1230">
        <v>3</v>
      </c>
      <c r="S1230">
        <v>2</v>
      </c>
      <c r="T1230">
        <v>3</v>
      </c>
      <c r="U1230" t="s">
        <v>23</v>
      </c>
      <c r="V1230">
        <v>3</v>
      </c>
      <c r="W1230">
        <v>1</v>
      </c>
    </row>
    <row r="1231" spans="1:23" x14ac:dyDescent="0.35">
      <c r="A1231" t="s">
        <v>1043</v>
      </c>
      <c r="B1231" s="6">
        <v>44688</v>
      </c>
      <c r="D1231" t="s">
        <v>23</v>
      </c>
      <c r="E1231">
        <v>29</v>
      </c>
      <c r="F1231" t="s">
        <v>24</v>
      </c>
      <c r="G1231" t="s">
        <v>42</v>
      </c>
      <c r="H1231" t="s">
        <v>58</v>
      </c>
      <c r="I1231" t="s">
        <v>38</v>
      </c>
      <c r="J1231" t="s">
        <v>118</v>
      </c>
      <c r="K1231">
        <v>2</v>
      </c>
      <c r="L1231" t="s">
        <v>34</v>
      </c>
      <c r="M1231">
        <v>58000</v>
      </c>
      <c r="N1231">
        <v>4.7</v>
      </c>
      <c r="O1231">
        <v>9</v>
      </c>
      <c r="P1231">
        <v>3.7</v>
      </c>
      <c r="Q1231">
        <v>0.8</v>
      </c>
      <c r="R1231">
        <v>1</v>
      </c>
      <c r="S1231">
        <v>4</v>
      </c>
      <c r="T1231">
        <v>3</v>
      </c>
      <c r="U1231" t="s">
        <v>23</v>
      </c>
      <c r="V1231">
        <v>3</v>
      </c>
      <c r="W1231">
        <v>1</v>
      </c>
    </row>
    <row r="1232" spans="1:23" x14ac:dyDescent="0.35">
      <c r="A1232" t="s">
        <v>143</v>
      </c>
      <c r="B1232" s="6">
        <v>45832</v>
      </c>
      <c r="D1232" t="s">
        <v>23</v>
      </c>
      <c r="E1232">
        <v>21</v>
      </c>
      <c r="F1232" t="s">
        <v>62</v>
      </c>
      <c r="G1232" t="s">
        <v>25</v>
      </c>
      <c r="H1232" t="s">
        <v>58</v>
      </c>
      <c r="I1232" t="s">
        <v>38</v>
      </c>
      <c r="J1232" t="s">
        <v>39</v>
      </c>
      <c r="K1232">
        <v>1</v>
      </c>
      <c r="L1232" t="s">
        <v>84</v>
      </c>
      <c r="M1232">
        <v>28000</v>
      </c>
      <c r="N1232">
        <v>11.7</v>
      </c>
      <c r="O1232">
        <v>5.8</v>
      </c>
      <c r="P1232">
        <v>0.5</v>
      </c>
      <c r="Q1232">
        <v>0</v>
      </c>
      <c r="R1232">
        <v>4</v>
      </c>
      <c r="S1232">
        <v>3</v>
      </c>
      <c r="T1232">
        <v>3</v>
      </c>
      <c r="U1232" t="s">
        <v>23</v>
      </c>
      <c r="V1232">
        <v>2</v>
      </c>
      <c r="W1232">
        <v>1</v>
      </c>
    </row>
    <row r="1233" spans="1:23" x14ac:dyDescent="0.35">
      <c r="A1233" t="s">
        <v>1359</v>
      </c>
      <c r="B1233" s="6">
        <v>42606</v>
      </c>
      <c r="D1233" t="s">
        <v>23</v>
      </c>
      <c r="E1233">
        <v>30</v>
      </c>
      <c r="F1233" t="s">
        <v>36</v>
      </c>
      <c r="G1233" t="s">
        <v>37</v>
      </c>
      <c r="H1233" t="s">
        <v>32</v>
      </c>
      <c r="I1233" t="s">
        <v>48</v>
      </c>
      <c r="J1233" t="s">
        <v>129</v>
      </c>
      <c r="K1233">
        <v>1</v>
      </c>
      <c r="L1233" t="s">
        <v>50</v>
      </c>
      <c r="M1233">
        <v>26000</v>
      </c>
      <c r="N1233">
        <v>4.9000000000000004</v>
      </c>
      <c r="O1233">
        <v>11</v>
      </c>
      <c r="P1233">
        <v>9.4</v>
      </c>
      <c r="Q1233">
        <v>1.9</v>
      </c>
      <c r="R1233">
        <v>3</v>
      </c>
      <c r="S1233">
        <v>3</v>
      </c>
      <c r="T1233">
        <v>3</v>
      </c>
      <c r="U1233" t="s">
        <v>30</v>
      </c>
      <c r="V1233">
        <v>3</v>
      </c>
      <c r="W1233">
        <v>1</v>
      </c>
    </row>
    <row r="1234" spans="1:23" x14ac:dyDescent="0.35">
      <c r="A1234" t="s">
        <v>921</v>
      </c>
      <c r="B1234" s="6">
        <v>45236</v>
      </c>
      <c r="D1234" t="s">
        <v>23</v>
      </c>
      <c r="E1234">
        <v>38</v>
      </c>
      <c r="F1234" t="s">
        <v>62</v>
      </c>
      <c r="G1234" t="s">
        <v>37</v>
      </c>
      <c r="H1234" t="s">
        <v>54</v>
      </c>
      <c r="I1234" t="s">
        <v>68</v>
      </c>
      <c r="J1234" t="s">
        <v>109</v>
      </c>
      <c r="K1234">
        <v>2</v>
      </c>
      <c r="L1234" t="s">
        <v>66</v>
      </c>
      <c r="M1234">
        <v>61000</v>
      </c>
      <c r="N1234">
        <v>7</v>
      </c>
      <c r="O1234">
        <v>2.9</v>
      </c>
      <c r="P1234">
        <v>2.2000000000000002</v>
      </c>
      <c r="Q1234">
        <v>1.6</v>
      </c>
      <c r="R1234">
        <v>3</v>
      </c>
      <c r="S1234">
        <v>2</v>
      </c>
      <c r="T1234">
        <v>3</v>
      </c>
      <c r="U1234" t="s">
        <v>30</v>
      </c>
      <c r="V1234">
        <v>5</v>
      </c>
      <c r="W1234">
        <v>1</v>
      </c>
    </row>
    <row r="1235" spans="1:23" x14ac:dyDescent="0.35">
      <c r="A1235" t="s">
        <v>1449</v>
      </c>
      <c r="B1235" s="6">
        <v>43147</v>
      </c>
      <c r="D1235" t="s">
        <v>23</v>
      </c>
      <c r="E1235">
        <v>35</v>
      </c>
      <c r="F1235" t="s">
        <v>62</v>
      </c>
      <c r="G1235" t="s">
        <v>37</v>
      </c>
      <c r="H1235" t="s">
        <v>32</v>
      </c>
      <c r="I1235" t="s">
        <v>48</v>
      </c>
      <c r="J1235" t="s">
        <v>201</v>
      </c>
      <c r="K1235">
        <v>3</v>
      </c>
      <c r="L1235" t="s">
        <v>34</v>
      </c>
      <c r="M1235">
        <v>73000</v>
      </c>
      <c r="N1235">
        <v>6.9</v>
      </c>
      <c r="O1235">
        <v>9.6</v>
      </c>
      <c r="P1235">
        <v>7.9</v>
      </c>
      <c r="Q1235">
        <v>1</v>
      </c>
      <c r="R1235">
        <v>3</v>
      </c>
      <c r="S1235">
        <v>3</v>
      </c>
      <c r="T1235">
        <v>3</v>
      </c>
      <c r="U1235" t="s">
        <v>23</v>
      </c>
      <c r="V1235">
        <v>2</v>
      </c>
      <c r="W1235">
        <v>1</v>
      </c>
    </row>
    <row r="1236" spans="1:23" x14ac:dyDescent="0.35">
      <c r="A1236" t="s">
        <v>720</v>
      </c>
      <c r="B1236" s="6">
        <v>45792</v>
      </c>
      <c r="D1236" t="s">
        <v>23</v>
      </c>
      <c r="E1236">
        <v>39</v>
      </c>
      <c r="F1236" t="s">
        <v>24</v>
      </c>
      <c r="G1236" t="s">
        <v>25</v>
      </c>
      <c r="H1236" t="s">
        <v>58</v>
      </c>
      <c r="I1236" t="s">
        <v>45</v>
      </c>
      <c r="J1236" t="s">
        <v>46</v>
      </c>
      <c r="K1236">
        <v>3</v>
      </c>
      <c r="L1236" t="s">
        <v>40</v>
      </c>
      <c r="M1236">
        <v>73000</v>
      </c>
      <c r="N1236">
        <v>3.9</v>
      </c>
      <c r="O1236">
        <v>4.9000000000000004</v>
      </c>
      <c r="P1236">
        <v>0.6</v>
      </c>
      <c r="Q1236">
        <v>0</v>
      </c>
      <c r="R1236">
        <v>3</v>
      </c>
      <c r="S1236">
        <v>3</v>
      </c>
      <c r="T1236">
        <v>3</v>
      </c>
      <c r="U1236" t="s">
        <v>23</v>
      </c>
      <c r="V1236">
        <v>4</v>
      </c>
      <c r="W1236">
        <v>1</v>
      </c>
    </row>
    <row r="1237" spans="1:23" x14ac:dyDescent="0.35">
      <c r="A1237" t="s">
        <v>1348</v>
      </c>
      <c r="B1237" s="6">
        <v>44279</v>
      </c>
      <c r="D1237" t="s">
        <v>23</v>
      </c>
      <c r="E1237">
        <v>40</v>
      </c>
      <c r="F1237" t="s">
        <v>24</v>
      </c>
      <c r="G1237" t="s">
        <v>37</v>
      </c>
      <c r="H1237" t="s">
        <v>26</v>
      </c>
      <c r="I1237" t="s">
        <v>38</v>
      </c>
      <c r="J1237" t="s">
        <v>118</v>
      </c>
      <c r="K1237">
        <v>3</v>
      </c>
      <c r="L1237" t="s">
        <v>84</v>
      </c>
      <c r="M1237">
        <v>83000</v>
      </c>
      <c r="N1237">
        <v>14.4</v>
      </c>
      <c r="O1237">
        <v>10.6</v>
      </c>
      <c r="P1237">
        <v>4.8</v>
      </c>
      <c r="Q1237">
        <v>2.8</v>
      </c>
      <c r="R1237">
        <v>1</v>
      </c>
      <c r="S1237">
        <v>3</v>
      </c>
      <c r="T1237">
        <v>2</v>
      </c>
      <c r="U1237" t="s">
        <v>23</v>
      </c>
      <c r="V1237">
        <v>2</v>
      </c>
      <c r="W1237">
        <v>1</v>
      </c>
    </row>
    <row r="1238" spans="1:23" x14ac:dyDescent="0.35">
      <c r="A1238" t="s">
        <v>988</v>
      </c>
      <c r="B1238" s="6">
        <v>43835</v>
      </c>
      <c r="D1238" t="s">
        <v>23</v>
      </c>
      <c r="E1238">
        <v>45</v>
      </c>
      <c r="F1238" t="s">
        <v>36</v>
      </c>
      <c r="G1238" t="s">
        <v>25</v>
      </c>
      <c r="H1238" t="s">
        <v>54</v>
      </c>
      <c r="I1238" t="s">
        <v>59</v>
      </c>
      <c r="J1238" t="s">
        <v>75</v>
      </c>
      <c r="K1238">
        <v>3</v>
      </c>
      <c r="L1238" t="s">
        <v>34</v>
      </c>
      <c r="M1238">
        <v>78000</v>
      </c>
      <c r="N1238">
        <v>11.3</v>
      </c>
      <c r="O1238">
        <v>9.6</v>
      </c>
      <c r="P1238">
        <v>6</v>
      </c>
      <c r="Q1238">
        <v>5.5</v>
      </c>
      <c r="R1238">
        <v>4</v>
      </c>
      <c r="S1238">
        <v>3</v>
      </c>
      <c r="T1238">
        <v>3</v>
      </c>
      <c r="U1238" t="s">
        <v>23</v>
      </c>
      <c r="V1238">
        <v>1</v>
      </c>
      <c r="W1238">
        <v>1</v>
      </c>
    </row>
    <row r="1239" spans="1:23" x14ac:dyDescent="0.35">
      <c r="A1239" t="s">
        <v>1427</v>
      </c>
      <c r="B1239" s="6">
        <v>42654</v>
      </c>
      <c r="D1239" t="s">
        <v>23</v>
      </c>
      <c r="E1239">
        <v>36</v>
      </c>
      <c r="F1239" t="s">
        <v>36</v>
      </c>
      <c r="G1239" t="s">
        <v>42</v>
      </c>
      <c r="H1239" t="s">
        <v>26</v>
      </c>
      <c r="I1239" t="s">
        <v>68</v>
      </c>
      <c r="J1239" t="s">
        <v>69</v>
      </c>
      <c r="K1239">
        <v>3</v>
      </c>
      <c r="L1239" t="s">
        <v>84</v>
      </c>
      <c r="M1239">
        <v>72000</v>
      </c>
      <c r="N1239">
        <v>7.2</v>
      </c>
      <c r="O1239">
        <v>12.8</v>
      </c>
      <c r="P1239">
        <v>9.1999999999999993</v>
      </c>
      <c r="Q1239">
        <v>1.9</v>
      </c>
      <c r="R1239">
        <v>3</v>
      </c>
      <c r="S1239">
        <v>4</v>
      </c>
      <c r="T1239">
        <v>3</v>
      </c>
      <c r="U1239" t="s">
        <v>23</v>
      </c>
      <c r="V1239">
        <v>3</v>
      </c>
      <c r="W1239">
        <v>1</v>
      </c>
    </row>
    <row r="1240" spans="1:23" x14ac:dyDescent="0.35">
      <c r="A1240" t="s">
        <v>1055</v>
      </c>
      <c r="B1240" s="6">
        <v>45868</v>
      </c>
      <c r="D1240" t="s">
        <v>23</v>
      </c>
      <c r="E1240">
        <v>24</v>
      </c>
      <c r="F1240" t="s">
        <v>62</v>
      </c>
      <c r="G1240" t="s">
        <v>37</v>
      </c>
      <c r="H1240" t="s">
        <v>54</v>
      </c>
      <c r="I1240" t="s">
        <v>59</v>
      </c>
      <c r="J1240" t="s">
        <v>150</v>
      </c>
      <c r="K1240">
        <v>1</v>
      </c>
      <c r="L1240" t="s">
        <v>34</v>
      </c>
      <c r="M1240">
        <v>32000</v>
      </c>
      <c r="N1240">
        <v>13.4</v>
      </c>
      <c r="O1240">
        <v>4.2</v>
      </c>
      <c r="P1240">
        <v>0.4</v>
      </c>
      <c r="Q1240">
        <v>0</v>
      </c>
      <c r="R1240">
        <v>3</v>
      </c>
      <c r="S1240">
        <v>3</v>
      </c>
      <c r="T1240">
        <v>4</v>
      </c>
      <c r="U1240" t="s">
        <v>23</v>
      </c>
      <c r="V1240">
        <v>4</v>
      </c>
      <c r="W1240">
        <v>1</v>
      </c>
    </row>
    <row r="1241" spans="1:23" x14ac:dyDescent="0.35">
      <c r="A1241" t="s">
        <v>1278</v>
      </c>
      <c r="B1241" s="6">
        <v>43497</v>
      </c>
      <c r="D1241" t="s">
        <v>23</v>
      </c>
      <c r="E1241">
        <v>44</v>
      </c>
      <c r="F1241" t="s">
        <v>36</v>
      </c>
      <c r="G1241" t="s">
        <v>42</v>
      </c>
      <c r="H1241" t="s">
        <v>26</v>
      </c>
      <c r="I1241" t="s">
        <v>38</v>
      </c>
      <c r="J1241" t="s">
        <v>118</v>
      </c>
      <c r="K1241">
        <v>4</v>
      </c>
      <c r="L1241" t="s">
        <v>40</v>
      </c>
      <c r="M1241">
        <v>134000</v>
      </c>
      <c r="N1241">
        <v>7.2</v>
      </c>
      <c r="O1241">
        <v>9.5</v>
      </c>
      <c r="P1241">
        <v>6.9</v>
      </c>
      <c r="Q1241">
        <v>0.3</v>
      </c>
      <c r="R1241">
        <v>3</v>
      </c>
      <c r="S1241">
        <v>3</v>
      </c>
      <c r="T1241">
        <v>3</v>
      </c>
      <c r="U1241" t="s">
        <v>23</v>
      </c>
      <c r="V1241">
        <v>1</v>
      </c>
      <c r="W1241">
        <v>1</v>
      </c>
    </row>
    <row r="1242" spans="1:23" x14ac:dyDescent="0.35">
      <c r="A1242" t="s">
        <v>443</v>
      </c>
      <c r="B1242" s="6">
        <v>43031</v>
      </c>
      <c r="C1242">
        <v>45818</v>
      </c>
      <c r="D1242" t="s">
        <v>30</v>
      </c>
      <c r="E1242">
        <v>33</v>
      </c>
      <c r="F1242" t="s">
        <v>36</v>
      </c>
      <c r="G1242" t="s">
        <v>25</v>
      </c>
      <c r="H1242" t="s">
        <v>54</v>
      </c>
      <c r="I1242" t="s">
        <v>27</v>
      </c>
      <c r="J1242" t="s">
        <v>95</v>
      </c>
      <c r="K1242">
        <v>3</v>
      </c>
      <c r="L1242" t="s">
        <v>84</v>
      </c>
      <c r="M1242">
        <v>85000</v>
      </c>
      <c r="N1242">
        <v>12.9</v>
      </c>
      <c r="O1242">
        <v>12.5</v>
      </c>
      <c r="P1242">
        <v>7.6</v>
      </c>
      <c r="Q1242">
        <v>5.5</v>
      </c>
      <c r="R1242">
        <v>2</v>
      </c>
      <c r="S1242">
        <v>3</v>
      </c>
      <c r="T1242">
        <v>3</v>
      </c>
      <c r="U1242" t="s">
        <v>23</v>
      </c>
      <c r="V1242">
        <v>4</v>
      </c>
      <c r="W1242">
        <v>1</v>
      </c>
    </row>
    <row r="1243" spans="1:23" x14ac:dyDescent="0.35">
      <c r="A1243" t="s">
        <v>223</v>
      </c>
      <c r="B1243" s="6">
        <v>44853</v>
      </c>
      <c r="D1243" t="s">
        <v>23</v>
      </c>
      <c r="E1243">
        <v>37</v>
      </c>
      <c r="F1243" t="s">
        <v>36</v>
      </c>
      <c r="G1243" t="s">
        <v>25</v>
      </c>
      <c r="H1243" t="s">
        <v>26</v>
      </c>
      <c r="I1243" t="s">
        <v>68</v>
      </c>
      <c r="J1243" t="s">
        <v>121</v>
      </c>
      <c r="K1243">
        <v>3</v>
      </c>
      <c r="L1243" t="s">
        <v>34</v>
      </c>
      <c r="M1243">
        <v>75000</v>
      </c>
      <c r="N1243">
        <v>9.3000000000000007</v>
      </c>
      <c r="O1243">
        <v>10.7</v>
      </c>
      <c r="P1243">
        <v>3.2</v>
      </c>
      <c r="Q1243">
        <v>0.9</v>
      </c>
      <c r="R1243">
        <v>4</v>
      </c>
      <c r="S1243">
        <v>2</v>
      </c>
      <c r="T1243">
        <v>3</v>
      </c>
      <c r="U1243" t="s">
        <v>23</v>
      </c>
      <c r="V1243">
        <v>4</v>
      </c>
      <c r="W1243">
        <v>1</v>
      </c>
    </row>
    <row r="1244" spans="1:23" x14ac:dyDescent="0.35">
      <c r="A1244" t="s">
        <v>315</v>
      </c>
      <c r="B1244" s="6">
        <v>44877</v>
      </c>
      <c r="D1244" t="s">
        <v>23</v>
      </c>
      <c r="E1244">
        <v>45</v>
      </c>
      <c r="F1244" t="s">
        <v>62</v>
      </c>
      <c r="G1244" t="s">
        <v>25</v>
      </c>
      <c r="H1244" t="s">
        <v>32</v>
      </c>
      <c r="I1244" t="s">
        <v>27</v>
      </c>
      <c r="J1244" t="s">
        <v>95</v>
      </c>
      <c r="K1244">
        <v>3</v>
      </c>
      <c r="L1244" t="s">
        <v>40</v>
      </c>
      <c r="M1244">
        <v>83000</v>
      </c>
      <c r="N1244">
        <v>6</v>
      </c>
      <c r="O1244">
        <v>6.7</v>
      </c>
      <c r="P1244">
        <v>3.1</v>
      </c>
      <c r="Q1244">
        <v>0.7</v>
      </c>
      <c r="R1244">
        <v>4</v>
      </c>
      <c r="S1244">
        <v>4</v>
      </c>
      <c r="T1244">
        <v>4</v>
      </c>
      <c r="U1244" t="s">
        <v>23</v>
      </c>
      <c r="V1244">
        <v>3</v>
      </c>
      <c r="W1244">
        <v>1</v>
      </c>
    </row>
    <row r="1245" spans="1:23" x14ac:dyDescent="0.35">
      <c r="A1245" t="s">
        <v>839</v>
      </c>
      <c r="B1245" s="6">
        <v>44140</v>
      </c>
      <c r="D1245" t="s">
        <v>23</v>
      </c>
      <c r="E1245">
        <v>30</v>
      </c>
      <c r="F1245" t="s">
        <v>62</v>
      </c>
      <c r="G1245" t="s">
        <v>42</v>
      </c>
      <c r="H1245" t="s">
        <v>26</v>
      </c>
      <c r="I1245" t="s">
        <v>55</v>
      </c>
      <c r="J1245" t="s">
        <v>56</v>
      </c>
      <c r="K1245">
        <v>3</v>
      </c>
      <c r="L1245" t="s">
        <v>40</v>
      </c>
      <c r="M1245">
        <v>94000</v>
      </c>
      <c r="N1245">
        <v>10</v>
      </c>
      <c r="O1245">
        <v>6.9</v>
      </c>
      <c r="P1245">
        <v>5.2</v>
      </c>
      <c r="Q1245">
        <v>3</v>
      </c>
      <c r="R1245">
        <v>3</v>
      </c>
      <c r="S1245">
        <v>4</v>
      </c>
      <c r="T1245">
        <v>3</v>
      </c>
      <c r="U1245" t="s">
        <v>30</v>
      </c>
      <c r="V1245">
        <v>5</v>
      </c>
      <c r="W1245">
        <v>1</v>
      </c>
    </row>
    <row r="1246" spans="1:23" x14ac:dyDescent="0.35">
      <c r="A1246" t="s">
        <v>1207</v>
      </c>
      <c r="B1246" s="6">
        <v>41649</v>
      </c>
      <c r="C1246">
        <v>45746</v>
      </c>
      <c r="D1246" t="s">
        <v>30</v>
      </c>
      <c r="E1246">
        <v>39</v>
      </c>
      <c r="F1246" t="s">
        <v>62</v>
      </c>
      <c r="G1246" t="s">
        <v>42</v>
      </c>
      <c r="H1246" t="s">
        <v>32</v>
      </c>
      <c r="I1246" t="s">
        <v>55</v>
      </c>
      <c r="J1246" t="s">
        <v>56</v>
      </c>
      <c r="K1246">
        <v>5</v>
      </c>
      <c r="L1246" t="s">
        <v>84</v>
      </c>
      <c r="M1246">
        <v>188000</v>
      </c>
      <c r="N1246">
        <v>10.3</v>
      </c>
      <c r="O1246">
        <v>12.1</v>
      </c>
      <c r="P1246">
        <v>11.2</v>
      </c>
      <c r="Q1246">
        <v>2.9</v>
      </c>
      <c r="R1246">
        <v>3</v>
      </c>
      <c r="S1246">
        <v>1</v>
      </c>
      <c r="T1246">
        <v>3</v>
      </c>
      <c r="U1246" t="s">
        <v>23</v>
      </c>
      <c r="V1246">
        <v>5</v>
      </c>
      <c r="W1246">
        <v>1</v>
      </c>
    </row>
    <row r="1247" spans="1:23" x14ac:dyDescent="0.35">
      <c r="A1247" t="s">
        <v>1575</v>
      </c>
      <c r="B1247" s="6">
        <v>43893</v>
      </c>
      <c r="D1247" t="s">
        <v>23</v>
      </c>
      <c r="E1247">
        <v>32</v>
      </c>
      <c r="F1247" t="s">
        <v>24</v>
      </c>
      <c r="G1247" t="s">
        <v>37</v>
      </c>
      <c r="H1247" t="s">
        <v>32</v>
      </c>
      <c r="I1247" t="s">
        <v>45</v>
      </c>
      <c r="J1247" t="s">
        <v>46</v>
      </c>
      <c r="K1247">
        <v>2</v>
      </c>
      <c r="L1247" t="s">
        <v>66</v>
      </c>
      <c r="M1247">
        <v>59000</v>
      </c>
      <c r="N1247">
        <v>8.8000000000000007</v>
      </c>
      <c r="O1247">
        <v>7.8</v>
      </c>
      <c r="P1247">
        <v>5.8</v>
      </c>
      <c r="Q1247">
        <v>0.2</v>
      </c>
      <c r="R1247">
        <v>4</v>
      </c>
      <c r="S1247">
        <v>3</v>
      </c>
      <c r="T1247">
        <v>3</v>
      </c>
      <c r="U1247" t="s">
        <v>23</v>
      </c>
      <c r="V1247">
        <v>3</v>
      </c>
      <c r="W1247">
        <v>1</v>
      </c>
    </row>
    <row r="1248" spans="1:23" x14ac:dyDescent="0.35">
      <c r="A1248" t="s">
        <v>152</v>
      </c>
      <c r="B1248" s="6">
        <v>43031</v>
      </c>
      <c r="C1248">
        <v>45894</v>
      </c>
      <c r="D1248" t="s">
        <v>30</v>
      </c>
      <c r="E1248">
        <v>31</v>
      </c>
      <c r="F1248" t="s">
        <v>36</v>
      </c>
      <c r="G1248" t="s">
        <v>25</v>
      </c>
      <c r="H1248" t="s">
        <v>58</v>
      </c>
      <c r="I1248" t="s">
        <v>38</v>
      </c>
      <c r="J1248" t="s">
        <v>118</v>
      </c>
      <c r="K1248">
        <v>2</v>
      </c>
      <c r="L1248" t="s">
        <v>29</v>
      </c>
      <c r="M1248">
        <v>50000</v>
      </c>
      <c r="N1248">
        <v>8.5</v>
      </c>
      <c r="O1248">
        <v>10.5</v>
      </c>
      <c r="P1248">
        <v>7.8</v>
      </c>
      <c r="Q1248">
        <v>2.4</v>
      </c>
      <c r="R1248">
        <v>2</v>
      </c>
      <c r="S1248">
        <v>3</v>
      </c>
      <c r="T1248">
        <v>3</v>
      </c>
      <c r="U1248" t="s">
        <v>23</v>
      </c>
      <c r="V1248">
        <v>3</v>
      </c>
      <c r="W1248">
        <v>1</v>
      </c>
    </row>
    <row r="1249" spans="1:23" x14ac:dyDescent="0.35">
      <c r="A1249" t="s">
        <v>847</v>
      </c>
      <c r="B1249" s="6">
        <v>44351</v>
      </c>
      <c r="D1249" t="s">
        <v>23</v>
      </c>
      <c r="E1249">
        <v>28</v>
      </c>
      <c r="F1249" t="s">
        <v>36</v>
      </c>
      <c r="G1249" t="s">
        <v>25</v>
      </c>
      <c r="H1249" t="s">
        <v>58</v>
      </c>
      <c r="I1249" t="s">
        <v>45</v>
      </c>
      <c r="J1249" t="s">
        <v>46</v>
      </c>
      <c r="K1249">
        <v>5</v>
      </c>
      <c r="L1249" t="s">
        <v>34</v>
      </c>
      <c r="M1249">
        <v>142000</v>
      </c>
      <c r="N1249">
        <v>5.2</v>
      </c>
      <c r="O1249">
        <v>9.5</v>
      </c>
      <c r="P1249">
        <v>4.5999999999999996</v>
      </c>
      <c r="Q1249">
        <v>4.3</v>
      </c>
      <c r="R1249">
        <v>4</v>
      </c>
      <c r="S1249">
        <v>3</v>
      </c>
      <c r="T1249">
        <v>3</v>
      </c>
      <c r="U1249" t="s">
        <v>23</v>
      </c>
      <c r="V1249">
        <v>3</v>
      </c>
      <c r="W1249">
        <v>1</v>
      </c>
    </row>
    <row r="1250" spans="1:23" x14ac:dyDescent="0.35">
      <c r="A1250" t="s">
        <v>1456</v>
      </c>
      <c r="B1250" s="6">
        <v>45042</v>
      </c>
      <c r="D1250" t="s">
        <v>23</v>
      </c>
      <c r="E1250">
        <v>31</v>
      </c>
      <c r="F1250" t="s">
        <v>24</v>
      </c>
      <c r="G1250" t="s">
        <v>37</v>
      </c>
      <c r="H1250" t="s">
        <v>32</v>
      </c>
      <c r="I1250" t="s">
        <v>48</v>
      </c>
      <c r="J1250" t="s">
        <v>49</v>
      </c>
      <c r="K1250">
        <v>1</v>
      </c>
      <c r="L1250" t="s">
        <v>40</v>
      </c>
      <c r="M1250">
        <v>48000</v>
      </c>
      <c r="N1250">
        <v>15.1</v>
      </c>
      <c r="O1250">
        <v>5.0999999999999996</v>
      </c>
      <c r="P1250">
        <v>2.7</v>
      </c>
      <c r="Q1250">
        <v>0.5</v>
      </c>
      <c r="R1250">
        <v>3</v>
      </c>
      <c r="S1250">
        <v>4</v>
      </c>
      <c r="T1250">
        <v>2</v>
      </c>
      <c r="U1250" t="s">
        <v>23</v>
      </c>
      <c r="V1250">
        <v>4</v>
      </c>
      <c r="W1250">
        <v>1</v>
      </c>
    </row>
    <row r="1251" spans="1:23" x14ac:dyDescent="0.35">
      <c r="A1251" t="s">
        <v>477</v>
      </c>
      <c r="B1251" s="6">
        <v>45303</v>
      </c>
      <c r="C1251">
        <v>45812</v>
      </c>
      <c r="D1251" t="s">
        <v>30</v>
      </c>
      <c r="E1251">
        <v>26</v>
      </c>
      <c r="F1251" t="s">
        <v>62</v>
      </c>
      <c r="G1251" t="s">
        <v>42</v>
      </c>
      <c r="H1251" t="s">
        <v>26</v>
      </c>
      <c r="I1251" t="s">
        <v>68</v>
      </c>
      <c r="J1251" t="s">
        <v>121</v>
      </c>
      <c r="K1251">
        <v>1</v>
      </c>
      <c r="L1251" t="s">
        <v>50</v>
      </c>
      <c r="M1251">
        <v>22000</v>
      </c>
      <c r="N1251">
        <v>3.1</v>
      </c>
      <c r="O1251">
        <v>3.2</v>
      </c>
      <c r="P1251">
        <v>1.4</v>
      </c>
      <c r="Q1251">
        <v>0.6</v>
      </c>
      <c r="R1251">
        <v>2</v>
      </c>
      <c r="S1251">
        <v>3</v>
      </c>
      <c r="T1251">
        <v>3</v>
      </c>
      <c r="U1251" t="s">
        <v>30</v>
      </c>
      <c r="V1251">
        <v>4</v>
      </c>
      <c r="W1251">
        <v>1</v>
      </c>
    </row>
    <row r="1252" spans="1:23" x14ac:dyDescent="0.35">
      <c r="A1252" t="s">
        <v>466</v>
      </c>
      <c r="B1252" s="6">
        <v>42079</v>
      </c>
      <c r="D1252" t="s">
        <v>23</v>
      </c>
      <c r="E1252">
        <v>43</v>
      </c>
      <c r="F1252" t="s">
        <v>36</v>
      </c>
      <c r="G1252" t="s">
        <v>42</v>
      </c>
      <c r="H1252" t="s">
        <v>58</v>
      </c>
      <c r="I1252" t="s">
        <v>27</v>
      </c>
      <c r="J1252" t="s">
        <v>28</v>
      </c>
      <c r="K1252">
        <v>3</v>
      </c>
      <c r="L1252" t="s">
        <v>50</v>
      </c>
      <c r="M1252">
        <v>75000</v>
      </c>
      <c r="N1252">
        <v>10.6</v>
      </c>
      <c r="O1252">
        <v>18.5</v>
      </c>
      <c r="P1252">
        <v>10.8</v>
      </c>
      <c r="Q1252">
        <v>0.9</v>
      </c>
      <c r="R1252">
        <v>3</v>
      </c>
      <c r="S1252">
        <v>4</v>
      </c>
      <c r="T1252">
        <v>2</v>
      </c>
      <c r="U1252" t="s">
        <v>23</v>
      </c>
      <c r="V1252">
        <v>4</v>
      </c>
      <c r="W1252">
        <v>1</v>
      </c>
    </row>
    <row r="1253" spans="1:23" x14ac:dyDescent="0.35">
      <c r="A1253" t="s">
        <v>1579</v>
      </c>
      <c r="B1253" s="6">
        <v>45590</v>
      </c>
      <c r="D1253" t="s">
        <v>23</v>
      </c>
      <c r="E1253">
        <v>25</v>
      </c>
      <c r="F1253" t="s">
        <v>24</v>
      </c>
      <c r="G1253" t="s">
        <v>25</v>
      </c>
      <c r="H1253" t="s">
        <v>58</v>
      </c>
      <c r="I1253" t="s">
        <v>48</v>
      </c>
      <c r="J1253" t="s">
        <v>129</v>
      </c>
      <c r="K1253">
        <v>1</v>
      </c>
      <c r="L1253" t="s">
        <v>34</v>
      </c>
      <c r="M1253">
        <v>43000</v>
      </c>
      <c r="N1253">
        <v>10.1</v>
      </c>
      <c r="O1253">
        <v>2.4</v>
      </c>
      <c r="P1253">
        <v>1.2</v>
      </c>
      <c r="Q1253">
        <v>0.6</v>
      </c>
      <c r="R1253">
        <v>2</v>
      </c>
      <c r="S1253">
        <v>4</v>
      </c>
      <c r="T1253">
        <v>3</v>
      </c>
      <c r="U1253" t="s">
        <v>30</v>
      </c>
      <c r="V1253">
        <v>1</v>
      </c>
      <c r="W1253">
        <v>1</v>
      </c>
    </row>
    <row r="1254" spans="1:23" x14ac:dyDescent="0.35">
      <c r="A1254" t="s">
        <v>645</v>
      </c>
      <c r="B1254" s="6">
        <v>42701</v>
      </c>
      <c r="D1254" t="s">
        <v>23</v>
      </c>
      <c r="E1254">
        <v>37</v>
      </c>
      <c r="F1254" t="s">
        <v>24</v>
      </c>
      <c r="G1254" t="s">
        <v>37</v>
      </c>
      <c r="H1254" t="s">
        <v>32</v>
      </c>
      <c r="I1254" t="s">
        <v>48</v>
      </c>
      <c r="J1254" t="s">
        <v>129</v>
      </c>
      <c r="K1254">
        <v>2</v>
      </c>
      <c r="L1254" t="s">
        <v>84</v>
      </c>
      <c r="M1254">
        <v>70000</v>
      </c>
      <c r="N1254">
        <v>8.1</v>
      </c>
      <c r="O1254">
        <v>10.7</v>
      </c>
      <c r="P1254">
        <v>9.1</v>
      </c>
      <c r="Q1254">
        <v>0.8</v>
      </c>
      <c r="R1254">
        <v>4</v>
      </c>
      <c r="S1254">
        <v>4</v>
      </c>
      <c r="T1254">
        <v>3</v>
      </c>
      <c r="U1254" t="s">
        <v>23</v>
      </c>
      <c r="V1254">
        <v>3</v>
      </c>
      <c r="W1254">
        <v>1</v>
      </c>
    </row>
    <row r="1255" spans="1:23" x14ac:dyDescent="0.35">
      <c r="A1255" t="s">
        <v>1451</v>
      </c>
      <c r="B1255" s="6">
        <v>42162</v>
      </c>
      <c r="D1255" t="s">
        <v>23</v>
      </c>
      <c r="E1255">
        <v>34</v>
      </c>
      <c r="F1255" t="s">
        <v>36</v>
      </c>
      <c r="G1255" t="s">
        <v>42</v>
      </c>
      <c r="H1255" t="s">
        <v>26</v>
      </c>
      <c r="I1255" t="s">
        <v>48</v>
      </c>
      <c r="J1255" t="s">
        <v>63</v>
      </c>
      <c r="K1255">
        <v>2</v>
      </c>
      <c r="L1255" t="s">
        <v>34</v>
      </c>
      <c r="M1255">
        <v>77000</v>
      </c>
      <c r="N1255">
        <v>0.6</v>
      </c>
      <c r="O1255">
        <v>14.3</v>
      </c>
      <c r="P1255">
        <v>10.6</v>
      </c>
      <c r="Q1255">
        <v>0.4</v>
      </c>
      <c r="R1255">
        <v>2</v>
      </c>
      <c r="S1255">
        <v>3</v>
      </c>
      <c r="T1255">
        <v>3</v>
      </c>
      <c r="U1255" t="s">
        <v>30</v>
      </c>
      <c r="V1255">
        <v>3</v>
      </c>
      <c r="W1255">
        <v>1</v>
      </c>
    </row>
    <row r="1256" spans="1:23" x14ac:dyDescent="0.35">
      <c r="A1256" t="s">
        <v>974</v>
      </c>
      <c r="B1256" s="6">
        <v>43869</v>
      </c>
      <c r="D1256" t="s">
        <v>23</v>
      </c>
      <c r="E1256">
        <v>32</v>
      </c>
      <c r="F1256" t="s">
        <v>24</v>
      </c>
      <c r="G1256" t="s">
        <v>37</v>
      </c>
      <c r="H1256" t="s">
        <v>58</v>
      </c>
      <c r="I1256" t="s">
        <v>59</v>
      </c>
      <c r="J1256" t="s">
        <v>60</v>
      </c>
      <c r="K1256">
        <v>2</v>
      </c>
      <c r="L1256" t="s">
        <v>34</v>
      </c>
      <c r="M1256">
        <v>57000</v>
      </c>
      <c r="N1256">
        <v>6.4</v>
      </c>
      <c r="O1256">
        <v>13.1</v>
      </c>
      <c r="P1256">
        <v>5.9</v>
      </c>
      <c r="Q1256">
        <v>0.3</v>
      </c>
      <c r="R1256">
        <v>4</v>
      </c>
      <c r="S1256">
        <v>3</v>
      </c>
      <c r="T1256">
        <v>3</v>
      </c>
      <c r="U1256" t="s">
        <v>23</v>
      </c>
      <c r="V1256">
        <v>2</v>
      </c>
      <c r="W1256">
        <v>1</v>
      </c>
    </row>
    <row r="1257" spans="1:23" x14ac:dyDescent="0.35">
      <c r="A1257" t="s">
        <v>1164</v>
      </c>
      <c r="B1257" s="6">
        <v>44755</v>
      </c>
      <c r="C1257">
        <v>45934</v>
      </c>
      <c r="D1257" t="s">
        <v>30</v>
      </c>
      <c r="E1257">
        <v>38</v>
      </c>
      <c r="F1257" t="s">
        <v>24</v>
      </c>
      <c r="G1257" t="s">
        <v>37</v>
      </c>
      <c r="H1257" t="s">
        <v>54</v>
      </c>
      <c r="I1257" t="s">
        <v>55</v>
      </c>
      <c r="J1257" t="s">
        <v>179</v>
      </c>
      <c r="K1257">
        <v>1</v>
      </c>
      <c r="L1257" t="s">
        <v>29</v>
      </c>
      <c r="M1257">
        <v>67000</v>
      </c>
      <c r="N1257">
        <v>12.2</v>
      </c>
      <c r="O1257">
        <v>5.6</v>
      </c>
      <c r="P1257">
        <v>3.2</v>
      </c>
      <c r="Q1257">
        <v>0.2</v>
      </c>
      <c r="R1257">
        <v>4</v>
      </c>
      <c r="S1257">
        <v>4</v>
      </c>
      <c r="T1257">
        <v>3</v>
      </c>
      <c r="U1257" t="s">
        <v>23</v>
      </c>
      <c r="V1257">
        <v>4</v>
      </c>
      <c r="W1257">
        <v>1</v>
      </c>
    </row>
    <row r="1258" spans="1:23" x14ac:dyDescent="0.35">
      <c r="A1258" t="s">
        <v>1308</v>
      </c>
      <c r="B1258" s="6">
        <v>45444</v>
      </c>
      <c r="D1258" t="s">
        <v>23</v>
      </c>
      <c r="E1258">
        <v>30</v>
      </c>
      <c r="F1258" t="s">
        <v>62</v>
      </c>
      <c r="G1258" t="s">
        <v>37</v>
      </c>
      <c r="H1258" t="s">
        <v>54</v>
      </c>
      <c r="I1258" t="s">
        <v>55</v>
      </c>
      <c r="J1258" t="s">
        <v>179</v>
      </c>
      <c r="K1258">
        <v>3</v>
      </c>
      <c r="L1258" t="s">
        <v>29</v>
      </c>
      <c r="M1258">
        <v>86000</v>
      </c>
      <c r="N1258">
        <v>1.8</v>
      </c>
      <c r="O1258">
        <v>8.6</v>
      </c>
      <c r="P1258">
        <v>1.6</v>
      </c>
      <c r="Q1258">
        <v>0.7</v>
      </c>
      <c r="R1258">
        <v>3</v>
      </c>
      <c r="S1258">
        <v>4</v>
      </c>
      <c r="T1258">
        <v>3</v>
      </c>
      <c r="U1258" t="s">
        <v>30</v>
      </c>
      <c r="V1258">
        <v>4</v>
      </c>
      <c r="W1258">
        <v>1</v>
      </c>
    </row>
    <row r="1259" spans="1:23" x14ac:dyDescent="0.35">
      <c r="A1259" t="s">
        <v>932</v>
      </c>
      <c r="B1259" s="6">
        <v>44800</v>
      </c>
      <c r="D1259" t="s">
        <v>23</v>
      </c>
      <c r="E1259">
        <v>38</v>
      </c>
      <c r="F1259" t="s">
        <v>62</v>
      </c>
      <c r="G1259" t="s">
        <v>42</v>
      </c>
      <c r="H1259" t="s">
        <v>32</v>
      </c>
      <c r="I1259" t="s">
        <v>45</v>
      </c>
      <c r="J1259" t="s">
        <v>46</v>
      </c>
      <c r="K1259">
        <v>2</v>
      </c>
      <c r="L1259" t="s">
        <v>29</v>
      </c>
      <c r="M1259">
        <v>38000</v>
      </c>
      <c r="N1259">
        <v>13.2</v>
      </c>
      <c r="O1259">
        <v>10.199999999999999</v>
      </c>
      <c r="P1259">
        <v>3.3</v>
      </c>
      <c r="Q1259">
        <v>3.1</v>
      </c>
      <c r="R1259">
        <v>4</v>
      </c>
      <c r="S1259">
        <v>1</v>
      </c>
      <c r="T1259">
        <v>3</v>
      </c>
      <c r="U1259" t="s">
        <v>30</v>
      </c>
      <c r="V1259">
        <v>4</v>
      </c>
      <c r="W1259">
        <v>1</v>
      </c>
    </row>
    <row r="1260" spans="1:23" x14ac:dyDescent="0.35">
      <c r="A1260" t="s">
        <v>644</v>
      </c>
      <c r="B1260" s="6">
        <v>43460</v>
      </c>
      <c r="D1260" t="s">
        <v>23</v>
      </c>
      <c r="E1260">
        <v>28</v>
      </c>
      <c r="F1260" t="s">
        <v>36</v>
      </c>
      <c r="G1260" t="s">
        <v>25</v>
      </c>
      <c r="H1260" t="s">
        <v>58</v>
      </c>
      <c r="I1260" t="s">
        <v>48</v>
      </c>
      <c r="J1260" t="s">
        <v>49</v>
      </c>
      <c r="K1260">
        <v>2</v>
      </c>
      <c r="L1260" t="s">
        <v>66</v>
      </c>
      <c r="M1260">
        <v>54000</v>
      </c>
      <c r="N1260">
        <v>15.4</v>
      </c>
      <c r="O1260">
        <v>13.4</v>
      </c>
      <c r="P1260">
        <v>7</v>
      </c>
      <c r="Q1260">
        <v>3.5</v>
      </c>
      <c r="R1260">
        <v>2</v>
      </c>
      <c r="S1260">
        <v>3</v>
      </c>
      <c r="T1260">
        <v>3</v>
      </c>
      <c r="U1260" t="s">
        <v>30</v>
      </c>
      <c r="V1260">
        <v>4</v>
      </c>
      <c r="W1260">
        <v>1</v>
      </c>
    </row>
    <row r="1261" spans="1:23" x14ac:dyDescent="0.35">
      <c r="A1261" t="s">
        <v>578</v>
      </c>
      <c r="B1261" s="6">
        <v>43838</v>
      </c>
      <c r="D1261" t="s">
        <v>23</v>
      </c>
      <c r="E1261">
        <v>33</v>
      </c>
      <c r="F1261" t="s">
        <v>62</v>
      </c>
      <c r="G1261" t="s">
        <v>42</v>
      </c>
      <c r="H1261" t="s">
        <v>26</v>
      </c>
      <c r="I1261" t="s">
        <v>45</v>
      </c>
      <c r="J1261" t="s">
        <v>97</v>
      </c>
      <c r="K1261">
        <v>4</v>
      </c>
      <c r="L1261" t="s">
        <v>40</v>
      </c>
      <c r="M1261">
        <v>101000</v>
      </c>
      <c r="N1261">
        <v>9.3000000000000007</v>
      </c>
      <c r="O1261">
        <v>6.6</v>
      </c>
      <c r="P1261">
        <v>6</v>
      </c>
      <c r="Q1261">
        <v>1.1000000000000001</v>
      </c>
      <c r="R1261">
        <v>3</v>
      </c>
      <c r="S1261">
        <v>2</v>
      </c>
      <c r="T1261">
        <v>2</v>
      </c>
      <c r="U1261" t="s">
        <v>23</v>
      </c>
      <c r="V1261">
        <v>1</v>
      </c>
      <c r="W1261">
        <v>1</v>
      </c>
    </row>
    <row r="1262" spans="1:23" x14ac:dyDescent="0.35">
      <c r="A1262" t="s">
        <v>542</v>
      </c>
      <c r="B1262" s="6">
        <v>45662</v>
      </c>
      <c r="D1262" t="s">
        <v>23</v>
      </c>
      <c r="E1262">
        <v>21</v>
      </c>
      <c r="F1262" t="s">
        <v>36</v>
      </c>
      <c r="G1262" t="s">
        <v>42</v>
      </c>
      <c r="H1262" t="s">
        <v>26</v>
      </c>
      <c r="I1262" t="s">
        <v>45</v>
      </c>
      <c r="J1262" t="s">
        <v>77</v>
      </c>
      <c r="K1262">
        <v>1</v>
      </c>
      <c r="L1262" t="s">
        <v>29</v>
      </c>
      <c r="M1262">
        <v>50000</v>
      </c>
      <c r="N1262">
        <v>9.6</v>
      </c>
      <c r="O1262">
        <v>1.4</v>
      </c>
      <c r="P1262">
        <v>1</v>
      </c>
      <c r="Q1262">
        <v>0.9</v>
      </c>
      <c r="R1262">
        <v>4</v>
      </c>
      <c r="S1262">
        <v>4</v>
      </c>
      <c r="T1262">
        <v>2</v>
      </c>
      <c r="U1262" t="s">
        <v>23</v>
      </c>
      <c r="V1262">
        <v>4</v>
      </c>
      <c r="W1262">
        <v>1</v>
      </c>
    </row>
    <row r="1263" spans="1:23" x14ac:dyDescent="0.35">
      <c r="A1263" t="s">
        <v>994</v>
      </c>
      <c r="B1263" s="6">
        <v>43401</v>
      </c>
      <c r="D1263" t="s">
        <v>23</v>
      </c>
      <c r="E1263">
        <v>33</v>
      </c>
      <c r="F1263" t="s">
        <v>24</v>
      </c>
      <c r="G1263" t="s">
        <v>37</v>
      </c>
      <c r="H1263" t="s">
        <v>54</v>
      </c>
      <c r="I1263" t="s">
        <v>55</v>
      </c>
      <c r="J1263" t="s">
        <v>179</v>
      </c>
      <c r="K1263">
        <v>2</v>
      </c>
      <c r="L1263" t="s">
        <v>34</v>
      </c>
      <c r="M1263">
        <v>55000</v>
      </c>
      <c r="N1263">
        <v>8.3000000000000007</v>
      </c>
      <c r="O1263">
        <v>12</v>
      </c>
      <c r="P1263">
        <v>7.2</v>
      </c>
      <c r="Q1263">
        <v>4.4000000000000004</v>
      </c>
      <c r="R1263">
        <v>3</v>
      </c>
      <c r="S1263">
        <v>4</v>
      </c>
      <c r="T1263">
        <v>2</v>
      </c>
      <c r="U1263" t="s">
        <v>23</v>
      </c>
      <c r="V1263">
        <v>2</v>
      </c>
      <c r="W1263">
        <v>1</v>
      </c>
    </row>
    <row r="1264" spans="1:23" x14ac:dyDescent="0.35">
      <c r="A1264" t="s">
        <v>151</v>
      </c>
      <c r="B1264" s="6">
        <v>43530</v>
      </c>
      <c r="D1264" t="s">
        <v>23</v>
      </c>
      <c r="E1264">
        <v>49</v>
      </c>
      <c r="F1264" t="s">
        <v>36</v>
      </c>
      <c r="G1264" t="s">
        <v>25</v>
      </c>
      <c r="H1264" t="s">
        <v>54</v>
      </c>
      <c r="I1264" t="s">
        <v>45</v>
      </c>
      <c r="J1264" t="s">
        <v>77</v>
      </c>
      <c r="K1264">
        <v>2</v>
      </c>
      <c r="L1264" t="s">
        <v>40</v>
      </c>
      <c r="M1264">
        <v>38000</v>
      </c>
      <c r="N1264">
        <v>4.9000000000000004</v>
      </c>
      <c r="O1264">
        <v>8</v>
      </c>
      <c r="P1264">
        <v>6.8</v>
      </c>
      <c r="Q1264">
        <v>0.7</v>
      </c>
      <c r="R1264">
        <v>1</v>
      </c>
      <c r="S1264">
        <v>2</v>
      </c>
      <c r="T1264">
        <v>3</v>
      </c>
      <c r="U1264" t="s">
        <v>30</v>
      </c>
      <c r="V1264">
        <v>4</v>
      </c>
      <c r="W1264">
        <v>1</v>
      </c>
    </row>
    <row r="1265" spans="1:23" x14ac:dyDescent="0.35">
      <c r="A1265" t="s">
        <v>284</v>
      </c>
      <c r="B1265" s="6">
        <v>42424</v>
      </c>
      <c r="D1265" t="s">
        <v>23</v>
      </c>
      <c r="E1265">
        <v>42</v>
      </c>
      <c r="F1265" t="s">
        <v>62</v>
      </c>
      <c r="G1265" t="s">
        <v>25</v>
      </c>
      <c r="H1265" t="s">
        <v>58</v>
      </c>
      <c r="I1265" t="s">
        <v>55</v>
      </c>
      <c r="J1265" t="s">
        <v>56</v>
      </c>
      <c r="K1265">
        <v>3</v>
      </c>
      <c r="L1265" t="s">
        <v>50</v>
      </c>
      <c r="M1265">
        <v>90000</v>
      </c>
      <c r="N1265">
        <v>4.0999999999999996</v>
      </c>
      <c r="O1265">
        <v>16.899999999999999</v>
      </c>
      <c r="P1265">
        <v>9.9</v>
      </c>
      <c r="Q1265">
        <v>5</v>
      </c>
      <c r="R1265">
        <v>3</v>
      </c>
      <c r="S1265">
        <v>3</v>
      </c>
      <c r="T1265">
        <v>4</v>
      </c>
      <c r="U1265" t="s">
        <v>30</v>
      </c>
      <c r="V1265">
        <v>3</v>
      </c>
      <c r="W1265">
        <v>1</v>
      </c>
    </row>
    <row r="1266" spans="1:23" x14ac:dyDescent="0.35">
      <c r="A1266" t="s">
        <v>770</v>
      </c>
      <c r="B1266" s="6">
        <v>45203</v>
      </c>
      <c r="D1266" t="s">
        <v>23</v>
      </c>
      <c r="E1266">
        <v>38</v>
      </c>
      <c r="F1266" t="s">
        <v>62</v>
      </c>
      <c r="G1266" t="s">
        <v>42</v>
      </c>
      <c r="H1266" t="s">
        <v>54</v>
      </c>
      <c r="I1266" t="s">
        <v>68</v>
      </c>
      <c r="J1266" t="s">
        <v>121</v>
      </c>
      <c r="K1266">
        <v>1</v>
      </c>
      <c r="L1266" t="s">
        <v>84</v>
      </c>
      <c r="M1266">
        <v>38000</v>
      </c>
      <c r="N1266">
        <v>11.9</v>
      </c>
      <c r="O1266">
        <v>6.3</v>
      </c>
      <c r="P1266">
        <v>2.2000000000000002</v>
      </c>
      <c r="Q1266">
        <v>0.8</v>
      </c>
      <c r="R1266">
        <v>3</v>
      </c>
      <c r="S1266">
        <v>3</v>
      </c>
      <c r="T1266">
        <v>4</v>
      </c>
      <c r="U1266" t="s">
        <v>23</v>
      </c>
      <c r="V1266">
        <v>3</v>
      </c>
      <c r="W1266">
        <v>1</v>
      </c>
    </row>
    <row r="1267" spans="1:23" x14ac:dyDescent="0.35">
      <c r="A1267" t="s">
        <v>1310</v>
      </c>
      <c r="B1267" s="6">
        <v>43201</v>
      </c>
      <c r="D1267" t="s">
        <v>23</v>
      </c>
      <c r="E1267">
        <v>48</v>
      </c>
      <c r="F1267" t="s">
        <v>24</v>
      </c>
      <c r="G1267" t="s">
        <v>37</v>
      </c>
      <c r="H1267" t="s">
        <v>58</v>
      </c>
      <c r="I1267" t="s">
        <v>27</v>
      </c>
      <c r="J1267" t="s">
        <v>95</v>
      </c>
      <c r="K1267">
        <v>2</v>
      </c>
      <c r="L1267" t="s">
        <v>66</v>
      </c>
      <c r="M1267">
        <v>44000</v>
      </c>
      <c r="N1267">
        <v>15.5</v>
      </c>
      <c r="O1267">
        <v>10.3</v>
      </c>
      <c r="P1267">
        <v>7.7</v>
      </c>
      <c r="Q1267">
        <v>1.4</v>
      </c>
      <c r="R1267">
        <v>4</v>
      </c>
      <c r="S1267">
        <v>2</v>
      </c>
      <c r="T1267">
        <v>4</v>
      </c>
      <c r="U1267" t="s">
        <v>30</v>
      </c>
      <c r="V1267">
        <v>3</v>
      </c>
      <c r="W1267">
        <v>1</v>
      </c>
    </row>
    <row r="1268" spans="1:23" x14ac:dyDescent="0.35">
      <c r="A1268" t="s">
        <v>1293</v>
      </c>
      <c r="B1268" s="6">
        <v>42127</v>
      </c>
      <c r="D1268" t="s">
        <v>23</v>
      </c>
      <c r="E1268">
        <v>36</v>
      </c>
      <c r="F1268" t="s">
        <v>36</v>
      </c>
      <c r="G1268" t="s">
        <v>37</v>
      </c>
      <c r="H1268" t="s">
        <v>26</v>
      </c>
      <c r="I1268" t="s">
        <v>55</v>
      </c>
      <c r="J1268" t="s">
        <v>56</v>
      </c>
      <c r="K1268">
        <v>2</v>
      </c>
      <c r="L1268" t="s">
        <v>84</v>
      </c>
      <c r="M1268">
        <v>46000</v>
      </c>
      <c r="N1268">
        <v>8.3000000000000007</v>
      </c>
      <c r="O1268">
        <v>11.7</v>
      </c>
      <c r="P1268">
        <v>10.7</v>
      </c>
      <c r="Q1268">
        <v>3.9</v>
      </c>
      <c r="R1268">
        <v>2</v>
      </c>
      <c r="S1268">
        <v>3</v>
      </c>
      <c r="T1268">
        <v>4</v>
      </c>
      <c r="U1268" t="s">
        <v>23</v>
      </c>
      <c r="V1268">
        <v>2</v>
      </c>
      <c r="W1268">
        <v>1</v>
      </c>
    </row>
    <row r="1269" spans="1:23" x14ac:dyDescent="0.35">
      <c r="A1269" t="s">
        <v>436</v>
      </c>
      <c r="B1269" s="6">
        <v>45265</v>
      </c>
      <c r="D1269" t="s">
        <v>23</v>
      </c>
      <c r="E1269">
        <v>39</v>
      </c>
      <c r="F1269" t="s">
        <v>36</v>
      </c>
      <c r="G1269" t="s">
        <v>37</v>
      </c>
      <c r="H1269" t="s">
        <v>58</v>
      </c>
      <c r="I1269" t="s">
        <v>59</v>
      </c>
      <c r="J1269" t="s">
        <v>60</v>
      </c>
      <c r="K1269">
        <v>2</v>
      </c>
      <c r="L1269" t="s">
        <v>29</v>
      </c>
      <c r="M1269">
        <v>61000</v>
      </c>
      <c r="N1269">
        <v>0.7</v>
      </c>
      <c r="O1269">
        <v>5.3</v>
      </c>
      <c r="P1269">
        <v>2.1</v>
      </c>
      <c r="Q1269">
        <v>0.9</v>
      </c>
      <c r="R1269">
        <v>4</v>
      </c>
      <c r="S1269">
        <v>3</v>
      </c>
      <c r="T1269">
        <v>3</v>
      </c>
      <c r="U1269" t="s">
        <v>23</v>
      </c>
      <c r="V1269">
        <v>2</v>
      </c>
      <c r="W1269">
        <v>1</v>
      </c>
    </row>
    <row r="1270" spans="1:23" x14ac:dyDescent="0.35">
      <c r="A1270" t="s">
        <v>550</v>
      </c>
      <c r="B1270" s="6">
        <v>44302</v>
      </c>
      <c r="D1270" t="s">
        <v>23</v>
      </c>
      <c r="E1270">
        <v>41</v>
      </c>
      <c r="F1270" t="s">
        <v>62</v>
      </c>
      <c r="G1270" t="s">
        <v>25</v>
      </c>
      <c r="H1270" t="s">
        <v>26</v>
      </c>
      <c r="I1270" t="s">
        <v>59</v>
      </c>
      <c r="J1270" t="s">
        <v>86</v>
      </c>
      <c r="K1270">
        <v>1</v>
      </c>
      <c r="L1270" t="s">
        <v>50</v>
      </c>
      <c r="M1270">
        <v>31000</v>
      </c>
      <c r="N1270">
        <v>11.9</v>
      </c>
      <c r="O1270">
        <v>9.9</v>
      </c>
      <c r="P1270">
        <v>4.7</v>
      </c>
      <c r="Q1270">
        <v>2.6</v>
      </c>
      <c r="R1270">
        <v>3</v>
      </c>
      <c r="S1270">
        <v>2</v>
      </c>
      <c r="T1270">
        <v>2</v>
      </c>
      <c r="U1270" t="s">
        <v>23</v>
      </c>
      <c r="V1270">
        <v>2</v>
      </c>
      <c r="W1270">
        <v>1</v>
      </c>
    </row>
    <row r="1271" spans="1:23" x14ac:dyDescent="0.35">
      <c r="A1271" t="s">
        <v>161</v>
      </c>
      <c r="B1271" s="6">
        <v>45242</v>
      </c>
      <c r="D1271" t="s">
        <v>23</v>
      </c>
      <c r="E1271">
        <v>35</v>
      </c>
      <c r="F1271" t="s">
        <v>62</v>
      </c>
      <c r="G1271" t="s">
        <v>37</v>
      </c>
      <c r="H1271" t="s">
        <v>58</v>
      </c>
      <c r="I1271" t="s">
        <v>68</v>
      </c>
      <c r="J1271" t="s">
        <v>109</v>
      </c>
      <c r="K1271">
        <v>3</v>
      </c>
      <c r="L1271" t="s">
        <v>66</v>
      </c>
      <c r="M1271">
        <v>74000</v>
      </c>
      <c r="N1271">
        <v>4.0999999999999996</v>
      </c>
      <c r="O1271">
        <v>2.9</v>
      </c>
      <c r="P1271">
        <v>2.1</v>
      </c>
      <c r="Q1271">
        <v>1.7</v>
      </c>
      <c r="R1271">
        <v>2</v>
      </c>
      <c r="S1271">
        <v>4</v>
      </c>
      <c r="T1271">
        <v>3</v>
      </c>
      <c r="U1271" t="s">
        <v>23</v>
      </c>
      <c r="V1271">
        <v>3</v>
      </c>
      <c r="W1271">
        <v>1</v>
      </c>
    </row>
    <row r="1272" spans="1:23" x14ac:dyDescent="0.35">
      <c r="A1272" t="s">
        <v>1437</v>
      </c>
      <c r="B1272" s="6">
        <v>43623</v>
      </c>
      <c r="C1272">
        <v>45956</v>
      </c>
      <c r="D1272" t="s">
        <v>30</v>
      </c>
      <c r="E1272">
        <v>38</v>
      </c>
      <c r="F1272" t="s">
        <v>36</v>
      </c>
      <c r="G1272" t="s">
        <v>37</v>
      </c>
      <c r="H1272" t="s">
        <v>26</v>
      </c>
      <c r="I1272" t="s">
        <v>55</v>
      </c>
      <c r="J1272" t="s">
        <v>80</v>
      </c>
      <c r="K1272">
        <v>3</v>
      </c>
      <c r="L1272" t="s">
        <v>50</v>
      </c>
      <c r="M1272">
        <v>90000</v>
      </c>
      <c r="N1272">
        <v>8.4</v>
      </c>
      <c r="O1272">
        <v>7.3</v>
      </c>
      <c r="P1272">
        <v>6.4</v>
      </c>
      <c r="Q1272">
        <v>2</v>
      </c>
      <c r="R1272">
        <v>3</v>
      </c>
      <c r="S1272">
        <v>3</v>
      </c>
      <c r="T1272">
        <v>1</v>
      </c>
      <c r="U1272" t="s">
        <v>23</v>
      </c>
      <c r="V1272">
        <v>3</v>
      </c>
      <c r="W1272">
        <v>1</v>
      </c>
    </row>
    <row r="1273" spans="1:23" x14ac:dyDescent="0.35">
      <c r="A1273" t="s">
        <v>1353</v>
      </c>
      <c r="B1273" s="6">
        <v>42286</v>
      </c>
      <c r="D1273" t="s">
        <v>23</v>
      </c>
      <c r="E1273">
        <v>31</v>
      </c>
      <c r="F1273" t="s">
        <v>62</v>
      </c>
      <c r="G1273" t="s">
        <v>42</v>
      </c>
      <c r="H1273" t="s">
        <v>58</v>
      </c>
      <c r="I1273" t="s">
        <v>59</v>
      </c>
      <c r="J1273" t="s">
        <v>60</v>
      </c>
      <c r="K1273">
        <v>2</v>
      </c>
      <c r="L1273" t="s">
        <v>34</v>
      </c>
      <c r="M1273">
        <v>61000</v>
      </c>
      <c r="N1273">
        <v>7.7</v>
      </c>
      <c r="O1273">
        <v>14.1</v>
      </c>
      <c r="P1273">
        <v>10.199999999999999</v>
      </c>
      <c r="Q1273">
        <v>5</v>
      </c>
      <c r="R1273">
        <v>3</v>
      </c>
      <c r="S1273">
        <v>3</v>
      </c>
      <c r="T1273">
        <v>4</v>
      </c>
      <c r="U1273" t="s">
        <v>23</v>
      </c>
      <c r="V1273">
        <v>5</v>
      </c>
      <c r="W1273">
        <v>1</v>
      </c>
    </row>
    <row r="1274" spans="1:23" x14ac:dyDescent="0.35">
      <c r="A1274" t="s">
        <v>354</v>
      </c>
      <c r="B1274" s="6">
        <v>45405</v>
      </c>
      <c r="D1274" t="s">
        <v>23</v>
      </c>
      <c r="E1274">
        <v>38</v>
      </c>
      <c r="F1274" t="s">
        <v>24</v>
      </c>
      <c r="G1274" t="s">
        <v>37</v>
      </c>
      <c r="H1274" t="s">
        <v>32</v>
      </c>
      <c r="I1274" t="s">
        <v>45</v>
      </c>
      <c r="J1274" t="s">
        <v>77</v>
      </c>
      <c r="K1274">
        <v>3</v>
      </c>
      <c r="L1274" t="s">
        <v>50</v>
      </c>
      <c r="M1274">
        <v>70000</v>
      </c>
      <c r="N1274">
        <v>9.1</v>
      </c>
      <c r="O1274">
        <v>3.1</v>
      </c>
      <c r="P1274">
        <v>1.7</v>
      </c>
      <c r="Q1274">
        <v>1</v>
      </c>
      <c r="R1274">
        <v>2</v>
      </c>
      <c r="S1274">
        <v>3</v>
      </c>
      <c r="T1274">
        <v>3</v>
      </c>
      <c r="U1274" t="s">
        <v>23</v>
      </c>
      <c r="V1274">
        <v>2</v>
      </c>
      <c r="W1274">
        <v>1</v>
      </c>
    </row>
    <row r="1275" spans="1:23" x14ac:dyDescent="0.35">
      <c r="A1275" t="s">
        <v>1102</v>
      </c>
      <c r="B1275" s="6">
        <v>45216</v>
      </c>
      <c r="D1275" t="s">
        <v>23</v>
      </c>
      <c r="E1275">
        <v>33</v>
      </c>
      <c r="F1275" t="s">
        <v>62</v>
      </c>
      <c r="G1275" t="s">
        <v>37</v>
      </c>
      <c r="H1275" t="s">
        <v>26</v>
      </c>
      <c r="I1275" t="s">
        <v>68</v>
      </c>
      <c r="J1275" t="s">
        <v>102</v>
      </c>
      <c r="K1275">
        <v>1</v>
      </c>
      <c r="L1275" t="s">
        <v>34</v>
      </c>
      <c r="M1275">
        <v>36000</v>
      </c>
      <c r="N1275">
        <v>4.3</v>
      </c>
      <c r="O1275">
        <v>4.5</v>
      </c>
      <c r="P1275">
        <v>2.2000000000000002</v>
      </c>
      <c r="Q1275">
        <v>1.1000000000000001</v>
      </c>
      <c r="R1275">
        <v>2</v>
      </c>
      <c r="S1275">
        <v>3</v>
      </c>
      <c r="T1275">
        <v>4</v>
      </c>
      <c r="U1275" t="s">
        <v>30</v>
      </c>
      <c r="V1275">
        <v>4</v>
      </c>
      <c r="W1275">
        <v>1</v>
      </c>
    </row>
    <row r="1276" spans="1:23" x14ac:dyDescent="0.35">
      <c r="A1276" t="s">
        <v>390</v>
      </c>
      <c r="B1276" s="6">
        <v>42664</v>
      </c>
      <c r="D1276" t="s">
        <v>23</v>
      </c>
      <c r="E1276">
        <v>37</v>
      </c>
      <c r="F1276" t="s">
        <v>62</v>
      </c>
      <c r="G1276" t="s">
        <v>25</v>
      </c>
      <c r="H1276" t="s">
        <v>26</v>
      </c>
      <c r="I1276" t="s">
        <v>59</v>
      </c>
      <c r="J1276" t="s">
        <v>60</v>
      </c>
      <c r="K1276">
        <v>2</v>
      </c>
      <c r="L1276" t="s">
        <v>50</v>
      </c>
      <c r="M1276">
        <v>38000</v>
      </c>
      <c r="N1276">
        <v>9.8000000000000007</v>
      </c>
      <c r="O1276">
        <v>13.8</v>
      </c>
      <c r="P1276">
        <v>9.1999999999999993</v>
      </c>
      <c r="Q1276">
        <v>3.2</v>
      </c>
      <c r="R1276">
        <v>3</v>
      </c>
      <c r="S1276">
        <v>3</v>
      </c>
      <c r="T1276">
        <v>3</v>
      </c>
      <c r="U1276" t="s">
        <v>23</v>
      </c>
      <c r="V1276">
        <v>3</v>
      </c>
      <c r="W1276">
        <v>1</v>
      </c>
    </row>
    <row r="1277" spans="1:23" x14ac:dyDescent="0.35">
      <c r="A1277" t="s">
        <v>970</v>
      </c>
      <c r="B1277" s="6">
        <v>45823</v>
      </c>
      <c r="C1277">
        <v>45884</v>
      </c>
      <c r="D1277" t="s">
        <v>30</v>
      </c>
      <c r="E1277">
        <v>33</v>
      </c>
      <c r="F1277" t="s">
        <v>24</v>
      </c>
      <c r="G1277" t="s">
        <v>37</v>
      </c>
      <c r="H1277" t="s">
        <v>26</v>
      </c>
      <c r="I1277" t="s">
        <v>55</v>
      </c>
      <c r="J1277" t="s">
        <v>80</v>
      </c>
      <c r="K1277">
        <v>2</v>
      </c>
      <c r="L1277" t="s">
        <v>84</v>
      </c>
      <c r="M1277">
        <v>71000</v>
      </c>
      <c r="N1277">
        <v>10.3</v>
      </c>
      <c r="O1277">
        <v>2.9</v>
      </c>
      <c r="P1277">
        <v>0.2</v>
      </c>
      <c r="Q1277">
        <v>0</v>
      </c>
      <c r="R1277">
        <v>2</v>
      </c>
      <c r="S1277">
        <v>2</v>
      </c>
      <c r="T1277">
        <v>3</v>
      </c>
      <c r="U1277" t="s">
        <v>23</v>
      </c>
      <c r="V1277">
        <v>4</v>
      </c>
      <c r="W1277">
        <v>1</v>
      </c>
    </row>
    <row r="1278" spans="1:23" x14ac:dyDescent="0.35">
      <c r="A1278" t="s">
        <v>1083</v>
      </c>
      <c r="B1278" s="6">
        <v>45233</v>
      </c>
      <c r="D1278" t="s">
        <v>23</v>
      </c>
      <c r="E1278">
        <v>26</v>
      </c>
      <c r="F1278" t="s">
        <v>36</v>
      </c>
      <c r="G1278" t="s">
        <v>25</v>
      </c>
      <c r="H1278" t="s">
        <v>32</v>
      </c>
      <c r="I1278" t="s">
        <v>45</v>
      </c>
      <c r="J1278" t="s">
        <v>164</v>
      </c>
      <c r="K1278">
        <v>1</v>
      </c>
      <c r="L1278" t="s">
        <v>29</v>
      </c>
      <c r="M1278">
        <v>33000</v>
      </c>
      <c r="N1278">
        <v>9.3000000000000007</v>
      </c>
      <c r="O1278">
        <v>4</v>
      </c>
      <c r="P1278">
        <v>2.2000000000000002</v>
      </c>
      <c r="Q1278">
        <v>1.6</v>
      </c>
      <c r="R1278">
        <v>2</v>
      </c>
      <c r="S1278">
        <v>4</v>
      </c>
      <c r="T1278">
        <v>3</v>
      </c>
      <c r="U1278" t="s">
        <v>30</v>
      </c>
      <c r="V1278">
        <v>2</v>
      </c>
      <c r="W1278">
        <v>1</v>
      </c>
    </row>
    <row r="1279" spans="1:23" x14ac:dyDescent="0.35">
      <c r="A1279" t="s">
        <v>583</v>
      </c>
      <c r="B1279" s="6">
        <v>44212</v>
      </c>
      <c r="D1279" t="s">
        <v>23</v>
      </c>
      <c r="E1279">
        <v>40</v>
      </c>
      <c r="F1279" t="s">
        <v>24</v>
      </c>
      <c r="G1279" t="s">
        <v>25</v>
      </c>
      <c r="H1279" t="s">
        <v>54</v>
      </c>
      <c r="I1279" t="s">
        <v>59</v>
      </c>
      <c r="J1279" t="s">
        <v>75</v>
      </c>
      <c r="K1279">
        <v>1</v>
      </c>
      <c r="L1279" t="s">
        <v>29</v>
      </c>
      <c r="M1279">
        <v>54000</v>
      </c>
      <c r="N1279">
        <v>8.9</v>
      </c>
      <c r="O1279">
        <v>8.4</v>
      </c>
      <c r="P1279">
        <v>5</v>
      </c>
      <c r="Q1279">
        <v>1.2</v>
      </c>
      <c r="R1279">
        <v>2</v>
      </c>
      <c r="S1279">
        <v>2</v>
      </c>
      <c r="T1279">
        <v>4</v>
      </c>
      <c r="U1279" t="s">
        <v>23</v>
      </c>
      <c r="V1279">
        <v>5</v>
      </c>
      <c r="W1279">
        <v>1</v>
      </c>
    </row>
    <row r="1280" spans="1:23" x14ac:dyDescent="0.35">
      <c r="A1280" t="s">
        <v>1421</v>
      </c>
      <c r="B1280" s="6">
        <v>43846</v>
      </c>
      <c r="D1280" t="s">
        <v>23</v>
      </c>
      <c r="E1280">
        <v>34</v>
      </c>
      <c r="F1280" t="s">
        <v>36</v>
      </c>
      <c r="G1280" t="s">
        <v>37</v>
      </c>
      <c r="H1280" t="s">
        <v>54</v>
      </c>
      <c r="I1280" t="s">
        <v>59</v>
      </c>
      <c r="J1280" t="s">
        <v>86</v>
      </c>
      <c r="K1280">
        <v>2</v>
      </c>
      <c r="L1280" t="s">
        <v>34</v>
      </c>
      <c r="M1280">
        <v>45000</v>
      </c>
      <c r="N1280">
        <v>1.7</v>
      </c>
      <c r="O1280">
        <v>6.9</v>
      </c>
      <c r="P1280">
        <v>6</v>
      </c>
      <c r="Q1280">
        <v>3.8</v>
      </c>
      <c r="R1280">
        <v>2</v>
      </c>
      <c r="S1280">
        <v>3</v>
      </c>
      <c r="T1280">
        <v>4</v>
      </c>
      <c r="U1280" t="s">
        <v>23</v>
      </c>
      <c r="V1280">
        <v>4</v>
      </c>
      <c r="W1280">
        <v>1</v>
      </c>
    </row>
    <row r="1281" spans="1:23" x14ac:dyDescent="0.35">
      <c r="A1281" t="s">
        <v>1038</v>
      </c>
      <c r="B1281" s="6">
        <v>45485</v>
      </c>
      <c r="C1281">
        <v>45696</v>
      </c>
      <c r="D1281" t="s">
        <v>30</v>
      </c>
      <c r="E1281">
        <v>23</v>
      </c>
      <c r="F1281" t="s">
        <v>62</v>
      </c>
      <c r="G1281" t="s">
        <v>37</v>
      </c>
      <c r="H1281" t="s">
        <v>26</v>
      </c>
      <c r="I1281" t="s">
        <v>38</v>
      </c>
      <c r="J1281" t="s">
        <v>139</v>
      </c>
      <c r="K1281">
        <v>1</v>
      </c>
      <c r="L1281" t="s">
        <v>29</v>
      </c>
      <c r="M1281">
        <v>53000</v>
      </c>
      <c r="N1281">
        <v>8.5</v>
      </c>
      <c r="O1281">
        <v>2.1</v>
      </c>
      <c r="P1281">
        <v>0.6</v>
      </c>
      <c r="Q1281">
        <v>0</v>
      </c>
      <c r="R1281">
        <v>4</v>
      </c>
      <c r="S1281">
        <v>4</v>
      </c>
      <c r="T1281">
        <v>2</v>
      </c>
      <c r="U1281" t="s">
        <v>23</v>
      </c>
      <c r="V1281">
        <v>3</v>
      </c>
      <c r="W1281">
        <v>1</v>
      </c>
    </row>
    <row r="1282" spans="1:23" x14ac:dyDescent="0.35">
      <c r="A1282" t="s">
        <v>153</v>
      </c>
      <c r="B1282" s="6">
        <v>45114</v>
      </c>
      <c r="C1282">
        <v>45902</v>
      </c>
      <c r="D1282" t="s">
        <v>30</v>
      </c>
      <c r="E1282">
        <v>39</v>
      </c>
      <c r="F1282" t="s">
        <v>36</v>
      </c>
      <c r="G1282" t="s">
        <v>42</v>
      </c>
      <c r="H1282" t="s">
        <v>54</v>
      </c>
      <c r="I1282" t="s">
        <v>27</v>
      </c>
      <c r="J1282" t="s">
        <v>95</v>
      </c>
      <c r="K1282">
        <v>2</v>
      </c>
      <c r="L1282" t="s">
        <v>50</v>
      </c>
      <c r="M1282">
        <v>41000</v>
      </c>
      <c r="N1282">
        <v>5.9</v>
      </c>
      <c r="O1282">
        <v>4.8</v>
      </c>
      <c r="P1282">
        <v>2.2000000000000002</v>
      </c>
      <c r="Q1282">
        <v>2.1</v>
      </c>
      <c r="R1282">
        <v>3</v>
      </c>
      <c r="S1282">
        <v>3</v>
      </c>
      <c r="T1282">
        <v>3</v>
      </c>
      <c r="U1282" t="s">
        <v>23</v>
      </c>
      <c r="V1282">
        <v>3</v>
      </c>
      <c r="W1282">
        <v>1</v>
      </c>
    </row>
    <row r="1283" spans="1:23" x14ac:dyDescent="0.35">
      <c r="A1283" t="s">
        <v>318</v>
      </c>
      <c r="B1283" s="6">
        <v>43224</v>
      </c>
      <c r="C1283">
        <v>45933</v>
      </c>
      <c r="D1283" t="s">
        <v>30</v>
      </c>
      <c r="E1283">
        <v>40</v>
      </c>
      <c r="F1283" t="s">
        <v>24</v>
      </c>
      <c r="G1283" t="s">
        <v>42</v>
      </c>
      <c r="H1283" t="s">
        <v>54</v>
      </c>
      <c r="I1283" t="s">
        <v>45</v>
      </c>
      <c r="J1283" t="s">
        <v>164</v>
      </c>
      <c r="K1283">
        <v>2</v>
      </c>
      <c r="L1283" t="s">
        <v>34</v>
      </c>
      <c r="M1283">
        <v>54000</v>
      </c>
      <c r="N1283">
        <v>10</v>
      </c>
      <c r="O1283">
        <v>11.6</v>
      </c>
      <c r="P1283">
        <v>7.4</v>
      </c>
      <c r="Q1283">
        <v>5.0999999999999996</v>
      </c>
      <c r="R1283">
        <v>3</v>
      </c>
      <c r="S1283">
        <v>4</v>
      </c>
      <c r="T1283">
        <v>2</v>
      </c>
      <c r="U1283" t="s">
        <v>23</v>
      </c>
      <c r="V1283">
        <v>2</v>
      </c>
      <c r="W1283">
        <v>1</v>
      </c>
    </row>
    <row r="1284" spans="1:23" x14ac:dyDescent="0.35">
      <c r="A1284" t="s">
        <v>382</v>
      </c>
      <c r="B1284" s="6">
        <v>42944</v>
      </c>
      <c r="D1284" t="s">
        <v>23</v>
      </c>
      <c r="E1284">
        <v>36</v>
      </c>
      <c r="F1284" t="s">
        <v>62</v>
      </c>
      <c r="H1284" t="s">
        <v>26</v>
      </c>
      <c r="I1284" t="s">
        <v>38</v>
      </c>
      <c r="J1284" t="s">
        <v>52</v>
      </c>
      <c r="K1284">
        <v>4</v>
      </c>
      <c r="L1284" t="s">
        <v>29</v>
      </c>
      <c r="M1284">
        <v>126000</v>
      </c>
      <c r="N1284">
        <v>4.9000000000000004</v>
      </c>
      <c r="O1284">
        <v>12.7</v>
      </c>
      <c r="P1284">
        <v>8.4</v>
      </c>
      <c r="Q1284">
        <v>1.5</v>
      </c>
      <c r="R1284">
        <v>3</v>
      </c>
      <c r="S1284">
        <v>3</v>
      </c>
      <c r="T1284">
        <v>3</v>
      </c>
      <c r="U1284" t="s">
        <v>23</v>
      </c>
      <c r="V1284">
        <v>3</v>
      </c>
      <c r="W1284">
        <v>1</v>
      </c>
    </row>
    <row r="1285" spans="1:23" x14ac:dyDescent="0.35">
      <c r="A1285" t="s">
        <v>624</v>
      </c>
      <c r="B1285" s="6">
        <v>44709</v>
      </c>
      <c r="D1285" t="s">
        <v>23</v>
      </c>
      <c r="E1285">
        <v>25</v>
      </c>
      <c r="F1285" t="s">
        <v>24</v>
      </c>
      <c r="G1285" t="s">
        <v>42</v>
      </c>
      <c r="H1285" t="s">
        <v>54</v>
      </c>
      <c r="I1285" t="s">
        <v>59</v>
      </c>
      <c r="J1285" t="s">
        <v>86</v>
      </c>
      <c r="K1285">
        <v>1</v>
      </c>
      <c r="L1285" t="s">
        <v>40</v>
      </c>
      <c r="M1285">
        <v>34000</v>
      </c>
      <c r="N1285">
        <v>7.1</v>
      </c>
      <c r="O1285">
        <v>7.9</v>
      </c>
      <c r="P1285">
        <v>3.6</v>
      </c>
      <c r="Q1285">
        <v>2.7</v>
      </c>
      <c r="R1285">
        <v>3</v>
      </c>
      <c r="S1285">
        <v>3</v>
      </c>
      <c r="T1285">
        <v>3</v>
      </c>
      <c r="U1285" t="s">
        <v>23</v>
      </c>
      <c r="V1285">
        <v>4</v>
      </c>
      <c r="W1285">
        <v>1</v>
      </c>
    </row>
    <row r="1286" spans="1:23" x14ac:dyDescent="0.35">
      <c r="A1286" t="s">
        <v>1583</v>
      </c>
      <c r="B1286" s="6">
        <v>44958</v>
      </c>
      <c r="D1286" t="s">
        <v>23</v>
      </c>
      <c r="E1286">
        <v>33</v>
      </c>
      <c r="F1286" t="s">
        <v>36</v>
      </c>
      <c r="G1286" t="s">
        <v>42</v>
      </c>
      <c r="H1286" t="s">
        <v>54</v>
      </c>
      <c r="I1286" t="s">
        <v>68</v>
      </c>
      <c r="J1286" t="s">
        <v>109</v>
      </c>
      <c r="K1286">
        <v>2</v>
      </c>
      <c r="M1286">
        <v>40000</v>
      </c>
      <c r="N1286">
        <v>8.5</v>
      </c>
      <c r="O1286">
        <v>9</v>
      </c>
      <c r="P1286">
        <v>2.9</v>
      </c>
      <c r="Q1286">
        <v>2.1</v>
      </c>
      <c r="R1286">
        <v>3</v>
      </c>
      <c r="S1286">
        <v>4</v>
      </c>
      <c r="T1286">
        <v>3</v>
      </c>
      <c r="U1286" t="s">
        <v>30</v>
      </c>
      <c r="V1286">
        <v>4</v>
      </c>
      <c r="W1286">
        <v>1</v>
      </c>
    </row>
    <row r="1287" spans="1:23" x14ac:dyDescent="0.35">
      <c r="A1287" t="s">
        <v>1459</v>
      </c>
      <c r="B1287" s="6">
        <v>41689</v>
      </c>
      <c r="D1287" t="s">
        <v>23</v>
      </c>
      <c r="E1287">
        <v>45</v>
      </c>
      <c r="F1287" t="s">
        <v>62</v>
      </c>
      <c r="G1287" t="s">
        <v>25</v>
      </c>
      <c r="H1287" t="s">
        <v>54</v>
      </c>
      <c r="I1287" t="s">
        <v>59</v>
      </c>
      <c r="J1287" t="s">
        <v>60</v>
      </c>
      <c r="K1287">
        <v>2</v>
      </c>
      <c r="L1287" t="s">
        <v>84</v>
      </c>
      <c r="M1287">
        <v>46000</v>
      </c>
      <c r="N1287">
        <v>2.7</v>
      </c>
      <c r="O1287">
        <v>15</v>
      </c>
      <c r="P1287">
        <v>11.9</v>
      </c>
      <c r="Q1287">
        <v>0.1</v>
      </c>
      <c r="R1287">
        <v>4</v>
      </c>
      <c r="S1287">
        <v>1</v>
      </c>
      <c r="T1287">
        <v>4</v>
      </c>
      <c r="U1287" t="s">
        <v>23</v>
      </c>
      <c r="V1287">
        <v>3</v>
      </c>
      <c r="W1287">
        <v>1</v>
      </c>
    </row>
    <row r="1288" spans="1:23" x14ac:dyDescent="0.35">
      <c r="A1288" t="s">
        <v>1409</v>
      </c>
      <c r="B1288" s="6">
        <v>45237</v>
      </c>
      <c r="D1288" t="s">
        <v>23</v>
      </c>
      <c r="E1288">
        <v>23</v>
      </c>
      <c r="F1288" t="s">
        <v>36</v>
      </c>
      <c r="G1288" t="s">
        <v>42</v>
      </c>
      <c r="H1288" t="s">
        <v>32</v>
      </c>
      <c r="I1288" t="s">
        <v>27</v>
      </c>
      <c r="J1288" t="s">
        <v>28</v>
      </c>
      <c r="K1288">
        <v>1</v>
      </c>
      <c r="L1288" t="s">
        <v>84</v>
      </c>
      <c r="M1288">
        <v>28000</v>
      </c>
      <c r="N1288">
        <v>8</v>
      </c>
      <c r="O1288">
        <v>9.8000000000000007</v>
      </c>
      <c r="P1288">
        <v>2.1</v>
      </c>
      <c r="Q1288">
        <v>0.4</v>
      </c>
      <c r="R1288">
        <v>3</v>
      </c>
      <c r="S1288">
        <v>3</v>
      </c>
      <c r="T1288">
        <v>3</v>
      </c>
      <c r="U1288" t="s">
        <v>23</v>
      </c>
      <c r="V1288">
        <v>3</v>
      </c>
      <c r="W1288">
        <v>1</v>
      </c>
    </row>
    <row r="1289" spans="1:23" x14ac:dyDescent="0.35">
      <c r="A1289" t="s">
        <v>1546</v>
      </c>
      <c r="B1289" s="6">
        <v>43221</v>
      </c>
      <c r="D1289" t="s">
        <v>23</v>
      </c>
      <c r="E1289">
        <v>38</v>
      </c>
      <c r="F1289" t="s">
        <v>36</v>
      </c>
      <c r="G1289" t="s">
        <v>42</v>
      </c>
      <c r="H1289" t="s">
        <v>26</v>
      </c>
      <c r="I1289" t="s">
        <v>59</v>
      </c>
      <c r="J1289" t="s">
        <v>60</v>
      </c>
      <c r="K1289">
        <v>3</v>
      </c>
      <c r="L1289" t="s">
        <v>66</v>
      </c>
      <c r="M1289">
        <v>69000</v>
      </c>
      <c r="N1289">
        <v>7.9</v>
      </c>
      <c r="O1289">
        <v>11.9</v>
      </c>
      <c r="P1289">
        <v>7.7</v>
      </c>
      <c r="Q1289">
        <v>6</v>
      </c>
      <c r="R1289">
        <v>4</v>
      </c>
      <c r="S1289">
        <v>3</v>
      </c>
      <c r="T1289">
        <v>3</v>
      </c>
      <c r="U1289" t="s">
        <v>30</v>
      </c>
      <c r="V1289">
        <v>1</v>
      </c>
      <c r="W1289">
        <v>1</v>
      </c>
    </row>
    <row r="1290" spans="1:23" x14ac:dyDescent="0.35">
      <c r="A1290" t="s">
        <v>762</v>
      </c>
      <c r="B1290" s="6">
        <v>44517</v>
      </c>
      <c r="D1290" t="s">
        <v>23</v>
      </c>
      <c r="E1290">
        <v>34</v>
      </c>
      <c r="F1290" t="s">
        <v>62</v>
      </c>
      <c r="G1290" t="s">
        <v>37</v>
      </c>
      <c r="H1290" t="s">
        <v>26</v>
      </c>
      <c r="I1290" t="s">
        <v>55</v>
      </c>
      <c r="J1290" t="s">
        <v>80</v>
      </c>
      <c r="K1290">
        <v>4</v>
      </c>
      <c r="L1290" t="s">
        <v>66</v>
      </c>
      <c r="M1290">
        <v>130000</v>
      </c>
      <c r="N1290">
        <v>10.7</v>
      </c>
      <c r="O1290">
        <v>5.4</v>
      </c>
      <c r="P1290">
        <v>4.0999999999999996</v>
      </c>
      <c r="Q1290">
        <v>0.6</v>
      </c>
      <c r="R1290">
        <v>4</v>
      </c>
      <c r="S1290">
        <v>3</v>
      </c>
      <c r="T1290">
        <v>3</v>
      </c>
      <c r="U1290" t="s">
        <v>30</v>
      </c>
      <c r="V1290">
        <v>3</v>
      </c>
      <c r="W1290">
        <v>1</v>
      </c>
    </row>
    <row r="1291" spans="1:23" x14ac:dyDescent="0.35">
      <c r="A1291" t="s">
        <v>195</v>
      </c>
      <c r="B1291" s="6">
        <v>44833</v>
      </c>
      <c r="C1291">
        <v>45934</v>
      </c>
      <c r="D1291" t="s">
        <v>30</v>
      </c>
      <c r="E1291">
        <v>36</v>
      </c>
      <c r="F1291" t="s">
        <v>62</v>
      </c>
      <c r="G1291" t="s">
        <v>25</v>
      </c>
      <c r="H1291" t="s">
        <v>32</v>
      </c>
      <c r="I1291" t="s">
        <v>55</v>
      </c>
      <c r="J1291" t="s">
        <v>88</v>
      </c>
      <c r="K1291">
        <v>3</v>
      </c>
      <c r="L1291" t="s">
        <v>66</v>
      </c>
      <c r="M1291">
        <v>94000</v>
      </c>
      <c r="N1291">
        <v>2.7</v>
      </c>
      <c r="O1291">
        <v>7.6</v>
      </c>
      <c r="P1291">
        <v>3</v>
      </c>
      <c r="Q1291">
        <v>0.6</v>
      </c>
      <c r="R1291">
        <v>4</v>
      </c>
      <c r="S1291">
        <v>3</v>
      </c>
      <c r="T1291">
        <v>1</v>
      </c>
      <c r="U1291" t="s">
        <v>23</v>
      </c>
      <c r="V1291">
        <v>3</v>
      </c>
      <c r="W1291">
        <v>1</v>
      </c>
    </row>
    <row r="1292" spans="1:23" x14ac:dyDescent="0.35">
      <c r="A1292" t="s">
        <v>903</v>
      </c>
      <c r="B1292" s="6">
        <v>42261</v>
      </c>
      <c r="D1292" t="s">
        <v>23</v>
      </c>
      <c r="E1292">
        <v>36</v>
      </c>
      <c r="F1292" t="s">
        <v>24</v>
      </c>
      <c r="G1292" t="s">
        <v>37</v>
      </c>
      <c r="H1292" t="s">
        <v>26</v>
      </c>
      <c r="I1292" t="s">
        <v>27</v>
      </c>
      <c r="J1292" t="s">
        <v>33</v>
      </c>
      <c r="K1292">
        <v>2</v>
      </c>
      <c r="L1292" t="s">
        <v>40</v>
      </c>
      <c r="M1292">
        <v>57000</v>
      </c>
      <c r="N1292">
        <v>6.2</v>
      </c>
      <c r="O1292">
        <v>17.2</v>
      </c>
      <c r="P1292">
        <v>10.3</v>
      </c>
      <c r="Q1292">
        <v>0.1</v>
      </c>
      <c r="R1292">
        <v>3</v>
      </c>
      <c r="S1292">
        <v>4</v>
      </c>
      <c r="T1292">
        <v>3</v>
      </c>
      <c r="U1292" t="s">
        <v>23</v>
      </c>
      <c r="V1292">
        <v>3</v>
      </c>
      <c r="W1292">
        <v>1</v>
      </c>
    </row>
    <row r="1293" spans="1:23" x14ac:dyDescent="0.35">
      <c r="A1293" t="s">
        <v>1285</v>
      </c>
      <c r="B1293" s="6">
        <v>43499</v>
      </c>
      <c r="D1293" t="s">
        <v>23</v>
      </c>
      <c r="E1293">
        <v>29</v>
      </c>
      <c r="F1293" t="s">
        <v>36</v>
      </c>
      <c r="G1293" t="s">
        <v>37</v>
      </c>
      <c r="H1293" t="s">
        <v>58</v>
      </c>
      <c r="I1293" t="s">
        <v>38</v>
      </c>
      <c r="J1293" t="s">
        <v>39</v>
      </c>
      <c r="K1293">
        <v>3</v>
      </c>
      <c r="L1293" t="s">
        <v>66</v>
      </c>
      <c r="M1293">
        <v>91000</v>
      </c>
      <c r="N1293">
        <v>13.1</v>
      </c>
      <c r="O1293">
        <v>11.7</v>
      </c>
      <c r="P1293">
        <v>6.9</v>
      </c>
      <c r="Q1293">
        <v>3.9</v>
      </c>
      <c r="R1293">
        <v>3</v>
      </c>
      <c r="S1293">
        <v>1</v>
      </c>
      <c r="T1293">
        <v>4</v>
      </c>
      <c r="U1293" t="s">
        <v>23</v>
      </c>
      <c r="V1293">
        <v>3</v>
      </c>
      <c r="W1293">
        <v>1</v>
      </c>
    </row>
    <row r="1294" spans="1:23" x14ac:dyDescent="0.35">
      <c r="A1294" t="s">
        <v>1222</v>
      </c>
      <c r="B1294" s="6">
        <v>43071</v>
      </c>
      <c r="D1294" t="s">
        <v>23</v>
      </c>
      <c r="E1294">
        <v>39</v>
      </c>
      <c r="F1294" t="s">
        <v>62</v>
      </c>
      <c r="G1294" t="s">
        <v>42</v>
      </c>
      <c r="H1294" t="s">
        <v>32</v>
      </c>
      <c r="I1294" t="s">
        <v>55</v>
      </c>
      <c r="J1294" t="s">
        <v>80</v>
      </c>
      <c r="K1294">
        <v>5</v>
      </c>
      <c r="L1294" t="s">
        <v>34</v>
      </c>
      <c r="M1294">
        <v>180000</v>
      </c>
      <c r="N1294">
        <v>8.5</v>
      </c>
      <c r="O1294">
        <v>8.5</v>
      </c>
      <c r="P1294">
        <v>8.1</v>
      </c>
      <c r="Q1294">
        <v>4.5999999999999996</v>
      </c>
      <c r="R1294">
        <v>3</v>
      </c>
      <c r="S1294">
        <v>4</v>
      </c>
      <c r="T1294">
        <v>4</v>
      </c>
      <c r="U1294" t="s">
        <v>23</v>
      </c>
      <c r="V1294">
        <v>4</v>
      </c>
      <c r="W1294">
        <v>1</v>
      </c>
    </row>
    <row r="1295" spans="1:23" x14ac:dyDescent="0.35">
      <c r="A1295" t="s">
        <v>1052</v>
      </c>
      <c r="B1295" s="6">
        <v>43216</v>
      </c>
      <c r="D1295" t="s">
        <v>23</v>
      </c>
      <c r="E1295">
        <v>38</v>
      </c>
      <c r="F1295" t="s">
        <v>62</v>
      </c>
      <c r="G1295" t="s">
        <v>25</v>
      </c>
      <c r="H1295" t="s">
        <v>26</v>
      </c>
      <c r="I1295" t="s">
        <v>45</v>
      </c>
      <c r="J1295" t="s">
        <v>164</v>
      </c>
      <c r="K1295">
        <v>1</v>
      </c>
      <c r="L1295" t="s">
        <v>34</v>
      </c>
      <c r="M1295">
        <v>34000</v>
      </c>
      <c r="N1295">
        <v>18.100000000000001</v>
      </c>
      <c r="O1295">
        <v>8.1</v>
      </c>
      <c r="P1295">
        <v>7.7</v>
      </c>
      <c r="Q1295">
        <v>1.6</v>
      </c>
      <c r="R1295">
        <v>3</v>
      </c>
      <c r="S1295">
        <v>3</v>
      </c>
      <c r="T1295">
        <v>4</v>
      </c>
      <c r="U1295" t="s">
        <v>30</v>
      </c>
      <c r="V1295">
        <v>3</v>
      </c>
      <c r="W1295">
        <v>1</v>
      </c>
    </row>
    <row r="1296" spans="1:23" x14ac:dyDescent="0.35">
      <c r="A1296" t="s">
        <v>140</v>
      </c>
      <c r="B1296" s="6">
        <v>41833</v>
      </c>
      <c r="D1296" t="s">
        <v>23</v>
      </c>
      <c r="E1296">
        <v>37</v>
      </c>
      <c r="F1296" t="s">
        <v>24</v>
      </c>
      <c r="G1296" t="s">
        <v>42</v>
      </c>
      <c r="H1296" t="s">
        <v>58</v>
      </c>
      <c r="I1296" t="s">
        <v>48</v>
      </c>
      <c r="J1296" t="s">
        <v>129</v>
      </c>
      <c r="K1296">
        <v>3</v>
      </c>
      <c r="L1296" t="s">
        <v>66</v>
      </c>
      <c r="M1296">
        <v>75000</v>
      </c>
      <c r="N1296">
        <v>5.5</v>
      </c>
      <c r="O1296">
        <v>14.5</v>
      </c>
      <c r="P1296">
        <v>11.5</v>
      </c>
      <c r="Q1296">
        <v>1.8</v>
      </c>
      <c r="R1296">
        <v>4</v>
      </c>
      <c r="S1296">
        <v>1</v>
      </c>
      <c r="T1296">
        <v>2</v>
      </c>
      <c r="U1296" t="s">
        <v>23</v>
      </c>
      <c r="V1296">
        <v>4</v>
      </c>
      <c r="W1296">
        <v>1</v>
      </c>
    </row>
    <row r="1297" spans="1:23" x14ac:dyDescent="0.35">
      <c r="A1297" t="s">
        <v>1296</v>
      </c>
      <c r="B1297" s="6">
        <v>45328</v>
      </c>
      <c r="D1297" t="s">
        <v>23</v>
      </c>
      <c r="E1297">
        <v>34</v>
      </c>
      <c r="F1297" t="s">
        <v>62</v>
      </c>
      <c r="G1297" t="s">
        <v>25</v>
      </c>
      <c r="H1297" t="s">
        <v>58</v>
      </c>
      <c r="I1297" t="s">
        <v>459</v>
      </c>
      <c r="J1297" t="s">
        <v>33</v>
      </c>
      <c r="K1297">
        <v>4</v>
      </c>
      <c r="L1297" t="s">
        <v>34</v>
      </c>
      <c r="M1297">
        <v>132000</v>
      </c>
      <c r="N1297">
        <v>8.3000000000000007</v>
      </c>
      <c r="O1297">
        <v>8.6999999999999993</v>
      </c>
      <c r="P1297">
        <v>1.9</v>
      </c>
      <c r="Q1297">
        <v>0.2</v>
      </c>
      <c r="R1297">
        <v>4</v>
      </c>
      <c r="S1297">
        <v>1</v>
      </c>
      <c r="T1297">
        <v>2</v>
      </c>
      <c r="U1297" t="s">
        <v>23</v>
      </c>
      <c r="V1297">
        <v>5</v>
      </c>
      <c r="W1297">
        <v>1</v>
      </c>
    </row>
    <row r="1298" spans="1:23" x14ac:dyDescent="0.35">
      <c r="A1298" t="s">
        <v>530</v>
      </c>
      <c r="B1298" s="6">
        <v>44600</v>
      </c>
      <c r="D1298" t="s">
        <v>23</v>
      </c>
      <c r="E1298">
        <v>35</v>
      </c>
      <c r="F1298" t="s">
        <v>24</v>
      </c>
      <c r="G1298" t="s">
        <v>25</v>
      </c>
      <c r="H1298" t="s">
        <v>32</v>
      </c>
      <c r="I1298" t="s">
        <v>59</v>
      </c>
      <c r="J1298" t="s">
        <v>75</v>
      </c>
      <c r="K1298">
        <v>2</v>
      </c>
      <c r="L1298" t="s">
        <v>84</v>
      </c>
      <c r="M1298">
        <v>33000</v>
      </c>
      <c r="N1298">
        <v>8.6</v>
      </c>
      <c r="O1298">
        <v>10.199999999999999</v>
      </c>
      <c r="P1298">
        <v>3.9</v>
      </c>
      <c r="Q1298">
        <v>1.5</v>
      </c>
      <c r="R1298">
        <v>3</v>
      </c>
      <c r="S1298">
        <v>2</v>
      </c>
      <c r="T1298">
        <v>3</v>
      </c>
      <c r="U1298" t="s">
        <v>23</v>
      </c>
      <c r="V1298">
        <v>3</v>
      </c>
      <c r="W1298">
        <v>1</v>
      </c>
    </row>
    <row r="1299" spans="1:23" x14ac:dyDescent="0.35">
      <c r="A1299" t="s">
        <v>262</v>
      </c>
      <c r="B1299" s="6">
        <v>41770</v>
      </c>
      <c r="D1299" t="s">
        <v>23</v>
      </c>
      <c r="E1299">
        <v>39</v>
      </c>
      <c r="F1299" t="s">
        <v>36</v>
      </c>
      <c r="G1299" t="s">
        <v>37</v>
      </c>
      <c r="H1299" t="s">
        <v>32</v>
      </c>
      <c r="I1299" t="s">
        <v>38</v>
      </c>
      <c r="J1299" t="s">
        <v>52</v>
      </c>
      <c r="K1299">
        <v>4</v>
      </c>
      <c r="L1299" t="s">
        <v>50</v>
      </c>
      <c r="M1299">
        <v>133000</v>
      </c>
      <c r="N1299">
        <v>7</v>
      </c>
      <c r="O1299">
        <v>13</v>
      </c>
      <c r="P1299">
        <v>11.6</v>
      </c>
      <c r="Q1299">
        <v>5</v>
      </c>
      <c r="R1299">
        <v>3</v>
      </c>
      <c r="S1299">
        <v>4</v>
      </c>
      <c r="T1299">
        <v>1</v>
      </c>
      <c r="U1299" t="s">
        <v>23</v>
      </c>
      <c r="V1299">
        <v>4</v>
      </c>
      <c r="W1299">
        <v>1</v>
      </c>
    </row>
    <row r="1300" spans="1:23" x14ac:dyDescent="0.35">
      <c r="A1300" t="s">
        <v>688</v>
      </c>
      <c r="B1300" s="6">
        <v>43722</v>
      </c>
      <c r="C1300">
        <v>45895</v>
      </c>
      <c r="D1300" t="s">
        <v>30</v>
      </c>
      <c r="E1300">
        <v>28</v>
      </c>
      <c r="F1300" t="s">
        <v>62</v>
      </c>
      <c r="G1300" t="s">
        <v>42</v>
      </c>
      <c r="H1300" t="s">
        <v>58</v>
      </c>
      <c r="I1300" t="s">
        <v>59</v>
      </c>
      <c r="J1300" t="s">
        <v>75</v>
      </c>
      <c r="K1300">
        <v>4</v>
      </c>
      <c r="L1300" t="s">
        <v>29</v>
      </c>
      <c r="M1300">
        <v>98000</v>
      </c>
      <c r="O1300">
        <v>9.9</v>
      </c>
      <c r="P1300">
        <v>5.9</v>
      </c>
      <c r="Q1300">
        <v>2.5</v>
      </c>
      <c r="R1300">
        <v>4</v>
      </c>
      <c r="S1300">
        <v>3</v>
      </c>
      <c r="T1300">
        <v>3</v>
      </c>
      <c r="U1300" t="s">
        <v>30</v>
      </c>
      <c r="V1300">
        <v>4</v>
      </c>
      <c r="W1300">
        <v>1</v>
      </c>
    </row>
    <row r="1301" spans="1:23" x14ac:dyDescent="0.35">
      <c r="A1301" t="s">
        <v>1169</v>
      </c>
      <c r="B1301" s="6">
        <v>45307</v>
      </c>
      <c r="D1301" t="s">
        <v>23</v>
      </c>
      <c r="E1301">
        <v>30</v>
      </c>
      <c r="F1301" t="s">
        <v>36</v>
      </c>
      <c r="G1301" t="s">
        <v>42</v>
      </c>
      <c r="H1301" t="s">
        <v>58</v>
      </c>
      <c r="I1301" t="s">
        <v>45</v>
      </c>
      <c r="J1301" t="s">
        <v>77</v>
      </c>
      <c r="K1301">
        <v>3</v>
      </c>
      <c r="L1301" t="s">
        <v>66</v>
      </c>
      <c r="M1301">
        <v>63000</v>
      </c>
      <c r="N1301">
        <v>11.2</v>
      </c>
      <c r="O1301">
        <v>4.7</v>
      </c>
      <c r="P1301">
        <v>2</v>
      </c>
      <c r="Q1301">
        <v>1.4</v>
      </c>
      <c r="R1301">
        <v>3</v>
      </c>
      <c r="S1301">
        <v>3</v>
      </c>
      <c r="T1301">
        <v>3</v>
      </c>
      <c r="U1301" t="s">
        <v>23</v>
      </c>
      <c r="V1301">
        <v>5</v>
      </c>
      <c r="W1301">
        <v>1</v>
      </c>
    </row>
    <row r="1302" spans="1:23" x14ac:dyDescent="0.35">
      <c r="A1302" t="s">
        <v>1017</v>
      </c>
      <c r="B1302" s="6">
        <v>45823</v>
      </c>
      <c r="D1302" t="s">
        <v>23</v>
      </c>
      <c r="E1302">
        <v>24</v>
      </c>
      <c r="F1302" t="s">
        <v>36</v>
      </c>
      <c r="G1302" t="s">
        <v>37</v>
      </c>
      <c r="H1302" t="s">
        <v>58</v>
      </c>
      <c r="I1302" t="s">
        <v>38</v>
      </c>
      <c r="J1302" t="s">
        <v>52</v>
      </c>
      <c r="K1302">
        <v>1</v>
      </c>
      <c r="L1302" t="s">
        <v>29</v>
      </c>
      <c r="M1302">
        <v>22000</v>
      </c>
      <c r="N1302">
        <v>8.5</v>
      </c>
      <c r="O1302">
        <v>0.9</v>
      </c>
      <c r="P1302">
        <v>0.5</v>
      </c>
      <c r="Q1302">
        <v>0</v>
      </c>
      <c r="R1302">
        <v>1</v>
      </c>
      <c r="S1302">
        <v>2</v>
      </c>
      <c r="T1302">
        <v>3</v>
      </c>
      <c r="U1302" t="s">
        <v>23</v>
      </c>
      <c r="V1302">
        <v>3</v>
      </c>
      <c r="W1302">
        <v>1</v>
      </c>
    </row>
    <row r="1303" spans="1:23" x14ac:dyDescent="0.35">
      <c r="A1303" t="s">
        <v>734</v>
      </c>
      <c r="B1303" s="6">
        <v>44641</v>
      </c>
      <c r="D1303" t="s">
        <v>23</v>
      </c>
      <c r="E1303">
        <v>35</v>
      </c>
      <c r="F1303" t="s">
        <v>62</v>
      </c>
      <c r="G1303" t="s">
        <v>25</v>
      </c>
      <c r="H1303" t="s">
        <v>54</v>
      </c>
      <c r="I1303" t="s">
        <v>55</v>
      </c>
      <c r="J1303" t="s">
        <v>88</v>
      </c>
      <c r="K1303">
        <v>3</v>
      </c>
      <c r="L1303" t="s">
        <v>40</v>
      </c>
      <c r="M1303">
        <v>86000</v>
      </c>
      <c r="N1303">
        <v>8.1999999999999993</v>
      </c>
      <c r="O1303">
        <v>6.1</v>
      </c>
      <c r="P1303">
        <v>3.8</v>
      </c>
      <c r="Q1303">
        <v>3.2</v>
      </c>
      <c r="R1303">
        <v>4</v>
      </c>
      <c r="S1303">
        <v>4</v>
      </c>
      <c r="T1303">
        <v>2</v>
      </c>
      <c r="U1303" t="s">
        <v>23</v>
      </c>
      <c r="V1303">
        <v>4</v>
      </c>
      <c r="W1303">
        <v>1</v>
      </c>
    </row>
    <row r="1304" spans="1:23" x14ac:dyDescent="0.35">
      <c r="A1304" t="s">
        <v>196</v>
      </c>
      <c r="B1304" s="6">
        <v>43336</v>
      </c>
      <c r="D1304" t="s">
        <v>23</v>
      </c>
      <c r="E1304">
        <v>40</v>
      </c>
      <c r="F1304" t="s">
        <v>24</v>
      </c>
      <c r="G1304" t="s">
        <v>25</v>
      </c>
      <c r="H1304" t="s">
        <v>32</v>
      </c>
      <c r="I1304" t="s">
        <v>68</v>
      </c>
      <c r="J1304" t="s">
        <v>69</v>
      </c>
      <c r="K1304">
        <v>4</v>
      </c>
      <c r="L1304" t="s">
        <v>40</v>
      </c>
      <c r="M1304">
        <v>93000</v>
      </c>
      <c r="N1304">
        <v>7.5</v>
      </c>
      <c r="O1304">
        <v>7.6</v>
      </c>
      <c r="P1304">
        <v>7.4</v>
      </c>
      <c r="Q1304">
        <v>1.2</v>
      </c>
      <c r="R1304">
        <v>2</v>
      </c>
      <c r="S1304">
        <v>3</v>
      </c>
      <c r="T1304">
        <v>3</v>
      </c>
      <c r="U1304" t="s">
        <v>30</v>
      </c>
      <c r="V1304">
        <v>5</v>
      </c>
      <c r="W1304">
        <v>1</v>
      </c>
    </row>
    <row r="1305" spans="1:23" x14ac:dyDescent="0.35">
      <c r="A1305" t="s">
        <v>1237</v>
      </c>
      <c r="B1305" s="6">
        <v>44868</v>
      </c>
      <c r="D1305" t="s">
        <v>23</v>
      </c>
      <c r="E1305">
        <v>27</v>
      </c>
      <c r="F1305" t="s">
        <v>36</v>
      </c>
      <c r="G1305" t="s">
        <v>37</v>
      </c>
      <c r="H1305" t="s">
        <v>26</v>
      </c>
      <c r="I1305" t="s">
        <v>59</v>
      </c>
      <c r="J1305" t="s">
        <v>86</v>
      </c>
      <c r="K1305">
        <v>1</v>
      </c>
      <c r="L1305" t="s">
        <v>84</v>
      </c>
      <c r="M1305">
        <v>48000</v>
      </c>
      <c r="N1305">
        <v>6.5</v>
      </c>
      <c r="O1305">
        <v>4.5999999999999996</v>
      </c>
      <c r="P1305">
        <v>3.2</v>
      </c>
      <c r="Q1305">
        <v>2.9</v>
      </c>
      <c r="R1305">
        <v>3</v>
      </c>
      <c r="S1305">
        <v>1</v>
      </c>
      <c r="T1305">
        <v>4</v>
      </c>
      <c r="U1305" t="s">
        <v>30</v>
      </c>
      <c r="V1305">
        <v>3</v>
      </c>
      <c r="W1305">
        <v>1</v>
      </c>
    </row>
    <row r="1306" spans="1:23" x14ac:dyDescent="0.35">
      <c r="A1306" t="s">
        <v>1249</v>
      </c>
      <c r="B1306" s="6">
        <v>42989</v>
      </c>
      <c r="D1306" t="s">
        <v>23</v>
      </c>
      <c r="E1306">
        <v>37</v>
      </c>
      <c r="F1306" t="s">
        <v>62</v>
      </c>
      <c r="G1306" t="s">
        <v>37</v>
      </c>
      <c r="H1306" t="s">
        <v>26</v>
      </c>
      <c r="I1306" t="s">
        <v>59</v>
      </c>
      <c r="J1306" t="s">
        <v>60</v>
      </c>
      <c r="K1306">
        <v>2</v>
      </c>
      <c r="L1306" t="s">
        <v>66</v>
      </c>
      <c r="M1306">
        <v>46000</v>
      </c>
      <c r="N1306">
        <v>1.6</v>
      </c>
      <c r="O1306">
        <v>11.6</v>
      </c>
      <c r="P1306">
        <v>8.3000000000000007</v>
      </c>
      <c r="Q1306">
        <v>5</v>
      </c>
      <c r="R1306">
        <v>2</v>
      </c>
      <c r="S1306">
        <v>2</v>
      </c>
      <c r="T1306">
        <v>3</v>
      </c>
      <c r="U1306" t="s">
        <v>23</v>
      </c>
      <c r="V1306">
        <v>3</v>
      </c>
      <c r="W1306">
        <v>1</v>
      </c>
    </row>
    <row r="1307" spans="1:23" x14ac:dyDescent="0.35">
      <c r="A1307" t="s">
        <v>758</v>
      </c>
      <c r="B1307" s="6">
        <v>42983</v>
      </c>
      <c r="D1307" t="s">
        <v>23</v>
      </c>
      <c r="E1307">
        <v>40</v>
      </c>
      <c r="F1307" t="s">
        <v>36</v>
      </c>
      <c r="G1307" t="s">
        <v>25</v>
      </c>
      <c r="H1307" t="s">
        <v>26</v>
      </c>
      <c r="I1307" t="s">
        <v>27</v>
      </c>
      <c r="J1307" t="s">
        <v>43</v>
      </c>
      <c r="K1307">
        <v>2</v>
      </c>
      <c r="L1307" t="s">
        <v>84</v>
      </c>
      <c r="M1307">
        <v>48000</v>
      </c>
      <c r="N1307">
        <v>5.6</v>
      </c>
      <c r="O1307">
        <v>9</v>
      </c>
      <c r="P1307">
        <v>8.3000000000000007</v>
      </c>
      <c r="Q1307">
        <v>2.9</v>
      </c>
      <c r="R1307">
        <v>3</v>
      </c>
      <c r="S1307">
        <v>4</v>
      </c>
      <c r="T1307">
        <v>4</v>
      </c>
      <c r="U1307" t="s">
        <v>30</v>
      </c>
      <c r="V1307">
        <v>4</v>
      </c>
      <c r="W1307">
        <v>1</v>
      </c>
    </row>
    <row r="1308" spans="1:23" x14ac:dyDescent="0.35">
      <c r="A1308" t="s">
        <v>1255</v>
      </c>
      <c r="B1308" s="6">
        <v>45379</v>
      </c>
      <c r="D1308" t="s">
        <v>23</v>
      </c>
      <c r="E1308">
        <v>31</v>
      </c>
      <c r="F1308" t="s">
        <v>62</v>
      </c>
      <c r="G1308" t="s">
        <v>37</v>
      </c>
      <c r="H1308" t="s">
        <v>26</v>
      </c>
      <c r="I1308" t="s">
        <v>55</v>
      </c>
      <c r="J1308" t="s">
        <v>179</v>
      </c>
      <c r="K1308">
        <v>4</v>
      </c>
      <c r="L1308" t="s">
        <v>50</v>
      </c>
      <c r="M1308">
        <v>124000</v>
      </c>
      <c r="N1308">
        <v>9.6</v>
      </c>
      <c r="O1308">
        <v>8.1</v>
      </c>
      <c r="P1308">
        <v>1.8</v>
      </c>
      <c r="Q1308">
        <v>0.5</v>
      </c>
      <c r="R1308">
        <v>3</v>
      </c>
      <c r="S1308">
        <v>4</v>
      </c>
      <c r="T1308">
        <v>1</v>
      </c>
      <c r="U1308" t="s">
        <v>23</v>
      </c>
      <c r="V1308">
        <v>4</v>
      </c>
      <c r="W1308">
        <v>1</v>
      </c>
    </row>
    <row r="1309" spans="1:23" x14ac:dyDescent="0.35">
      <c r="A1309" t="s">
        <v>1556</v>
      </c>
      <c r="B1309" s="6">
        <v>43445</v>
      </c>
      <c r="D1309" t="s">
        <v>23</v>
      </c>
      <c r="E1309">
        <v>50</v>
      </c>
      <c r="F1309" t="s">
        <v>62</v>
      </c>
      <c r="G1309" t="s">
        <v>42</v>
      </c>
      <c r="H1309" t="s">
        <v>58</v>
      </c>
      <c r="I1309" t="s">
        <v>38</v>
      </c>
      <c r="J1309" t="s">
        <v>39</v>
      </c>
      <c r="K1309">
        <v>3</v>
      </c>
      <c r="L1309" t="s">
        <v>40</v>
      </c>
      <c r="M1309">
        <v>94000</v>
      </c>
      <c r="N1309">
        <v>13.6</v>
      </c>
      <c r="O1309">
        <v>12.7</v>
      </c>
      <c r="P1309">
        <v>7.1</v>
      </c>
      <c r="Q1309">
        <v>1</v>
      </c>
      <c r="R1309">
        <v>2</v>
      </c>
      <c r="S1309">
        <v>3</v>
      </c>
      <c r="T1309">
        <v>3</v>
      </c>
      <c r="U1309" t="s">
        <v>23</v>
      </c>
      <c r="V1309">
        <v>3</v>
      </c>
      <c r="W1309">
        <v>1</v>
      </c>
    </row>
    <row r="1310" spans="1:23" x14ac:dyDescent="0.35">
      <c r="A1310" t="s">
        <v>184</v>
      </c>
      <c r="B1310" s="6">
        <v>45101</v>
      </c>
      <c r="D1310" t="s">
        <v>23</v>
      </c>
      <c r="E1310">
        <v>26</v>
      </c>
      <c r="F1310" t="s">
        <v>36</v>
      </c>
      <c r="G1310" t="s">
        <v>42</v>
      </c>
      <c r="H1310" t="s">
        <v>32</v>
      </c>
      <c r="I1310" t="s">
        <v>45</v>
      </c>
      <c r="J1310" t="s">
        <v>77</v>
      </c>
      <c r="K1310">
        <v>1</v>
      </c>
      <c r="L1310" t="s">
        <v>66</v>
      </c>
      <c r="M1310">
        <v>32000</v>
      </c>
      <c r="N1310">
        <v>9.4</v>
      </c>
      <c r="O1310">
        <v>7.5</v>
      </c>
      <c r="P1310">
        <v>2.5</v>
      </c>
      <c r="Q1310">
        <v>2.2999999999999998</v>
      </c>
      <c r="R1310">
        <v>3</v>
      </c>
      <c r="S1310">
        <v>4</v>
      </c>
      <c r="T1310">
        <v>3</v>
      </c>
      <c r="U1310" t="s">
        <v>23</v>
      </c>
      <c r="V1310">
        <v>3</v>
      </c>
      <c r="W1310">
        <v>1</v>
      </c>
    </row>
    <row r="1311" spans="1:23" x14ac:dyDescent="0.35">
      <c r="A1311" t="s">
        <v>614</v>
      </c>
      <c r="B1311" s="6">
        <v>42879</v>
      </c>
      <c r="D1311" t="s">
        <v>23</v>
      </c>
      <c r="E1311">
        <v>32</v>
      </c>
      <c r="F1311" t="s">
        <v>62</v>
      </c>
      <c r="G1311" t="s">
        <v>42</v>
      </c>
      <c r="H1311" t="s">
        <v>26</v>
      </c>
      <c r="I1311" t="s">
        <v>68</v>
      </c>
      <c r="J1311" t="s">
        <v>121</v>
      </c>
      <c r="K1311">
        <v>2</v>
      </c>
      <c r="L1311" t="s">
        <v>40</v>
      </c>
      <c r="M1311">
        <v>56000</v>
      </c>
      <c r="N1311">
        <v>10.4</v>
      </c>
      <c r="O1311">
        <v>14.5</v>
      </c>
      <c r="P1311">
        <v>8.6</v>
      </c>
      <c r="Q1311">
        <v>5.0999999999999996</v>
      </c>
      <c r="R1311">
        <v>3</v>
      </c>
      <c r="S1311">
        <v>1</v>
      </c>
      <c r="T1311">
        <v>2</v>
      </c>
      <c r="U1311" t="s">
        <v>23</v>
      </c>
      <c r="V1311">
        <v>3</v>
      </c>
      <c r="W1311">
        <v>1</v>
      </c>
    </row>
    <row r="1312" spans="1:23" x14ac:dyDescent="0.35">
      <c r="A1312" t="s">
        <v>745</v>
      </c>
      <c r="B1312" s="6">
        <v>42036</v>
      </c>
      <c r="C1312">
        <v>45826</v>
      </c>
      <c r="D1312" t="s">
        <v>30</v>
      </c>
      <c r="E1312">
        <v>35</v>
      </c>
      <c r="F1312" t="s">
        <v>24</v>
      </c>
      <c r="G1312" t="s">
        <v>42</v>
      </c>
      <c r="H1312" t="s">
        <v>32</v>
      </c>
      <c r="I1312" t="s">
        <v>68</v>
      </c>
      <c r="J1312" t="s">
        <v>109</v>
      </c>
      <c r="K1312">
        <v>3</v>
      </c>
      <c r="L1312" t="s">
        <v>34</v>
      </c>
      <c r="M1312">
        <v>72000</v>
      </c>
      <c r="N1312">
        <v>6.9</v>
      </c>
      <c r="O1312">
        <v>16.399999999999999</v>
      </c>
      <c r="P1312">
        <v>10.4</v>
      </c>
      <c r="Q1312">
        <v>3.2</v>
      </c>
      <c r="R1312">
        <v>2</v>
      </c>
      <c r="S1312">
        <v>4</v>
      </c>
      <c r="T1312">
        <v>3</v>
      </c>
      <c r="U1312" t="s">
        <v>23</v>
      </c>
      <c r="V1312">
        <v>3</v>
      </c>
      <c r="W1312">
        <v>1</v>
      </c>
    </row>
    <row r="1313" spans="1:23" x14ac:dyDescent="0.35">
      <c r="A1313" t="s">
        <v>215</v>
      </c>
      <c r="B1313" s="6">
        <v>44241</v>
      </c>
      <c r="D1313" t="s">
        <v>23</v>
      </c>
      <c r="E1313">
        <v>45</v>
      </c>
      <c r="F1313" t="s">
        <v>24</v>
      </c>
      <c r="G1313" t="s">
        <v>37</v>
      </c>
      <c r="H1313" t="s">
        <v>32</v>
      </c>
      <c r="I1313" t="s">
        <v>48</v>
      </c>
      <c r="J1313" t="s">
        <v>49</v>
      </c>
      <c r="K1313">
        <v>3</v>
      </c>
      <c r="L1313" t="s">
        <v>66</v>
      </c>
      <c r="M1313">
        <v>80000</v>
      </c>
      <c r="N1313">
        <v>8.1</v>
      </c>
      <c r="O1313">
        <v>10</v>
      </c>
      <c r="P1313">
        <v>4.9000000000000004</v>
      </c>
      <c r="Q1313">
        <v>1</v>
      </c>
      <c r="R1313">
        <v>2</v>
      </c>
      <c r="S1313">
        <v>3</v>
      </c>
      <c r="T1313">
        <v>3</v>
      </c>
      <c r="U1313" t="s">
        <v>23</v>
      </c>
      <c r="V1313">
        <v>4</v>
      </c>
      <c r="W1313">
        <v>1</v>
      </c>
    </row>
    <row r="1314" spans="1:23" x14ac:dyDescent="0.35">
      <c r="A1314" t="s">
        <v>696</v>
      </c>
      <c r="B1314" s="6">
        <v>41997</v>
      </c>
      <c r="C1314">
        <v>45974</v>
      </c>
      <c r="D1314" t="s">
        <v>30</v>
      </c>
      <c r="E1314">
        <v>54</v>
      </c>
      <c r="F1314" t="s">
        <v>24</v>
      </c>
      <c r="G1314" t="s">
        <v>42</v>
      </c>
      <c r="H1314" t="s">
        <v>54</v>
      </c>
      <c r="I1314" t="s">
        <v>48</v>
      </c>
      <c r="J1314" t="s">
        <v>63</v>
      </c>
      <c r="K1314">
        <v>2</v>
      </c>
      <c r="L1314" t="s">
        <v>66</v>
      </c>
      <c r="M1314">
        <v>45000</v>
      </c>
      <c r="N1314">
        <v>7.3</v>
      </c>
      <c r="O1314">
        <v>16.100000000000001</v>
      </c>
      <c r="P1314">
        <v>10.9</v>
      </c>
      <c r="Q1314">
        <v>5.2</v>
      </c>
      <c r="R1314">
        <v>4</v>
      </c>
      <c r="S1314">
        <v>4</v>
      </c>
      <c r="T1314">
        <v>3</v>
      </c>
      <c r="U1314" t="s">
        <v>23</v>
      </c>
      <c r="V1314">
        <v>4</v>
      </c>
      <c r="W1314">
        <v>1</v>
      </c>
    </row>
    <row r="1315" spans="1:23" x14ac:dyDescent="0.35">
      <c r="A1315" t="s">
        <v>925</v>
      </c>
      <c r="B1315" s="6">
        <v>43519</v>
      </c>
      <c r="D1315" t="s">
        <v>23</v>
      </c>
      <c r="E1315">
        <v>37</v>
      </c>
      <c r="F1315" t="s">
        <v>62</v>
      </c>
      <c r="G1315" t="s">
        <v>37</v>
      </c>
      <c r="H1315" t="s">
        <v>54</v>
      </c>
      <c r="I1315" t="s">
        <v>38</v>
      </c>
      <c r="J1315" t="s">
        <v>39</v>
      </c>
      <c r="K1315">
        <v>2</v>
      </c>
      <c r="L1315" t="s">
        <v>29</v>
      </c>
      <c r="M1315">
        <v>68000</v>
      </c>
      <c r="N1315">
        <v>16.2</v>
      </c>
      <c r="O1315">
        <v>13.4</v>
      </c>
      <c r="P1315">
        <v>6.9</v>
      </c>
      <c r="Q1315">
        <v>2.2000000000000002</v>
      </c>
      <c r="R1315">
        <v>3</v>
      </c>
      <c r="S1315">
        <v>3</v>
      </c>
      <c r="T1315">
        <v>3</v>
      </c>
      <c r="U1315" t="s">
        <v>23</v>
      </c>
      <c r="V1315">
        <v>4</v>
      </c>
      <c r="W1315">
        <v>1</v>
      </c>
    </row>
    <row r="1316" spans="1:23" x14ac:dyDescent="0.35">
      <c r="A1316" t="s">
        <v>1294</v>
      </c>
      <c r="B1316" s="6">
        <v>45507</v>
      </c>
      <c r="D1316" t="s">
        <v>23</v>
      </c>
      <c r="E1316">
        <v>26</v>
      </c>
      <c r="F1316" t="s">
        <v>62</v>
      </c>
      <c r="G1316" t="s">
        <v>37</v>
      </c>
      <c r="H1316" t="s">
        <v>54</v>
      </c>
      <c r="I1316" t="s">
        <v>38</v>
      </c>
      <c r="J1316" t="s">
        <v>39</v>
      </c>
      <c r="K1316">
        <v>1</v>
      </c>
      <c r="L1316" t="s">
        <v>84</v>
      </c>
      <c r="M1316">
        <v>35000</v>
      </c>
      <c r="N1316">
        <v>10.199999999999999</v>
      </c>
      <c r="O1316">
        <v>2.4</v>
      </c>
      <c r="P1316">
        <v>1.4</v>
      </c>
      <c r="Q1316">
        <v>0.3</v>
      </c>
      <c r="R1316">
        <v>1</v>
      </c>
      <c r="S1316">
        <v>3</v>
      </c>
      <c r="T1316">
        <v>1</v>
      </c>
      <c r="U1316" t="s">
        <v>23</v>
      </c>
      <c r="V1316">
        <v>5</v>
      </c>
      <c r="W1316">
        <v>1</v>
      </c>
    </row>
    <row r="1317" spans="1:23" x14ac:dyDescent="0.35">
      <c r="A1317" t="s">
        <v>363</v>
      </c>
      <c r="B1317" s="6">
        <v>45568</v>
      </c>
      <c r="D1317" t="s">
        <v>23</v>
      </c>
      <c r="E1317">
        <v>23</v>
      </c>
      <c r="F1317" t="s">
        <v>24</v>
      </c>
      <c r="G1317" t="s">
        <v>37</v>
      </c>
      <c r="H1317" t="s">
        <v>58</v>
      </c>
      <c r="I1317" t="s">
        <v>55</v>
      </c>
      <c r="J1317" t="s">
        <v>88</v>
      </c>
      <c r="K1317">
        <v>1</v>
      </c>
      <c r="L1317" t="s">
        <v>84</v>
      </c>
      <c r="M1317">
        <v>50000</v>
      </c>
      <c r="N1317">
        <v>9.6999999999999993</v>
      </c>
      <c r="O1317">
        <v>6.8</v>
      </c>
      <c r="P1317">
        <v>1.2</v>
      </c>
      <c r="Q1317">
        <v>0.4</v>
      </c>
      <c r="R1317">
        <v>3</v>
      </c>
      <c r="S1317">
        <v>3</v>
      </c>
      <c r="T1317">
        <v>2</v>
      </c>
      <c r="U1317" t="s">
        <v>30</v>
      </c>
      <c r="V1317">
        <v>3</v>
      </c>
      <c r="W1317">
        <v>1</v>
      </c>
    </row>
    <row r="1318" spans="1:23" x14ac:dyDescent="0.35">
      <c r="A1318" t="s">
        <v>1221</v>
      </c>
      <c r="B1318" s="6">
        <v>42859</v>
      </c>
      <c r="D1318" t="s">
        <v>23</v>
      </c>
      <c r="E1318">
        <v>32</v>
      </c>
      <c r="F1318" t="s">
        <v>36</v>
      </c>
      <c r="G1318" t="s">
        <v>37</v>
      </c>
      <c r="H1318" t="s">
        <v>32</v>
      </c>
      <c r="I1318" t="s">
        <v>38</v>
      </c>
      <c r="J1318" t="s">
        <v>139</v>
      </c>
      <c r="K1318">
        <v>2</v>
      </c>
      <c r="L1318" t="s">
        <v>29</v>
      </c>
      <c r="M1318">
        <v>52000</v>
      </c>
      <c r="N1318">
        <v>12</v>
      </c>
      <c r="O1318">
        <v>14.2</v>
      </c>
      <c r="P1318">
        <v>8.6999999999999993</v>
      </c>
      <c r="Q1318">
        <v>4.7</v>
      </c>
      <c r="R1318">
        <v>1</v>
      </c>
      <c r="S1318">
        <v>3</v>
      </c>
      <c r="T1318">
        <v>3</v>
      </c>
      <c r="U1318" t="s">
        <v>30</v>
      </c>
      <c r="V1318">
        <v>3</v>
      </c>
      <c r="W1318">
        <v>1</v>
      </c>
    </row>
    <row r="1319" spans="1:23" x14ac:dyDescent="0.35">
      <c r="A1319" t="s">
        <v>637</v>
      </c>
      <c r="B1319" s="6">
        <v>45020</v>
      </c>
      <c r="D1319" t="s">
        <v>23</v>
      </c>
      <c r="E1319">
        <v>40</v>
      </c>
      <c r="F1319" t="s">
        <v>36</v>
      </c>
      <c r="G1319" t="s">
        <v>37</v>
      </c>
      <c r="H1319" t="s">
        <v>58</v>
      </c>
      <c r="I1319" t="s">
        <v>68</v>
      </c>
      <c r="J1319" t="s">
        <v>121</v>
      </c>
      <c r="K1319">
        <v>3</v>
      </c>
      <c r="L1319" t="s">
        <v>29</v>
      </c>
      <c r="M1319">
        <v>77000</v>
      </c>
      <c r="N1319">
        <v>6.6</v>
      </c>
      <c r="O1319">
        <v>7.8</v>
      </c>
      <c r="P1319">
        <v>2.7</v>
      </c>
      <c r="Q1319">
        <v>1.5</v>
      </c>
      <c r="R1319">
        <v>3</v>
      </c>
      <c r="S1319">
        <v>4</v>
      </c>
      <c r="T1319">
        <v>4</v>
      </c>
      <c r="U1319" t="s">
        <v>30</v>
      </c>
      <c r="V1319">
        <v>4</v>
      </c>
      <c r="W1319">
        <v>1</v>
      </c>
    </row>
    <row r="1320" spans="1:23" x14ac:dyDescent="0.35">
      <c r="A1320" t="s">
        <v>1279</v>
      </c>
      <c r="B1320" s="6">
        <v>45546</v>
      </c>
      <c r="D1320" t="s">
        <v>23</v>
      </c>
      <c r="E1320">
        <v>39</v>
      </c>
      <c r="F1320" t="s">
        <v>36</v>
      </c>
      <c r="G1320" t="s">
        <v>42</v>
      </c>
      <c r="H1320" t="s">
        <v>32</v>
      </c>
      <c r="I1320" t="s">
        <v>68</v>
      </c>
      <c r="J1320" t="s">
        <v>121</v>
      </c>
      <c r="K1320">
        <v>3</v>
      </c>
      <c r="L1320" t="s">
        <v>34</v>
      </c>
      <c r="M1320">
        <v>81000</v>
      </c>
      <c r="N1320">
        <v>5.0999999999999996</v>
      </c>
      <c r="O1320">
        <v>6</v>
      </c>
      <c r="P1320">
        <v>1.3</v>
      </c>
      <c r="Q1320">
        <v>0.7</v>
      </c>
      <c r="R1320">
        <v>3</v>
      </c>
      <c r="S1320">
        <v>3</v>
      </c>
      <c r="T1320">
        <v>4</v>
      </c>
      <c r="U1320" t="s">
        <v>23</v>
      </c>
      <c r="V1320">
        <v>2</v>
      </c>
      <c r="W1320">
        <v>1</v>
      </c>
    </row>
    <row r="1321" spans="1:23" x14ac:dyDescent="0.35">
      <c r="A1321" t="s">
        <v>1391</v>
      </c>
      <c r="B1321" s="6">
        <v>42943</v>
      </c>
      <c r="D1321" t="s">
        <v>23</v>
      </c>
      <c r="E1321">
        <v>30</v>
      </c>
      <c r="F1321" t="s">
        <v>36</v>
      </c>
      <c r="G1321" t="s">
        <v>37</v>
      </c>
      <c r="H1321" t="s">
        <v>58</v>
      </c>
      <c r="I1321" t="s">
        <v>45</v>
      </c>
      <c r="J1321" t="s">
        <v>164</v>
      </c>
      <c r="K1321">
        <v>3</v>
      </c>
      <c r="L1321" t="s">
        <v>40</v>
      </c>
      <c r="M1321">
        <v>59000</v>
      </c>
      <c r="N1321">
        <v>5.7</v>
      </c>
      <c r="O1321">
        <v>8.6999999999999993</v>
      </c>
      <c r="P1321">
        <v>8.4</v>
      </c>
      <c r="Q1321">
        <v>1</v>
      </c>
      <c r="R1321">
        <v>3</v>
      </c>
      <c r="S1321">
        <v>3</v>
      </c>
      <c r="T1321">
        <v>4</v>
      </c>
      <c r="U1321" t="s">
        <v>23</v>
      </c>
      <c r="V1321">
        <v>4</v>
      </c>
      <c r="W1321">
        <v>1</v>
      </c>
    </row>
    <row r="1322" spans="1:23" x14ac:dyDescent="0.35">
      <c r="A1322" t="s">
        <v>380</v>
      </c>
      <c r="B1322" s="6">
        <v>44575</v>
      </c>
      <c r="D1322" t="s">
        <v>23</v>
      </c>
      <c r="E1322">
        <v>30</v>
      </c>
      <c r="F1322" t="s">
        <v>36</v>
      </c>
      <c r="G1322" t="s">
        <v>25</v>
      </c>
      <c r="H1322" t="s">
        <v>32</v>
      </c>
      <c r="I1322" t="s">
        <v>68</v>
      </c>
      <c r="J1322" t="s">
        <v>109</v>
      </c>
      <c r="K1322">
        <v>3</v>
      </c>
      <c r="L1322" t="s">
        <v>84</v>
      </c>
      <c r="M1322">
        <v>70000</v>
      </c>
      <c r="N1322">
        <v>2.5</v>
      </c>
      <c r="O1322">
        <v>7.3</v>
      </c>
      <c r="P1322">
        <v>4</v>
      </c>
      <c r="Q1322">
        <v>0.1</v>
      </c>
      <c r="R1322">
        <v>1</v>
      </c>
      <c r="S1322">
        <v>2</v>
      </c>
      <c r="T1322">
        <v>4</v>
      </c>
      <c r="U1322" t="s">
        <v>30</v>
      </c>
      <c r="V1322">
        <v>3</v>
      </c>
      <c r="W1322">
        <v>1</v>
      </c>
    </row>
    <row r="1323" spans="1:23" x14ac:dyDescent="0.35">
      <c r="A1323" t="s">
        <v>251</v>
      </c>
      <c r="B1323" s="6">
        <v>44778</v>
      </c>
      <c r="C1323">
        <v>46000</v>
      </c>
      <c r="D1323" t="s">
        <v>30</v>
      </c>
      <c r="E1323">
        <v>42</v>
      </c>
      <c r="F1323" t="s">
        <v>36</v>
      </c>
      <c r="G1323" t="s">
        <v>42</v>
      </c>
      <c r="H1323" t="s">
        <v>32</v>
      </c>
      <c r="I1323" t="s">
        <v>27</v>
      </c>
      <c r="J1323" t="s">
        <v>28</v>
      </c>
      <c r="K1323">
        <v>2</v>
      </c>
      <c r="L1323" t="s">
        <v>34</v>
      </c>
      <c r="M1323">
        <v>44000</v>
      </c>
      <c r="N1323">
        <v>10.1</v>
      </c>
      <c r="O1323">
        <v>7.8</v>
      </c>
      <c r="P1323">
        <v>3.3</v>
      </c>
      <c r="Q1323">
        <v>0</v>
      </c>
      <c r="R1323">
        <v>4</v>
      </c>
      <c r="S1323">
        <v>3</v>
      </c>
      <c r="T1323">
        <v>2</v>
      </c>
      <c r="U1323" t="s">
        <v>23</v>
      </c>
      <c r="V1323">
        <v>3</v>
      </c>
      <c r="W1323">
        <v>1</v>
      </c>
    </row>
    <row r="1324" spans="1:23" x14ac:dyDescent="0.35">
      <c r="A1324" t="s">
        <v>1275</v>
      </c>
      <c r="B1324" s="6">
        <v>44805</v>
      </c>
      <c r="D1324" t="s">
        <v>23</v>
      </c>
      <c r="E1324">
        <v>41</v>
      </c>
      <c r="F1324" t="s">
        <v>24</v>
      </c>
      <c r="G1324" t="s">
        <v>42</v>
      </c>
      <c r="H1324" t="s">
        <v>54</v>
      </c>
      <c r="I1324" t="s">
        <v>55</v>
      </c>
      <c r="J1324" t="s">
        <v>56</v>
      </c>
      <c r="K1324">
        <v>2</v>
      </c>
      <c r="L1324" t="s">
        <v>34</v>
      </c>
      <c r="M1324">
        <v>54000</v>
      </c>
      <c r="N1324">
        <v>13.4</v>
      </c>
      <c r="O1324">
        <v>5.2</v>
      </c>
      <c r="P1324">
        <v>3.3</v>
      </c>
      <c r="Q1324">
        <v>1</v>
      </c>
      <c r="R1324">
        <v>2</v>
      </c>
      <c r="S1324">
        <v>2</v>
      </c>
      <c r="T1324">
        <v>1</v>
      </c>
      <c r="U1324" t="s">
        <v>30</v>
      </c>
      <c r="V1324">
        <v>3</v>
      </c>
      <c r="W1324">
        <v>1</v>
      </c>
    </row>
    <row r="1325" spans="1:23" x14ac:dyDescent="0.35">
      <c r="A1325" t="s">
        <v>1336</v>
      </c>
      <c r="B1325" s="6">
        <v>45143</v>
      </c>
      <c r="D1325" t="s">
        <v>23</v>
      </c>
      <c r="E1325">
        <v>24</v>
      </c>
      <c r="F1325" t="s">
        <v>36</v>
      </c>
      <c r="G1325" t="s">
        <v>37</v>
      </c>
      <c r="H1325" t="s">
        <v>32</v>
      </c>
      <c r="I1325" t="s">
        <v>68</v>
      </c>
      <c r="J1325" t="s">
        <v>102</v>
      </c>
      <c r="K1325">
        <v>1</v>
      </c>
      <c r="L1325" t="s">
        <v>84</v>
      </c>
      <c r="M1325">
        <v>40000</v>
      </c>
      <c r="N1325">
        <v>14.2</v>
      </c>
      <c r="O1325">
        <v>9.9</v>
      </c>
      <c r="P1325">
        <v>2.4</v>
      </c>
      <c r="Q1325">
        <v>1.2</v>
      </c>
      <c r="R1325">
        <v>3</v>
      </c>
      <c r="S1325">
        <v>4</v>
      </c>
      <c r="T1325">
        <v>4</v>
      </c>
      <c r="U1325" t="s">
        <v>30</v>
      </c>
      <c r="V1325">
        <v>4</v>
      </c>
      <c r="W1325">
        <v>1</v>
      </c>
    </row>
    <row r="1326" spans="1:23" x14ac:dyDescent="0.35">
      <c r="A1326" t="s">
        <v>706</v>
      </c>
      <c r="B1326" s="6">
        <v>45680</v>
      </c>
      <c r="D1326" t="s">
        <v>23</v>
      </c>
      <c r="E1326">
        <v>25</v>
      </c>
      <c r="F1326" t="s">
        <v>24</v>
      </c>
      <c r="G1326" t="s">
        <v>42</v>
      </c>
      <c r="H1326" t="s">
        <v>58</v>
      </c>
      <c r="I1326" t="s">
        <v>27</v>
      </c>
      <c r="J1326" t="s">
        <v>33</v>
      </c>
      <c r="K1326">
        <v>1</v>
      </c>
      <c r="L1326" t="s">
        <v>29</v>
      </c>
      <c r="M1326">
        <v>38000</v>
      </c>
      <c r="N1326">
        <v>7.4</v>
      </c>
      <c r="O1326">
        <v>1.1000000000000001</v>
      </c>
      <c r="P1326">
        <v>0.9</v>
      </c>
      <c r="Q1326">
        <v>0</v>
      </c>
      <c r="R1326">
        <v>3</v>
      </c>
      <c r="S1326">
        <v>4</v>
      </c>
      <c r="T1326">
        <v>4</v>
      </c>
      <c r="U1326" t="s">
        <v>23</v>
      </c>
      <c r="V1326">
        <v>5</v>
      </c>
      <c r="W1326">
        <v>1</v>
      </c>
    </row>
    <row r="1327" spans="1:23" x14ac:dyDescent="0.35">
      <c r="A1327" t="s">
        <v>350</v>
      </c>
      <c r="B1327" s="6">
        <v>45713</v>
      </c>
      <c r="D1327" t="s">
        <v>23</v>
      </c>
      <c r="E1327">
        <v>23</v>
      </c>
      <c r="F1327" t="s">
        <v>36</v>
      </c>
      <c r="G1327" t="s">
        <v>25</v>
      </c>
      <c r="H1327" t="s">
        <v>32</v>
      </c>
      <c r="I1327" t="s">
        <v>59</v>
      </c>
      <c r="J1327" t="s">
        <v>75</v>
      </c>
      <c r="K1327">
        <v>1</v>
      </c>
      <c r="L1327" t="s">
        <v>29</v>
      </c>
      <c r="M1327">
        <v>22000</v>
      </c>
      <c r="N1327">
        <v>5.9</v>
      </c>
      <c r="O1327">
        <v>8.1</v>
      </c>
      <c r="P1327">
        <v>0.8</v>
      </c>
      <c r="Q1327">
        <v>0</v>
      </c>
      <c r="R1327">
        <v>3</v>
      </c>
      <c r="S1327">
        <v>2</v>
      </c>
      <c r="T1327">
        <v>3</v>
      </c>
      <c r="U1327" t="s">
        <v>23</v>
      </c>
      <c r="V1327">
        <v>4</v>
      </c>
      <c r="W1327">
        <v>1</v>
      </c>
    </row>
    <row r="1328" spans="1:23" x14ac:dyDescent="0.35">
      <c r="A1328" t="s">
        <v>1075</v>
      </c>
      <c r="B1328" s="6">
        <v>43495</v>
      </c>
      <c r="C1328">
        <v>45662</v>
      </c>
      <c r="D1328" t="s">
        <v>30</v>
      </c>
      <c r="E1328">
        <v>29</v>
      </c>
      <c r="F1328" t="s">
        <v>62</v>
      </c>
      <c r="G1328" t="s">
        <v>42</v>
      </c>
      <c r="H1328" t="s">
        <v>26</v>
      </c>
      <c r="I1328" t="s">
        <v>55</v>
      </c>
      <c r="J1328" t="s">
        <v>179</v>
      </c>
      <c r="K1328">
        <v>2</v>
      </c>
      <c r="L1328" t="s">
        <v>40</v>
      </c>
      <c r="M1328">
        <v>68000</v>
      </c>
      <c r="N1328">
        <v>13.1</v>
      </c>
      <c r="O1328">
        <v>10.8</v>
      </c>
      <c r="P1328">
        <v>5.9</v>
      </c>
      <c r="Q1328">
        <v>3.7</v>
      </c>
      <c r="R1328">
        <v>4</v>
      </c>
      <c r="S1328">
        <v>2</v>
      </c>
      <c r="T1328">
        <v>4</v>
      </c>
      <c r="U1328" t="s">
        <v>23</v>
      </c>
      <c r="V1328">
        <v>3</v>
      </c>
      <c r="W1328">
        <v>1</v>
      </c>
    </row>
    <row r="1329" spans="1:23" x14ac:dyDescent="0.35">
      <c r="A1329" t="s">
        <v>1540</v>
      </c>
      <c r="B1329" s="6">
        <v>44423</v>
      </c>
      <c r="D1329" t="s">
        <v>23</v>
      </c>
      <c r="E1329">
        <v>44</v>
      </c>
      <c r="F1329" t="s">
        <v>24</v>
      </c>
      <c r="G1329" t="s">
        <v>25</v>
      </c>
      <c r="H1329" t="s">
        <v>58</v>
      </c>
      <c r="I1329" t="s">
        <v>27</v>
      </c>
      <c r="J1329" t="s">
        <v>95</v>
      </c>
      <c r="K1329">
        <v>2</v>
      </c>
      <c r="L1329" t="s">
        <v>34</v>
      </c>
      <c r="M1329">
        <v>54000</v>
      </c>
      <c r="N1329">
        <v>4.0999999999999996</v>
      </c>
      <c r="O1329">
        <v>4.9000000000000004</v>
      </c>
      <c r="P1329">
        <v>4.4000000000000004</v>
      </c>
      <c r="Q1329">
        <v>3.7</v>
      </c>
      <c r="R1329">
        <v>4</v>
      </c>
      <c r="S1329">
        <v>4</v>
      </c>
      <c r="T1329">
        <v>2</v>
      </c>
      <c r="U1329" t="s">
        <v>23</v>
      </c>
      <c r="V1329">
        <v>2</v>
      </c>
      <c r="W1329">
        <v>1</v>
      </c>
    </row>
    <row r="1330" spans="1:23" x14ac:dyDescent="0.35">
      <c r="A1330" t="s">
        <v>47</v>
      </c>
      <c r="B1330" s="6">
        <v>43504</v>
      </c>
      <c r="D1330" t="s">
        <v>23</v>
      </c>
      <c r="E1330">
        <v>29</v>
      </c>
      <c r="F1330" t="s">
        <v>36</v>
      </c>
      <c r="G1330" t="s">
        <v>37</v>
      </c>
      <c r="H1330" t="s">
        <v>26</v>
      </c>
      <c r="I1330" t="s">
        <v>48</v>
      </c>
      <c r="J1330" t="s">
        <v>49</v>
      </c>
      <c r="K1330">
        <v>1</v>
      </c>
      <c r="L1330" t="s">
        <v>50</v>
      </c>
      <c r="M1330">
        <v>43000</v>
      </c>
      <c r="N1330">
        <v>15.3</v>
      </c>
      <c r="O1330">
        <v>12.4</v>
      </c>
      <c r="P1330">
        <v>6.9</v>
      </c>
      <c r="Q1330">
        <v>5</v>
      </c>
      <c r="R1330">
        <v>1</v>
      </c>
      <c r="S1330">
        <v>3</v>
      </c>
      <c r="T1330">
        <v>3</v>
      </c>
      <c r="U1330" t="s">
        <v>30</v>
      </c>
      <c r="V1330">
        <v>2</v>
      </c>
      <c r="W1330">
        <v>1</v>
      </c>
    </row>
    <row r="1331" spans="1:23" x14ac:dyDescent="0.35">
      <c r="A1331" t="s">
        <v>253</v>
      </c>
      <c r="B1331" s="6">
        <v>45208</v>
      </c>
      <c r="D1331" t="s">
        <v>23</v>
      </c>
      <c r="E1331">
        <v>23</v>
      </c>
      <c r="F1331" t="s">
        <v>62</v>
      </c>
      <c r="G1331" t="s">
        <v>42</v>
      </c>
      <c r="H1331" t="s">
        <v>32</v>
      </c>
      <c r="I1331" t="s">
        <v>27</v>
      </c>
      <c r="J1331" t="s">
        <v>33</v>
      </c>
      <c r="K1331">
        <v>1</v>
      </c>
      <c r="L1331" t="s">
        <v>29</v>
      </c>
      <c r="M1331">
        <v>24000</v>
      </c>
      <c r="N1331">
        <v>14.3</v>
      </c>
      <c r="O1331">
        <v>3.4</v>
      </c>
      <c r="P1331">
        <v>2.2000000000000002</v>
      </c>
      <c r="Q1331">
        <v>0.6</v>
      </c>
      <c r="R1331">
        <v>4</v>
      </c>
      <c r="S1331">
        <v>4</v>
      </c>
      <c r="T1331">
        <v>1</v>
      </c>
      <c r="U1331" t="s">
        <v>23</v>
      </c>
      <c r="V1331">
        <v>4</v>
      </c>
      <c r="W1331">
        <v>1</v>
      </c>
    </row>
    <row r="1332" spans="1:23" x14ac:dyDescent="0.35">
      <c r="A1332" t="s">
        <v>1223</v>
      </c>
      <c r="B1332" s="6">
        <v>43459</v>
      </c>
      <c r="C1332">
        <v>45911</v>
      </c>
      <c r="D1332" t="s">
        <v>30</v>
      </c>
      <c r="E1332">
        <v>34</v>
      </c>
      <c r="F1332" t="s">
        <v>62</v>
      </c>
      <c r="G1332" t="s">
        <v>25</v>
      </c>
      <c r="H1332" t="s">
        <v>32</v>
      </c>
      <c r="I1332" t="s">
        <v>48</v>
      </c>
      <c r="J1332" t="s">
        <v>129</v>
      </c>
      <c r="K1332">
        <v>4</v>
      </c>
      <c r="L1332" t="s">
        <v>40</v>
      </c>
      <c r="M1332">
        <v>122000</v>
      </c>
      <c r="N1332">
        <v>11.8</v>
      </c>
      <c r="O1332">
        <v>13.4</v>
      </c>
      <c r="P1332">
        <v>6.7</v>
      </c>
      <c r="Q1332">
        <v>4.8</v>
      </c>
      <c r="R1332">
        <v>2</v>
      </c>
      <c r="S1332">
        <v>2</v>
      </c>
      <c r="T1332">
        <v>1</v>
      </c>
      <c r="U1332" t="s">
        <v>30</v>
      </c>
      <c r="V1332">
        <v>4</v>
      </c>
      <c r="W1332">
        <v>1</v>
      </c>
    </row>
    <row r="1333" spans="1:23" x14ac:dyDescent="0.35">
      <c r="A1333" t="s">
        <v>1079</v>
      </c>
      <c r="B1333" s="6">
        <v>42373</v>
      </c>
      <c r="D1333" t="s">
        <v>23</v>
      </c>
      <c r="E1333">
        <v>32</v>
      </c>
      <c r="F1333" t="s">
        <v>36</v>
      </c>
      <c r="G1333" t="s">
        <v>42</v>
      </c>
      <c r="H1333" t="s">
        <v>32</v>
      </c>
      <c r="I1333" t="s">
        <v>48</v>
      </c>
      <c r="J1333" t="s">
        <v>63</v>
      </c>
      <c r="K1333">
        <v>2</v>
      </c>
      <c r="L1333" t="s">
        <v>50</v>
      </c>
      <c r="M1333">
        <v>52000</v>
      </c>
      <c r="N1333">
        <v>12.4</v>
      </c>
      <c r="O1333">
        <v>13.4</v>
      </c>
      <c r="P1333">
        <v>10</v>
      </c>
      <c r="Q1333">
        <v>4.0999999999999996</v>
      </c>
      <c r="R1333">
        <v>2</v>
      </c>
      <c r="S1333">
        <v>2</v>
      </c>
      <c r="T1333">
        <v>3</v>
      </c>
      <c r="U1333" t="s">
        <v>30</v>
      </c>
      <c r="V1333">
        <v>2</v>
      </c>
      <c r="W1333">
        <v>1</v>
      </c>
    </row>
    <row r="1334" spans="1:23" x14ac:dyDescent="0.35">
      <c r="A1334" t="s">
        <v>125</v>
      </c>
      <c r="B1334" s="6">
        <v>44603</v>
      </c>
      <c r="D1334" t="s">
        <v>23</v>
      </c>
      <c r="E1334">
        <v>31</v>
      </c>
      <c r="F1334" t="s">
        <v>24</v>
      </c>
      <c r="G1334" t="s">
        <v>37</v>
      </c>
      <c r="H1334" t="s">
        <v>58</v>
      </c>
      <c r="I1334" t="s">
        <v>55</v>
      </c>
      <c r="J1334" t="s">
        <v>56</v>
      </c>
      <c r="K1334">
        <v>1</v>
      </c>
      <c r="L1334" t="s">
        <v>34</v>
      </c>
      <c r="M1334">
        <v>49000</v>
      </c>
      <c r="N1334">
        <v>8.5</v>
      </c>
      <c r="O1334">
        <v>9.6999999999999993</v>
      </c>
      <c r="P1334">
        <v>3.9</v>
      </c>
      <c r="Q1334">
        <v>0.3</v>
      </c>
      <c r="R1334">
        <v>3</v>
      </c>
      <c r="S1334">
        <v>3</v>
      </c>
      <c r="T1334">
        <v>3</v>
      </c>
      <c r="U1334" t="s">
        <v>23</v>
      </c>
      <c r="V1334">
        <v>4</v>
      </c>
      <c r="W1334">
        <v>1</v>
      </c>
    </row>
    <row r="1335" spans="1:23" x14ac:dyDescent="0.35">
      <c r="A1335" t="s">
        <v>250</v>
      </c>
      <c r="B1335" s="6">
        <v>45644</v>
      </c>
      <c r="D1335" t="s">
        <v>23</v>
      </c>
      <c r="E1335">
        <v>28</v>
      </c>
      <c r="F1335" t="s">
        <v>24</v>
      </c>
      <c r="G1335" t="s">
        <v>25</v>
      </c>
      <c r="H1335" t="s">
        <v>54</v>
      </c>
      <c r="I1335" t="s">
        <v>48</v>
      </c>
      <c r="J1335" t="s">
        <v>129</v>
      </c>
      <c r="K1335">
        <v>1</v>
      </c>
      <c r="L1335" t="s">
        <v>40</v>
      </c>
      <c r="M1335">
        <v>26000</v>
      </c>
      <c r="N1335">
        <v>7.9</v>
      </c>
      <c r="O1335">
        <v>8.8000000000000007</v>
      </c>
      <c r="P1335">
        <v>1</v>
      </c>
      <c r="Q1335">
        <v>0</v>
      </c>
      <c r="R1335">
        <v>3</v>
      </c>
      <c r="S1335">
        <v>3</v>
      </c>
      <c r="T1335">
        <v>3</v>
      </c>
      <c r="U1335" t="s">
        <v>30</v>
      </c>
      <c r="V1335">
        <v>2</v>
      </c>
      <c r="W1335">
        <v>1</v>
      </c>
    </row>
    <row r="1336" spans="1:23" x14ac:dyDescent="0.35">
      <c r="A1336" t="s">
        <v>419</v>
      </c>
      <c r="B1336" s="6">
        <v>45646</v>
      </c>
      <c r="C1336">
        <v>45966</v>
      </c>
      <c r="D1336" t="s">
        <v>30</v>
      </c>
      <c r="E1336">
        <v>27</v>
      </c>
      <c r="F1336" t="s">
        <v>36</v>
      </c>
      <c r="G1336" t="s">
        <v>42</v>
      </c>
      <c r="H1336" t="s">
        <v>58</v>
      </c>
      <c r="I1336" t="s">
        <v>55</v>
      </c>
      <c r="J1336" t="s">
        <v>56</v>
      </c>
      <c r="K1336">
        <v>1</v>
      </c>
      <c r="L1336" t="s">
        <v>29</v>
      </c>
      <c r="M1336">
        <v>41000</v>
      </c>
      <c r="N1336">
        <v>6.4</v>
      </c>
      <c r="O1336">
        <v>4.7</v>
      </c>
      <c r="P1336">
        <v>0.9</v>
      </c>
      <c r="Q1336">
        <v>0</v>
      </c>
      <c r="R1336">
        <v>3</v>
      </c>
      <c r="S1336">
        <v>3</v>
      </c>
      <c r="T1336">
        <v>2</v>
      </c>
      <c r="U1336" t="s">
        <v>23</v>
      </c>
      <c r="V1336">
        <v>2</v>
      </c>
      <c r="W1336">
        <v>1</v>
      </c>
    </row>
    <row r="1337" spans="1:23" x14ac:dyDescent="0.35">
      <c r="A1337" t="s">
        <v>1390</v>
      </c>
      <c r="B1337" s="6">
        <v>45293</v>
      </c>
      <c r="D1337" t="s">
        <v>23</v>
      </c>
      <c r="E1337">
        <v>22</v>
      </c>
      <c r="F1337" t="s">
        <v>24</v>
      </c>
      <c r="G1337" t="s">
        <v>37</v>
      </c>
      <c r="H1337" t="s">
        <v>32</v>
      </c>
      <c r="I1337" t="s">
        <v>48</v>
      </c>
      <c r="J1337" t="s">
        <v>63</v>
      </c>
      <c r="K1337">
        <v>1</v>
      </c>
      <c r="L1337" t="s">
        <v>84</v>
      </c>
      <c r="M1337">
        <v>33000</v>
      </c>
      <c r="N1337">
        <v>8.1999999999999993</v>
      </c>
      <c r="O1337">
        <v>9.6999999999999993</v>
      </c>
      <c r="P1337">
        <v>2</v>
      </c>
      <c r="Q1337">
        <v>0.9</v>
      </c>
      <c r="R1337">
        <v>2</v>
      </c>
      <c r="S1337">
        <v>1</v>
      </c>
      <c r="T1337">
        <v>2</v>
      </c>
      <c r="U1337" t="s">
        <v>30</v>
      </c>
      <c r="V1337">
        <v>3</v>
      </c>
      <c r="W1337">
        <v>1</v>
      </c>
    </row>
    <row r="1338" spans="1:23" x14ac:dyDescent="0.35">
      <c r="A1338" t="s">
        <v>540</v>
      </c>
      <c r="B1338" s="6">
        <v>45297</v>
      </c>
      <c r="D1338" t="s">
        <v>23</v>
      </c>
      <c r="E1338">
        <v>35</v>
      </c>
      <c r="F1338" t="s">
        <v>62</v>
      </c>
      <c r="G1338" t="s">
        <v>25</v>
      </c>
      <c r="H1338" t="s">
        <v>26</v>
      </c>
      <c r="I1338" t="s">
        <v>68</v>
      </c>
      <c r="J1338" t="s">
        <v>109</v>
      </c>
      <c r="K1338">
        <v>2</v>
      </c>
      <c r="L1338" t="s">
        <v>66</v>
      </c>
      <c r="M1338">
        <v>42000</v>
      </c>
      <c r="N1338">
        <v>13.3</v>
      </c>
      <c r="O1338">
        <v>3.7</v>
      </c>
      <c r="P1338">
        <v>2</v>
      </c>
      <c r="Q1338">
        <v>1.2</v>
      </c>
      <c r="R1338">
        <v>1</v>
      </c>
      <c r="S1338">
        <v>4</v>
      </c>
      <c r="T1338">
        <v>2</v>
      </c>
      <c r="U1338" t="s">
        <v>23</v>
      </c>
      <c r="V1338">
        <v>4</v>
      </c>
      <c r="W1338">
        <v>1</v>
      </c>
    </row>
    <row r="1339" spans="1:23" x14ac:dyDescent="0.35">
      <c r="A1339" t="s">
        <v>276</v>
      </c>
      <c r="B1339" s="6">
        <v>44007</v>
      </c>
      <c r="D1339" t="s">
        <v>23</v>
      </c>
      <c r="E1339">
        <v>34</v>
      </c>
      <c r="F1339" t="s">
        <v>24</v>
      </c>
      <c r="G1339" t="s">
        <v>37</v>
      </c>
      <c r="H1339" t="s">
        <v>54</v>
      </c>
      <c r="I1339" t="s">
        <v>68</v>
      </c>
      <c r="J1339" t="s">
        <v>69</v>
      </c>
      <c r="K1339">
        <v>3</v>
      </c>
      <c r="L1339" t="s">
        <v>34</v>
      </c>
      <c r="M1339">
        <v>77000</v>
      </c>
      <c r="N1339">
        <v>6.9</v>
      </c>
      <c r="O1339">
        <v>5.7</v>
      </c>
      <c r="P1339">
        <v>5.5</v>
      </c>
      <c r="Q1339">
        <v>3.7</v>
      </c>
      <c r="R1339">
        <v>4</v>
      </c>
      <c r="S1339">
        <v>3</v>
      </c>
      <c r="T1339">
        <v>3</v>
      </c>
      <c r="U1339" t="s">
        <v>23</v>
      </c>
      <c r="V1339">
        <v>3</v>
      </c>
      <c r="W1339">
        <v>1</v>
      </c>
    </row>
    <row r="1340" spans="1:23" x14ac:dyDescent="0.35">
      <c r="A1340" t="s">
        <v>1192</v>
      </c>
      <c r="B1340" s="6">
        <v>44630</v>
      </c>
      <c r="D1340" t="s">
        <v>23</v>
      </c>
      <c r="E1340">
        <v>36</v>
      </c>
      <c r="F1340" t="s">
        <v>36</v>
      </c>
      <c r="G1340" t="s">
        <v>37</v>
      </c>
      <c r="H1340" t="s">
        <v>32</v>
      </c>
      <c r="I1340" t="s">
        <v>38</v>
      </c>
      <c r="J1340" t="s">
        <v>52</v>
      </c>
      <c r="K1340">
        <v>3</v>
      </c>
      <c r="L1340" t="s">
        <v>50</v>
      </c>
      <c r="M1340">
        <v>71000</v>
      </c>
      <c r="N1340">
        <v>6.8</v>
      </c>
      <c r="O1340">
        <v>6</v>
      </c>
      <c r="P1340">
        <v>3.8</v>
      </c>
      <c r="Q1340">
        <v>1.3</v>
      </c>
      <c r="R1340">
        <v>4</v>
      </c>
      <c r="S1340">
        <v>3</v>
      </c>
      <c r="T1340">
        <v>3</v>
      </c>
      <c r="U1340" t="s">
        <v>23</v>
      </c>
      <c r="V1340">
        <v>3</v>
      </c>
      <c r="W1340">
        <v>1</v>
      </c>
    </row>
    <row r="1341" spans="1:23" x14ac:dyDescent="0.35">
      <c r="A1341" t="s">
        <v>807</v>
      </c>
      <c r="B1341" s="6">
        <v>41938</v>
      </c>
      <c r="D1341" t="s">
        <v>23</v>
      </c>
      <c r="E1341">
        <v>35</v>
      </c>
      <c r="F1341" t="s">
        <v>62</v>
      </c>
      <c r="G1341" t="s">
        <v>42</v>
      </c>
      <c r="H1341" t="s">
        <v>58</v>
      </c>
      <c r="I1341" t="s">
        <v>38</v>
      </c>
      <c r="J1341" t="s">
        <v>118</v>
      </c>
      <c r="K1341">
        <v>2</v>
      </c>
      <c r="L1341" t="s">
        <v>34</v>
      </c>
      <c r="M1341">
        <v>70000</v>
      </c>
      <c r="N1341">
        <v>5.9</v>
      </c>
      <c r="O1341">
        <v>14.6</v>
      </c>
      <c r="P1341">
        <v>11.2</v>
      </c>
      <c r="Q1341">
        <v>5.3</v>
      </c>
      <c r="R1341">
        <v>4</v>
      </c>
      <c r="S1341">
        <v>4</v>
      </c>
      <c r="T1341">
        <v>3</v>
      </c>
      <c r="U1341" t="s">
        <v>23</v>
      </c>
      <c r="V1341">
        <v>4</v>
      </c>
      <c r="W1341">
        <v>1</v>
      </c>
    </row>
    <row r="1342" spans="1:23" x14ac:dyDescent="0.35">
      <c r="A1342" t="s">
        <v>914</v>
      </c>
      <c r="B1342" s="6">
        <v>43027</v>
      </c>
      <c r="D1342" t="s">
        <v>23</v>
      </c>
      <c r="E1342">
        <v>29</v>
      </c>
      <c r="F1342" t="s">
        <v>36</v>
      </c>
      <c r="G1342" t="s">
        <v>37</v>
      </c>
      <c r="H1342" t="s">
        <v>32</v>
      </c>
      <c r="I1342" t="s">
        <v>27</v>
      </c>
      <c r="J1342" t="s">
        <v>33</v>
      </c>
      <c r="K1342">
        <v>3</v>
      </c>
      <c r="L1342" t="s">
        <v>34</v>
      </c>
      <c r="M1342">
        <v>66000</v>
      </c>
      <c r="N1342">
        <v>7.6</v>
      </c>
      <c r="O1342">
        <v>11.2</v>
      </c>
      <c r="P1342">
        <v>8.1999999999999993</v>
      </c>
      <c r="Q1342">
        <v>0.4</v>
      </c>
      <c r="R1342">
        <v>3</v>
      </c>
      <c r="S1342">
        <v>1</v>
      </c>
      <c r="T1342">
        <v>3</v>
      </c>
      <c r="U1342" t="s">
        <v>23</v>
      </c>
      <c r="V1342">
        <v>3</v>
      </c>
      <c r="W1342">
        <v>1</v>
      </c>
    </row>
    <row r="1343" spans="1:23" x14ac:dyDescent="0.35">
      <c r="A1343" t="s">
        <v>523</v>
      </c>
      <c r="B1343" s="6">
        <v>43879</v>
      </c>
      <c r="D1343" t="s">
        <v>23</v>
      </c>
      <c r="E1343">
        <v>26</v>
      </c>
      <c r="F1343" t="s">
        <v>62</v>
      </c>
      <c r="G1343" t="s">
        <v>25</v>
      </c>
      <c r="H1343" t="s">
        <v>32</v>
      </c>
      <c r="I1343" t="s">
        <v>59</v>
      </c>
      <c r="J1343" t="s">
        <v>75</v>
      </c>
      <c r="K1343">
        <v>1</v>
      </c>
      <c r="L1343" t="s">
        <v>34</v>
      </c>
      <c r="M1343">
        <v>37000</v>
      </c>
      <c r="N1343">
        <v>2.2000000000000002</v>
      </c>
      <c r="O1343">
        <v>12.6</v>
      </c>
      <c r="P1343">
        <v>5.9</v>
      </c>
      <c r="Q1343">
        <v>0.8</v>
      </c>
      <c r="R1343">
        <v>1</v>
      </c>
      <c r="S1343">
        <v>3</v>
      </c>
      <c r="T1343">
        <v>1</v>
      </c>
      <c r="U1343" t="s">
        <v>30</v>
      </c>
      <c r="V1343">
        <v>3</v>
      </c>
      <c r="W1343">
        <v>1</v>
      </c>
    </row>
    <row r="1344" spans="1:23" x14ac:dyDescent="0.35">
      <c r="A1344" t="s">
        <v>94</v>
      </c>
      <c r="B1344" s="6">
        <v>42843</v>
      </c>
      <c r="D1344" t="s">
        <v>23</v>
      </c>
      <c r="E1344">
        <v>31</v>
      </c>
      <c r="F1344" t="s">
        <v>62</v>
      </c>
      <c r="G1344" t="s">
        <v>25</v>
      </c>
      <c r="H1344" t="s">
        <v>54</v>
      </c>
      <c r="I1344" t="s">
        <v>27</v>
      </c>
      <c r="J1344" t="s">
        <v>95</v>
      </c>
      <c r="K1344">
        <v>4</v>
      </c>
      <c r="L1344" t="s">
        <v>84</v>
      </c>
      <c r="M1344">
        <v>121000</v>
      </c>
      <c r="N1344">
        <v>7.9</v>
      </c>
      <c r="O1344">
        <v>12.2</v>
      </c>
      <c r="P1344">
        <v>8.6999999999999993</v>
      </c>
      <c r="Q1344">
        <v>2.7</v>
      </c>
      <c r="R1344">
        <v>3</v>
      </c>
      <c r="S1344">
        <v>4</v>
      </c>
      <c r="T1344">
        <v>3</v>
      </c>
      <c r="U1344" t="s">
        <v>23</v>
      </c>
      <c r="V1344">
        <v>2</v>
      </c>
      <c r="W1344">
        <v>1</v>
      </c>
    </row>
    <row r="1345" spans="1:23" x14ac:dyDescent="0.35">
      <c r="A1345" t="s">
        <v>1289</v>
      </c>
      <c r="B1345" s="6">
        <v>45865</v>
      </c>
      <c r="C1345">
        <v>45946</v>
      </c>
      <c r="D1345" t="s">
        <v>30</v>
      </c>
      <c r="E1345">
        <v>21</v>
      </c>
      <c r="F1345" t="s">
        <v>36</v>
      </c>
      <c r="G1345" t="s">
        <v>42</v>
      </c>
      <c r="H1345" t="s">
        <v>26</v>
      </c>
      <c r="I1345" t="s">
        <v>68</v>
      </c>
      <c r="J1345" t="s">
        <v>121</v>
      </c>
      <c r="K1345">
        <v>1</v>
      </c>
      <c r="L1345" t="s">
        <v>40</v>
      </c>
      <c r="M1345">
        <v>34000</v>
      </c>
      <c r="N1345">
        <v>11.5</v>
      </c>
      <c r="O1345">
        <v>1.8</v>
      </c>
      <c r="P1345">
        <v>0.2</v>
      </c>
      <c r="Q1345">
        <v>0</v>
      </c>
      <c r="R1345">
        <v>1</v>
      </c>
      <c r="S1345">
        <v>3</v>
      </c>
      <c r="T1345">
        <v>3</v>
      </c>
      <c r="U1345" t="s">
        <v>23</v>
      </c>
      <c r="V1345">
        <v>4</v>
      </c>
      <c r="W1345">
        <v>1</v>
      </c>
    </row>
    <row r="1346" spans="1:23" x14ac:dyDescent="0.35">
      <c r="A1346" t="s">
        <v>1482</v>
      </c>
      <c r="B1346" s="6">
        <v>45825</v>
      </c>
      <c r="D1346" t="s">
        <v>23</v>
      </c>
      <c r="E1346">
        <v>34</v>
      </c>
      <c r="F1346" t="s">
        <v>24</v>
      </c>
      <c r="G1346" t="s">
        <v>25</v>
      </c>
      <c r="H1346" t="s">
        <v>26</v>
      </c>
      <c r="I1346" t="s">
        <v>59</v>
      </c>
      <c r="J1346" t="s">
        <v>86</v>
      </c>
      <c r="K1346">
        <v>1</v>
      </c>
      <c r="L1346" t="s">
        <v>50</v>
      </c>
      <c r="M1346">
        <v>43000</v>
      </c>
      <c r="N1346">
        <v>6.8</v>
      </c>
      <c r="O1346">
        <v>6.5</v>
      </c>
      <c r="P1346">
        <v>0.5</v>
      </c>
      <c r="Q1346">
        <v>0</v>
      </c>
      <c r="R1346">
        <v>3</v>
      </c>
      <c r="S1346">
        <v>3</v>
      </c>
      <c r="T1346">
        <v>3</v>
      </c>
      <c r="U1346" t="s">
        <v>23</v>
      </c>
      <c r="V1346">
        <v>4</v>
      </c>
      <c r="W1346">
        <v>1</v>
      </c>
    </row>
    <row r="1347" spans="1:23" x14ac:dyDescent="0.35">
      <c r="A1347" t="s">
        <v>724</v>
      </c>
      <c r="B1347" s="6">
        <v>45661</v>
      </c>
      <c r="D1347" t="s">
        <v>23</v>
      </c>
      <c r="E1347">
        <v>22</v>
      </c>
      <c r="F1347" t="s">
        <v>62</v>
      </c>
      <c r="G1347" t="s">
        <v>42</v>
      </c>
      <c r="H1347" t="s">
        <v>32</v>
      </c>
      <c r="I1347" t="s">
        <v>68</v>
      </c>
      <c r="J1347" t="s">
        <v>102</v>
      </c>
      <c r="K1347">
        <v>1</v>
      </c>
      <c r="L1347" t="s">
        <v>34</v>
      </c>
      <c r="M1347">
        <v>25000</v>
      </c>
      <c r="N1347">
        <v>1.8</v>
      </c>
      <c r="O1347">
        <v>1.7</v>
      </c>
      <c r="P1347">
        <v>1</v>
      </c>
      <c r="Q1347">
        <v>0.6</v>
      </c>
      <c r="R1347">
        <v>3</v>
      </c>
      <c r="S1347">
        <v>4</v>
      </c>
      <c r="T1347">
        <v>2</v>
      </c>
      <c r="U1347" t="s">
        <v>30</v>
      </c>
      <c r="V1347">
        <v>3</v>
      </c>
      <c r="W1347">
        <v>1</v>
      </c>
    </row>
    <row r="1348" spans="1:23" x14ac:dyDescent="0.35">
      <c r="A1348" t="s">
        <v>155</v>
      </c>
      <c r="B1348" s="6">
        <v>43273</v>
      </c>
      <c r="D1348" t="s">
        <v>23</v>
      </c>
      <c r="E1348">
        <v>33</v>
      </c>
      <c r="F1348" t="s">
        <v>62</v>
      </c>
      <c r="G1348" t="s">
        <v>42</v>
      </c>
      <c r="H1348" t="s">
        <v>54</v>
      </c>
      <c r="I1348" t="s">
        <v>45</v>
      </c>
      <c r="J1348" t="s">
        <v>46</v>
      </c>
      <c r="K1348">
        <v>3</v>
      </c>
      <c r="L1348" t="s">
        <v>84</v>
      </c>
      <c r="M1348">
        <v>73000</v>
      </c>
      <c r="N1348">
        <v>9.1999999999999993</v>
      </c>
      <c r="O1348">
        <v>9.9</v>
      </c>
      <c r="P1348">
        <v>7.5</v>
      </c>
      <c r="Q1348">
        <v>5.9</v>
      </c>
      <c r="R1348">
        <v>3</v>
      </c>
      <c r="S1348">
        <v>4</v>
      </c>
      <c r="T1348">
        <v>4</v>
      </c>
      <c r="U1348" t="s">
        <v>23</v>
      </c>
      <c r="V1348">
        <v>4</v>
      </c>
      <c r="W1348">
        <v>1</v>
      </c>
    </row>
    <row r="1349" spans="1:23" x14ac:dyDescent="0.35">
      <c r="A1349" t="s">
        <v>1363</v>
      </c>
      <c r="B1349" s="6">
        <v>45814</v>
      </c>
      <c r="D1349" t="s">
        <v>23</v>
      </c>
      <c r="E1349">
        <v>32</v>
      </c>
      <c r="F1349" t="s">
        <v>24</v>
      </c>
      <c r="G1349" t="s">
        <v>42</v>
      </c>
      <c r="H1349" t="s">
        <v>26</v>
      </c>
      <c r="I1349" t="s">
        <v>48</v>
      </c>
      <c r="J1349" t="s">
        <v>49</v>
      </c>
      <c r="K1349">
        <v>1</v>
      </c>
      <c r="L1349" t="s">
        <v>50</v>
      </c>
      <c r="M1349">
        <v>22000</v>
      </c>
      <c r="N1349">
        <v>14.5</v>
      </c>
      <c r="O1349">
        <v>2.8</v>
      </c>
      <c r="P1349">
        <v>0.6</v>
      </c>
      <c r="Q1349">
        <v>0</v>
      </c>
      <c r="R1349">
        <v>4</v>
      </c>
      <c r="S1349">
        <v>3</v>
      </c>
      <c r="T1349">
        <v>4</v>
      </c>
      <c r="U1349" t="s">
        <v>23</v>
      </c>
      <c r="V1349">
        <v>4</v>
      </c>
      <c r="W1349">
        <v>1</v>
      </c>
    </row>
    <row r="1350" spans="1:23" x14ac:dyDescent="0.35">
      <c r="A1350" t="s">
        <v>463</v>
      </c>
      <c r="B1350" s="6">
        <v>43567</v>
      </c>
      <c r="D1350" t="s">
        <v>23</v>
      </c>
      <c r="E1350">
        <v>30</v>
      </c>
      <c r="F1350" t="s">
        <v>24</v>
      </c>
      <c r="G1350" t="s">
        <v>25</v>
      </c>
      <c r="H1350" t="s">
        <v>58</v>
      </c>
      <c r="I1350" t="s">
        <v>27</v>
      </c>
      <c r="J1350" t="s">
        <v>43</v>
      </c>
      <c r="K1350">
        <v>2</v>
      </c>
      <c r="L1350" t="s">
        <v>29</v>
      </c>
      <c r="M1350">
        <v>65000</v>
      </c>
      <c r="N1350">
        <v>4</v>
      </c>
      <c r="O1350">
        <v>10.7</v>
      </c>
      <c r="P1350">
        <v>6.7</v>
      </c>
      <c r="Q1350">
        <v>4.5999999999999996</v>
      </c>
      <c r="R1350">
        <v>3</v>
      </c>
      <c r="S1350">
        <v>4</v>
      </c>
      <c r="T1350">
        <v>3</v>
      </c>
      <c r="U1350" t="s">
        <v>23</v>
      </c>
      <c r="V1350">
        <v>5</v>
      </c>
      <c r="W1350">
        <v>1</v>
      </c>
    </row>
    <row r="1351" spans="1:23" x14ac:dyDescent="0.35">
      <c r="A1351" t="s">
        <v>915</v>
      </c>
      <c r="B1351" s="6">
        <v>45290</v>
      </c>
      <c r="D1351" t="s">
        <v>23</v>
      </c>
      <c r="E1351">
        <v>25</v>
      </c>
      <c r="F1351" t="s">
        <v>62</v>
      </c>
      <c r="G1351" t="s">
        <v>25</v>
      </c>
      <c r="H1351" t="s">
        <v>58</v>
      </c>
      <c r="I1351" t="s">
        <v>38</v>
      </c>
      <c r="J1351" t="s">
        <v>118</v>
      </c>
      <c r="K1351">
        <v>1</v>
      </c>
      <c r="L1351" t="s">
        <v>34</v>
      </c>
      <c r="M1351">
        <v>37000</v>
      </c>
      <c r="N1351">
        <v>10.7</v>
      </c>
      <c r="O1351">
        <v>2.2000000000000002</v>
      </c>
      <c r="P1351">
        <v>2</v>
      </c>
      <c r="Q1351">
        <v>0.6</v>
      </c>
      <c r="R1351">
        <v>2</v>
      </c>
      <c r="S1351">
        <v>4</v>
      </c>
      <c r="T1351">
        <v>3</v>
      </c>
      <c r="U1351" t="s">
        <v>23</v>
      </c>
      <c r="V1351">
        <v>3</v>
      </c>
      <c r="W1351">
        <v>1</v>
      </c>
    </row>
    <row r="1352" spans="1:23" x14ac:dyDescent="0.35">
      <c r="A1352" t="s">
        <v>1484</v>
      </c>
      <c r="B1352" s="6">
        <v>45684</v>
      </c>
      <c r="D1352" t="s">
        <v>23</v>
      </c>
      <c r="E1352">
        <v>51</v>
      </c>
      <c r="F1352" t="s">
        <v>62</v>
      </c>
      <c r="G1352" t="s">
        <v>37</v>
      </c>
      <c r="H1352" t="s">
        <v>32</v>
      </c>
      <c r="I1352" t="s">
        <v>48</v>
      </c>
      <c r="J1352" t="s">
        <v>201</v>
      </c>
      <c r="K1352">
        <v>2</v>
      </c>
      <c r="L1352" t="s">
        <v>29</v>
      </c>
      <c r="M1352">
        <v>35000</v>
      </c>
      <c r="N1352">
        <v>11.4</v>
      </c>
      <c r="O1352">
        <v>6.7</v>
      </c>
      <c r="P1352">
        <v>0.9</v>
      </c>
      <c r="Q1352">
        <v>0</v>
      </c>
      <c r="R1352">
        <v>2</v>
      </c>
      <c r="S1352">
        <v>3</v>
      </c>
      <c r="T1352">
        <v>3</v>
      </c>
      <c r="U1352" t="s">
        <v>30</v>
      </c>
      <c r="V1352">
        <v>2</v>
      </c>
      <c r="W1352">
        <v>1</v>
      </c>
    </row>
    <row r="1353" spans="1:23" x14ac:dyDescent="0.35">
      <c r="A1353" t="s">
        <v>110</v>
      </c>
      <c r="B1353" s="6">
        <v>43475</v>
      </c>
      <c r="D1353" t="s">
        <v>23</v>
      </c>
      <c r="E1353">
        <v>29</v>
      </c>
      <c r="F1353" t="s">
        <v>36</v>
      </c>
      <c r="G1353" t="s">
        <v>37</v>
      </c>
      <c r="H1353" t="s">
        <v>54</v>
      </c>
      <c r="I1353" t="s">
        <v>55</v>
      </c>
      <c r="J1353" t="s">
        <v>80</v>
      </c>
      <c r="K1353">
        <v>3</v>
      </c>
      <c r="L1353" t="s">
        <v>40</v>
      </c>
      <c r="M1353">
        <v>84000</v>
      </c>
      <c r="N1353">
        <v>5.4</v>
      </c>
      <c r="O1353">
        <v>8.1</v>
      </c>
      <c r="P1353">
        <v>7</v>
      </c>
      <c r="Q1353">
        <v>3.2</v>
      </c>
      <c r="R1353">
        <v>2</v>
      </c>
      <c r="S1353">
        <v>3</v>
      </c>
      <c r="T1353">
        <v>2</v>
      </c>
      <c r="U1353" t="s">
        <v>23</v>
      </c>
      <c r="V1353">
        <v>3</v>
      </c>
      <c r="W1353">
        <v>1</v>
      </c>
    </row>
    <row r="1354" spans="1:23" x14ac:dyDescent="0.35">
      <c r="A1354" t="s">
        <v>243</v>
      </c>
      <c r="B1354" s="6">
        <v>45090</v>
      </c>
      <c r="D1354" t="s">
        <v>23</v>
      </c>
      <c r="E1354">
        <v>39</v>
      </c>
      <c r="F1354" t="s">
        <v>62</v>
      </c>
      <c r="G1354" t="s">
        <v>37</v>
      </c>
      <c r="H1354" t="s">
        <v>58</v>
      </c>
      <c r="I1354" t="s">
        <v>59</v>
      </c>
      <c r="J1354" t="s">
        <v>150</v>
      </c>
      <c r="K1354">
        <v>3</v>
      </c>
      <c r="L1354" t="s">
        <v>50</v>
      </c>
      <c r="M1354">
        <v>75000</v>
      </c>
      <c r="N1354">
        <v>14.4</v>
      </c>
      <c r="O1354">
        <v>10.5</v>
      </c>
      <c r="P1354">
        <v>2.6</v>
      </c>
      <c r="Q1354">
        <v>0</v>
      </c>
      <c r="R1354">
        <v>4</v>
      </c>
      <c r="S1354">
        <v>3</v>
      </c>
      <c r="T1354">
        <v>2</v>
      </c>
      <c r="U1354" t="s">
        <v>23</v>
      </c>
      <c r="V1354">
        <v>2</v>
      </c>
      <c r="W1354">
        <v>1</v>
      </c>
    </row>
    <row r="1355" spans="1:23" x14ac:dyDescent="0.35">
      <c r="A1355" t="s">
        <v>890</v>
      </c>
      <c r="B1355" s="6">
        <v>44985</v>
      </c>
      <c r="D1355" t="s">
        <v>23</v>
      </c>
      <c r="E1355">
        <v>24</v>
      </c>
      <c r="F1355" t="s">
        <v>24</v>
      </c>
      <c r="G1355" t="s">
        <v>37</v>
      </c>
      <c r="H1355" t="s">
        <v>26</v>
      </c>
      <c r="I1355" t="s">
        <v>27</v>
      </c>
      <c r="J1355" t="s">
        <v>43</v>
      </c>
      <c r="K1355">
        <v>1</v>
      </c>
      <c r="L1355" t="s">
        <v>34</v>
      </c>
      <c r="M1355">
        <v>22000</v>
      </c>
      <c r="N1355">
        <v>6.2</v>
      </c>
      <c r="O1355">
        <v>10.6</v>
      </c>
      <c r="P1355">
        <v>2.8</v>
      </c>
      <c r="Q1355">
        <v>1</v>
      </c>
      <c r="R1355">
        <v>3</v>
      </c>
      <c r="S1355">
        <v>1</v>
      </c>
      <c r="T1355">
        <v>3</v>
      </c>
      <c r="U1355" t="s">
        <v>23</v>
      </c>
      <c r="V1355">
        <v>5</v>
      </c>
      <c r="W1355">
        <v>1</v>
      </c>
    </row>
    <row r="1356" spans="1:23" x14ac:dyDescent="0.35">
      <c r="A1356" t="s">
        <v>721</v>
      </c>
      <c r="B1356" s="6">
        <v>44783</v>
      </c>
      <c r="C1356">
        <v>45782</v>
      </c>
      <c r="D1356" t="s">
        <v>30</v>
      </c>
      <c r="E1356">
        <v>34</v>
      </c>
      <c r="F1356" t="s">
        <v>24</v>
      </c>
      <c r="G1356" t="s">
        <v>37</v>
      </c>
      <c r="H1356" t="s">
        <v>32</v>
      </c>
      <c r="I1356" t="s">
        <v>27</v>
      </c>
      <c r="J1356" t="s">
        <v>95</v>
      </c>
      <c r="K1356">
        <v>2</v>
      </c>
      <c r="L1356" t="s">
        <v>66</v>
      </c>
      <c r="M1356">
        <v>52000</v>
      </c>
      <c r="N1356">
        <v>3.4</v>
      </c>
      <c r="O1356">
        <v>6.9</v>
      </c>
      <c r="P1356">
        <v>2.7</v>
      </c>
      <c r="Q1356">
        <v>1.2</v>
      </c>
      <c r="R1356">
        <v>1</v>
      </c>
      <c r="S1356">
        <v>1</v>
      </c>
      <c r="T1356">
        <v>3</v>
      </c>
      <c r="U1356" t="s">
        <v>23</v>
      </c>
      <c r="V1356">
        <v>4</v>
      </c>
      <c r="W1356">
        <v>1</v>
      </c>
    </row>
    <row r="1357" spans="1:23" x14ac:dyDescent="0.35">
      <c r="A1357" t="s">
        <v>1494</v>
      </c>
      <c r="B1357" s="6">
        <v>45530</v>
      </c>
      <c r="D1357" t="s">
        <v>23</v>
      </c>
      <c r="E1357">
        <v>35</v>
      </c>
      <c r="F1357" t="s">
        <v>62</v>
      </c>
      <c r="H1357" t="s">
        <v>58</v>
      </c>
      <c r="I1357" t="s">
        <v>45</v>
      </c>
      <c r="J1357" t="s">
        <v>46</v>
      </c>
      <c r="K1357">
        <v>1</v>
      </c>
      <c r="L1357" t="s">
        <v>34</v>
      </c>
      <c r="M1357">
        <v>38000</v>
      </c>
      <c r="N1357">
        <v>1.4</v>
      </c>
      <c r="O1357">
        <v>7.1</v>
      </c>
      <c r="P1357">
        <v>1.3</v>
      </c>
      <c r="Q1357">
        <v>0</v>
      </c>
      <c r="R1357">
        <v>4</v>
      </c>
      <c r="S1357">
        <v>3</v>
      </c>
      <c r="T1357">
        <v>3</v>
      </c>
      <c r="U1357" t="s">
        <v>30</v>
      </c>
      <c r="V1357">
        <v>3</v>
      </c>
      <c r="W1357">
        <v>1</v>
      </c>
    </row>
    <row r="1358" spans="1:23" x14ac:dyDescent="0.35">
      <c r="A1358" t="s">
        <v>303</v>
      </c>
      <c r="B1358" s="6">
        <v>44247</v>
      </c>
      <c r="C1358">
        <v>45883</v>
      </c>
      <c r="D1358" t="s">
        <v>30</v>
      </c>
      <c r="E1358">
        <v>25</v>
      </c>
      <c r="F1358" t="s">
        <v>24</v>
      </c>
      <c r="G1358" t="s">
        <v>25</v>
      </c>
      <c r="H1358" t="s">
        <v>26</v>
      </c>
      <c r="I1358" t="s">
        <v>45</v>
      </c>
      <c r="J1358" t="s">
        <v>164</v>
      </c>
      <c r="K1358">
        <v>1</v>
      </c>
      <c r="L1358" t="s">
        <v>84</v>
      </c>
      <c r="M1358">
        <v>28000</v>
      </c>
      <c r="N1358">
        <v>11.1</v>
      </c>
      <c r="O1358">
        <v>7.8</v>
      </c>
      <c r="P1358">
        <v>4.5</v>
      </c>
      <c r="Q1358">
        <v>1</v>
      </c>
      <c r="R1358">
        <v>2</v>
      </c>
      <c r="S1358">
        <v>3</v>
      </c>
      <c r="T1358">
        <v>3</v>
      </c>
      <c r="U1358" t="s">
        <v>23</v>
      </c>
      <c r="V1358">
        <v>5</v>
      </c>
      <c r="W1358">
        <v>1</v>
      </c>
    </row>
    <row r="1359" spans="1:23" x14ac:dyDescent="0.35">
      <c r="A1359" t="s">
        <v>423</v>
      </c>
      <c r="B1359" s="6">
        <v>45017</v>
      </c>
      <c r="D1359" t="s">
        <v>23</v>
      </c>
      <c r="E1359">
        <v>27</v>
      </c>
      <c r="F1359" t="s">
        <v>36</v>
      </c>
      <c r="G1359" t="s">
        <v>37</v>
      </c>
      <c r="H1359" t="s">
        <v>54</v>
      </c>
      <c r="I1359" t="s">
        <v>55</v>
      </c>
      <c r="J1359" t="s">
        <v>56</v>
      </c>
      <c r="K1359">
        <v>1</v>
      </c>
      <c r="L1359" t="s">
        <v>34</v>
      </c>
      <c r="M1359">
        <v>39000</v>
      </c>
      <c r="N1359">
        <v>2.9</v>
      </c>
      <c r="O1359">
        <v>10.5</v>
      </c>
      <c r="P1359">
        <v>2.8</v>
      </c>
      <c r="Q1359">
        <v>0.9</v>
      </c>
      <c r="R1359">
        <v>4</v>
      </c>
      <c r="S1359">
        <v>4</v>
      </c>
      <c r="T1359">
        <v>2</v>
      </c>
      <c r="U1359" t="s">
        <v>23</v>
      </c>
      <c r="V1359">
        <v>3</v>
      </c>
      <c r="W1359">
        <v>1</v>
      </c>
    </row>
    <row r="1360" spans="1:23" x14ac:dyDescent="0.35">
      <c r="A1360" t="s">
        <v>665</v>
      </c>
      <c r="B1360" s="6">
        <v>44555</v>
      </c>
      <c r="D1360" t="s">
        <v>23</v>
      </c>
      <c r="E1360">
        <v>32</v>
      </c>
      <c r="F1360" t="s">
        <v>36</v>
      </c>
      <c r="G1360" t="s">
        <v>25</v>
      </c>
      <c r="H1360" t="s">
        <v>54</v>
      </c>
      <c r="I1360" t="s">
        <v>27</v>
      </c>
      <c r="J1360" t="s">
        <v>95</v>
      </c>
      <c r="K1360">
        <v>2</v>
      </c>
      <c r="L1360" t="s">
        <v>84</v>
      </c>
      <c r="M1360">
        <v>61000</v>
      </c>
      <c r="N1360">
        <v>6.9</v>
      </c>
      <c r="O1360">
        <v>9.4</v>
      </c>
      <c r="P1360">
        <v>4</v>
      </c>
      <c r="Q1360">
        <v>0.7</v>
      </c>
      <c r="R1360">
        <v>3</v>
      </c>
      <c r="S1360">
        <v>3</v>
      </c>
      <c r="T1360">
        <v>1</v>
      </c>
      <c r="U1360" t="s">
        <v>30</v>
      </c>
      <c r="V1360">
        <v>3</v>
      </c>
      <c r="W1360">
        <v>1</v>
      </c>
    </row>
    <row r="1361" spans="1:23" x14ac:dyDescent="0.35">
      <c r="A1361" t="s">
        <v>1375</v>
      </c>
      <c r="B1361" s="6">
        <v>43506</v>
      </c>
      <c r="D1361" t="s">
        <v>23</v>
      </c>
      <c r="E1361">
        <v>28</v>
      </c>
      <c r="F1361" t="s">
        <v>36</v>
      </c>
      <c r="G1361" t="s">
        <v>25</v>
      </c>
      <c r="H1361" t="s">
        <v>58</v>
      </c>
      <c r="I1361" t="s">
        <v>45</v>
      </c>
      <c r="J1361" t="s">
        <v>46</v>
      </c>
      <c r="K1361">
        <v>5</v>
      </c>
      <c r="L1361" t="s">
        <v>34</v>
      </c>
      <c r="M1361">
        <v>152000</v>
      </c>
      <c r="N1361">
        <v>6.2</v>
      </c>
      <c r="O1361">
        <v>13.9</v>
      </c>
      <c r="P1361">
        <v>6.9</v>
      </c>
      <c r="Q1361">
        <v>5.3</v>
      </c>
      <c r="R1361">
        <v>1</v>
      </c>
      <c r="S1361">
        <v>3</v>
      </c>
      <c r="T1361">
        <v>3</v>
      </c>
      <c r="U1361" t="s">
        <v>30</v>
      </c>
      <c r="V1361">
        <v>3</v>
      </c>
      <c r="W1361">
        <v>1</v>
      </c>
    </row>
    <row r="1362" spans="1:23" x14ac:dyDescent="0.35">
      <c r="A1362" t="s">
        <v>236</v>
      </c>
      <c r="B1362" s="6">
        <v>43864</v>
      </c>
      <c r="C1362">
        <v>45713</v>
      </c>
      <c r="D1362" t="s">
        <v>30</v>
      </c>
      <c r="E1362">
        <v>30</v>
      </c>
      <c r="F1362" t="s">
        <v>24</v>
      </c>
      <c r="G1362" t="s">
        <v>37</v>
      </c>
      <c r="H1362" t="s">
        <v>58</v>
      </c>
      <c r="I1362" t="s">
        <v>48</v>
      </c>
      <c r="J1362" t="s">
        <v>63</v>
      </c>
      <c r="K1362">
        <v>3</v>
      </c>
      <c r="L1362" t="s">
        <v>84</v>
      </c>
      <c r="M1362">
        <v>62000</v>
      </c>
      <c r="N1362">
        <v>6.7</v>
      </c>
      <c r="O1362">
        <v>11.5</v>
      </c>
      <c r="P1362">
        <v>5.0999999999999996</v>
      </c>
      <c r="Q1362">
        <v>1.5</v>
      </c>
      <c r="R1362">
        <v>3</v>
      </c>
      <c r="S1362">
        <v>3</v>
      </c>
      <c r="T1362">
        <v>4</v>
      </c>
      <c r="U1362" t="s">
        <v>23</v>
      </c>
      <c r="V1362">
        <v>5</v>
      </c>
      <c r="W1362">
        <v>1</v>
      </c>
    </row>
    <row r="1363" spans="1:23" x14ac:dyDescent="0.35">
      <c r="A1363" t="s">
        <v>619</v>
      </c>
      <c r="B1363" s="6">
        <v>44600</v>
      </c>
      <c r="D1363" t="s">
        <v>23</v>
      </c>
      <c r="E1363">
        <v>33</v>
      </c>
      <c r="F1363" t="s">
        <v>36</v>
      </c>
      <c r="G1363" t="s">
        <v>25</v>
      </c>
      <c r="H1363" t="s">
        <v>58</v>
      </c>
      <c r="I1363" t="s">
        <v>59</v>
      </c>
      <c r="J1363" t="s">
        <v>86</v>
      </c>
      <c r="K1363">
        <v>2</v>
      </c>
      <c r="L1363" t="s">
        <v>40</v>
      </c>
      <c r="M1363">
        <v>41000</v>
      </c>
      <c r="N1363">
        <v>12.7</v>
      </c>
      <c r="O1363">
        <v>5.0999999999999996</v>
      </c>
      <c r="P1363">
        <v>3.9</v>
      </c>
      <c r="Q1363">
        <v>0.4</v>
      </c>
      <c r="R1363">
        <v>4</v>
      </c>
      <c r="S1363">
        <v>2</v>
      </c>
      <c r="T1363">
        <v>4</v>
      </c>
      <c r="U1363" t="s">
        <v>23</v>
      </c>
      <c r="V1363">
        <v>3</v>
      </c>
      <c r="W1363">
        <v>1</v>
      </c>
    </row>
    <row r="1364" spans="1:23" x14ac:dyDescent="0.35">
      <c r="A1364" t="s">
        <v>1372</v>
      </c>
      <c r="B1364" s="6">
        <v>45178</v>
      </c>
      <c r="D1364" t="s">
        <v>23</v>
      </c>
      <c r="E1364">
        <v>32</v>
      </c>
      <c r="F1364" t="s">
        <v>36</v>
      </c>
      <c r="G1364" t="s">
        <v>37</v>
      </c>
      <c r="H1364" t="s">
        <v>26</v>
      </c>
      <c r="I1364" t="s">
        <v>68</v>
      </c>
      <c r="J1364" t="s">
        <v>69</v>
      </c>
      <c r="K1364">
        <v>3</v>
      </c>
      <c r="L1364" t="s">
        <v>66</v>
      </c>
      <c r="M1364">
        <v>83000</v>
      </c>
      <c r="N1364">
        <v>12.9</v>
      </c>
      <c r="O1364">
        <v>4.5999999999999996</v>
      </c>
      <c r="P1364">
        <v>2.2999999999999998</v>
      </c>
      <c r="Q1364">
        <v>1.9</v>
      </c>
      <c r="R1364">
        <v>3</v>
      </c>
      <c r="S1364">
        <v>4</v>
      </c>
      <c r="T1364">
        <v>2</v>
      </c>
      <c r="U1364" t="s">
        <v>23</v>
      </c>
      <c r="V1364">
        <v>4</v>
      </c>
      <c r="W1364">
        <v>1</v>
      </c>
    </row>
    <row r="1365" spans="1:23" x14ac:dyDescent="0.35">
      <c r="A1365" t="s">
        <v>966</v>
      </c>
      <c r="B1365" s="6">
        <v>43502</v>
      </c>
      <c r="D1365" t="s">
        <v>23</v>
      </c>
      <c r="E1365">
        <v>28</v>
      </c>
      <c r="F1365" t="s">
        <v>24</v>
      </c>
      <c r="G1365" t="s">
        <v>25</v>
      </c>
      <c r="H1365" t="s">
        <v>58</v>
      </c>
      <c r="I1365" t="s">
        <v>55</v>
      </c>
      <c r="J1365" t="s">
        <v>80</v>
      </c>
      <c r="K1365">
        <v>2</v>
      </c>
      <c r="L1365" t="s">
        <v>66</v>
      </c>
      <c r="M1365">
        <v>46000</v>
      </c>
      <c r="N1365">
        <v>6.3</v>
      </c>
      <c r="O1365">
        <v>11.6</v>
      </c>
      <c r="P1365">
        <v>6.9</v>
      </c>
      <c r="Q1365">
        <v>1.7</v>
      </c>
      <c r="R1365">
        <v>3</v>
      </c>
      <c r="S1365">
        <v>4</v>
      </c>
      <c r="T1365">
        <v>3</v>
      </c>
      <c r="U1365" t="s">
        <v>23</v>
      </c>
      <c r="V1365">
        <v>3</v>
      </c>
      <c r="W1365">
        <v>1</v>
      </c>
    </row>
    <row r="1366" spans="1:23" x14ac:dyDescent="0.35">
      <c r="A1366" t="s">
        <v>955</v>
      </c>
      <c r="B1366" s="6">
        <v>41669</v>
      </c>
      <c r="C1366">
        <v>45708</v>
      </c>
      <c r="D1366" t="s">
        <v>30</v>
      </c>
      <c r="E1366">
        <v>34</v>
      </c>
      <c r="F1366" t="s">
        <v>36</v>
      </c>
      <c r="G1366" t="s">
        <v>37</v>
      </c>
      <c r="H1366" t="s">
        <v>58</v>
      </c>
      <c r="I1366" t="s">
        <v>59</v>
      </c>
      <c r="J1366" t="s">
        <v>60</v>
      </c>
      <c r="K1366">
        <v>3</v>
      </c>
      <c r="L1366" t="s">
        <v>50</v>
      </c>
      <c r="M1366" t="s">
        <v>956</v>
      </c>
      <c r="N1366">
        <v>11.8</v>
      </c>
      <c r="O1366">
        <v>17.600000000000001</v>
      </c>
      <c r="P1366">
        <v>11.1</v>
      </c>
      <c r="Q1366">
        <v>6</v>
      </c>
      <c r="R1366">
        <v>4</v>
      </c>
      <c r="S1366">
        <v>2</v>
      </c>
      <c r="T1366">
        <v>2</v>
      </c>
      <c r="U1366" t="s">
        <v>23</v>
      </c>
      <c r="V1366">
        <v>5</v>
      </c>
      <c r="W1366">
        <v>1</v>
      </c>
    </row>
    <row r="1367" spans="1:23" x14ac:dyDescent="0.35">
      <c r="A1367" t="s">
        <v>437</v>
      </c>
      <c r="B1367" s="6">
        <v>45788</v>
      </c>
      <c r="D1367" t="s">
        <v>23</v>
      </c>
      <c r="E1367">
        <v>33</v>
      </c>
      <c r="F1367" t="s">
        <v>62</v>
      </c>
      <c r="G1367" t="s">
        <v>25</v>
      </c>
      <c r="H1367" t="s">
        <v>54</v>
      </c>
      <c r="I1367" t="s">
        <v>59</v>
      </c>
      <c r="J1367" t="s">
        <v>86</v>
      </c>
      <c r="K1367">
        <v>2</v>
      </c>
      <c r="L1367" t="s">
        <v>50</v>
      </c>
      <c r="M1367">
        <v>62000</v>
      </c>
      <c r="N1367">
        <v>10.4</v>
      </c>
      <c r="O1367">
        <v>8.1999999999999993</v>
      </c>
      <c r="P1367">
        <v>0.6</v>
      </c>
      <c r="Q1367">
        <v>0</v>
      </c>
      <c r="R1367">
        <v>1</v>
      </c>
      <c r="S1367">
        <v>4</v>
      </c>
      <c r="T1367">
        <v>2</v>
      </c>
      <c r="U1367" t="s">
        <v>23</v>
      </c>
      <c r="V1367">
        <v>2</v>
      </c>
      <c r="W1367">
        <v>1</v>
      </c>
    </row>
    <row r="1368" spans="1:23" x14ac:dyDescent="0.35">
      <c r="A1368" t="s">
        <v>912</v>
      </c>
      <c r="B1368" s="6">
        <v>42737</v>
      </c>
      <c r="D1368" t="s">
        <v>23</v>
      </c>
      <c r="E1368">
        <v>29</v>
      </c>
      <c r="F1368" t="s">
        <v>24</v>
      </c>
      <c r="G1368" t="s">
        <v>37</v>
      </c>
      <c r="H1368" t="s">
        <v>32</v>
      </c>
      <c r="I1368" t="s">
        <v>38</v>
      </c>
      <c r="J1368" t="s">
        <v>139</v>
      </c>
      <c r="K1368">
        <v>2</v>
      </c>
      <c r="L1368" t="s">
        <v>84</v>
      </c>
      <c r="M1368">
        <v>54000</v>
      </c>
      <c r="N1368">
        <v>5.6</v>
      </c>
      <c r="O1368">
        <v>13.7</v>
      </c>
      <c r="P1368">
        <v>9</v>
      </c>
      <c r="Q1368">
        <v>3.6</v>
      </c>
      <c r="R1368">
        <v>3</v>
      </c>
      <c r="S1368">
        <v>4</v>
      </c>
      <c r="T1368">
        <v>2</v>
      </c>
      <c r="U1368" t="s">
        <v>30</v>
      </c>
      <c r="V1368">
        <v>4</v>
      </c>
      <c r="W1368">
        <v>1</v>
      </c>
    </row>
    <row r="1369" spans="1:23" x14ac:dyDescent="0.35">
      <c r="A1369" t="s">
        <v>193</v>
      </c>
      <c r="B1369" s="6">
        <v>42707</v>
      </c>
      <c r="D1369" t="s">
        <v>23</v>
      </c>
      <c r="E1369">
        <v>38</v>
      </c>
      <c r="F1369" t="s">
        <v>36</v>
      </c>
      <c r="G1369" t="s">
        <v>37</v>
      </c>
      <c r="H1369" t="s">
        <v>58</v>
      </c>
      <c r="I1369" t="s">
        <v>48</v>
      </c>
      <c r="J1369" t="s">
        <v>63</v>
      </c>
      <c r="K1369">
        <v>2</v>
      </c>
      <c r="L1369" t="s">
        <v>29</v>
      </c>
      <c r="M1369">
        <v>53000</v>
      </c>
      <c r="N1369">
        <v>3.6</v>
      </c>
      <c r="O1369">
        <v>15.2</v>
      </c>
      <c r="P1369">
        <v>9.1</v>
      </c>
      <c r="Q1369">
        <v>3.3</v>
      </c>
      <c r="R1369">
        <v>2</v>
      </c>
      <c r="S1369">
        <v>1</v>
      </c>
      <c r="T1369">
        <v>3</v>
      </c>
      <c r="U1369" t="s">
        <v>23</v>
      </c>
      <c r="V1369">
        <v>5</v>
      </c>
      <c r="W1369">
        <v>1</v>
      </c>
    </row>
    <row r="1370" spans="1:23" x14ac:dyDescent="0.35">
      <c r="A1370" t="s">
        <v>844</v>
      </c>
      <c r="B1370" s="6">
        <v>44809</v>
      </c>
      <c r="D1370" t="s">
        <v>23</v>
      </c>
      <c r="E1370">
        <v>35</v>
      </c>
      <c r="F1370" t="s">
        <v>24</v>
      </c>
      <c r="G1370" t="s">
        <v>37</v>
      </c>
      <c r="H1370" t="s">
        <v>54</v>
      </c>
      <c r="I1370" t="s">
        <v>45</v>
      </c>
      <c r="J1370" t="s">
        <v>164</v>
      </c>
      <c r="K1370">
        <v>3</v>
      </c>
      <c r="L1370" t="s">
        <v>84</v>
      </c>
      <c r="M1370">
        <v>59000</v>
      </c>
      <c r="N1370">
        <v>7.2</v>
      </c>
      <c r="O1370">
        <v>7.1</v>
      </c>
      <c r="P1370">
        <v>3.3</v>
      </c>
      <c r="Q1370">
        <v>1.7</v>
      </c>
      <c r="R1370">
        <v>3</v>
      </c>
      <c r="S1370">
        <v>4</v>
      </c>
      <c r="T1370">
        <v>4</v>
      </c>
      <c r="U1370" t="s">
        <v>23</v>
      </c>
      <c r="V1370">
        <v>4</v>
      </c>
      <c r="W1370">
        <v>1</v>
      </c>
    </row>
    <row r="1371" spans="1:23" x14ac:dyDescent="0.35">
      <c r="A1371" t="s">
        <v>116</v>
      </c>
      <c r="B1371" s="6">
        <v>42895</v>
      </c>
      <c r="D1371" t="s">
        <v>23</v>
      </c>
      <c r="E1371">
        <v>45</v>
      </c>
      <c r="F1371" t="s">
        <v>36</v>
      </c>
      <c r="G1371" t="s">
        <v>25</v>
      </c>
      <c r="H1371" t="s">
        <v>26</v>
      </c>
      <c r="I1371" t="s">
        <v>55</v>
      </c>
      <c r="J1371" t="s">
        <v>88</v>
      </c>
      <c r="K1371">
        <v>3</v>
      </c>
      <c r="L1371" t="s">
        <v>29</v>
      </c>
      <c r="M1371">
        <v>80000</v>
      </c>
      <c r="N1371">
        <v>12.9</v>
      </c>
      <c r="O1371">
        <v>14</v>
      </c>
      <c r="P1371">
        <v>8.6</v>
      </c>
      <c r="Q1371">
        <v>5</v>
      </c>
      <c r="R1371">
        <v>4</v>
      </c>
      <c r="S1371">
        <v>3</v>
      </c>
      <c r="T1371">
        <v>1</v>
      </c>
      <c r="U1371" t="s">
        <v>30</v>
      </c>
      <c r="V1371">
        <v>2</v>
      </c>
      <c r="W1371">
        <v>1</v>
      </c>
    </row>
    <row r="1372" spans="1:23" x14ac:dyDescent="0.35">
      <c r="A1372" t="s">
        <v>1143</v>
      </c>
      <c r="B1372" s="6">
        <v>44593</v>
      </c>
      <c r="D1372" t="s">
        <v>23</v>
      </c>
      <c r="E1372">
        <v>29</v>
      </c>
      <c r="F1372" t="s">
        <v>62</v>
      </c>
      <c r="G1372" t="s">
        <v>25</v>
      </c>
      <c r="H1372" t="s">
        <v>54</v>
      </c>
      <c r="I1372" t="s">
        <v>55</v>
      </c>
      <c r="J1372" t="s">
        <v>80</v>
      </c>
      <c r="K1372">
        <v>2</v>
      </c>
      <c r="L1372" t="s">
        <v>84</v>
      </c>
      <c r="M1372">
        <v>59000</v>
      </c>
      <c r="N1372">
        <v>4.9000000000000004</v>
      </c>
      <c r="O1372">
        <v>10.1</v>
      </c>
      <c r="P1372">
        <v>3.9</v>
      </c>
      <c r="Q1372">
        <v>1.8</v>
      </c>
      <c r="R1372">
        <v>3</v>
      </c>
      <c r="S1372">
        <v>4</v>
      </c>
      <c r="T1372">
        <v>2</v>
      </c>
      <c r="U1372" t="s">
        <v>23</v>
      </c>
      <c r="V1372">
        <v>3</v>
      </c>
      <c r="W1372">
        <v>1</v>
      </c>
    </row>
    <row r="1373" spans="1:23" x14ac:dyDescent="0.35">
      <c r="A1373" t="s">
        <v>838</v>
      </c>
      <c r="B1373" s="6">
        <v>43625</v>
      </c>
      <c r="C1373">
        <v>45872</v>
      </c>
      <c r="D1373" t="s">
        <v>30</v>
      </c>
      <c r="E1373">
        <v>33</v>
      </c>
      <c r="F1373" t="s">
        <v>24</v>
      </c>
      <c r="G1373" t="s">
        <v>25</v>
      </c>
      <c r="H1373" t="s">
        <v>58</v>
      </c>
      <c r="I1373" t="s">
        <v>48</v>
      </c>
      <c r="J1373" t="s">
        <v>201</v>
      </c>
      <c r="K1373">
        <v>3</v>
      </c>
      <c r="L1373" t="s">
        <v>84</v>
      </c>
      <c r="M1373">
        <v>86000</v>
      </c>
      <c r="N1373">
        <v>13.4</v>
      </c>
      <c r="O1373">
        <v>10.6</v>
      </c>
      <c r="P1373">
        <v>6.2</v>
      </c>
      <c r="Q1373">
        <v>0.6</v>
      </c>
      <c r="R1373">
        <v>4</v>
      </c>
      <c r="S1373">
        <v>4</v>
      </c>
      <c r="T1373">
        <v>2</v>
      </c>
      <c r="U1373" t="s">
        <v>23</v>
      </c>
      <c r="V1373">
        <v>3</v>
      </c>
      <c r="W1373">
        <v>1</v>
      </c>
    </row>
    <row r="1374" spans="1:23" x14ac:dyDescent="0.35">
      <c r="A1374" t="s">
        <v>357</v>
      </c>
      <c r="B1374" s="6">
        <v>45909</v>
      </c>
      <c r="D1374" t="s">
        <v>23</v>
      </c>
      <c r="E1374">
        <v>21</v>
      </c>
      <c r="F1374" t="s">
        <v>24</v>
      </c>
      <c r="G1374" t="s">
        <v>42</v>
      </c>
      <c r="H1374" t="s">
        <v>26</v>
      </c>
      <c r="I1374" t="s">
        <v>48</v>
      </c>
      <c r="J1374" t="s">
        <v>63</v>
      </c>
      <c r="K1374">
        <v>1</v>
      </c>
      <c r="L1374" t="s">
        <v>34</v>
      </c>
      <c r="M1374">
        <v>35000</v>
      </c>
      <c r="N1374">
        <v>10.199999999999999</v>
      </c>
      <c r="O1374">
        <v>6.7</v>
      </c>
      <c r="P1374">
        <v>0.3</v>
      </c>
      <c r="Q1374">
        <v>0</v>
      </c>
      <c r="R1374">
        <v>3</v>
      </c>
      <c r="S1374">
        <v>4</v>
      </c>
      <c r="T1374">
        <v>4</v>
      </c>
      <c r="U1374" t="s">
        <v>23</v>
      </c>
      <c r="V1374">
        <v>2</v>
      </c>
      <c r="W1374">
        <v>1</v>
      </c>
    </row>
    <row r="1375" spans="1:23" x14ac:dyDescent="0.35">
      <c r="A1375" t="s">
        <v>134</v>
      </c>
      <c r="B1375" s="6">
        <v>42603</v>
      </c>
      <c r="C1375">
        <v>45884</v>
      </c>
      <c r="D1375" t="s">
        <v>30</v>
      </c>
      <c r="E1375">
        <v>31</v>
      </c>
      <c r="F1375" t="s">
        <v>36</v>
      </c>
      <c r="G1375" t="s">
        <v>25</v>
      </c>
      <c r="H1375" t="s">
        <v>32</v>
      </c>
      <c r="I1375" t="s">
        <v>27</v>
      </c>
      <c r="J1375" t="s">
        <v>33</v>
      </c>
      <c r="K1375">
        <v>3</v>
      </c>
      <c r="L1375" t="s">
        <v>50</v>
      </c>
      <c r="M1375">
        <v>75000</v>
      </c>
      <c r="N1375">
        <v>15.1</v>
      </c>
      <c r="O1375">
        <v>14.4</v>
      </c>
      <c r="P1375">
        <v>9</v>
      </c>
      <c r="Q1375">
        <v>2.1</v>
      </c>
      <c r="R1375">
        <v>3</v>
      </c>
      <c r="S1375">
        <v>3</v>
      </c>
      <c r="T1375">
        <v>3</v>
      </c>
      <c r="U1375" t="s">
        <v>30</v>
      </c>
      <c r="V1375">
        <v>3</v>
      </c>
      <c r="W1375">
        <v>1</v>
      </c>
    </row>
    <row r="1376" spans="1:23" x14ac:dyDescent="0.35">
      <c r="A1376" t="s">
        <v>780</v>
      </c>
      <c r="B1376" s="6">
        <v>42941</v>
      </c>
      <c r="D1376" t="s">
        <v>23</v>
      </c>
      <c r="E1376">
        <v>30</v>
      </c>
      <c r="F1376" t="s">
        <v>62</v>
      </c>
      <c r="G1376" t="s">
        <v>25</v>
      </c>
      <c r="H1376" t="s">
        <v>58</v>
      </c>
      <c r="I1376" t="s">
        <v>68</v>
      </c>
      <c r="J1376" t="s">
        <v>102</v>
      </c>
      <c r="K1376">
        <v>3</v>
      </c>
      <c r="L1376" t="s">
        <v>40</v>
      </c>
      <c r="M1376">
        <v>72000</v>
      </c>
      <c r="N1376">
        <v>8.3000000000000007</v>
      </c>
      <c r="O1376">
        <v>8.5</v>
      </c>
      <c r="P1376">
        <v>8.4</v>
      </c>
      <c r="Q1376">
        <v>5.6</v>
      </c>
      <c r="R1376">
        <v>4</v>
      </c>
      <c r="S1376">
        <v>2</v>
      </c>
      <c r="T1376">
        <v>3</v>
      </c>
      <c r="U1376" t="s">
        <v>23</v>
      </c>
      <c r="V1376">
        <v>5</v>
      </c>
      <c r="W1376">
        <v>1</v>
      </c>
    </row>
    <row r="1377" spans="1:23" x14ac:dyDescent="0.35">
      <c r="A1377" t="s">
        <v>543</v>
      </c>
      <c r="B1377" s="6">
        <v>42944</v>
      </c>
      <c r="D1377" t="s">
        <v>23</v>
      </c>
      <c r="E1377">
        <v>32</v>
      </c>
      <c r="F1377" t="s">
        <v>24</v>
      </c>
      <c r="G1377" t="s">
        <v>25</v>
      </c>
      <c r="H1377" t="s">
        <v>54</v>
      </c>
      <c r="I1377" t="s">
        <v>68</v>
      </c>
      <c r="J1377" t="s">
        <v>109</v>
      </c>
      <c r="K1377">
        <v>3</v>
      </c>
      <c r="L1377" t="s">
        <v>66</v>
      </c>
      <c r="M1377">
        <v>77000</v>
      </c>
      <c r="N1377">
        <v>7.1</v>
      </c>
      <c r="O1377">
        <v>10.7</v>
      </c>
      <c r="P1377">
        <v>8.4</v>
      </c>
      <c r="Q1377">
        <v>5.0999999999999996</v>
      </c>
      <c r="R1377">
        <v>4</v>
      </c>
      <c r="S1377">
        <v>3</v>
      </c>
      <c r="T1377">
        <v>2</v>
      </c>
      <c r="U1377" t="s">
        <v>23</v>
      </c>
      <c r="V1377">
        <v>1</v>
      </c>
      <c r="W1377">
        <v>1</v>
      </c>
    </row>
    <row r="1378" spans="1:23" x14ac:dyDescent="0.35">
      <c r="A1378" t="s">
        <v>977</v>
      </c>
      <c r="B1378" s="6">
        <v>44561</v>
      </c>
      <c r="D1378" t="s">
        <v>23</v>
      </c>
      <c r="E1378">
        <v>47</v>
      </c>
      <c r="F1378" t="s">
        <v>36</v>
      </c>
      <c r="G1378" t="s">
        <v>25</v>
      </c>
      <c r="H1378" t="s">
        <v>58</v>
      </c>
      <c r="I1378" t="s">
        <v>59</v>
      </c>
      <c r="J1378" t="s">
        <v>75</v>
      </c>
      <c r="K1378">
        <v>4</v>
      </c>
      <c r="L1378" t="s">
        <v>34</v>
      </c>
      <c r="M1378">
        <v>112000</v>
      </c>
      <c r="N1378">
        <v>9.3000000000000007</v>
      </c>
      <c r="O1378">
        <v>4.5999999999999996</v>
      </c>
      <c r="P1378">
        <v>4</v>
      </c>
      <c r="Q1378">
        <v>1.9</v>
      </c>
      <c r="R1378">
        <v>2</v>
      </c>
      <c r="S1378">
        <v>3</v>
      </c>
      <c r="T1378">
        <v>4</v>
      </c>
      <c r="U1378" t="s">
        <v>30</v>
      </c>
      <c r="V1378">
        <v>4</v>
      </c>
      <c r="W1378">
        <v>1</v>
      </c>
    </row>
    <row r="1379" spans="1:23" x14ac:dyDescent="0.35">
      <c r="A1379" t="s">
        <v>173</v>
      </c>
      <c r="B1379" s="6">
        <v>45854</v>
      </c>
      <c r="D1379" t="s">
        <v>23</v>
      </c>
      <c r="E1379">
        <v>21</v>
      </c>
      <c r="F1379" t="s">
        <v>36</v>
      </c>
      <c r="G1379" t="s">
        <v>42</v>
      </c>
      <c r="H1379" t="s">
        <v>54</v>
      </c>
      <c r="I1379" t="s">
        <v>45</v>
      </c>
      <c r="J1379" t="s">
        <v>97</v>
      </c>
      <c r="K1379">
        <v>1</v>
      </c>
      <c r="L1379" t="s">
        <v>84</v>
      </c>
      <c r="M1379">
        <v>38000</v>
      </c>
      <c r="N1379">
        <v>9.5</v>
      </c>
      <c r="O1379">
        <v>2.9</v>
      </c>
      <c r="P1379">
        <v>0.5</v>
      </c>
      <c r="Q1379">
        <v>0</v>
      </c>
      <c r="R1379">
        <v>3</v>
      </c>
      <c r="S1379">
        <v>1</v>
      </c>
      <c r="T1379">
        <v>1</v>
      </c>
      <c r="U1379" t="s">
        <v>23</v>
      </c>
      <c r="V1379">
        <v>2</v>
      </c>
      <c r="W1379">
        <v>1</v>
      </c>
    </row>
    <row r="1380" spans="1:23" x14ac:dyDescent="0.35">
      <c r="A1380" t="s">
        <v>1252</v>
      </c>
      <c r="B1380" s="6">
        <v>43606</v>
      </c>
      <c r="D1380" t="s">
        <v>23</v>
      </c>
      <c r="E1380">
        <v>28</v>
      </c>
      <c r="F1380" t="s">
        <v>24</v>
      </c>
      <c r="G1380" t="s">
        <v>37</v>
      </c>
      <c r="H1380" t="s">
        <v>26</v>
      </c>
      <c r="I1380" t="s">
        <v>59</v>
      </c>
      <c r="J1380" t="s">
        <v>86</v>
      </c>
      <c r="K1380">
        <v>3</v>
      </c>
      <c r="L1380" t="s">
        <v>34</v>
      </c>
      <c r="M1380">
        <v>72000</v>
      </c>
      <c r="N1380">
        <v>7.4</v>
      </c>
      <c r="O1380">
        <v>9.1999999999999993</v>
      </c>
      <c r="P1380">
        <v>6.6</v>
      </c>
      <c r="Q1380">
        <v>1.5</v>
      </c>
      <c r="R1380">
        <v>3</v>
      </c>
      <c r="S1380">
        <v>3</v>
      </c>
      <c r="T1380">
        <v>3</v>
      </c>
      <c r="U1380" t="s">
        <v>23</v>
      </c>
      <c r="V1380">
        <v>5</v>
      </c>
      <c r="W1380">
        <v>1</v>
      </c>
    </row>
    <row r="1381" spans="1:23" x14ac:dyDescent="0.35">
      <c r="A1381" t="s">
        <v>502</v>
      </c>
      <c r="B1381" s="6">
        <v>45438</v>
      </c>
      <c r="D1381" t="s">
        <v>23</v>
      </c>
      <c r="E1381">
        <v>30</v>
      </c>
      <c r="F1381" t="s">
        <v>62</v>
      </c>
      <c r="G1381" t="s">
        <v>25</v>
      </c>
      <c r="H1381" t="s">
        <v>54</v>
      </c>
      <c r="I1381" t="s">
        <v>48</v>
      </c>
      <c r="J1381" t="s">
        <v>129</v>
      </c>
      <c r="K1381">
        <v>4</v>
      </c>
      <c r="L1381" t="s">
        <v>40</v>
      </c>
      <c r="M1381">
        <v>134000</v>
      </c>
      <c r="N1381">
        <v>10.7</v>
      </c>
      <c r="O1381">
        <v>2.4</v>
      </c>
      <c r="P1381">
        <v>1.6</v>
      </c>
      <c r="Q1381">
        <v>0.6</v>
      </c>
      <c r="R1381">
        <v>4</v>
      </c>
      <c r="S1381">
        <v>2</v>
      </c>
      <c r="T1381">
        <v>4</v>
      </c>
      <c r="U1381" t="s">
        <v>23</v>
      </c>
      <c r="V1381">
        <v>4</v>
      </c>
      <c r="W1381">
        <v>1</v>
      </c>
    </row>
    <row r="1382" spans="1:23" x14ac:dyDescent="0.35">
      <c r="A1382" t="s">
        <v>579</v>
      </c>
      <c r="B1382" s="6">
        <v>44650</v>
      </c>
      <c r="D1382" t="s">
        <v>23</v>
      </c>
      <c r="E1382">
        <v>32</v>
      </c>
      <c r="F1382" t="s">
        <v>24</v>
      </c>
      <c r="G1382" t="s">
        <v>42</v>
      </c>
      <c r="H1382" t="s">
        <v>26</v>
      </c>
      <c r="I1382" t="s">
        <v>55</v>
      </c>
      <c r="J1382" t="s">
        <v>80</v>
      </c>
      <c r="K1382">
        <v>1</v>
      </c>
      <c r="L1382" t="s">
        <v>50</v>
      </c>
      <c r="M1382">
        <v>33000</v>
      </c>
      <c r="N1382">
        <v>0.2</v>
      </c>
      <c r="O1382">
        <v>6.7</v>
      </c>
      <c r="P1382">
        <v>3.8</v>
      </c>
      <c r="Q1382">
        <v>1.1000000000000001</v>
      </c>
      <c r="R1382">
        <v>4</v>
      </c>
      <c r="S1382">
        <v>4</v>
      </c>
      <c r="T1382">
        <v>3</v>
      </c>
      <c r="U1382" t="s">
        <v>23</v>
      </c>
      <c r="V1382">
        <v>1</v>
      </c>
      <c r="W1382">
        <v>1</v>
      </c>
    </row>
    <row r="1383" spans="1:23" x14ac:dyDescent="0.35">
      <c r="A1383" t="s">
        <v>1318</v>
      </c>
      <c r="B1383" s="6">
        <v>43776</v>
      </c>
      <c r="D1383" t="s">
        <v>23</v>
      </c>
      <c r="E1383">
        <v>38</v>
      </c>
      <c r="F1383" t="s">
        <v>24</v>
      </c>
      <c r="G1383" t="s">
        <v>37</v>
      </c>
      <c r="H1383" t="s">
        <v>26</v>
      </c>
      <c r="I1383" t="s">
        <v>48</v>
      </c>
      <c r="J1383" t="s">
        <v>49</v>
      </c>
      <c r="K1383">
        <v>1</v>
      </c>
      <c r="L1383" t="s">
        <v>34</v>
      </c>
      <c r="M1383">
        <v>40000</v>
      </c>
      <c r="N1383">
        <v>9.6999999999999993</v>
      </c>
      <c r="O1383">
        <v>11.4</v>
      </c>
      <c r="P1383">
        <v>6.1</v>
      </c>
      <c r="Q1383">
        <v>3.2</v>
      </c>
      <c r="R1383">
        <v>3</v>
      </c>
      <c r="S1383">
        <v>3</v>
      </c>
      <c r="T1383">
        <v>2</v>
      </c>
      <c r="U1383" t="s">
        <v>30</v>
      </c>
      <c r="V1383">
        <v>4</v>
      </c>
      <c r="W1383">
        <v>1</v>
      </c>
    </row>
    <row r="1384" spans="1:23" x14ac:dyDescent="0.35">
      <c r="A1384" t="s">
        <v>1302</v>
      </c>
      <c r="B1384" s="6">
        <v>44035</v>
      </c>
      <c r="D1384" t="s">
        <v>23</v>
      </c>
      <c r="E1384">
        <v>30</v>
      </c>
      <c r="F1384" t="s">
        <v>36</v>
      </c>
      <c r="G1384" t="s">
        <v>37</v>
      </c>
      <c r="H1384" t="s">
        <v>32</v>
      </c>
      <c r="I1384" t="s">
        <v>68</v>
      </c>
      <c r="J1384" t="s">
        <v>69</v>
      </c>
      <c r="K1384">
        <v>5</v>
      </c>
      <c r="L1384" t="s">
        <v>66</v>
      </c>
      <c r="M1384">
        <v>161000</v>
      </c>
      <c r="N1384">
        <v>4.8</v>
      </c>
      <c r="O1384">
        <v>6</v>
      </c>
      <c r="P1384">
        <v>5.4</v>
      </c>
      <c r="Q1384">
        <v>1.6</v>
      </c>
      <c r="R1384">
        <v>4</v>
      </c>
      <c r="S1384">
        <v>4</v>
      </c>
      <c r="T1384">
        <v>3</v>
      </c>
      <c r="U1384" t="s">
        <v>23</v>
      </c>
      <c r="V1384">
        <v>4</v>
      </c>
      <c r="W1384">
        <v>1</v>
      </c>
    </row>
    <row r="1385" spans="1:23" x14ac:dyDescent="0.35">
      <c r="A1385" t="s">
        <v>1469</v>
      </c>
      <c r="B1385" s="6">
        <v>42975</v>
      </c>
      <c r="D1385" t="s">
        <v>23</v>
      </c>
      <c r="E1385">
        <v>31</v>
      </c>
      <c r="F1385" t="s">
        <v>36</v>
      </c>
      <c r="G1385" t="s">
        <v>42</v>
      </c>
      <c r="H1385" t="s">
        <v>32</v>
      </c>
      <c r="I1385" t="s">
        <v>55</v>
      </c>
      <c r="J1385" t="s">
        <v>88</v>
      </c>
      <c r="K1385">
        <v>2</v>
      </c>
      <c r="L1385" t="s">
        <v>50</v>
      </c>
      <c r="M1385">
        <v>60000</v>
      </c>
      <c r="N1385">
        <v>9.5</v>
      </c>
      <c r="O1385">
        <v>11.9</v>
      </c>
      <c r="P1385">
        <v>8.3000000000000007</v>
      </c>
      <c r="Q1385">
        <v>3.3</v>
      </c>
      <c r="R1385">
        <v>3</v>
      </c>
      <c r="S1385">
        <v>4</v>
      </c>
      <c r="T1385">
        <v>4</v>
      </c>
      <c r="U1385" t="s">
        <v>23</v>
      </c>
      <c r="V1385">
        <v>3</v>
      </c>
      <c r="W1385">
        <v>1</v>
      </c>
    </row>
    <row r="1386" spans="1:23" x14ac:dyDescent="0.35">
      <c r="A1386" t="s">
        <v>709</v>
      </c>
      <c r="B1386" s="6">
        <v>45298</v>
      </c>
      <c r="D1386" t="s">
        <v>23</v>
      </c>
      <c r="E1386">
        <v>37</v>
      </c>
      <c r="F1386" t="s">
        <v>62</v>
      </c>
      <c r="G1386" t="s">
        <v>37</v>
      </c>
      <c r="H1386" t="s">
        <v>58</v>
      </c>
      <c r="I1386" t="s">
        <v>48</v>
      </c>
      <c r="J1386" t="s">
        <v>201</v>
      </c>
      <c r="K1386">
        <v>3</v>
      </c>
      <c r="L1386" t="s">
        <v>66</v>
      </c>
      <c r="M1386">
        <v>82000</v>
      </c>
      <c r="N1386">
        <v>13.8</v>
      </c>
      <c r="O1386">
        <v>9.5</v>
      </c>
      <c r="P1386">
        <v>2</v>
      </c>
      <c r="Q1386">
        <v>0.4</v>
      </c>
      <c r="R1386">
        <v>4</v>
      </c>
      <c r="S1386">
        <v>3</v>
      </c>
      <c r="T1386">
        <v>4</v>
      </c>
      <c r="U1386" t="s">
        <v>23</v>
      </c>
      <c r="V1386">
        <v>3</v>
      </c>
      <c r="W1386">
        <v>1</v>
      </c>
    </row>
    <row r="1387" spans="1:23" x14ac:dyDescent="0.35">
      <c r="A1387" t="s">
        <v>1341</v>
      </c>
      <c r="B1387" s="6">
        <v>44070</v>
      </c>
      <c r="C1387">
        <v>46001</v>
      </c>
      <c r="D1387" t="s">
        <v>30</v>
      </c>
      <c r="E1387">
        <v>37</v>
      </c>
      <c r="F1387" t="s">
        <v>62</v>
      </c>
      <c r="G1387" t="s">
        <v>25</v>
      </c>
      <c r="H1387" t="s">
        <v>32</v>
      </c>
      <c r="I1387" t="s">
        <v>55</v>
      </c>
      <c r="J1387" t="s">
        <v>179</v>
      </c>
      <c r="K1387">
        <v>4</v>
      </c>
      <c r="L1387" t="s">
        <v>40</v>
      </c>
      <c r="M1387">
        <v>134000</v>
      </c>
      <c r="N1387">
        <v>4</v>
      </c>
      <c r="O1387">
        <v>10.8</v>
      </c>
      <c r="P1387">
        <v>5.3</v>
      </c>
      <c r="Q1387">
        <v>4.2</v>
      </c>
      <c r="R1387">
        <v>3</v>
      </c>
      <c r="S1387">
        <v>3</v>
      </c>
      <c r="T1387">
        <v>4</v>
      </c>
      <c r="U1387" t="s">
        <v>23</v>
      </c>
      <c r="V1387">
        <v>5</v>
      </c>
      <c r="W1387">
        <v>1</v>
      </c>
    </row>
    <row r="1388" spans="1:23" x14ac:dyDescent="0.35">
      <c r="A1388" t="s">
        <v>82</v>
      </c>
      <c r="B1388" s="6">
        <v>43726</v>
      </c>
      <c r="C1388">
        <v>45926</v>
      </c>
      <c r="D1388" t="s">
        <v>30</v>
      </c>
      <c r="E1388">
        <v>28</v>
      </c>
      <c r="F1388" t="s">
        <v>24</v>
      </c>
      <c r="G1388" t="s">
        <v>42</v>
      </c>
      <c r="H1388" t="s">
        <v>54</v>
      </c>
      <c r="I1388" t="s">
        <v>38</v>
      </c>
      <c r="J1388" t="s">
        <v>39</v>
      </c>
      <c r="K1388">
        <v>3</v>
      </c>
      <c r="L1388" t="s">
        <v>34</v>
      </c>
      <c r="M1388">
        <v>80000</v>
      </c>
      <c r="N1388">
        <v>12</v>
      </c>
      <c r="O1388">
        <v>13.6</v>
      </c>
      <c r="P1388">
        <v>6</v>
      </c>
      <c r="Q1388">
        <v>3.6</v>
      </c>
      <c r="R1388">
        <v>3</v>
      </c>
      <c r="S1388">
        <v>2</v>
      </c>
      <c r="T1388">
        <v>2</v>
      </c>
      <c r="U1388" t="s">
        <v>30</v>
      </c>
      <c r="V1388">
        <v>3</v>
      </c>
      <c r="W1388">
        <v>1</v>
      </c>
    </row>
    <row r="1389" spans="1:23" x14ac:dyDescent="0.35">
      <c r="A1389" t="s">
        <v>593</v>
      </c>
      <c r="B1389" s="6">
        <v>45144</v>
      </c>
      <c r="D1389" t="s">
        <v>23</v>
      </c>
      <c r="E1389">
        <v>27</v>
      </c>
      <c r="F1389" t="s">
        <v>36</v>
      </c>
      <c r="G1389" t="s">
        <v>42</v>
      </c>
      <c r="H1389" t="s">
        <v>32</v>
      </c>
      <c r="I1389" t="s">
        <v>68</v>
      </c>
      <c r="J1389" t="s">
        <v>102</v>
      </c>
      <c r="K1389">
        <v>1</v>
      </c>
      <c r="L1389" t="s">
        <v>34</v>
      </c>
      <c r="M1389">
        <v>28000</v>
      </c>
      <c r="N1389">
        <v>13.5</v>
      </c>
      <c r="O1389">
        <v>2.9</v>
      </c>
      <c r="P1389">
        <v>2.4</v>
      </c>
      <c r="Q1389">
        <v>1.1000000000000001</v>
      </c>
      <c r="R1389">
        <v>4</v>
      </c>
      <c r="S1389">
        <v>3</v>
      </c>
      <c r="T1389">
        <v>3</v>
      </c>
      <c r="U1389" t="s">
        <v>23</v>
      </c>
      <c r="V1389">
        <v>4</v>
      </c>
      <c r="W1389">
        <v>1</v>
      </c>
    </row>
    <row r="1390" spans="1:23" x14ac:dyDescent="0.35">
      <c r="A1390" t="s">
        <v>207</v>
      </c>
      <c r="B1390" s="6">
        <v>42226</v>
      </c>
      <c r="D1390" t="s">
        <v>23</v>
      </c>
      <c r="E1390">
        <v>32</v>
      </c>
      <c r="F1390" t="s">
        <v>62</v>
      </c>
      <c r="G1390" t="s">
        <v>37</v>
      </c>
      <c r="H1390" t="s">
        <v>32</v>
      </c>
      <c r="I1390" t="s">
        <v>59</v>
      </c>
      <c r="J1390" t="s">
        <v>75</v>
      </c>
      <c r="K1390">
        <v>3</v>
      </c>
      <c r="L1390" t="s">
        <v>50</v>
      </c>
      <c r="M1390">
        <v>74000</v>
      </c>
      <c r="N1390">
        <v>14.2</v>
      </c>
      <c r="O1390">
        <v>17.2</v>
      </c>
      <c r="P1390">
        <v>10.4</v>
      </c>
      <c r="Q1390">
        <v>2.9</v>
      </c>
      <c r="R1390">
        <v>4</v>
      </c>
      <c r="S1390">
        <v>4</v>
      </c>
      <c r="T1390">
        <v>3</v>
      </c>
      <c r="U1390" t="s">
        <v>30</v>
      </c>
      <c r="V1390">
        <v>2</v>
      </c>
      <c r="W1390">
        <v>1</v>
      </c>
    </row>
    <row r="1391" spans="1:23" x14ac:dyDescent="0.35">
      <c r="A1391" t="s">
        <v>1241</v>
      </c>
      <c r="B1391" s="6">
        <v>43163</v>
      </c>
      <c r="C1391">
        <v>45895</v>
      </c>
      <c r="D1391" t="s">
        <v>30</v>
      </c>
      <c r="E1391">
        <v>42</v>
      </c>
      <c r="F1391" t="s">
        <v>24</v>
      </c>
      <c r="G1391" t="s">
        <v>42</v>
      </c>
      <c r="H1391" t="s">
        <v>32</v>
      </c>
      <c r="I1391" t="s">
        <v>45</v>
      </c>
      <c r="J1391" t="s">
        <v>97</v>
      </c>
      <c r="K1391">
        <v>2</v>
      </c>
      <c r="L1391" t="s">
        <v>50</v>
      </c>
      <c r="M1391">
        <v>51000</v>
      </c>
      <c r="N1391">
        <v>8.4</v>
      </c>
      <c r="O1391">
        <v>14.1</v>
      </c>
      <c r="P1391">
        <v>7.5</v>
      </c>
      <c r="Q1391">
        <v>3.9</v>
      </c>
      <c r="R1391">
        <v>2</v>
      </c>
      <c r="S1391">
        <v>3</v>
      </c>
      <c r="T1391">
        <v>3</v>
      </c>
      <c r="U1391" t="s">
        <v>23</v>
      </c>
      <c r="V1391">
        <v>5</v>
      </c>
      <c r="W1391">
        <v>1</v>
      </c>
    </row>
    <row r="1392" spans="1:23" x14ac:dyDescent="0.35">
      <c r="A1392" t="s">
        <v>746</v>
      </c>
      <c r="B1392" s="6">
        <v>45585</v>
      </c>
      <c r="D1392" t="s">
        <v>23</v>
      </c>
      <c r="E1392">
        <v>26</v>
      </c>
      <c r="F1392" t="s">
        <v>24</v>
      </c>
      <c r="G1392" t="s">
        <v>42</v>
      </c>
      <c r="H1392" t="s">
        <v>26</v>
      </c>
      <c r="I1392" t="s">
        <v>59</v>
      </c>
      <c r="J1392" t="s">
        <v>150</v>
      </c>
      <c r="K1392">
        <v>1</v>
      </c>
      <c r="L1392" t="s">
        <v>40</v>
      </c>
      <c r="M1392">
        <v>30000</v>
      </c>
      <c r="N1392">
        <v>4.0999999999999996</v>
      </c>
      <c r="O1392">
        <v>7.9</v>
      </c>
      <c r="P1392">
        <v>1.2</v>
      </c>
      <c r="Q1392">
        <v>0.5</v>
      </c>
      <c r="R1392">
        <v>3</v>
      </c>
      <c r="S1392">
        <v>3</v>
      </c>
      <c r="T1392">
        <v>1</v>
      </c>
      <c r="U1392" t="s">
        <v>23</v>
      </c>
      <c r="V1392">
        <v>3</v>
      </c>
      <c r="W1392">
        <v>1</v>
      </c>
    </row>
    <row r="1393" spans="1:23" x14ac:dyDescent="0.35">
      <c r="A1393" t="s">
        <v>1483</v>
      </c>
      <c r="B1393" s="6">
        <v>42073</v>
      </c>
      <c r="D1393" t="s">
        <v>23</v>
      </c>
      <c r="E1393">
        <v>45</v>
      </c>
      <c r="F1393" t="s">
        <v>36</v>
      </c>
      <c r="G1393" t="s">
        <v>42</v>
      </c>
      <c r="H1393" t="s">
        <v>54</v>
      </c>
      <c r="I1393" t="s">
        <v>27</v>
      </c>
      <c r="J1393" t="s">
        <v>95</v>
      </c>
      <c r="K1393">
        <v>2</v>
      </c>
      <c r="L1393" t="s">
        <v>50</v>
      </c>
      <c r="M1393">
        <v>66000</v>
      </c>
      <c r="N1393">
        <v>13.9</v>
      </c>
      <c r="O1393">
        <v>17.2</v>
      </c>
      <c r="P1393">
        <v>10.8</v>
      </c>
      <c r="Q1393">
        <v>0.1</v>
      </c>
      <c r="R1393">
        <v>4</v>
      </c>
      <c r="S1393">
        <v>4</v>
      </c>
      <c r="T1393">
        <v>4</v>
      </c>
      <c r="U1393" t="s">
        <v>23</v>
      </c>
      <c r="V1393">
        <v>3</v>
      </c>
      <c r="W1393">
        <v>1</v>
      </c>
    </row>
    <row r="1394" spans="1:23" x14ac:dyDescent="0.35">
      <c r="A1394" t="s">
        <v>317</v>
      </c>
      <c r="B1394" s="6">
        <v>42836</v>
      </c>
      <c r="D1394" t="s">
        <v>23</v>
      </c>
      <c r="E1394">
        <v>30</v>
      </c>
      <c r="F1394" t="s">
        <v>24</v>
      </c>
      <c r="G1394" t="s">
        <v>42</v>
      </c>
      <c r="H1394" t="s">
        <v>26</v>
      </c>
      <c r="I1394" t="s">
        <v>38</v>
      </c>
      <c r="J1394" t="s">
        <v>52</v>
      </c>
      <c r="K1394">
        <v>3</v>
      </c>
      <c r="L1394" t="s">
        <v>50</v>
      </c>
      <c r="M1394">
        <v>71000</v>
      </c>
      <c r="N1394">
        <v>17.100000000000001</v>
      </c>
      <c r="O1394">
        <v>16.100000000000001</v>
      </c>
      <c r="P1394">
        <v>8.6999999999999993</v>
      </c>
      <c r="Q1394">
        <v>4.8</v>
      </c>
      <c r="R1394">
        <v>4</v>
      </c>
      <c r="S1394">
        <v>2</v>
      </c>
      <c r="T1394">
        <v>4</v>
      </c>
      <c r="U1394" t="s">
        <v>23</v>
      </c>
      <c r="V1394">
        <v>3</v>
      </c>
      <c r="W1394">
        <v>1</v>
      </c>
    </row>
    <row r="1395" spans="1:23" x14ac:dyDescent="0.35">
      <c r="A1395" t="s">
        <v>1577</v>
      </c>
      <c r="B1395" s="6">
        <v>44449</v>
      </c>
      <c r="D1395" t="s">
        <v>23</v>
      </c>
      <c r="E1395">
        <v>30</v>
      </c>
      <c r="F1395" t="s">
        <v>36</v>
      </c>
      <c r="G1395" t="s">
        <v>42</v>
      </c>
      <c r="H1395" t="s">
        <v>32</v>
      </c>
      <c r="I1395" t="s">
        <v>68</v>
      </c>
      <c r="J1395" t="s">
        <v>109</v>
      </c>
      <c r="K1395">
        <v>2</v>
      </c>
      <c r="L1395" t="s">
        <v>66</v>
      </c>
      <c r="M1395">
        <v>65000</v>
      </c>
      <c r="N1395">
        <v>5.0999999999999996</v>
      </c>
      <c r="O1395">
        <v>8.9</v>
      </c>
      <c r="P1395">
        <v>4.3</v>
      </c>
      <c r="Q1395">
        <v>3.7</v>
      </c>
      <c r="R1395">
        <v>3</v>
      </c>
      <c r="S1395">
        <v>4</v>
      </c>
      <c r="T1395">
        <v>3</v>
      </c>
      <c r="U1395" t="s">
        <v>23</v>
      </c>
      <c r="V1395">
        <v>4</v>
      </c>
      <c r="W1395">
        <v>1</v>
      </c>
    </row>
    <row r="1396" spans="1:23" x14ac:dyDescent="0.35">
      <c r="A1396" t="s">
        <v>1195</v>
      </c>
      <c r="B1396" s="6">
        <v>45774</v>
      </c>
      <c r="D1396" t="s">
        <v>23</v>
      </c>
      <c r="E1396">
        <v>32</v>
      </c>
      <c r="F1396" t="s">
        <v>24</v>
      </c>
      <c r="G1396" t="s">
        <v>25</v>
      </c>
      <c r="H1396" t="s">
        <v>32</v>
      </c>
      <c r="I1396" t="s">
        <v>38</v>
      </c>
      <c r="J1396" t="s">
        <v>139</v>
      </c>
      <c r="K1396">
        <v>5</v>
      </c>
      <c r="L1396" t="s">
        <v>29</v>
      </c>
      <c r="M1396">
        <v>179000</v>
      </c>
      <c r="N1396">
        <v>8.6999999999999993</v>
      </c>
      <c r="O1396">
        <v>1.9</v>
      </c>
      <c r="P1396">
        <v>0.7</v>
      </c>
      <c r="Q1396">
        <v>0</v>
      </c>
      <c r="R1396">
        <v>4</v>
      </c>
      <c r="S1396">
        <v>3</v>
      </c>
      <c r="T1396">
        <v>4</v>
      </c>
      <c r="U1396" t="s">
        <v>23</v>
      </c>
      <c r="V1396">
        <v>4</v>
      </c>
      <c r="W1396">
        <v>1</v>
      </c>
    </row>
    <row r="1397" spans="1:23" x14ac:dyDescent="0.35">
      <c r="A1397" t="s">
        <v>1323</v>
      </c>
      <c r="B1397" s="6">
        <v>42918</v>
      </c>
      <c r="D1397" t="s">
        <v>23</v>
      </c>
      <c r="E1397">
        <v>34</v>
      </c>
      <c r="F1397" t="s">
        <v>24</v>
      </c>
      <c r="G1397" t="s">
        <v>42</v>
      </c>
      <c r="H1397" t="s">
        <v>54</v>
      </c>
      <c r="I1397" t="s">
        <v>27</v>
      </c>
      <c r="J1397" t="s">
        <v>95</v>
      </c>
      <c r="K1397">
        <v>2</v>
      </c>
      <c r="L1397" t="s">
        <v>50</v>
      </c>
      <c r="M1397">
        <v>60000</v>
      </c>
      <c r="N1397">
        <v>8.9</v>
      </c>
      <c r="O1397">
        <v>9.1999999999999993</v>
      </c>
      <c r="P1397">
        <v>8.5</v>
      </c>
      <c r="Q1397">
        <v>5.4</v>
      </c>
      <c r="R1397">
        <v>3</v>
      </c>
      <c r="S1397">
        <v>2</v>
      </c>
      <c r="T1397">
        <v>3</v>
      </c>
      <c r="U1397" t="s">
        <v>23</v>
      </c>
      <c r="V1397">
        <v>3</v>
      </c>
      <c r="W1397">
        <v>1</v>
      </c>
    </row>
    <row r="1398" spans="1:23" x14ac:dyDescent="0.35">
      <c r="A1398" t="s">
        <v>548</v>
      </c>
      <c r="B1398" s="6">
        <v>44417</v>
      </c>
      <c r="D1398" t="s">
        <v>23</v>
      </c>
      <c r="E1398">
        <v>26</v>
      </c>
      <c r="F1398" t="s">
        <v>36</v>
      </c>
      <c r="G1398" t="s">
        <v>42</v>
      </c>
      <c r="H1398" t="s">
        <v>58</v>
      </c>
      <c r="I1398" t="s">
        <v>55</v>
      </c>
      <c r="J1398" t="s">
        <v>80</v>
      </c>
      <c r="K1398">
        <v>1</v>
      </c>
      <c r="L1398" t="s">
        <v>50</v>
      </c>
      <c r="M1398">
        <v>39000</v>
      </c>
      <c r="N1398">
        <v>6.5</v>
      </c>
      <c r="O1398">
        <v>8</v>
      </c>
      <c r="P1398">
        <v>4.4000000000000004</v>
      </c>
      <c r="Q1398">
        <v>0.7</v>
      </c>
      <c r="R1398">
        <v>3</v>
      </c>
      <c r="S1398">
        <v>3</v>
      </c>
      <c r="T1398">
        <v>3</v>
      </c>
      <c r="U1398" t="s">
        <v>23</v>
      </c>
      <c r="V1398">
        <v>3</v>
      </c>
      <c r="W1398">
        <v>1</v>
      </c>
    </row>
    <row r="1399" spans="1:23" x14ac:dyDescent="0.35">
      <c r="A1399" t="s">
        <v>131</v>
      </c>
      <c r="B1399" s="6">
        <v>43579</v>
      </c>
      <c r="D1399" t="s">
        <v>23</v>
      </c>
      <c r="E1399">
        <v>33</v>
      </c>
      <c r="F1399" t="s">
        <v>24</v>
      </c>
      <c r="G1399" t="s">
        <v>25</v>
      </c>
      <c r="H1399" t="s">
        <v>26</v>
      </c>
      <c r="I1399" t="s">
        <v>48</v>
      </c>
      <c r="J1399" t="s">
        <v>63</v>
      </c>
      <c r="K1399">
        <v>3</v>
      </c>
      <c r="L1399" t="s">
        <v>66</v>
      </c>
      <c r="M1399">
        <v>86000</v>
      </c>
      <c r="N1399">
        <v>13.4</v>
      </c>
      <c r="O1399">
        <v>14.6</v>
      </c>
      <c r="P1399">
        <v>6.7</v>
      </c>
      <c r="Q1399">
        <v>4.5</v>
      </c>
      <c r="R1399">
        <v>1</v>
      </c>
      <c r="S1399">
        <v>4</v>
      </c>
      <c r="T1399">
        <v>1</v>
      </c>
      <c r="U1399" t="s">
        <v>23</v>
      </c>
      <c r="V1399">
        <v>1</v>
      </c>
      <c r="W1399">
        <v>1</v>
      </c>
    </row>
    <row r="1400" spans="1:23" x14ac:dyDescent="0.35">
      <c r="A1400" t="s">
        <v>424</v>
      </c>
      <c r="B1400" s="6">
        <v>45204</v>
      </c>
      <c r="D1400" t="s">
        <v>23</v>
      </c>
      <c r="E1400">
        <v>35</v>
      </c>
      <c r="F1400" t="s">
        <v>62</v>
      </c>
      <c r="G1400" t="s">
        <v>37</v>
      </c>
      <c r="H1400" t="s">
        <v>32</v>
      </c>
      <c r="I1400" t="s">
        <v>59</v>
      </c>
      <c r="J1400" t="s">
        <v>86</v>
      </c>
      <c r="K1400">
        <v>3</v>
      </c>
      <c r="L1400" t="s">
        <v>40</v>
      </c>
      <c r="M1400">
        <v>66000</v>
      </c>
      <c r="N1400">
        <v>9</v>
      </c>
      <c r="O1400">
        <v>9.8000000000000007</v>
      </c>
      <c r="P1400">
        <v>2.2000000000000002</v>
      </c>
      <c r="Q1400">
        <v>1.9</v>
      </c>
      <c r="R1400">
        <v>4</v>
      </c>
      <c r="S1400">
        <v>2</v>
      </c>
      <c r="T1400">
        <v>1</v>
      </c>
      <c r="U1400" t="s">
        <v>23</v>
      </c>
      <c r="V1400">
        <v>3</v>
      </c>
      <c r="W1400">
        <v>1</v>
      </c>
    </row>
    <row r="1401" spans="1:23" x14ac:dyDescent="0.35">
      <c r="A1401" t="s">
        <v>891</v>
      </c>
      <c r="B1401" s="6">
        <v>44947</v>
      </c>
      <c r="D1401" t="s">
        <v>23</v>
      </c>
      <c r="E1401">
        <v>31</v>
      </c>
      <c r="F1401" t="s">
        <v>24</v>
      </c>
      <c r="G1401" t="s">
        <v>37</v>
      </c>
      <c r="H1401" t="s">
        <v>32</v>
      </c>
      <c r="I1401" t="s">
        <v>55</v>
      </c>
      <c r="J1401" t="s">
        <v>88</v>
      </c>
      <c r="K1401">
        <v>5</v>
      </c>
      <c r="L1401" t="s">
        <v>84</v>
      </c>
      <c r="M1401">
        <v>176000</v>
      </c>
      <c r="N1401">
        <v>5.0999999999999996</v>
      </c>
      <c r="O1401">
        <v>3.5</v>
      </c>
      <c r="P1401">
        <v>2.9</v>
      </c>
      <c r="Q1401">
        <v>0.4</v>
      </c>
      <c r="R1401">
        <v>4</v>
      </c>
      <c r="S1401">
        <v>3</v>
      </c>
      <c r="T1401">
        <v>3</v>
      </c>
      <c r="U1401" t="s">
        <v>30</v>
      </c>
      <c r="V1401">
        <v>3</v>
      </c>
      <c r="W1401">
        <v>1</v>
      </c>
    </row>
    <row r="1402" spans="1:23" x14ac:dyDescent="0.35">
      <c r="A1402" t="s">
        <v>1283</v>
      </c>
      <c r="B1402" s="6">
        <v>43992</v>
      </c>
      <c r="D1402" t="s">
        <v>23</v>
      </c>
      <c r="E1402">
        <v>28</v>
      </c>
      <c r="F1402" t="s">
        <v>24</v>
      </c>
      <c r="G1402" t="s">
        <v>37</v>
      </c>
      <c r="H1402" t="s">
        <v>32</v>
      </c>
      <c r="I1402" t="s">
        <v>68</v>
      </c>
      <c r="J1402" t="s">
        <v>69</v>
      </c>
      <c r="K1402">
        <v>3</v>
      </c>
      <c r="L1402" t="s">
        <v>84</v>
      </c>
      <c r="M1402">
        <v>79000</v>
      </c>
      <c r="N1402">
        <v>3.6</v>
      </c>
      <c r="O1402">
        <v>12.1</v>
      </c>
      <c r="P1402">
        <v>5.6</v>
      </c>
      <c r="Q1402">
        <v>4.5</v>
      </c>
      <c r="R1402">
        <v>4</v>
      </c>
      <c r="S1402">
        <v>3</v>
      </c>
      <c r="T1402">
        <v>4</v>
      </c>
      <c r="U1402" t="s">
        <v>30</v>
      </c>
      <c r="V1402">
        <v>4</v>
      </c>
      <c r="W1402">
        <v>1</v>
      </c>
    </row>
    <row r="1403" spans="1:23" x14ac:dyDescent="0.35">
      <c r="A1403" t="s">
        <v>633</v>
      </c>
      <c r="B1403" s="6">
        <v>45215</v>
      </c>
      <c r="D1403" t="s">
        <v>23</v>
      </c>
      <c r="E1403">
        <v>46</v>
      </c>
      <c r="F1403" t="s">
        <v>36</v>
      </c>
      <c r="G1403" t="s">
        <v>42</v>
      </c>
      <c r="H1403" t="s">
        <v>26</v>
      </c>
      <c r="I1403" t="s">
        <v>59</v>
      </c>
      <c r="J1403" t="s">
        <v>86</v>
      </c>
      <c r="K1403">
        <v>2</v>
      </c>
      <c r="L1403" t="s">
        <v>40</v>
      </c>
      <c r="M1403">
        <v>61000</v>
      </c>
      <c r="N1403">
        <v>15.6</v>
      </c>
      <c r="O1403">
        <v>5</v>
      </c>
      <c r="P1403">
        <v>2.2000000000000002</v>
      </c>
      <c r="Q1403">
        <v>1.6</v>
      </c>
      <c r="R1403">
        <v>1</v>
      </c>
      <c r="S1403">
        <v>3</v>
      </c>
      <c r="T1403">
        <v>3</v>
      </c>
      <c r="U1403" t="s">
        <v>23</v>
      </c>
      <c r="V1403">
        <v>2</v>
      </c>
      <c r="W1403">
        <v>1</v>
      </c>
    </row>
    <row r="1404" spans="1:23" x14ac:dyDescent="0.35">
      <c r="A1404" t="s">
        <v>848</v>
      </c>
      <c r="B1404" s="6">
        <v>44488</v>
      </c>
      <c r="D1404" t="s">
        <v>23</v>
      </c>
      <c r="E1404">
        <v>41</v>
      </c>
      <c r="F1404" t="s">
        <v>36</v>
      </c>
      <c r="G1404" t="s">
        <v>37</v>
      </c>
      <c r="H1404" t="s">
        <v>26</v>
      </c>
      <c r="I1404" t="s">
        <v>27</v>
      </c>
      <c r="J1404" t="s">
        <v>43</v>
      </c>
      <c r="K1404">
        <v>2</v>
      </c>
      <c r="L1404" t="s">
        <v>34</v>
      </c>
      <c r="M1404">
        <v>44000</v>
      </c>
      <c r="N1404">
        <v>6.4</v>
      </c>
      <c r="O1404">
        <v>9</v>
      </c>
      <c r="P1404">
        <v>4.2</v>
      </c>
      <c r="Q1404">
        <v>0.6</v>
      </c>
      <c r="R1404">
        <v>3</v>
      </c>
      <c r="S1404">
        <v>1</v>
      </c>
      <c r="T1404">
        <v>2</v>
      </c>
      <c r="U1404" t="s">
        <v>23</v>
      </c>
      <c r="V1404">
        <v>5</v>
      </c>
      <c r="W1404">
        <v>1</v>
      </c>
    </row>
    <row r="1405" spans="1:23" x14ac:dyDescent="0.35">
      <c r="A1405" t="s">
        <v>1243</v>
      </c>
      <c r="B1405" s="6">
        <v>44726</v>
      </c>
      <c r="D1405" t="s">
        <v>23</v>
      </c>
      <c r="E1405">
        <v>41</v>
      </c>
      <c r="F1405" t="s">
        <v>62</v>
      </c>
      <c r="G1405" t="s">
        <v>37</v>
      </c>
      <c r="H1405" t="s">
        <v>32</v>
      </c>
      <c r="I1405" t="s">
        <v>48</v>
      </c>
      <c r="J1405" t="s">
        <v>129</v>
      </c>
      <c r="K1405">
        <v>3</v>
      </c>
      <c r="L1405" t="s">
        <v>40</v>
      </c>
      <c r="M1405">
        <v>94000</v>
      </c>
      <c r="N1405">
        <v>6.8</v>
      </c>
      <c r="O1405">
        <v>9.6999999999999993</v>
      </c>
      <c r="P1405">
        <v>3.5</v>
      </c>
      <c r="Q1405">
        <v>0.9</v>
      </c>
      <c r="R1405">
        <v>1</v>
      </c>
      <c r="S1405">
        <v>2</v>
      </c>
      <c r="T1405">
        <v>2</v>
      </c>
      <c r="U1405" t="s">
        <v>30</v>
      </c>
      <c r="V1405">
        <v>3</v>
      </c>
      <c r="W1405">
        <v>1</v>
      </c>
    </row>
    <row r="1406" spans="1:23" x14ac:dyDescent="0.35">
      <c r="A1406" t="s">
        <v>1186</v>
      </c>
      <c r="B1406" s="6">
        <v>45269</v>
      </c>
      <c r="D1406" t="s">
        <v>23</v>
      </c>
      <c r="E1406">
        <v>28</v>
      </c>
      <c r="F1406" t="s">
        <v>62</v>
      </c>
      <c r="G1406" t="s">
        <v>25</v>
      </c>
      <c r="H1406" t="s">
        <v>54</v>
      </c>
      <c r="I1406" t="s">
        <v>48</v>
      </c>
      <c r="J1406" t="s">
        <v>201</v>
      </c>
      <c r="K1406">
        <v>1</v>
      </c>
      <c r="L1406" t="s">
        <v>84</v>
      </c>
      <c r="M1406">
        <v>38000</v>
      </c>
      <c r="N1406">
        <v>13.5</v>
      </c>
      <c r="O1406">
        <v>9.6</v>
      </c>
      <c r="P1406">
        <v>2.1</v>
      </c>
      <c r="Q1406">
        <v>1.8</v>
      </c>
      <c r="R1406">
        <v>2</v>
      </c>
      <c r="S1406">
        <v>3</v>
      </c>
      <c r="T1406">
        <v>3</v>
      </c>
      <c r="U1406" t="s">
        <v>23</v>
      </c>
      <c r="V1406">
        <v>4</v>
      </c>
      <c r="W1406">
        <v>1</v>
      </c>
    </row>
    <row r="1407" spans="1:23" x14ac:dyDescent="0.35">
      <c r="A1407" t="s">
        <v>199</v>
      </c>
      <c r="B1407" s="6">
        <v>45307</v>
      </c>
      <c r="C1407">
        <v>45775</v>
      </c>
      <c r="D1407" t="s">
        <v>30</v>
      </c>
      <c r="E1407">
        <v>36</v>
      </c>
      <c r="F1407" t="s">
        <v>36</v>
      </c>
      <c r="G1407" t="s">
        <v>42</v>
      </c>
      <c r="H1407" t="s">
        <v>32</v>
      </c>
      <c r="I1407" t="s">
        <v>48</v>
      </c>
      <c r="J1407" t="s">
        <v>63</v>
      </c>
      <c r="K1407">
        <v>4</v>
      </c>
      <c r="L1407" t="s">
        <v>84</v>
      </c>
      <c r="M1407">
        <v>113000</v>
      </c>
      <c r="N1407">
        <v>9.5</v>
      </c>
      <c r="O1407">
        <v>1.5</v>
      </c>
      <c r="P1407">
        <v>1.3</v>
      </c>
      <c r="Q1407">
        <v>0.7</v>
      </c>
      <c r="R1407">
        <v>3</v>
      </c>
      <c r="S1407">
        <v>2</v>
      </c>
      <c r="T1407">
        <v>3</v>
      </c>
      <c r="U1407" t="s">
        <v>30</v>
      </c>
      <c r="V1407">
        <v>4</v>
      </c>
      <c r="W1407">
        <v>1</v>
      </c>
    </row>
    <row r="1408" spans="1:23" x14ac:dyDescent="0.35">
      <c r="A1408" t="s">
        <v>1490</v>
      </c>
      <c r="B1408" s="6">
        <v>45460</v>
      </c>
      <c r="D1408" t="s">
        <v>23</v>
      </c>
      <c r="E1408">
        <v>32</v>
      </c>
      <c r="F1408" t="s">
        <v>62</v>
      </c>
      <c r="H1408" t="s">
        <v>58</v>
      </c>
      <c r="I1408" t="s">
        <v>38</v>
      </c>
      <c r="J1408" t="s">
        <v>139</v>
      </c>
      <c r="K1408">
        <v>2</v>
      </c>
      <c r="L1408" t="s">
        <v>40</v>
      </c>
      <c r="M1408">
        <v>58000</v>
      </c>
      <c r="N1408">
        <v>8.1</v>
      </c>
      <c r="O1408">
        <v>1.6</v>
      </c>
      <c r="P1408">
        <v>1.5</v>
      </c>
      <c r="Q1408">
        <v>0.1</v>
      </c>
      <c r="R1408">
        <v>2</v>
      </c>
      <c r="S1408">
        <v>2</v>
      </c>
      <c r="T1408">
        <v>4</v>
      </c>
      <c r="U1408" t="s">
        <v>23</v>
      </c>
      <c r="V1408">
        <v>2</v>
      </c>
      <c r="W1408">
        <v>1</v>
      </c>
    </row>
    <row r="1409" spans="1:23" x14ac:dyDescent="0.35">
      <c r="A1409" t="s">
        <v>217</v>
      </c>
      <c r="B1409" s="6">
        <v>44026</v>
      </c>
      <c r="D1409" t="s">
        <v>23</v>
      </c>
      <c r="E1409">
        <v>36</v>
      </c>
      <c r="F1409" t="s">
        <v>24</v>
      </c>
      <c r="G1409" t="s">
        <v>37</v>
      </c>
      <c r="H1409" t="s">
        <v>32</v>
      </c>
      <c r="I1409" t="s">
        <v>45</v>
      </c>
      <c r="J1409" t="s">
        <v>164</v>
      </c>
      <c r="K1409">
        <v>3</v>
      </c>
      <c r="L1409" t="s">
        <v>29</v>
      </c>
      <c r="M1409">
        <v>74000</v>
      </c>
      <c r="N1409">
        <v>3.9</v>
      </c>
      <c r="O1409">
        <v>9.1999999999999993</v>
      </c>
      <c r="P1409">
        <v>5.5</v>
      </c>
      <c r="Q1409">
        <v>5.4</v>
      </c>
      <c r="R1409">
        <v>3</v>
      </c>
      <c r="S1409">
        <v>3</v>
      </c>
      <c r="T1409">
        <v>3</v>
      </c>
      <c r="U1409" t="s">
        <v>23</v>
      </c>
      <c r="V1409">
        <v>4</v>
      </c>
      <c r="W1409">
        <v>1</v>
      </c>
    </row>
    <row r="1410" spans="1:23" x14ac:dyDescent="0.35">
      <c r="A1410" t="s">
        <v>884</v>
      </c>
      <c r="B1410" s="6">
        <v>43027</v>
      </c>
      <c r="C1410">
        <v>45750</v>
      </c>
      <c r="D1410" t="s">
        <v>30</v>
      </c>
      <c r="E1410">
        <v>39</v>
      </c>
      <c r="F1410" t="s">
        <v>36</v>
      </c>
      <c r="G1410" t="s">
        <v>42</v>
      </c>
      <c r="H1410" t="s">
        <v>54</v>
      </c>
      <c r="I1410" t="s">
        <v>59</v>
      </c>
      <c r="J1410" t="s">
        <v>150</v>
      </c>
      <c r="K1410">
        <v>3</v>
      </c>
      <c r="L1410" t="s">
        <v>66</v>
      </c>
      <c r="M1410">
        <v>76000</v>
      </c>
      <c r="N1410">
        <v>11.6</v>
      </c>
      <c r="O1410">
        <v>13.3</v>
      </c>
      <c r="P1410">
        <v>7.5</v>
      </c>
      <c r="Q1410">
        <v>5.8</v>
      </c>
      <c r="R1410">
        <v>3</v>
      </c>
      <c r="S1410">
        <v>3</v>
      </c>
      <c r="T1410">
        <v>3</v>
      </c>
      <c r="U1410" t="s">
        <v>23</v>
      </c>
      <c r="V1410">
        <v>3</v>
      </c>
      <c r="W1410">
        <v>1</v>
      </c>
    </row>
    <row r="1411" spans="1:23" x14ac:dyDescent="0.35">
      <c r="A1411" t="s">
        <v>774</v>
      </c>
      <c r="B1411" s="6">
        <v>42676</v>
      </c>
      <c r="D1411" t="s">
        <v>23</v>
      </c>
      <c r="E1411">
        <v>40</v>
      </c>
      <c r="F1411" t="s">
        <v>62</v>
      </c>
      <c r="G1411" t="s">
        <v>25</v>
      </c>
      <c r="H1411" t="s">
        <v>58</v>
      </c>
      <c r="I1411" t="s">
        <v>55</v>
      </c>
      <c r="J1411" t="s">
        <v>179</v>
      </c>
      <c r="K1411">
        <v>4</v>
      </c>
      <c r="L1411" t="s">
        <v>34</v>
      </c>
      <c r="M1411">
        <v>130000</v>
      </c>
      <c r="N1411">
        <v>7</v>
      </c>
      <c r="O1411">
        <v>9.9</v>
      </c>
      <c r="P1411">
        <v>9.1999999999999993</v>
      </c>
      <c r="Q1411">
        <v>5.2</v>
      </c>
      <c r="R1411">
        <v>4</v>
      </c>
      <c r="S1411">
        <v>4</v>
      </c>
      <c r="T1411">
        <v>2</v>
      </c>
      <c r="U1411" t="s">
        <v>23</v>
      </c>
      <c r="V1411">
        <v>3</v>
      </c>
      <c r="W1411">
        <v>1</v>
      </c>
    </row>
    <row r="1412" spans="1:23" x14ac:dyDescent="0.35">
      <c r="A1412" t="s">
        <v>772</v>
      </c>
      <c r="B1412" s="6">
        <v>44488</v>
      </c>
      <c r="D1412" t="s">
        <v>23</v>
      </c>
      <c r="E1412">
        <v>32</v>
      </c>
      <c r="F1412" t="s">
        <v>36</v>
      </c>
      <c r="G1412" t="s">
        <v>25</v>
      </c>
      <c r="H1412" t="s">
        <v>54</v>
      </c>
      <c r="I1412" t="s">
        <v>68</v>
      </c>
      <c r="J1412" t="s">
        <v>102</v>
      </c>
      <c r="K1412">
        <v>4</v>
      </c>
      <c r="L1412" t="s">
        <v>40</v>
      </c>
      <c r="M1412">
        <v>107000</v>
      </c>
      <c r="N1412">
        <v>10.6</v>
      </c>
      <c r="O1412">
        <v>8.4</v>
      </c>
      <c r="P1412">
        <v>4.2</v>
      </c>
      <c r="Q1412">
        <v>3.5</v>
      </c>
      <c r="R1412">
        <v>4</v>
      </c>
      <c r="S1412">
        <v>3</v>
      </c>
      <c r="T1412">
        <v>4</v>
      </c>
      <c r="U1412" t="s">
        <v>23</v>
      </c>
      <c r="V1412">
        <v>3</v>
      </c>
      <c r="W1412">
        <v>1</v>
      </c>
    </row>
    <row r="1413" spans="1:23" x14ac:dyDescent="0.35">
      <c r="A1413" t="s">
        <v>1339</v>
      </c>
      <c r="B1413" s="6">
        <v>43928</v>
      </c>
      <c r="D1413" t="s">
        <v>23</v>
      </c>
      <c r="E1413">
        <v>31</v>
      </c>
      <c r="F1413" t="s">
        <v>62</v>
      </c>
      <c r="G1413" t="s">
        <v>42</v>
      </c>
      <c r="H1413" t="s">
        <v>26</v>
      </c>
      <c r="I1413" t="s">
        <v>48</v>
      </c>
      <c r="J1413" t="s">
        <v>49</v>
      </c>
      <c r="K1413">
        <v>1</v>
      </c>
      <c r="L1413" t="s">
        <v>66</v>
      </c>
      <c r="M1413">
        <v>22000</v>
      </c>
      <c r="N1413">
        <v>5.2</v>
      </c>
      <c r="O1413">
        <v>7.1</v>
      </c>
      <c r="P1413">
        <v>5.7</v>
      </c>
      <c r="Q1413">
        <v>1.7</v>
      </c>
      <c r="R1413">
        <v>2</v>
      </c>
      <c r="S1413">
        <v>2</v>
      </c>
      <c r="T1413">
        <v>4</v>
      </c>
      <c r="U1413" t="s">
        <v>23</v>
      </c>
      <c r="V1413">
        <v>5</v>
      </c>
      <c r="W1413">
        <v>1</v>
      </c>
    </row>
    <row r="1414" spans="1:23" x14ac:dyDescent="0.35">
      <c r="A1414" t="s">
        <v>1076</v>
      </c>
      <c r="B1414" s="6">
        <v>45175</v>
      </c>
      <c r="C1414">
        <v>45751</v>
      </c>
      <c r="D1414" t="s">
        <v>30</v>
      </c>
      <c r="E1414">
        <v>45</v>
      </c>
      <c r="F1414" t="s">
        <v>36</v>
      </c>
      <c r="G1414" t="s">
        <v>42</v>
      </c>
      <c r="H1414" t="s">
        <v>32</v>
      </c>
      <c r="I1414" t="s">
        <v>48</v>
      </c>
      <c r="J1414" t="s">
        <v>49</v>
      </c>
      <c r="K1414">
        <v>3</v>
      </c>
      <c r="L1414" t="s">
        <v>66</v>
      </c>
      <c r="M1414">
        <v>79000</v>
      </c>
      <c r="N1414">
        <v>10.3</v>
      </c>
      <c r="O1414">
        <v>4.4000000000000004</v>
      </c>
      <c r="P1414">
        <v>1.6</v>
      </c>
      <c r="Q1414">
        <v>1.3</v>
      </c>
      <c r="R1414">
        <v>1</v>
      </c>
      <c r="S1414">
        <v>4</v>
      </c>
      <c r="T1414">
        <v>3</v>
      </c>
      <c r="U1414" t="s">
        <v>23</v>
      </c>
      <c r="V1414">
        <v>4</v>
      </c>
      <c r="W1414">
        <v>1</v>
      </c>
    </row>
    <row r="1415" spans="1:23" x14ac:dyDescent="0.35">
      <c r="A1415" t="s">
        <v>1297</v>
      </c>
      <c r="B1415" s="6">
        <v>44472</v>
      </c>
      <c r="C1415">
        <v>45744</v>
      </c>
      <c r="D1415" t="s">
        <v>30</v>
      </c>
      <c r="E1415">
        <v>27</v>
      </c>
      <c r="F1415" t="s">
        <v>62</v>
      </c>
      <c r="G1415" t="s">
        <v>37</v>
      </c>
      <c r="H1415" t="s">
        <v>26</v>
      </c>
      <c r="I1415" t="s">
        <v>48</v>
      </c>
      <c r="J1415" t="s">
        <v>49</v>
      </c>
      <c r="K1415">
        <v>1</v>
      </c>
      <c r="L1415" t="s">
        <v>66</v>
      </c>
      <c r="M1415">
        <v>38000</v>
      </c>
      <c r="N1415">
        <v>6</v>
      </c>
      <c r="O1415">
        <v>9.8000000000000007</v>
      </c>
      <c r="P1415">
        <v>3.5</v>
      </c>
      <c r="Q1415">
        <v>0.9</v>
      </c>
      <c r="R1415">
        <v>2</v>
      </c>
      <c r="S1415">
        <v>3</v>
      </c>
      <c r="T1415">
        <v>3</v>
      </c>
      <c r="U1415" t="s">
        <v>30</v>
      </c>
      <c r="V1415">
        <v>4</v>
      </c>
      <c r="W1415">
        <v>1</v>
      </c>
    </row>
    <row r="1416" spans="1:23" x14ac:dyDescent="0.35">
      <c r="A1416" t="s">
        <v>897</v>
      </c>
      <c r="B1416" s="6">
        <v>42360</v>
      </c>
      <c r="D1416" t="s">
        <v>23</v>
      </c>
      <c r="E1416">
        <v>34</v>
      </c>
      <c r="F1416" t="s">
        <v>36</v>
      </c>
      <c r="G1416" t="s">
        <v>42</v>
      </c>
      <c r="H1416" t="s">
        <v>32</v>
      </c>
      <c r="I1416" t="s">
        <v>45</v>
      </c>
      <c r="J1416" t="s">
        <v>46</v>
      </c>
      <c r="K1416">
        <v>2</v>
      </c>
      <c r="L1416" t="s">
        <v>40</v>
      </c>
      <c r="M1416">
        <v>52000</v>
      </c>
      <c r="N1416">
        <v>5.9</v>
      </c>
      <c r="O1416">
        <v>12.1</v>
      </c>
      <c r="P1416">
        <v>10</v>
      </c>
      <c r="Q1416">
        <v>5</v>
      </c>
      <c r="R1416">
        <v>2</v>
      </c>
      <c r="S1416">
        <v>3</v>
      </c>
      <c r="T1416">
        <v>4</v>
      </c>
      <c r="U1416" t="s">
        <v>23</v>
      </c>
      <c r="V1416">
        <v>5</v>
      </c>
      <c r="W1416">
        <v>1</v>
      </c>
    </row>
    <row r="1417" spans="1:23" x14ac:dyDescent="0.35">
      <c r="A1417" t="s">
        <v>1585</v>
      </c>
      <c r="B1417" s="6">
        <v>43148</v>
      </c>
      <c r="C1417">
        <v>45701</v>
      </c>
      <c r="D1417" t="s">
        <v>30</v>
      </c>
      <c r="E1417">
        <v>48</v>
      </c>
      <c r="F1417" t="s">
        <v>24</v>
      </c>
      <c r="G1417" t="s">
        <v>42</v>
      </c>
      <c r="H1417" t="s">
        <v>54</v>
      </c>
      <c r="I1417" t="s">
        <v>38</v>
      </c>
      <c r="J1417" t="s">
        <v>52</v>
      </c>
      <c r="K1417">
        <v>4</v>
      </c>
      <c r="L1417" t="s">
        <v>50</v>
      </c>
      <c r="M1417">
        <v>115000</v>
      </c>
      <c r="N1417">
        <v>7.6</v>
      </c>
      <c r="O1417">
        <v>11.6</v>
      </c>
      <c r="P1417">
        <v>7</v>
      </c>
      <c r="Q1417">
        <v>1.5</v>
      </c>
      <c r="R1417">
        <v>2</v>
      </c>
      <c r="S1417">
        <v>4</v>
      </c>
      <c r="T1417">
        <v>3</v>
      </c>
      <c r="U1417" t="s">
        <v>30</v>
      </c>
      <c r="V1417">
        <v>3</v>
      </c>
      <c r="W1417">
        <v>1</v>
      </c>
    </row>
    <row r="1418" spans="1:23" x14ac:dyDescent="0.35">
      <c r="A1418" t="s">
        <v>527</v>
      </c>
      <c r="B1418" s="6">
        <v>45888</v>
      </c>
      <c r="D1418" t="s">
        <v>23</v>
      </c>
      <c r="E1418">
        <v>39</v>
      </c>
      <c r="F1418" t="s">
        <v>62</v>
      </c>
      <c r="G1418" t="s">
        <v>25</v>
      </c>
      <c r="H1418" t="s">
        <v>54</v>
      </c>
      <c r="I1418" t="s">
        <v>38</v>
      </c>
      <c r="J1418" t="s">
        <v>139</v>
      </c>
      <c r="K1418">
        <v>2</v>
      </c>
      <c r="L1418" t="s">
        <v>50</v>
      </c>
      <c r="M1418">
        <v>54000</v>
      </c>
      <c r="N1418">
        <v>0</v>
      </c>
      <c r="O1418">
        <v>1.5</v>
      </c>
      <c r="P1418">
        <v>0.4</v>
      </c>
      <c r="Q1418">
        <v>0</v>
      </c>
      <c r="R1418">
        <v>4</v>
      </c>
      <c r="S1418">
        <v>1</v>
      </c>
      <c r="T1418">
        <v>3</v>
      </c>
      <c r="U1418" t="s">
        <v>30</v>
      </c>
      <c r="V1418">
        <v>3</v>
      </c>
      <c r="W1418">
        <v>1</v>
      </c>
    </row>
    <row r="1419" spans="1:23" x14ac:dyDescent="0.35">
      <c r="A1419" t="s">
        <v>1306</v>
      </c>
      <c r="B1419" s="6">
        <v>44242</v>
      </c>
      <c r="D1419" t="s">
        <v>23</v>
      </c>
      <c r="E1419">
        <v>38</v>
      </c>
      <c r="F1419" t="s">
        <v>24</v>
      </c>
      <c r="G1419" t="s">
        <v>42</v>
      </c>
      <c r="H1419" t="s">
        <v>54</v>
      </c>
      <c r="I1419" t="s">
        <v>48</v>
      </c>
      <c r="J1419" t="s">
        <v>201</v>
      </c>
      <c r="K1419">
        <v>4</v>
      </c>
      <c r="L1419" t="s">
        <v>29</v>
      </c>
      <c r="M1419">
        <v>99000</v>
      </c>
      <c r="N1419">
        <v>6.6</v>
      </c>
      <c r="O1419">
        <v>5</v>
      </c>
      <c r="P1419">
        <v>4.9000000000000004</v>
      </c>
      <c r="Q1419">
        <v>2.8</v>
      </c>
      <c r="R1419">
        <v>3</v>
      </c>
      <c r="S1419">
        <v>2</v>
      </c>
      <c r="T1419">
        <v>2</v>
      </c>
      <c r="U1419" t="s">
        <v>30</v>
      </c>
      <c r="V1419">
        <v>3</v>
      </c>
      <c r="W1419">
        <v>1</v>
      </c>
    </row>
    <row r="1420" spans="1:23" x14ac:dyDescent="0.35">
      <c r="A1420" t="s">
        <v>1493</v>
      </c>
      <c r="B1420" s="6">
        <v>45034</v>
      </c>
      <c r="D1420" t="s">
        <v>23</v>
      </c>
      <c r="E1420">
        <v>43</v>
      </c>
      <c r="F1420" t="s">
        <v>36</v>
      </c>
      <c r="G1420" t="s">
        <v>42</v>
      </c>
      <c r="H1420" t="s">
        <v>32</v>
      </c>
      <c r="I1420" t="s">
        <v>55</v>
      </c>
      <c r="J1420" t="s">
        <v>179</v>
      </c>
      <c r="K1420">
        <v>3</v>
      </c>
      <c r="M1420">
        <v>98000</v>
      </c>
      <c r="N1420">
        <v>8.3000000000000007</v>
      </c>
      <c r="O1420">
        <v>2.8</v>
      </c>
      <c r="P1420">
        <v>2.7</v>
      </c>
      <c r="Q1420">
        <v>2.5</v>
      </c>
      <c r="R1420">
        <v>2</v>
      </c>
      <c r="S1420">
        <v>3</v>
      </c>
      <c r="T1420">
        <v>3</v>
      </c>
      <c r="U1420" t="s">
        <v>23</v>
      </c>
      <c r="V1420">
        <v>2</v>
      </c>
      <c r="W1420">
        <v>1</v>
      </c>
    </row>
    <row r="1421" spans="1:23" x14ac:dyDescent="0.35">
      <c r="A1421" t="s">
        <v>647</v>
      </c>
      <c r="B1421" s="6">
        <v>44733</v>
      </c>
      <c r="D1421" t="s">
        <v>23</v>
      </c>
      <c r="E1421">
        <v>32</v>
      </c>
      <c r="F1421" t="s">
        <v>36</v>
      </c>
      <c r="G1421" t="s">
        <v>37</v>
      </c>
      <c r="H1421" t="s">
        <v>54</v>
      </c>
      <c r="I1421" t="s">
        <v>45</v>
      </c>
      <c r="J1421" t="s">
        <v>164</v>
      </c>
      <c r="K1421">
        <v>2</v>
      </c>
      <c r="L1421" t="s">
        <v>29</v>
      </c>
      <c r="M1421">
        <v>60000</v>
      </c>
      <c r="N1421">
        <v>5.5</v>
      </c>
      <c r="O1421">
        <v>7.2</v>
      </c>
      <c r="P1421">
        <v>3.5</v>
      </c>
      <c r="Q1421">
        <v>1.6</v>
      </c>
      <c r="R1421">
        <v>2</v>
      </c>
      <c r="S1421">
        <v>3</v>
      </c>
      <c r="T1421">
        <v>3</v>
      </c>
      <c r="U1421" t="s">
        <v>23</v>
      </c>
      <c r="V1421">
        <v>3</v>
      </c>
      <c r="W1421">
        <v>1</v>
      </c>
    </row>
    <row r="1422" spans="1:23" x14ac:dyDescent="0.35">
      <c r="A1422" t="s">
        <v>565</v>
      </c>
      <c r="B1422" s="6">
        <v>45143</v>
      </c>
      <c r="D1422" t="s">
        <v>23</v>
      </c>
      <c r="E1422">
        <v>40</v>
      </c>
      <c r="F1422" t="s">
        <v>24</v>
      </c>
      <c r="G1422" t="s">
        <v>37</v>
      </c>
      <c r="H1422" t="s">
        <v>54</v>
      </c>
      <c r="I1422" t="s">
        <v>55</v>
      </c>
      <c r="J1422" t="s">
        <v>88</v>
      </c>
      <c r="K1422">
        <v>3</v>
      </c>
      <c r="L1422" t="s">
        <v>66</v>
      </c>
      <c r="M1422">
        <v>89000</v>
      </c>
      <c r="N1422">
        <v>14.5</v>
      </c>
      <c r="O1422">
        <v>8.9</v>
      </c>
      <c r="P1422">
        <v>2.4</v>
      </c>
      <c r="Q1422">
        <v>1.1000000000000001</v>
      </c>
      <c r="R1422">
        <v>4</v>
      </c>
      <c r="S1422">
        <v>4</v>
      </c>
      <c r="T1422">
        <v>2</v>
      </c>
      <c r="U1422" t="s">
        <v>23</v>
      </c>
      <c r="V1422">
        <v>4</v>
      </c>
      <c r="W1422">
        <v>1</v>
      </c>
    </row>
    <row r="1423" spans="1:23" x14ac:dyDescent="0.35">
      <c r="A1423" t="s">
        <v>198</v>
      </c>
      <c r="B1423" s="6">
        <v>42933</v>
      </c>
      <c r="D1423" t="s">
        <v>23</v>
      </c>
      <c r="E1423">
        <v>33</v>
      </c>
      <c r="F1423" t="s">
        <v>36</v>
      </c>
      <c r="G1423" t="s">
        <v>42</v>
      </c>
      <c r="H1423" t="s">
        <v>54</v>
      </c>
      <c r="I1423" t="s">
        <v>27</v>
      </c>
      <c r="J1423" t="s">
        <v>95</v>
      </c>
      <c r="K1423">
        <v>2</v>
      </c>
      <c r="L1423" t="s">
        <v>84</v>
      </c>
      <c r="M1423">
        <v>42000</v>
      </c>
      <c r="N1423">
        <v>9</v>
      </c>
      <c r="O1423">
        <v>12</v>
      </c>
      <c r="P1423">
        <v>8.5</v>
      </c>
      <c r="Q1423">
        <v>1.6</v>
      </c>
      <c r="R1423">
        <v>2</v>
      </c>
      <c r="S1423">
        <v>3</v>
      </c>
      <c r="T1423">
        <v>4</v>
      </c>
      <c r="U1423" t="s">
        <v>30</v>
      </c>
      <c r="V1423">
        <v>2</v>
      </c>
      <c r="W1423">
        <v>1</v>
      </c>
    </row>
    <row r="1424" spans="1:23" x14ac:dyDescent="0.35">
      <c r="A1424" t="s">
        <v>1116</v>
      </c>
      <c r="B1424" s="6">
        <v>44536</v>
      </c>
      <c r="D1424" t="s">
        <v>23</v>
      </c>
      <c r="E1424">
        <v>30</v>
      </c>
      <c r="F1424" t="s">
        <v>24</v>
      </c>
      <c r="G1424" t="s">
        <v>42</v>
      </c>
      <c r="H1424" t="s">
        <v>26</v>
      </c>
      <c r="I1424" t="s">
        <v>59</v>
      </c>
      <c r="J1424" t="s">
        <v>86</v>
      </c>
      <c r="K1424">
        <v>3</v>
      </c>
      <c r="L1424" t="s">
        <v>84</v>
      </c>
      <c r="M1424">
        <v>62000</v>
      </c>
      <c r="N1424">
        <v>11.8</v>
      </c>
      <c r="O1424">
        <v>5.4</v>
      </c>
      <c r="P1424">
        <v>4.0999999999999996</v>
      </c>
      <c r="Q1424">
        <v>3.6</v>
      </c>
      <c r="R1424">
        <v>3</v>
      </c>
      <c r="S1424">
        <v>4</v>
      </c>
      <c r="T1424">
        <v>3</v>
      </c>
      <c r="U1424" t="s">
        <v>30</v>
      </c>
      <c r="V1424">
        <v>3</v>
      </c>
      <c r="W1424">
        <v>1</v>
      </c>
    </row>
    <row r="1425" spans="1:23" x14ac:dyDescent="0.35">
      <c r="A1425" t="s">
        <v>1368</v>
      </c>
      <c r="B1425" s="6">
        <v>45869</v>
      </c>
      <c r="D1425" t="s">
        <v>23</v>
      </c>
      <c r="E1425">
        <v>21</v>
      </c>
      <c r="F1425" t="s">
        <v>36</v>
      </c>
      <c r="G1425" t="s">
        <v>25</v>
      </c>
      <c r="H1425" t="s">
        <v>58</v>
      </c>
      <c r="I1425" t="s">
        <v>45</v>
      </c>
      <c r="J1425" t="s">
        <v>46</v>
      </c>
      <c r="K1425">
        <v>1</v>
      </c>
      <c r="L1425" t="s">
        <v>34</v>
      </c>
      <c r="M1425">
        <v>44000</v>
      </c>
      <c r="N1425">
        <v>19</v>
      </c>
      <c r="O1425">
        <v>5.6</v>
      </c>
      <c r="P1425">
        <v>0.4</v>
      </c>
      <c r="Q1425">
        <v>0</v>
      </c>
      <c r="R1425">
        <v>4</v>
      </c>
      <c r="S1425">
        <v>1</v>
      </c>
      <c r="T1425">
        <v>3</v>
      </c>
      <c r="U1425" t="s">
        <v>23</v>
      </c>
      <c r="V1425">
        <v>3</v>
      </c>
      <c r="W1425">
        <v>1</v>
      </c>
    </row>
    <row r="1426" spans="1:23" x14ac:dyDescent="0.35">
      <c r="A1426" t="s">
        <v>987</v>
      </c>
      <c r="B1426" s="6">
        <v>44671</v>
      </c>
      <c r="D1426" t="s">
        <v>23</v>
      </c>
      <c r="E1426">
        <v>29</v>
      </c>
      <c r="F1426" t="s">
        <v>36</v>
      </c>
      <c r="G1426" t="s">
        <v>25</v>
      </c>
      <c r="H1426" t="s">
        <v>54</v>
      </c>
      <c r="I1426" t="s">
        <v>45</v>
      </c>
      <c r="J1426" t="s">
        <v>77</v>
      </c>
      <c r="K1426">
        <v>2</v>
      </c>
      <c r="L1426" t="s">
        <v>50</v>
      </c>
      <c r="M1426">
        <v>75000</v>
      </c>
      <c r="N1426">
        <v>3.7</v>
      </c>
      <c r="O1426">
        <v>3.8</v>
      </c>
      <c r="P1426">
        <v>3.7</v>
      </c>
      <c r="Q1426">
        <v>3</v>
      </c>
      <c r="R1426">
        <v>3</v>
      </c>
      <c r="S1426">
        <v>3</v>
      </c>
      <c r="T1426">
        <v>2</v>
      </c>
      <c r="U1426" t="s">
        <v>30</v>
      </c>
      <c r="V1426">
        <v>4</v>
      </c>
      <c r="W1426">
        <v>1</v>
      </c>
    </row>
    <row r="1427" spans="1:23" x14ac:dyDescent="0.35">
      <c r="A1427" t="s">
        <v>960</v>
      </c>
      <c r="B1427" s="6">
        <v>43199</v>
      </c>
      <c r="D1427" t="s">
        <v>23</v>
      </c>
      <c r="E1427">
        <v>34</v>
      </c>
      <c r="F1427" t="s">
        <v>36</v>
      </c>
      <c r="G1427" t="s">
        <v>37</v>
      </c>
      <c r="H1427" t="s">
        <v>54</v>
      </c>
      <c r="I1427" t="s">
        <v>68</v>
      </c>
      <c r="J1427" t="s">
        <v>121</v>
      </c>
      <c r="K1427">
        <v>4</v>
      </c>
      <c r="L1427" t="s">
        <v>29</v>
      </c>
      <c r="M1427">
        <v>123000</v>
      </c>
      <c r="N1427">
        <v>10.4</v>
      </c>
      <c r="O1427">
        <v>15.4</v>
      </c>
      <c r="P1427">
        <v>7.7</v>
      </c>
      <c r="Q1427">
        <v>3.1</v>
      </c>
      <c r="R1427">
        <v>3</v>
      </c>
      <c r="S1427">
        <v>3</v>
      </c>
      <c r="T1427">
        <v>3</v>
      </c>
      <c r="U1427" t="s">
        <v>23</v>
      </c>
      <c r="V1427">
        <v>3</v>
      </c>
      <c r="W1427">
        <v>1</v>
      </c>
    </row>
    <row r="1428" spans="1:23" x14ac:dyDescent="0.35">
      <c r="A1428" t="s">
        <v>862</v>
      </c>
      <c r="B1428" s="6">
        <v>44084</v>
      </c>
      <c r="D1428" t="s">
        <v>23</v>
      </c>
      <c r="E1428">
        <v>26</v>
      </c>
      <c r="F1428" t="s">
        <v>24</v>
      </c>
      <c r="G1428" t="s">
        <v>42</v>
      </c>
      <c r="H1428" t="s">
        <v>58</v>
      </c>
      <c r="I1428" t="s">
        <v>59</v>
      </c>
      <c r="J1428" t="s">
        <v>150</v>
      </c>
      <c r="K1428">
        <v>1</v>
      </c>
      <c r="L1428" t="s">
        <v>29</v>
      </c>
      <c r="M1428">
        <v>30000</v>
      </c>
      <c r="N1428">
        <v>5</v>
      </c>
      <c r="O1428">
        <v>10.7</v>
      </c>
      <c r="P1428">
        <v>5.3</v>
      </c>
      <c r="Q1428">
        <v>2.1</v>
      </c>
      <c r="R1428">
        <v>3</v>
      </c>
      <c r="S1428">
        <v>2</v>
      </c>
      <c r="T1428">
        <v>3</v>
      </c>
      <c r="U1428" t="s">
        <v>30</v>
      </c>
      <c r="V1428">
        <v>4</v>
      </c>
      <c r="W1428">
        <v>1</v>
      </c>
    </row>
    <row r="1429" spans="1:23" x14ac:dyDescent="0.35">
      <c r="A1429" t="s">
        <v>172</v>
      </c>
      <c r="B1429" s="6">
        <v>43541</v>
      </c>
      <c r="D1429" t="s">
        <v>23</v>
      </c>
      <c r="E1429">
        <v>29</v>
      </c>
      <c r="F1429" t="s">
        <v>36</v>
      </c>
      <c r="G1429" t="s">
        <v>42</v>
      </c>
      <c r="H1429" t="s">
        <v>26</v>
      </c>
      <c r="I1429" t="s">
        <v>38</v>
      </c>
      <c r="J1429" t="s">
        <v>39</v>
      </c>
      <c r="K1429">
        <v>4</v>
      </c>
      <c r="L1429" t="s">
        <v>29</v>
      </c>
      <c r="M1429">
        <v>111000</v>
      </c>
      <c r="N1429">
        <v>14</v>
      </c>
      <c r="O1429">
        <v>10.6</v>
      </c>
      <c r="P1429">
        <v>6.8</v>
      </c>
      <c r="Q1429">
        <v>4.2</v>
      </c>
      <c r="R1429">
        <v>4</v>
      </c>
      <c r="S1429">
        <v>3</v>
      </c>
      <c r="T1429">
        <v>2</v>
      </c>
      <c r="U1429" t="s">
        <v>23</v>
      </c>
      <c r="V1429">
        <v>4</v>
      </c>
      <c r="W1429">
        <v>1</v>
      </c>
    </row>
    <row r="1430" spans="1:23" x14ac:dyDescent="0.35">
      <c r="A1430" t="s">
        <v>386</v>
      </c>
      <c r="B1430" s="6">
        <v>45885</v>
      </c>
      <c r="D1430" t="s">
        <v>23</v>
      </c>
      <c r="E1430">
        <v>24</v>
      </c>
      <c r="F1430" t="s">
        <v>36</v>
      </c>
      <c r="G1430" t="s">
        <v>25</v>
      </c>
      <c r="H1430" t="s">
        <v>32</v>
      </c>
      <c r="I1430" t="s">
        <v>48</v>
      </c>
      <c r="J1430" t="s">
        <v>201</v>
      </c>
      <c r="K1430">
        <v>1</v>
      </c>
      <c r="L1430" t="s">
        <v>40</v>
      </c>
      <c r="M1430">
        <v>33000</v>
      </c>
      <c r="N1430">
        <v>9.3000000000000007</v>
      </c>
      <c r="O1430">
        <v>3.8</v>
      </c>
      <c r="P1430">
        <v>0.4</v>
      </c>
      <c r="Q1430">
        <v>0</v>
      </c>
      <c r="R1430">
        <v>3</v>
      </c>
      <c r="S1430">
        <v>1</v>
      </c>
      <c r="T1430">
        <v>3</v>
      </c>
      <c r="U1430" t="s">
        <v>23</v>
      </c>
      <c r="V1430">
        <v>3</v>
      </c>
      <c r="W1430">
        <v>1</v>
      </c>
    </row>
    <row r="1431" spans="1:23" x14ac:dyDescent="0.35">
      <c r="A1431" t="s">
        <v>1263</v>
      </c>
      <c r="B1431" s="6">
        <v>44032</v>
      </c>
      <c r="D1431" t="s">
        <v>23</v>
      </c>
      <c r="E1431">
        <v>35</v>
      </c>
      <c r="F1431" t="s">
        <v>36</v>
      </c>
      <c r="G1431" t="s">
        <v>42</v>
      </c>
      <c r="H1431" t="s">
        <v>54</v>
      </c>
      <c r="I1431" t="s">
        <v>38</v>
      </c>
      <c r="J1431" t="s">
        <v>52</v>
      </c>
      <c r="K1431">
        <v>3</v>
      </c>
      <c r="L1431" t="s">
        <v>66</v>
      </c>
      <c r="M1431">
        <v>77000</v>
      </c>
      <c r="N1431">
        <v>15.8</v>
      </c>
      <c r="O1431">
        <v>11.8</v>
      </c>
      <c r="P1431">
        <v>5.4</v>
      </c>
      <c r="Q1431">
        <v>4.9000000000000004</v>
      </c>
      <c r="R1431">
        <v>4</v>
      </c>
      <c r="S1431">
        <v>3</v>
      </c>
      <c r="T1431">
        <v>2</v>
      </c>
      <c r="U1431" t="s">
        <v>30</v>
      </c>
      <c r="V1431">
        <v>4</v>
      </c>
      <c r="W1431">
        <v>1</v>
      </c>
    </row>
    <row r="1432" spans="1:23" x14ac:dyDescent="0.35">
      <c r="A1432" t="s">
        <v>582</v>
      </c>
      <c r="B1432" s="6">
        <v>43736</v>
      </c>
      <c r="D1432" t="s">
        <v>23</v>
      </c>
      <c r="E1432">
        <v>30</v>
      </c>
      <c r="F1432" t="s">
        <v>24</v>
      </c>
      <c r="G1432" t="s">
        <v>42</v>
      </c>
      <c r="H1432" t="s">
        <v>54</v>
      </c>
      <c r="I1432" t="s">
        <v>45</v>
      </c>
      <c r="J1432" t="s">
        <v>77</v>
      </c>
      <c r="K1432">
        <v>3</v>
      </c>
      <c r="L1432" t="s">
        <v>40</v>
      </c>
      <c r="M1432">
        <v>65000</v>
      </c>
      <c r="N1432">
        <v>8.6</v>
      </c>
      <c r="O1432">
        <v>9.6999999999999993</v>
      </c>
      <c r="P1432">
        <v>6.3</v>
      </c>
      <c r="Q1432">
        <v>1.3</v>
      </c>
      <c r="R1432">
        <v>3</v>
      </c>
      <c r="S1432">
        <v>4</v>
      </c>
      <c r="T1432">
        <v>3</v>
      </c>
      <c r="U1432" t="s">
        <v>23</v>
      </c>
      <c r="V1432">
        <v>4</v>
      </c>
      <c r="W1432">
        <v>1</v>
      </c>
    </row>
    <row r="1433" spans="1:23" x14ac:dyDescent="0.35">
      <c r="A1433" t="s">
        <v>1346</v>
      </c>
      <c r="B1433" s="6">
        <v>43008</v>
      </c>
      <c r="D1433" t="s">
        <v>23</v>
      </c>
      <c r="E1433">
        <v>33</v>
      </c>
      <c r="F1433" t="s">
        <v>62</v>
      </c>
      <c r="G1433" t="s">
        <v>42</v>
      </c>
      <c r="H1433" t="s">
        <v>26</v>
      </c>
      <c r="I1433" t="s">
        <v>27</v>
      </c>
      <c r="J1433" t="s">
        <v>33</v>
      </c>
      <c r="K1433">
        <v>2</v>
      </c>
      <c r="L1433" t="s">
        <v>29</v>
      </c>
      <c r="M1433">
        <v>49000</v>
      </c>
      <c r="N1433">
        <v>9.1999999999999993</v>
      </c>
      <c r="O1433">
        <v>15</v>
      </c>
      <c r="P1433">
        <v>8.3000000000000007</v>
      </c>
      <c r="Q1433">
        <v>4.5</v>
      </c>
      <c r="R1433">
        <v>3</v>
      </c>
      <c r="S1433">
        <v>4</v>
      </c>
      <c r="T1433">
        <v>1</v>
      </c>
      <c r="U1433" t="s">
        <v>30</v>
      </c>
      <c r="V1433">
        <v>4</v>
      </c>
      <c r="W1433">
        <v>1</v>
      </c>
    </row>
    <row r="1434" spans="1:23" x14ac:dyDescent="0.35">
      <c r="A1434" t="s">
        <v>247</v>
      </c>
      <c r="B1434" s="6">
        <v>45370</v>
      </c>
      <c r="D1434" t="s">
        <v>23</v>
      </c>
      <c r="E1434">
        <v>31</v>
      </c>
      <c r="F1434" t="s">
        <v>62</v>
      </c>
      <c r="G1434" t="s">
        <v>25</v>
      </c>
      <c r="H1434" t="s">
        <v>54</v>
      </c>
      <c r="I1434" t="s">
        <v>45</v>
      </c>
      <c r="J1434" t="s">
        <v>77</v>
      </c>
      <c r="K1434">
        <v>3</v>
      </c>
      <c r="L1434" t="s">
        <v>50</v>
      </c>
      <c r="M1434">
        <v>53000</v>
      </c>
      <c r="N1434">
        <v>12.9</v>
      </c>
      <c r="O1434">
        <v>8.6</v>
      </c>
      <c r="P1434">
        <v>1.8</v>
      </c>
      <c r="Q1434">
        <v>0.8</v>
      </c>
      <c r="R1434">
        <v>3</v>
      </c>
      <c r="S1434">
        <v>3</v>
      </c>
      <c r="T1434">
        <v>2</v>
      </c>
      <c r="U1434" t="s">
        <v>30</v>
      </c>
      <c r="V1434">
        <v>4</v>
      </c>
      <c r="W1434">
        <v>1</v>
      </c>
    </row>
    <row r="1435" spans="1:23" x14ac:dyDescent="0.35">
      <c r="A1435" t="s">
        <v>1011</v>
      </c>
      <c r="B1435" s="6">
        <v>43553</v>
      </c>
      <c r="D1435" t="s">
        <v>23</v>
      </c>
      <c r="E1435">
        <v>28</v>
      </c>
      <c r="F1435" t="s">
        <v>62</v>
      </c>
      <c r="G1435" t="s">
        <v>25</v>
      </c>
      <c r="H1435" t="s">
        <v>32</v>
      </c>
      <c r="I1435" t="s">
        <v>48</v>
      </c>
      <c r="J1435" t="s">
        <v>201</v>
      </c>
      <c r="K1435">
        <v>2</v>
      </c>
      <c r="L1435" t="s">
        <v>66</v>
      </c>
      <c r="M1435">
        <v>72000</v>
      </c>
      <c r="N1435">
        <v>9.3000000000000007</v>
      </c>
      <c r="O1435">
        <v>14.2</v>
      </c>
      <c r="P1435">
        <v>6.8</v>
      </c>
      <c r="Q1435">
        <v>4.0999999999999996</v>
      </c>
      <c r="R1435">
        <v>3</v>
      </c>
      <c r="S1435">
        <v>4</v>
      </c>
      <c r="T1435">
        <v>3</v>
      </c>
      <c r="U1435" t="s">
        <v>23</v>
      </c>
      <c r="V1435">
        <v>5</v>
      </c>
      <c r="W1435">
        <v>1</v>
      </c>
    </row>
    <row r="1436" spans="1:23" x14ac:dyDescent="0.35">
      <c r="A1436" t="s">
        <v>1193</v>
      </c>
      <c r="B1436" s="6">
        <v>43491</v>
      </c>
      <c r="C1436">
        <v>45736</v>
      </c>
      <c r="D1436" t="s">
        <v>30</v>
      </c>
      <c r="E1436">
        <v>39</v>
      </c>
      <c r="F1436" t="s">
        <v>36</v>
      </c>
      <c r="G1436" t="s">
        <v>37</v>
      </c>
      <c r="H1436" t="s">
        <v>54</v>
      </c>
      <c r="I1436" t="s">
        <v>59</v>
      </c>
      <c r="J1436" t="s">
        <v>75</v>
      </c>
      <c r="K1436">
        <v>3</v>
      </c>
      <c r="L1436" t="s">
        <v>29</v>
      </c>
      <c r="M1436">
        <v>79000</v>
      </c>
      <c r="N1436">
        <v>10.6</v>
      </c>
      <c r="O1436">
        <v>9.5</v>
      </c>
      <c r="P1436">
        <v>6.1</v>
      </c>
      <c r="Q1436">
        <v>1.9</v>
      </c>
      <c r="R1436">
        <v>2</v>
      </c>
      <c r="S1436">
        <v>4</v>
      </c>
      <c r="T1436">
        <v>2</v>
      </c>
      <c r="U1436" t="s">
        <v>23</v>
      </c>
      <c r="V1436">
        <v>4</v>
      </c>
      <c r="W1436">
        <v>1</v>
      </c>
    </row>
    <row r="1437" spans="1:23" x14ac:dyDescent="0.35">
      <c r="A1437" t="s">
        <v>1480</v>
      </c>
      <c r="B1437" s="6">
        <v>44597</v>
      </c>
      <c r="D1437" t="s">
        <v>23</v>
      </c>
      <c r="E1437">
        <v>36</v>
      </c>
      <c r="F1437" t="s">
        <v>24</v>
      </c>
      <c r="G1437" t="s">
        <v>25</v>
      </c>
      <c r="H1437" t="s">
        <v>32</v>
      </c>
      <c r="I1437" t="s">
        <v>38</v>
      </c>
      <c r="J1437" t="s">
        <v>52</v>
      </c>
      <c r="K1437">
        <v>4</v>
      </c>
      <c r="L1437" t="s">
        <v>84</v>
      </c>
      <c r="M1437">
        <v>122000</v>
      </c>
      <c r="N1437">
        <v>11.2</v>
      </c>
      <c r="O1437">
        <v>4.0999999999999996</v>
      </c>
      <c r="P1437">
        <v>3.9</v>
      </c>
      <c r="Q1437">
        <v>2.8</v>
      </c>
      <c r="R1437">
        <v>3</v>
      </c>
      <c r="S1437">
        <v>3</v>
      </c>
      <c r="T1437">
        <v>3</v>
      </c>
      <c r="U1437" t="s">
        <v>30</v>
      </c>
      <c r="V1437">
        <v>4</v>
      </c>
      <c r="W1437">
        <v>1</v>
      </c>
    </row>
    <row r="1438" spans="1:23" x14ac:dyDescent="0.35">
      <c r="A1438" t="s">
        <v>506</v>
      </c>
      <c r="B1438" s="6">
        <v>44642</v>
      </c>
      <c r="D1438" t="s">
        <v>23</v>
      </c>
      <c r="E1438">
        <v>30</v>
      </c>
      <c r="F1438" t="s">
        <v>24</v>
      </c>
      <c r="G1438" t="s">
        <v>37</v>
      </c>
      <c r="H1438" t="s">
        <v>58</v>
      </c>
      <c r="I1438" t="s">
        <v>68</v>
      </c>
      <c r="J1438" t="s">
        <v>102</v>
      </c>
      <c r="K1438">
        <v>2</v>
      </c>
      <c r="L1438" t="s">
        <v>84</v>
      </c>
      <c r="M1438">
        <v>68000</v>
      </c>
      <c r="N1438">
        <v>5.9</v>
      </c>
      <c r="O1438">
        <v>11.7</v>
      </c>
      <c r="P1438">
        <v>3.8</v>
      </c>
      <c r="Q1438">
        <v>2.2999999999999998</v>
      </c>
      <c r="R1438">
        <v>4</v>
      </c>
      <c r="S1438">
        <v>1</v>
      </c>
      <c r="T1438">
        <v>3</v>
      </c>
      <c r="U1438" t="s">
        <v>23</v>
      </c>
      <c r="V1438">
        <v>4</v>
      </c>
      <c r="W1438">
        <v>1</v>
      </c>
    </row>
    <row r="1439" spans="1:23" x14ac:dyDescent="0.35">
      <c r="A1439" t="s">
        <v>769</v>
      </c>
      <c r="B1439" s="6">
        <v>44951</v>
      </c>
      <c r="D1439" t="s">
        <v>23</v>
      </c>
      <c r="E1439">
        <v>30</v>
      </c>
      <c r="F1439" t="s">
        <v>62</v>
      </c>
      <c r="G1439" t="s">
        <v>25</v>
      </c>
      <c r="H1439" t="s">
        <v>26</v>
      </c>
      <c r="I1439" t="s">
        <v>27</v>
      </c>
      <c r="J1439" t="s">
        <v>95</v>
      </c>
      <c r="K1439">
        <v>5</v>
      </c>
      <c r="L1439" t="s">
        <v>34</v>
      </c>
      <c r="M1439">
        <v>136000</v>
      </c>
      <c r="N1439">
        <v>0.2</v>
      </c>
      <c r="O1439">
        <v>8.1999999999999993</v>
      </c>
      <c r="P1439">
        <v>2.9</v>
      </c>
      <c r="Q1439">
        <v>0.7</v>
      </c>
      <c r="R1439">
        <v>3</v>
      </c>
      <c r="S1439">
        <v>1</v>
      </c>
      <c r="T1439">
        <v>2</v>
      </c>
      <c r="U1439" t="s">
        <v>23</v>
      </c>
      <c r="V1439">
        <v>5</v>
      </c>
      <c r="W1439">
        <v>1</v>
      </c>
    </row>
    <row r="1440" spans="1:23" x14ac:dyDescent="0.35">
      <c r="A1440" t="s">
        <v>188</v>
      </c>
      <c r="B1440" s="6">
        <v>43768</v>
      </c>
      <c r="D1440" t="s">
        <v>23</v>
      </c>
      <c r="E1440">
        <v>34</v>
      </c>
      <c r="F1440" t="s">
        <v>62</v>
      </c>
      <c r="G1440" t="s">
        <v>37</v>
      </c>
      <c r="H1440" t="s">
        <v>26</v>
      </c>
      <c r="I1440" t="s">
        <v>45</v>
      </c>
      <c r="J1440" t="s">
        <v>164</v>
      </c>
      <c r="K1440">
        <v>2</v>
      </c>
      <c r="L1440" t="s">
        <v>34</v>
      </c>
      <c r="M1440">
        <v>49000</v>
      </c>
      <c r="N1440">
        <v>8.4</v>
      </c>
      <c r="O1440">
        <v>11.3</v>
      </c>
      <c r="P1440">
        <v>6.2</v>
      </c>
      <c r="Q1440">
        <v>4</v>
      </c>
      <c r="R1440">
        <v>3</v>
      </c>
      <c r="S1440">
        <v>3</v>
      </c>
      <c r="T1440">
        <v>3</v>
      </c>
      <c r="U1440" t="s">
        <v>23</v>
      </c>
      <c r="V1440">
        <v>4</v>
      </c>
      <c r="W1440">
        <v>1</v>
      </c>
    </row>
    <row r="1441" spans="1:23" x14ac:dyDescent="0.35">
      <c r="A1441" t="s">
        <v>1231</v>
      </c>
      <c r="B1441" s="6">
        <v>43430</v>
      </c>
      <c r="D1441" t="s">
        <v>23</v>
      </c>
      <c r="E1441">
        <v>40</v>
      </c>
      <c r="F1441" t="s">
        <v>36</v>
      </c>
      <c r="G1441" t="s">
        <v>37</v>
      </c>
      <c r="H1441" t="s">
        <v>32</v>
      </c>
      <c r="I1441" t="s">
        <v>45</v>
      </c>
      <c r="J1441" t="s">
        <v>77</v>
      </c>
      <c r="K1441">
        <v>4</v>
      </c>
      <c r="L1441" t="s">
        <v>34</v>
      </c>
      <c r="M1441">
        <v>102000</v>
      </c>
      <c r="N1441">
        <v>6.7</v>
      </c>
      <c r="O1441">
        <v>11.2</v>
      </c>
      <c r="P1441">
        <v>7.1</v>
      </c>
      <c r="Q1441">
        <v>2</v>
      </c>
      <c r="R1441">
        <v>2</v>
      </c>
      <c r="S1441">
        <v>2</v>
      </c>
      <c r="T1441">
        <v>3</v>
      </c>
      <c r="U1441" t="s">
        <v>23</v>
      </c>
      <c r="V1441">
        <v>1</v>
      </c>
      <c r="W1441">
        <v>1</v>
      </c>
    </row>
    <row r="1442" spans="1:23" x14ac:dyDescent="0.35">
      <c r="A1442" t="s">
        <v>473</v>
      </c>
      <c r="B1442" s="6">
        <v>42153</v>
      </c>
      <c r="D1442" t="s">
        <v>23</v>
      </c>
      <c r="E1442">
        <v>37</v>
      </c>
      <c r="F1442" t="s">
        <v>24</v>
      </c>
      <c r="G1442" t="s">
        <v>25</v>
      </c>
      <c r="H1442" t="s">
        <v>32</v>
      </c>
      <c r="I1442" t="s">
        <v>45</v>
      </c>
      <c r="J1442" t="s">
        <v>77</v>
      </c>
      <c r="K1442">
        <v>1</v>
      </c>
      <c r="L1442" t="s">
        <v>66</v>
      </c>
      <c r="M1442">
        <v>44000</v>
      </c>
      <c r="N1442">
        <v>6.5</v>
      </c>
      <c r="O1442">
        <v>14.7</v>
      </c>
      <c r="P1442">
        <v>10.6</v>
      </c>
      <c r="Q1442">
        <v>5.4</v>
      </c>
      <c r="R1442">
        <v>3</v>
      </c>
      <c r="S1442">
        <v>4</v>
      </c>
      <c r="T1442">
        <v>2</v>
      </c>
      <c r="U1442" t="s">
        <v>30</v>
      </c>
      <c r="V1442">
        <v>2</v>
      </c>
      <c r="W1442">
        <v>1</v>
      </c>
    </row>
    <row r="1443" spans="1:23" x14ac:dyDescent="0.35">
      <c r="A1443" t="s">
        <v>730</v>
      </c>
      <c r="B1443" s="6">
        <v>42621</v>
      </c>
      <c r="D1443" t="s">
        <v>23</v>
      </c>
      <c r="E1443">
        <v>35</v>
      </c>
      <c r="F1443" t="s">
        <v>62</v>
      </c>
      <c r="G1443" t="s">
        <v>42</v>
      </c>
      <c r="H1443" t="s">
        <v>32</v>
      </c>
      <c r="I1443" t="s">
        <v>48</v>
      </c>
      <c r="J1443" t="s">
        <v>49</v>
      </c>
      <c r="K1443">
        <v>3</v>
      </c>
      <c r="L1443" t="s">
        <v>29</v>
      </c>
      <c r="M1443">
        <v>71000</v>
      </c>
      <c r="N1443">
        <v>9.1</v>
      </c>
      <c r="O1443">
        <v>16.899999999999999</v>
      </c>
      <c r="P1443">
        <v>9.3000000000000007</v>
      </c>
      <c r="Q1443">
        <v>4</v>
      </c>
      <c r="R1443">
        <v>4</v>
      </c>
      <c r="S1443">
        <v>1</v>
      </c>
      <c r="T1443">
        <v>2</v>
      </c>
      <c r="U1443" t="s">
        <v>23</v>
      </c>
      <c r="V1443">
        <v>3</v>
      </c>
      <c r="W1443">
        <v>1</v>
      </c>
    </row>
    <row r="1444" spans="1:23" x14ac:dyDescent="0.35">
      <c r="A1444" t="s">
        <v>1230</v>
      </c>
      <c r="B1444" s="6">
        <v>45752</v>
      </c>
      <c r="C1444">
        <v>45963</v>
      </c>
      <c r="D1444" t="s">
        <v>30</v>
      </c>
      <c r="E1444">
        <v>21</v>
      </c>
      <c r="F1444" t="s">
        <v>36</v>
      </c>
      <c r="G1444" t="s">
        <v>42</v>
      </c>
      <c r="H1444" t="s">
        <v>54</v>
      </c>
      <c r="I1444" t="s">
        <v>45</v>
      </c>
      <c r="J1444" t="s">
        <v>46</v>
      </c>
      <c r="K1444">
        <v>1</v>
      </c>
      <c r="L1444" t="s">
        <v>40</v>
      </c>
      <c r="M1444">
        <v>35000</v>
      </c>
      <c r="N1444">
        <v>7.5</v>
      </c>
      <c r="O1444">
        <v>6.1</v>
      </c>
      <c r="P1444">
        <v>0.6</v>
      </c>
      <c r="Q1444">
        <v>0</v>
      </c>
      <c r="R1444">
        <v>3</v>
      </c>
      <c r="S1444">
        <v>4</v>
      </c>
      <c r="T1444">
        <v>3</v>
      </c>
      <c r="U1444" t="s">
        <v>30</v>
      </c>
      <c r="V1444">
        <v>2</v>
      </c>
      <c r="W1444">
        <v>1</v>
      </c>
    </row>
    <row r="1445" spans="1:23" x14ac:dyDescent="0.35">
      <c r="A1445" t="s">
        <v>1397</v>
      </c>
      <c r="B1445" s="6">
        <v>42320</v>
      </c>
      <c r="C1445">
        <v>45747</v>
      </c>
      <c r="D1445" t="s">
        <v>30</v>
      </c>
      <c r="E1445">
        <v>33</v>
      </c>
      <c r="F1445" t="s">
        <v>24</v>
      </c>
      <c r="G1445" t="s">
        <v>42</v>
      </c>
      <c r="H1445" t="s">
        <v>54</v>
      </c>
      <c r="I1445" t="s">
        <v>38</v>
      </c>
      <c r="J1445" t="s">
        <v>118</v>
      </c>
      <c r="K1445">
        <v>3</v>
      </c>
      <c r="L1445" t="s">
        <v>29</v>
      </c>
      <c r="M1445">
        <v>78000</v>
      </c>
      <c r="N1445">
        <v>8.8000000000000007</v>
      </c>
      <c r="O1445">
        <v>17.3</v>
      </c>
      <c r="P1445">
        <v>9.4</v>
      </c>
      <c r="Q1445">
        <v>2.5</v>
      </c>
      <c r="R1445">
        <v>2</v>
      </c>
      <c r="S1445">
        <v>3</v>
      </c>
      <c r="T1445">
        <v>4</v>
      </c>
      <c r="U1445" t="s">
        <v>30</v>
      </c>
      <c r="V1445">
        <v>3</v>
      </c>
      <c r="W1445">
        <v>1</v>
      </c>
    </row>
    <row r="1446" spans="1:23" x14ac:dyDescent="0.35">
      <c r="A1446" t="s">
        <v>1107</v>
      </c>
      <c r="B1446" s="6">
        <v>44486</v>
      </c>
      <c r="D1446" t="s">
        <v>23</v>
      </c>
      <c r="E1446">
        <v>43</v>
      </c>
      <c r="F1446" t="s">
        <v>62</v>
      </c>
      <c r="G1446" t="s">
        <v>37</v>
      </c>
      <c r="H1446" t="s">
        <v>58</v>
      </c>
      <c r="I1446" t="s">
        <v>45</v>
      </c>
      <c r="J1446" t="s">
        <v>97</v>
      </c>
      <c r="K1446">
        <v>3</v>
      </c>
      <c r="L1446" t="s">
        <v>40</v>
      </c>
      <c r="M1446">
        <v>60000</v>
      </c>
      <c r="N1446">
        <v>8.1999999999999993</v>
      </c>
      <c r="O1446">
        <v>4.3</v>
      </c>
      <c r="P1446">
        <v>4.2</v>
      </c>
      <c r="Q1446">
        <v>0.8</v>
      </c>
      <c r="R1446">
        <v>4</v>
      </c>
      <c r="S1446">
        <v>3</v>
      </c>
      <c r="T1446">
        <v>3</v>
      </c>
      <c r="U1446" t="s">
        <v>23</v>
      </c>
      <c r="V1446">
        <v>4</v>
      </c>
      <c r="W1446">
        <v>1</v>
      </c>
    </row>
    <row r="1447" spans="1:23" x14ac:dyDescent="0.35">
      <c r="A1447" t="s">
        <v>632</v>
      </c>
      <c r="B1447" s="6">
        <v>43363</v>
      </c>
      <c r="D1447" t="s">
        <v>23</v>
      </c>
      <c r="E1447">
        <v>37</v>
      </c>
      <c r="F1447" t="s">
        <v>36</v>
      </c>
      <c r="G1447" t="s">
        <v>42</v>
      </c>
      <c r="H1447" t="s">
        <v>26</v>
      </c>
      <c r="I1447" t="s">
        <v>45</v>
      </c>
      <c r="J1447" t="s">
        <v>77</v>
      </c>
      <c r="K1447">
        <v>2</v>
      </c>
      <c r="L1447" t="s">
        <v>40</v>
      </c>
      <c r="M1447">
        <v>47000</v>
      </c>
      <c r="N1447">
        <v>6.9</v>
      </c>
      <c r="O1447">
        <v>9.1</v>
      </c>
      <c r="P1447">
        <v>7.3</v>
      </c>
      <c r="Q1447">
        <v>2.2000000000000002</v>
      </c>
      <c r="R1447">
        <v>4</v>
      </c>
      <c r="S1447">
        <v>1</v>
      </c>
      <c r="T1447">
        <v>3</v>
      </c>
      <c r="U1447" t="s">
        <v>23</v>
      </c>
      <c r="V1447">
        <v>3</v>
      </c>
      <c r="W1447">
        <v>1</v>
      </c>
    </row>
    <row r="1448" spans="1:23" x14ac:dyDescent="0.35">
      <c r="A1448" t="s">
        <v>240</v>
      </c>
      <c r="B1448" s="6">
        <v>43995</v>
      </c>
      <c r="D1448" t="s">
        <v>23</v>
      </c>
      <c r="E1448">
        <v>33</v>
      </c>
      <c r="F1448" t="s">
        <v>24</v>
      </c>
      <c r="G1448" t="s">
        <v>25</v>
      </c>
      <c r="H1448" t="s">
        <v>54</v>
      </c>
      <c r="I1448" t="s">
        <v>27</v>
      </c>
      <c r="J1448" t="s">
        <v>33</v>
      </c>
      <c r="K1448">
        <v>3</v>
      </c>
      <c r="L1448" t="s">
        <v>84</v>
      </c>
      <c r="M1448">
        <v>78000</v>
      </c>
      <c r="N1448">
        <v>5.0999999999999996</v>
      </c>
      <c r="O1448">
        <v>8.1</v>
      </c>
      <c r="P1448">
        <v>5.5</v>
      </c>
      <c r="Q1448">
        <v>4.5999999999999996</v>
      </c>
      <c r="R1448">
        <v>4</v>
      </c>
      <c r="S1448">
        <v>4</v>
      </c>
      <c r="T1448">
        <v>3</v>
      </c>
      <c r="U1448" t="s">
        <v>30</v>
      </c>
      <c r="V1448">
        <v>3</v>
      </c>
      <c r="W1448">
        <v>1</v>
      </c>
    </row>
    <row r="1449" spans="1:23" x14ac:dyDescent="0.35">
      <c r="A1449" t="s">
        <v>421</v>
      </c>
      <c r="B1449" s="6">
        <v>42429</v>
      </c>
      <c r="D1449" t="s">
        <v>23</v>
      </c>
      <c r="E1449">
        <v>34</v>
      </c>
      <c r="F1449" t="s">
        <v>62</v>
      </c>
      <c r="G1449" t="s">
        <v>25</v>
      </c>
      <c r="H1449" t="s">
        <v>32</v>
      </c>
      <c r="I1449" t="s">
        <v>27</v>
      </c>
      <c r="J1449" t="s">
        <v>43</v>
      </c>
      <c r="K1449">
        <v>3</v>
      </c>
      <c r="L1449" t="s">
        <v>50</v>
      </c>
      <c r="M1449">
        <v>71000</v>
      </c>
      <c r="N1449">
        <v>11.5</v>
      </c>
      <c r="O1449">
        <v>10</v>
      </c>
      <c r="P1449">
        <v>9.8000000000000007</v>
      </c>
      <c r="Q1449">
        <v>1.5</v>
      </c>
      <c r="R1449">
        <v>4</v>
      </c>
      <c r="S1449">
        <v>3</v>
      </c>
      <c r="T1449">
        <v>3</v>
      </c>
      <c r="U1449" t="s">
        <v>23</v>
      </c>
      <c r="V1449">
        <v>4</v>
      </c>
      <c r="W1449">
        <v>1</v>
      </c>
    </row>
    <row r="1450" spans="1:23" x14ac:dyDescent="0.35">
      <c r="A1450" t="s">
        <v>1066</v>
      </c>
      <c r="B1450" s="6">
        <v>44850</v>
      </c>
      <c r="D1450" t="s">
        <v>23</v>
      </c>
      <c r="E1450">
        <v>34</v>
      </c>
      <c r="F1450" t="s">
        <v>36</v>
      </c>
      <c r="G1450" t="s">
        <v>25</v>
      </c>
      <c r="H1450" t="s">
        <v>54</v>
      </c>
      <c r="I1450" t="s">
        <v>68</v>
      </c>
      <c r="J1450" t="s">
        <v>121</v>
      </c>
      <c r="K1450">
        <v>5</v>
      </c>
      <c r="L1450" t="s">
        <v>84</v>
      </c>
      <c r="M1450">
        <v>139000</v>
      </c>
      <c r="N1450">
        <v>16.600000000000001</v>
      </c>
      <c r="O1450">
        <v>4.4000000000000004</v>
      </c>
      <c r="P1450">
        <v>3.2</v>
      </c>
      <c r="Q1450">
        <v>0.6</v>
      </c>
      <c r="R1450">
        <v>4</v>
      </c>
      <c r="S1450">
        <v>2</v>
      </c>
      <c r="T1450">
        <v>3</v>
      </c>
      <c r="U1450" t="s">
        <v>23</v>
      </c>
      <c r="V1450">
        <v>3</v>
      </c>
      <c r="W1450">
        <v>1</v>
      </c>
    </row>
    <row r="1451" spans="1:23" x14ac:dyDescent="0.35">
      <c r="A1451" t="s">
        <v>70</v>
      </c>
      <c r="B1451" s="6">
        <v>43428</v>
      </c>
      <c r="D1451" t="s">
        <v>23</v>
      </c>
      <c r="E1451">
        <v>38</v>
      </c>
      <c r="F1451" t="s">
        <v>62</v>
      </c>
      <c r="G1451" t="s">
        <v>25</v>
      </c>
      <c r="H1451" t="s">
        <v>54</v>
      </c>
      <c r="I1451" t="s">
        <v>27</v>
      </c>
      <c r="J1451" t="s">
        <v>43</v>
      </c>
      <c r="K1451">
        <v>2</v>
      </c>
      <c r="L1451" t="s">
        <v>40</v>
      </c>
      <c r="M1451">
        <v>43000</v>
      </c>
      <c r="N1451">
        <v>10.199999999999999</v>
      </c>
      <c r="O1451">
        <v>14.2</v>
      </c>
      <c r="P1451">
        <v>7.1</v>
      </c>
      <c r="Q1451">
        <v>5.4</v>
      </c>
      <c r="R1451">
        <v>3</v>
      </c>
      <c r="S1451">
        <v>2</v>
      </c>
      <c r="T1451">
        <v>1</v>
      </c>
      <c r="U1451" t="s">
        <v>23</v>
      </c>
      <c r="V1451">
        <v>3</v>
      </c>
      <c r="W1451">
        <v>1</v>
      </c>
    </row>
    <row r="1452" spans="1:23" x14ac:dyDescent="0.35">
      <c r="A1452" t="s">
        <v>132</v>
      </c>
      <c r="B1452" s="6">
        <v>45362</v>
      </c>
      <c r="D1452" t="s">
        <v>23</v>
      </c>
      <c r="E1452">
        <v>36</v>
      </c>
      <c r="F1452" t="s">
        <v>62</v>
      </c>
      <c r="G1452" t="s">
        <v>25</v>
      </c>
      <c r="H1452" t="s">
        <v>32</v>
      </c>
      <c r="I1452" t="s">
        <v>55</v>
      </c>
      <c r="J1452" t="s">
        <v>80</v>
      </c>
      <c r="K1452">
        <v>3</v>
      </c>
      <c r="L1452" t="s">
        <v>66</v>
      </c>
      <c r="M1452">
        <v>86000</v>
      </c>
      <c r="N1452">
        <v>9.1</v>
      </c>
      <c r="O1452">
        <v>9.4</v>
      </c>
      <c r="P1452">
        <v>1.8</v>
      </c>
      <c r="Q1452">
        <v>1</v>
      </c>
      <c r="R1452">
        <v>3</v>
      </c>
      <c r="S1452">
        <v>3</v>
      </c>
      <c r="T1452">
        <v>2</v>
      </c>
      <c r="U1452" t="s">
        <v>23</v>
      </c>
      <c r="V1452">
        <v>3</v>
      </c>
      <c r="W1452">
        <v>1</v>
      </c>
    </row>
    <row r="1453" spans="1:23" x14ac:dyDescent="0.35">
      <c r="A1453" t="s">
        <v>927</v>
      </c>
      <c r="B1453" s="6">
        <v>45622</v>
      </c>
      <c r="D1453" t="s">
        <v>23</v>
      </c>
      <c r="E1453">
        <v>24</v>
      </c>
      <c r="F1453" t="s">
        <v>36</v>
      </c>
      <c r="G1453" t="s">
        <v>37</v>
      </c>
      <c r="H1453" t="s">
        <v>58</v>
      </c>
      <c r="I1453" t="s">
        <v>45</v>
      </c>
      <c r="J1453" t="s">
        <v>97</v>
      </c>
      <c r="K1453">
        <v>1</v>
      </c>
      <c r="L1453" t="s">
        <v>50</v>
      </c>
      <c r="M1453">
        <v>25000</v>
      </c>
      <c r="N1453">
        <v>10.8</v>
      </c>
      <c r="O1453">
        <v>4.3</v>
      </c>
      <c r="P1453">
        <v>1.1000000000000001</v>
      </c>
      <c r="Q1453">
        <v>0.6</v>
      </c>
      <c r="R1453">
        <v>4</v>
      </c>
      <c r="S1453">
        <v>3</v>
      </c>
      <c r="T1453">
        <v>3</v>
      </c>
      <c r="U1453" t="s">
        <v>23</v>
      </c>
      <c r="V1453">
        <v>3</v>
      </c>
      <c r="W1453">
        <v>1</v>
      </c>
    </row>
    <row r="1454" spans="1:23" x14ac:dyDescent="0.35">
      <c r="A1454" t="s">
        <v>777</v>
      </c>
      <c r="B1454" s="6">
        <v>45704</v>
      </c>
      <c r="D1454" t="s">
        <v>23</v>
      </c>
      <c r="E1454">
        <v>32</v>
      </c>
      <c r="F1454" t="s">
        <v>62</v>
      </c>
      <c r="G1454" t="s">
        <v>37</v>
      </c>
      <c r="H1454" t="s">
        <v>32</v>
      </c>
      <c r="I1454" t="s">
        <v>55</v>
      </c>
      <c r="J1454" t="s">
        <v>88</v>
      </c>
      <c r="K1454">
        <v>3</v>
      </c>
      <c r="L1454" t="s">
        <v>40</v>
      </c>
      <c r="M1454">
        <v>95000</v>
      </c>
      <c r="N1454">
        <v>8.6</v>
      </c>
      <c r="O1454">
        <v>7.4</v>
      </c>
      <c r="P1454">
        <v>0.9</v>
      </c>
      <c r="Q1454">
        <v>0</v>
      </c>
      <c r="R1454">
        <v>4</v>
      </c>
      <c r="S1454">
        <v>2</v>
      </c>
      <c r="T1454">
        <v>3</v>
      </c>
      <c r="U1454" t="s">
        <v>23</v>
      </c>
      <c r="V1454">
        <v>3</v>
      </c>
      <c r="W1454">
        <v>1</v>
      </c>
    </row>
    <row r="1455" spans="1:23" x14ac:dyDescent="0.35">
      <c r="A1455" t="s">
        <v>1510</v>
      </c>
      <c r="B1455" s="6">
        <v>45905</v>
      </c>
      <c r="C1455">
        <v>46007</v>
      </c>
      <c r="D1455" t="s">
        <v>30</v>
      </c>
      <c r="E1455">
        <v>21</v>
      </c>
      <c r="F1455" t="s">
        <v>24</v>
      </c>
      <c r="G1455" t="s">
        <v>42</v>
      </c>
      <c r="H1455" t="s">
        <v>32</v>
      </c>
      <c r="I1455" t="s">
        <v>48</v>
      </c>
      <c r="J1455" t="s">
        <v>63</v>
      </c>
      <c r="K1455">
        <v>1</v>
      </c>
      <c r="L1455" t="s">
        <v>50</v>
      </c>
      <c r="M1455">
        <v>36000</v>
      </c>
      <c r="N1455">
        <v>2.5</v>
      </c>
      <c r="O1455">
        <v>5.9</v>
      </c>
      <c r="P1455">
        <v>0.3</v>
      </c>
      <c r="Q1455">
        <v>0</v>
      </c>
      <c r="R1455">
        <v>3</v>
      </c>
      <c r="S1455">
        <v>2</v>
      </c>
      <c r="T1455">
        <v>3</v>
      </c>
      <c r="U1455" t="s">
        <v>23</v>
      </c>
      <c r="V1455">
        <v>4</v>
      </c>
      <c r="W1455">
        <v>1</v>
      </c>
    </row>
    <row r="1456" spans="1:23" x14ac:dyDescent="0.35">
      <c r="A1456" t="s">
        <v>1572</v>
      </c>
      <c r="B1456" s="6">
        <v>43503</v>
      </c>
      <c r="D1456" t="s">
        <v>23</v>
      </c>
      <c r="E1456">
        <v>35</v>
      </c>
      <c r="F1456" t="s">
        <v>24</v>
      </c>
      <c r="G1456" t="s">
        <v>37</v>
      </c>
      <c r="H1456" t="s">
        <v>54</v>
      </c>
      <c r="I1456" t="s">
        <v>59</v>
      </c>
      <c r="J1456" t="s">
        <v>150</v>
      </c>
      <c r="K1456">
        <v>3</v>
      </c>
      <c r="L1456" t="s">
        <v>29</v>
      </c>
      <c r="M1456">
        <v>76000</v>
      </c>
      <c r="N1456">
        <v>7.9</v>
      </c>
      <c r="O1456">
        <v>13.4</v>
      </c>
      <c r="P1456">
        <v>6.9</v>
      </c>
      <c r="Q1456">
        <v>3</v>
      </c>
      <c r="R1456">
        <v>2</v>
      </c>
      <c r="S1456">
        <v>2</v>
      </c>
      <c r="T1456">
        <v>3</v>
      </c>
      <c r="U1456" t="s">
        <v>30</v>
      </c>
      <c r="V1456">
        <v>4</v>
      </c>
      <c r="W1456">
        <v>1</v>
      </c>
    </row>
    <row r="1457" spans="1:23" x14ac:dyDescent="0.35">
      <c r="A1457" t="s">
        <v>325</v>
      </c>
      <c r="B1457" s="6">
        <v>42741</v>
      </c>
      <c r="D1457" t="s">
        <v>23</v>
      </c>
      <c r="E1457">
        <v>55</v>
      </c>
      <c r="F1457" t="s">
        <v>24</v>
      </c>
      <c r="G1457" t="s">
        <v>42</v>
      </c>
      <c r="H1457" t="s">
        <v>32</v>
      </c>
      <c r="I1457" t="s">
        <v>68</v>
      </c>
      <c r="J1457" t="s">
        <v>121</v>
      </c>
      <c r="K1457">
        <v>2</v>
      </c>
      <c r="L1457" t="s">
        <v>50</v>
      </c>
      <c r="M1457">
        <v>50000</v>
      </c>
      <c r="N1457">
        <v>11</v>
      </c>
      <c r="O1457">
        <v>9.1</v>
      </c>
      <c r="P1457">
        <v>9</v>
      </c>
      <c r="Q1457">
        <v>3.7</v>
      </c>
      <c r="R1457">
        <v>3</v>
      </c>
      <c r="S1457">
        <v>3</v>
      </c>
      <c r="T1457">
        <v>2</v>
      </c>
      <c r="U1457" t="s">
        <v>23</v>
      </c>
      <c r="V1457">
        <v>3</v>
      </c>
      <c r="W1457">
        <v>1</v>
      </c>
    </row>
    <row r="1458" spans="1:23" x14ac:dyDescent="0.35">
      <c r="A1458" t="s">
        <v>237</v>
      </c>
      <c r="B1458" s="6">
        <v>44083</v>
      </c>
      <c r="D1458" t="s">
        <v>23</v>
      </c>
      <c r="E1458">
        <v>35</v>
      </c>
      <c r="F1458" t="s">
        <v>62</v>
      </c>
      <c r="G1458" t="s">
        <v>37</v>
      </c>
      <c r="H1458" t="s">
        <v>58</v>
      </c>
      <c r="I1458" t="s">
        <v>27</v>
      </c>
      <c r="J1458" t="s">
        <v>33</v>
      </c>
      <c r="K1458">
        <v>5</v>
      </c>
      <c r="L1458" t="s">
        <v>34</v>
      </c>
      <c r="M1458">
        <v>145000</v>
      </c>
      <c r="N1458">
        <v>7.4</v>
      </c>
      <c r="O1458">
        <v>9.8000000000000007</v>
      </c>
      <c r="P1458">
        <v>5.3</v>
      </c>
      <c r="Q1458">
        <v>3.3</v>
      </c>
      <c r="R1458">
        <v>2</v>
      </c>
      <c r="S1458">
        <v>2</v>
      </c>
      <c r="T1458">
        <v>4</v>
      </c>
      <c r="U1458" t="s">
        <v>23</v>
      </c>
      <c r="V1458">
        <v>5</v>
      </c>
      <c r="W1458">
        <v>1</v>
      </c>
    </row>
    <row r="1459" spans="1:23" x14ac:dyDescent="0.35">
      <c r="A1459" t="s">
        <v>969</v>
      </c>
      <c r="B1459" s="6">
        <v>45549</v>
      </c>
      <c r="D1459" t="s">
        <v>23</v>
      </c>
      <c r="E1459">
        <v>41</v>
      </c>
      <c r="F1459" t="s">
        <v>36</v>
      </c>
      <c r="G1459" t="s">
        <v>37</v>
      </c>
      <c r="H1459" t="s">
        <v>58</v>
      </c>
      <c r="I1459" t="s">
        <v>27</v>
      </c>
      <c r="J1459" t="s">
        <v>95</v>
      </c>
      <c r="K1459">
        <v>4</v>
      </c>
      <c r="L1459" t="s">
        <v>50</v>
      </c>
      <c r="M1459">
        <v>107000</v>
      </c>
      <c r="N1459">
        <v>0</v>
      </c>
      <c r="O1459">
        <v>4.9000000000000004</v>
      </c>
      <c r="P1459">
        <v>1.3</v>
      </c>
      <c r="Q1459">
        <v>0.5</v>
      </c>
      <c r="R1459">
        <v>2</v>
      </c>
      <c r="S1459">
        <v>2</v>
      </c>
      <c r="T1459">
        <v>3</v>
      </c>
      <c r="U1459" t="s">
        <v>23</v>
      </c>
      <c r="V1459">
        <v>4</v>
      </c>
      <c r="W1459">
        <v>1</v>
      </c>
    </row>
    <row r="1460" spans="1:23" x14ac:dyDescent="0.35">
      <c r="A1460" t="s">
        <v>1545</v>
      </c>
      <c r="B1460" s="6">
        <v>44599</v>
      </c>
      <c r="D1460" t="s">
        <v>23</v>
      </c>
      <c r="E1460">
        <v>52</v>
      </c>
      <c r="F1460" t="s">
        <v>24</v>
      </c>
      <c r="G1460" t="s">
        <v>37</v>
      </c>
      <c r="H1460" t="s">
        <v>26</v>
      </c>
      <c r="I1460" t="s">
        <v>68</v>
      </c>
      <c r="J1460" t="s">
        <v>109</v>
      </c>
      <c r="K1460">
        <v>3</v>
      </c>
      <c r="L1460" t="s">
        <v>34</v>
      </c>
      <c r="M1460">
        <v>75000</v>
      </c>
      <c r="N1460">
        <v>13.4</v>
      </c>
      <c r="O1460">
        <v>11.6</v>
      </c>
      <c r="P1460">
        <v>3.9</v>
      </c>
      <c r="Q1460">
        <v>2.6</v>
      </c>
      <c r="R1460">
        <v>3</v>
      </c>
      <c r="S1460">
        <v>3</v>
      </c>
      <c r="T1460">
        <v>3</v>
      </c>
      <c r="U1460" t="s">
        <v>30</v>
      </c>
      <c r="V1460">
        <v>4</v>
      </c>
      <c r="W1460">
        <v>1</v>
      </c>
    </row>
    <row r="1461" spans="1:23" x14ac:dyDescent="0.35">
      <c r="A1461" t="s">
        <v>1272</v>
      </c>
      <c r="B1461" s="6">
        <v>45188</v>
      </c>
      <c r="C1461">
        <v>45872</v>
      </c>
      <c r="D1461" t="s">
        <v>30</v>
      </c>
      <c r="E1461">
        <v>35</v>
      </c>
      <c r="F1461" t="s">
        <v>36</v>
      </c>
      <c r="G1461" t="s">
        <v>25</v>
      </c>
      <c r="H1461" t="s">
        <v>26</v>
      </c>
      <c r="I1461" t="s">
        <v>48</v>
      </c>
      <c r="J1461" t="s">
        <v>201</v>
      </c>
      <c r="K1461">
        <v>2</v>
      </c>
      <c r="L1461" t="s">
        <v>66</v>
      </c>
      <c r="M1461">
        <v>47000</v>
      </c>
      <c r="N1461">
        <v>0</v>
      </c>
      <c r="O1461">
        <v>2.6</v>
      </c>
      <c r="P1461">
        <v>1.9</v>
      </c>
      <c r="Q1461">
        <v>1.1000000000000001</v>
      </c>
      <c r="R1461">
        <v>4</v>
      </c>
      <c r="S1461">
        <v>3</v>
      </c>
      <c r="T1461">
        <v>4</v>
      </c>
      <c r="U1461" t="s">
        <v>23</v>
      </c>
      <c r="V1461">
        <v>2</v>
      </c>
      <c r="W1461">
        <v>1</v>
      </c>
    </row>
    <row r="1462" spans="1:23" x14ac:dyDescent="0.35">
      <c r="A1462" t="s">
        <v>79</v>
      </c>
      <c r="B1462" s="6">
        <v>45440</v>
      </c>
      <c r="D1462" t="s">
        <v>23</v>
      </c>
      <c r="E1462">
        <v>27</v>
      </c>
      <c r="F1462" t="s">
        <v>62</v>
      </c>
      <c r="G1462" t="s">
        <v>37</v>
      </c>
      <c r="H1462" t="s">
        <v>58</v>
      </c>
      <c r="I1462" t="s">
        <v>55</v>
      </c>
      <c r="J1462" t="s">
        <v>80</v>
      </c>
      <c r="K1462">
        <v>1</v>
      </c>
      <c r="L1462" t="s">
        <v>34</v>
      </c>
      <c r="M1462">
        <v>41000</v>
      </c>
      <c r="N1462">
        <v>4</v>
      </c>
      <c r="O1462">
        <v>8.1</v>
      </c>
      <c r="P1462">
        <v>1.6</v>
      </c>
      <c r="Q1462">
        <v>1.4</v>
      </c>
      <c r="R1462">
        <v>2</v>
      </c>
      <c r="S1462">
        <v>3</v>
      </c>
      <c r="T1462">
        <v>4</v>
      </c>
      <c r="U1462" t="s">
        <v>23</v>
      </c>
      <c r="V1462">
        <v>3</v>
      </c>
      <c r="W1462">
        <v>1</v>
      </c>
    </row>
    <row r="1463" spans="1:23" x14ac:dyDescent="0.35">
      <c r="A1463" t="s">
        <v>618</v>
      </c>
      <c r="B1463" s="6">
        <v>41816</v>
      </c>
      <c r="D1463" t="s">
        <v>23</v>
      </c>
      <c r="E1463">
        <v>33</v>
      </c>
      <c r="F1463" t="s">
        <v>36</v>
      </c>
      <c r="G1463" t="s">
        <v>37</v>
      </c>
      <c r="H1463" t="s">
        <v>26</v>
      </c>
      <c r="I1463" t="s">
        <v>48</v>
      </c>
      <c r="J1463" t="s">
        <v>63</v>
      </c>
      <c r="K1463">
        <v>2</v>
      </c>
      <c r="L1463" t="s">
        <v>34</v>
      </c>
      <c r="M1463">
        <v>57000</v>
      </c>
      <c r="N1463">
        <v>4.5</v>
      </c>
      <c r="O1463">
        <v>19.399999999999999</v>
      </c>
      <c r="P1463">
        <v>11.5</v>
      </c>
      <c r="Q1463">
        <v>5.5</v>
      </c>
      <c r="R1463">
        <v>2</v>
      </c>
      <c r="S1463">
        <v>4</v>
      </c>
      <c r="T1463">
        <v>3</v>
      </c>
      <c r="U1463" t="s">
        <v>23</v>
      </c>
      <c r="V1463">
        <v>3</v>
      </c>
      <c r="W1463">
        <v>1</v>
      </c>
    </row>
    <row r="1464" spans="1:23" x14ac:dyDescent="0.35">
      <c r="A1464" t="s">
        <v>939</v>
      </c>
      <c r="B1464" s="6">
        <v>43726</v>
      </c>
      <c r="C1464">
        <v>46013</v>
      </c>
      <c r="D1464" t="s">
        <v>30</v>
      </c>
      <c r="E1464">
        <v>29</v>
      </c>
      <c r="F1464" t="s">
        <v>36</v>
      </c>
      <c r="G1464" t="s">
        <v>42</v>
      </c>
      <c r="H1464" t="s">
        <v>32</v>
      </c>
      <c r="I1464" t="s">
        <v>45</v>
      </c>
      <c r="J1464" t="s">
        <v>164</v>
      </c>
      <c r="K1464">
        <v>5</v>
      </c>
      <c r="L1464" t="s">
        <v>84</v>
      </c>
      <c r="M1464">
        <v>129000</v>
      </c>
      <c r="N1464">
        <v>8.6</v>
      </c>
      <c r="O1464">
        <v>8.1999999999999993</v>
      </c>
      <c r="P1464">
        <v>6.3</v>
      </c>
      <c r="Q1464">
        <v>3.9</v>
      </c>
      <c r="R1464">
        <v>4</v>
      </c>
      <c r="S1464">
        <v>4</v>
      </c>
      <c r="T1464">
        <v>3</v>
      </c>
      <c r="U1464" t="s">
        <v>23</v>
      </c>
      <c r="V1464">
        <v>2</v>
      </c>
      <c r="W1464">
        <v>1</v>
      </c>
    </row>
    <row r="1465" spans="1:23" x14ac:dyDescent="0.35">
      <c r="A1465" t="s">
        <v>1529</v>
      </c>
      <c r="B1465" s="6">
        <v>44400</v>
      </c>
      <c r="D1465" t="s">
        <v>23</v>
      </c>
      <c r="E1465">
        <v>34</v>
      </c>
      <c r="F1465" t="s">
        <v>62</v>
      </c>
      <c r="G1465" t="s">
        <v>25</v>
      </c>
      <c r="H1465" t="s">
        <v>54</v>
      </c>
      <c r="I1465" t="s">
        <v>38</v>
      </c>
      <c r="J1465" t="s">
        <v>118</v>
      </c>
      <c r="K1465">
        <v>3</v>
      </c>
      <c r="L1465" t="s">
        <v>29</v>
      </c>
      <c r="M1465">
        <v>99000</v>
      </c>
      <c r="N1465">
        <v>8.1</v>
      </c>
      <c r="O1465">
        <v>10.3</v>
      </c>
      <c r="P1465">
        <v>4.4000000000000004</v>
      </c>
      <c r="Q1465">
        <v>3.6</v>
      </c>
      <c r="R1465">
        <v>3</v>
      </c>
      <c r="S1465">
        <v>3</v>
      </c>
      <c r="T1465">
        <v>4</v>
      </c>
      <c r="U1465" t="s">
        <v>30</v>
      </c>
      <c r="V1465">
        <v>3</v>
      </c>
      <c r="W1465">
        <v>1</v>
      </c>
    </row>
    <row r="1466" spans="1:23" x14ac:dyDescent="0.35">
      <c r="A1466" t="s">
        <v>576</v>
      </c>
      <c r="B1466" s="6">
        <v>44879</v>
      </c>
      <c r="D1466" t="s">
        <v>23</v>
      </c>
      <c r="E1466">
        <v>25</v>
      </c>
      <c r="F1466" t="s">
        <v>24</v>
      </c>
      <c r="G1466" t="s">
        <v>25</v>
      </c>
      <c r="H1466" t="s">
        <v>58</v>
      </c>
      <c r="I1466" t="s">
        <v>68</v>
      </c>
      <c r="J1466" t="s">
        <v>109</v>
      </c>
      <c r="K1466">
        <v>1</v>
      </c>
      <c r="L1466" t="s">
        <v>84</v>
      </c>
      <c r="M1466">
        <v>41000</v>
      </c>
      <c r="N1466">
        <v>9.6999999999999993</v>
      </c>
      <c r="O1466">
        <v>9.6999999999999993</v>
      </c>
      <c r="P1466">
        <v>3.1</v>
      </c>
      <c r="Q1466">
        <v>0</v>
      </c>
      <c r="R1466">
        <v>3</v>
      </c>
      <c r="S1466">
        <v>3</v>
      </c>
      <c r="T1466">
        <v>3</v>
      </c>
      <c r="U1466" t="s">
        <v>30</v>
      </c>
      <c r="V1466">
        <v>5</v>
      </c>
      <c r="W1466">
        <v>1</v>
      </c>
    </row>
    <row r="1467" spans="1:23" x14ac:dyDescent="0.35">
      <c r="A1467" t="s">
        <v>1514</v>
      </c>
      <c r="B1467" s="6">
        <v>45775</v>
      </c>
      <c r="C1467">
        <v>46017</v>
      </c>
      <c r="D1467" t="s">
        <v>30</v>
      </c>
      <c r="E1467">
        <v>21</v>
      </c>
      <c r="F1467" t="s">
        <v>36</v>
      </c>
      <c r="G1467" t="s">
        <v>42</v>
      </c>
      <c r="H1467" t="s">
        <v>32</v>
      </c>
      <c r="I1467" t="s">
        <v>68</v>
      </c>
      <c r="J1467" t="s">
        <v>102</v>
      </c>
      <c r="K1467">
        <v>1</v>
      </c>
      <c r="L1467" t="s">
        <v>29</v>
      </c>
      <c r="M1467">
        <v>47000</v>
      </c>
      <c r="N1467">
        <v>4.0999999999999996</v>
      </c>
      <c r="O1467">
        <v>5</v>
      </c>
      <c r="P1467">
        <v>0.7</v>
      </c>
      <c r="Q1467">
        <v>0</v>
      </c>
      <c r="R1467">
        <v>4</v>
      </c>
      <c r="S1467">
        <v>4</v>
      </c>
      <c r="T1467">
        <v>1</v>
      </c>
      <c r="U1467" t="s">
        <v>23</v>
      </c>
      <c r="V1467">
        <v>3</v>
      </c>
      <c r="W1467">
        <v>1</v>
      </c>
    </row>
    <row r="1468" spans="1:23" x14ac:dyDescent="0.35">
      <c r="A1468" t="s">
        <v>874</v>
      </c>
      <c r="B1468" s="6">
        <v>44324</v>
      </c>
      <c r="D1468" t="s">
        <v>23</v>
      </c>
      <c r="E1468">
        <v>36</v>
      </c>
      <c r="F1468" t="s">
        <v>24</v>
      </c>
      <c r="G1468" t="s">
        <v>37</v>
      </c>
      <c r="H1468" t="s">
        <v>54</v>
      </c>
      <c r="I1468" t="s">
        <v>45</v>
      </c>
      <c r="J1468" t="s">
        <v>164</v>
      </c>
      <c r="K1468">
        <v>2</v>
      </c>
      <c r="L1468" t="s">
        <v>84</v>
      </c>
      <c r="M1468">
        <v>39000</v>
      </c>
      <c r="N1468">
        <v>3</v>
      </c>
      <c r="O1468">
        <v>6.9</v>
      </c>
      <c r="P1468">
        <v>4.5999999999999996</v>
      </c>
      <c r="Q1468">
        <v>4.5</v>
      </c>
      <c r="R1468">
        <v>3</v>
      </c>
      <c r="S1468">
        <v>4</v>
      </c>
      <c r="T1468">
        <v>3</v>
      </c>
      <c r="U1468" t="s">
        <v>23</v>
      </c>
      <c r="V1468">
        <v>4</v>
      </c>
      <c r="W1468">
        <v>1</v>
      </c>
    </row>
    <row r="1469" spans="1:23" x14ac:dyDescent="0.35">
      <c r="A1469" t="s">
        <v>302</v>
      </c>
      <c r="B1469" s="6">
        <v>42061</v>
      </c>
      <c r="D1469" t="s">
        <v>23</v>
      </c>
      <c r="E1469">
        <v>38</v>
      </c>
      <c r="F1469" t="s">
        <v>24</v>
      </c>
      <c r="G1469" t="s">
        <v>25</v>
      </c>
      <c r="H1469" t="s">
        <v>54</v>
      </c>
      <c r="I1469" t="s">
        <v>55</v>
      </c>
      <c r="J1469" t="s">
        <v>88</v>
      </c>
      <c r="K1469">
        <v>1</v>
      </c>
      <c r="L1469" t="s">
        <v>84</v>
      </c>
      <c r="M1469">
        <v>34000</v>
      </c>
      <c r="N1469">
        <v>20.7</v>
      </c>
      <c r="O1469">
        <v>17.8</v>
      </c>
      <c r="P1469">
        <v>10.8</v>
      </c>
      <c r="Q1469">
        <v>4.3</v>
      </c>
      <c r="R1469">
        <v>3</v>
      </c>
      <c r="S1469">
        <v>3</v>
      </c>
      <c r="T1469">
        <v>3</v>
      </c>
      <c r="U1469" t="s">
        <v>23</v>
      </c>
      <c r="V1469">
        <v>3</v>
      </c>
      <c r="W1469">
        <v>1</v>
      </c>
    </row>
    <row r="1470" spans="1:23" x14ac:dyDescent="0.35">
      <c r="A1470" t="s">
        <v>1401</v>
      </c>
      <c r="B1470" s="6">
        <v>44682</v>
      </c>
      <c r="D1470" t="s">
        <v>23</v>
      </c>
      <c r="E1470">
        <v>27</v>
      </c>
      <c r="F1470" t="s">
        <v>24</v>
      </c>
      <c r="G1470" t="s">
        <v>25</v>
      </c>
      <c r="H1470" t="s">
        <v>32</v>
      </c>
      <c r="I1470" t="s">
        <v>68</v>
      </c>
      <c r="J1470" t="s">
        <v>102</v>
      </c>
      <c r="K1470">
        <v>1</v>
      </c>
      <c r="L1470" t="s">
        <v>50</v>
      </c>
      <c r="M1470">
        <v>29000</v>
      </c>
      <c r="N1470">
        <v>10</v>
      </c>
      <c r="O1470">
        <v>7.1</v>
      </c>
      <c r="P1470">
        <v>3.7</v>
      </c>
      <c r="Q1470">
        <v>0.2</v>
      </c>
      <c r="R1470">
        <v>1</v>
      </c>
      <c r="S1470">
        <v>3</v>
      </c>
      <c r="T1470">
        <v>3</v>
      </c>
      <c r="U1470" t="s">
        <v>23</v>
      </c>
      <c r="V1470">
        <v>3</v>
      </c>
      <c r="W1470">
        <v>1</v>
      </c>
    </row>
    <row r="1471" spans="1:23" x14ac:dyDescent="0.35">
      <c r="A1471" t="s">
        <v>1177</v>
      </c>
      <c r="B1471" s="6">
        <v>43284</v>
      </c>
      <c r="D1471" t="s">
        <v>23</v>
      </c>
      <c r="E1471">
        <v>37</v>
      </c>
      <c r="F1471" t="s">
        <v>24</v>
      </c>
      <c r="G1471" t="s">
        <v>42</v>
      </c>
      <c r="H1471" t="s">
        <v>54</v>
      </c>
      <c r="I1471" t="s">
        <v>45</v>
      </c>
      <c r="J1471" t="s">
        <v>164</v>
      </c>
      <c r="K1471">
        <v>3</v>
      </c>
      <c r="L1471" t="s">
        <v>50</v>
      </c>
      <c r="M1471">
        <v>63000</v>
      </c>
      <c r="N1471">
        <v>3.5</v>
      </c>
      <c r="O1471">
        <v>14.6</v>
      </c>
      <c r="P1471">
        <v>7.5</v>
      </c>
      <c r="Q1471">
        <v>1.7</v>
      </c>
      <c r="R1471">
        <v>3</v>
      </c>
      <c r="S1471">
        <v>2</v>
      </c>
      <c r="T1471">
        <v>2</v>
      </c>
      <c r="U1471" t="s">
        <v>23</v>
      </c>
      <c r="V1471">
        <v>4</v>
      </c>
      <c r="W1471">
        <v>1</v>
      </c>
    </row>
    <row r="1472" spans="1:23" x14ac:dyDescent="0.35">
      <c r="A1472" t="s">
        <v>154</v>
      </c>
      <c r="B1472" s="6">
        <v>45776</v>
      </c>
      <c r="D1472" t="s">
        <v>23</v>
      </c>
      <c r="E1472">
        <v>21</v>
      </c>
      <c r="F1472" t="s">
        <v>24</v>
      </c>
      <c r="G1472" t="s">
        <v>42</v>
      </c>
      <c r="H1472" t="s">
        <v>54</v>
      </c>
      <c r="I1472" t="s">
        <v>38</v>
      </c>
      <c r="J1472" t="s">
        <v>39</v>
      </c>
      <c r="K1472">
        <v>1</v>
      </c>
      <c r="L1472" t="s">
        <v>29</v>
      </c>
      <c r="M1472">
        <v>33000</v>
      </c>
      <c r="N1472">
        <v>7.8</v>
      </c>
      <c r="O1472">
        <v>7.1</v>
      </c>
      <c r="P1472">
        <v>0.7</v>
      </c>
      <c r="Q1472">
        <v>0</v>
      </c>
      <c r="R1472">
        <v>3</v>
      </c>
      <c r="S1472">
        <v>3</v>
      </c>
      <c r="T1472">
        <v>2</v>
      </c>
      <c r="U1472" t="s">
        <v>23</v>
      </c>
      <c r="V1472">
        <v>4</v>
      </c>
      <c r="W1472">
        <v>1</v>
      </c>
    </row>
    <row r="1473" spans="1:23" x14ac:dyDescent="0.35">
      <c r="A1473" t="s">
        <v>824</v>
      </c>
      <c r="B1473" s="6">
        <v>44573</v>
      </c>
      <c r="C1473">
        <v>45902</v>
      </c>
      <c r="D1473" t="s">
        <v>30</v>
      </c>
      <c r="E1473">
        <v>42</v>
      </c>
      <c r="F1473" t="s">
        <v>24</v>
      </c>
      <c r="G1473" t="s">
        <v>25</v>
      </c>
      <c r="H1473" t="s">
        <v>32</v>
      </c>
      <c r="I1473" t="s">
        <v>45</v>
      </c>
      <c r="J1473" t="s">
        <v>97</v>
      </c>
      <c r="K1473">
        <v>2</v>
      </c>
      <c r="L1473" t="s">
        <v>29</v>
      </c>
      <c r="M1473">
        <v>61000</v>
      </c>
      <c r="N1473">
        <v>7.7</v>
      </c>
      <c r="O1473">
        <v>11.3</v>
      </c>
      <c r="P1473">
        <v>3.6</v>
      </c>
      <c r="Q1473">
        <v>1.3</v>
      </c>
      <c r="R1473">
        <v>3</v>
      </c>
      <c r="S1473">
        <v>3</v>
      </c>
      <c r="T1473">
        <v>3</v>
      </c>
      <c r="U1473" t="s">
        <v>23</v>
      </c>
      <c r="V1473">
        <v>4</v>
      </c>
      <c r="W1473">
        <v>1</v>
      </c>
    </row>
    <row r="1474" spans="1:23" x14ac:dyDescent="0.35">
      <c r="A1474" t="s">
        <v>1235</v>
      </c>
      <c r="B1474" s="6">
        <v>45711</v>
      </c>
      <c r="D1474" t="s">
        <v>23</v>
      </c>
      <c r="E1474">
        <v>29</v>
      </c>
      <c r="F1474" t="s">
        <v>36</v>
      </c>
      <c r="G1474" t="s">
        <v>42</v>
      </c>
      <c r="H1474" t="s">
        <v>32</v>
      </c>
      <c r="I1474" t="s">
        <v>55</v>
      </c>
      <c r="J1474" t="s">
        <v>56</v>
      </c>
      <c r="K1474">
        <v>2</v>
      </c>
      <c r="L1474" t="s">
        <v>34</v>
      </c>
      <c r="M1474">
        <v>56000</v>
      </c>
      <c r="N1474">
        <v>6.4</v>
      </c>
      <c r="O1474">
        <v>3.6</v>
      </c>
      <c r="P1474">
        <v>0.9</v>
      </c>
      <c r="Q1474">
        <v>0</v>
      </c>
      <c r="R1474">
        <v>1</v>
      </c>
      <c r="S1474">
        <v>3</v>
      </c>
      <c r="T1474">
        <v>4</v>
      </c>
      <c r="U1474" t="s">
        <v>23</v>
      </c>
      <c r="V1474">
        <v>3</v>
      </c>
      <c r="W1474">
        <v>1</v>
      </c>
    </row>
    <row r="1475" spans="1:23" x14ac:dyDescent="0.35">
      <c r="A1475" t="s">
        <v>1200</v>
      </c>
      <c r="B1475" s="6">
        <v>43778</v>
      </c>
      <c r="D1475" t="s">
        <v>23</v>
      </c>
      <c r="E1475">
        <v>28</v>
      </c>
      <c r="F1475" t="s">
        <v>36</v>
      </c>
      <c r="G1475" t="s">
        <v>42</v>
      </c>
      <c r="H1475" t="s">
        <v>54</v>
      </c>
      <c r="I1475" t="s">
        <v>55</v>
      </c>
      <c r="J1475" t="s">
        <v>179</v>
      </c>
      <c r="K1475">
        <v>2</v>
      </c>
      <c r="L1475" t="s">
        <v>50</v>
      </c>
      <c r="M1475">
        <v>58000</v>
      </c>
      <c r="N1475">
        <v>6.5</v>
      </c>
      <c r="O1475">
        <v>6.3</v>
      </c>
      <c r="P1475">
        <v>6.1</v>
      </c>
      <c r="Q1475">
        <v>4.5</v>
      </c>
      <c r="R1475">
        <v>1</v>
      </c>
      <c r="S1475">
        <v>2</v>
      </c>
      <c r="T1475">
        <v>3</v>
      </c>
      <c r="U1475" t="s">
        <v>23</v>
      </c>
      <c r="V1475">
        <v>1</v>
      </c>
      <c r="W1475">
        <v>1</v>
      </c>
    </row>
    <row r="1476" spans="1:23" x14ac:dyDescent="0.35">
      <c r="A1476" t="s">
        <v>1078</v>
      </c>
      <c r="B1476" s="6">
        <v>45706</v>
      </c>
      <c r="D1476" t="s">
        <v>23</v>
      </c>
      <c r="E1476">
        <v>36</v>
      </c>
      <c r="F1476" t="s">
        <v>62</v>
      </c>
      <c r="G1476" t="s">
        <v>25</v>
      </c>
      <c r="H1476" t="s">
        <v>26</v>
      </c>
      <c r="I1476" t="s">
        <v>55</v>
      </c>
      <c r="J1476" t="s">
        <v>80</v>
      </c>
      <c r="K1476">
        <v>3</v>
      </c>
      <c r="L1476" t="s">
        <v>29</v>
      </c>
      <c r="M1476">
        <v>81000</v>
      </c>
      <c r="N1476">
        <v>14.1</v>
      </c>
      <c r="O1476">
        <v>4</v>
      </c>
      <c r="P1476">
        <v>0.9</v>
      </c>
      <c r="Q1476">
        <v>0</v>
      </c>
      <c r="R1476">
        <v>1</v>
      </c>
      <c r="S1476">
        <v>4</v>
      </c>
      <c r="T1476">
        <v>3</v>
      </c>
      <c r="U1476" t="s">
        <v>23</v>
      </c>
      <c r="V1476">
        <v>2</v>
      </c>
      <c r="W1476">
        <v>1</v>
      </c>
    </row>
    <row r="1477" spans="1:23" x14ac:dyDescent="0.35">
      <c r="A1477" t="s">
        <v>917</v>
      </c>
      <c r="B1477" s="6">
        <v>45748</v>
      </c>
      <c r="C1477">
        <v>45863</v>
      </c>
      <c r="D1477" t="s">
        <v>30</v>
      </c>
      <c r="E1477">
        <v>22</v>
      </c>
      <c r="F1477" t="s">
        <v>62</v>
      </c>
      <c r="G1477" t="s">
        <v>37</v>
      </c>
      <c r="H1477" t="s">
        <v>32</v>
      </c>
      <c r="I1477" t="s">
        <v>45</v>
      </c>
      <c r="J1477" t="s">
        <v>46</v>
      </c>
      <c r="K1477">
        <v>1</v>
      </c>
      <c r="L1477" t="s">
        <v>84</v>
      </c>
      <c r="M1477">
        <v>35000</v>
      </c>
      <c r="N1477">
        <v>5.7</v>
      </c>
      <c r="O1477">
        <v>5</v>
      </c>
      <c r="P1477">
        <v>0.3</v>
      </c>
      <c r="Q1477">
        <v>0</v>
      </c>
      <c r="R1477">
        <v>3</v>
      </c>
      <c r="S1477">
        <v>4</v>
      </c>
      <c r="T1477">
        <v>1</v>
      </c>
      <c r="U1477" t="s">
        <v>30</v>
      </c>
      <c r="V1477">
        <v>4</v>
      </c>
      <c r="W1477">
        <v>1</v>
      </c>
    </row>
    <row r="1478" spans="1:23" x14ac:dyDescent="0.35">
      <c r="A1478" t="s">
        <v>142</v>
      </c>
      <c r="B1478" s="6">
        <v>45757</v>
      </c>
      <c r="D1478" t="s">
        <v>23</v>
      </c>
      <c r="E1478">
        <v>21</v>
      </c>
      <c r="F1478" t="s">
        <v>24</v>
      </c>
      <c r="G1478" t="s">
        <v>25</v>
      </c>
      <c r="H1478" t="s">
        <v>32</v>
      </c>
      <c r="I1478" t="s">
        <v>55</v>
      </c>
      <c r="J1478" t="s">
        <v>56</v>
      </c>
      <c r="K1478">
        <v>1</v>
      </c>
      <c r="L1478" t="s">
        <v>34</v>
      </c>
      <c r="M1478">
        <v>52000</v>
      </c>
      <c r="N1478">
        <v>11.7</v>
      </c>
      <c r="O1478">
        <v>4.4000000000000004</v>
      </c>
      <c r="P1478">
        <v>0.7</v>
      </c>
      <c r="Q1478">
        <v>0</v>
      </c>
      <c r="R1478">
        <v>3</v>
      </c>
      <c r="S1478">
        <v>3</v>
      </c>
      <c r="T1478">
        <v>3</v>
      </c>
      <c r="U1478" t="s">
        <v>23</v>
      </c>
      <c r="V1478">
        <v>3</v>
      </c>
      <c r="W1478">
        <v>1</v>
      </c>
    </row>
    <row r="1479" spans="1:23" x14ac:dyDescent="0.35">
      <c r="A1479" t="s">
        <v>1501</v>
      </c>
      <c r="B1479" s="6">
        <v>45298</v>
      </c>
      <c r="D1479" t="s">
        <v>23</v>
      </c>
      <c r="E1479">
        <v>23</v>
      </c>
      <c r="F1479" t="s">
        <v>36</v>
      </c>
      <c r="G1479" t="s">
        <v>42</v>
      </c>
      <c r="H1479" t="s">
        <v>32</v>
      </c>
      <c r="I1479" t="s">
        <v>38</v>
      </c>
      <c r="J1479" t="s">
        <v>118</v>
      </c>
      <c r="K1479">
        <v>1</v>
      </c>
      <c r="L1479" t="s">
        <v>50</v>
      </c>
      <c r="M1479">
        <v>53000</v>
      </c>
      <c r="N1479">
        <v>6.1</v>
      </c>
      <c r="O1479">
        <v>5.7</v>
      </c>
      <c r="P1479">
        <v>2</v>
      </c>
      <c r="Q1479">
        <v>1.8</v>
      </c>
      <c r="R1479">
        <v>1</v>
      </c>
      <c r="S1479">
        <v>4</v>
      </c>
      <c r="T1479">
        <v>4</v>
      </c>
      <c r="U1479" t="s">
        <v>23</v>
      </c>
      <c r="V1479">
        <v>4</v>
      </c>
      <c r="W1479">
        <v>1</v>
      </c>
    </row>
    <row r="1480" spans="1:23" x14ac:dyDescent="0.35">
      <c r="A1480" t="s">
        <v>1343</v>
      </c>
      <c r="B1480" s="6">
        <v>45722</v>
      </c>
      <c r="C1480">
        <v>45866</v>
      </c>
      <c r="D1480" t="s">
        <v>30</v>
      </c>
      <c r="E1480">
        <v>21</v>
      </c>
      <c r="F1480" t="s">
        <v>62</v>
      </c>
      <c r="G1480" t="s">
        <v>25</v>
      </c>
      <c r="H1480" t="s">
        <v>54</v>
      </c>
      <c r="I1480" t="s">
        <v>68</v>
      </c>
      <c r="J1480" t="s">
        <v>69</v>
      </c>
      <c r="K1480">
        <v>1</v>
      </c>
      <c r="L1480" t="s">
        <v>84</v>
      </c>
      <c r="M1480">
        <v>30000</v>
      </c>
      <c r="N1480">
        <v>8.1</v>
      </c>
      <c r="O1480">
        <v>2.2000000000000002</v>
      </c>
      <c r="P1480">
        <v>0.4</v>
      </c>
      <c r="Q1480">
        <v>0</v>
      </c>
      <c r="R1480">
        <v>3</v>
      </c>
      <c r="S1480">
        <v>3</v>
      </c>
      <c r="T1480">
        <v>3</v>
      </c>
      <c r="U1480" t="s">
        <v>23</v>
      </c>
      <c r="V1480">
        <v>2</v>
      </c>
      <c r="W1480">
        <v>1</v>
      </c>
    </row>
    <row r="1481" spans="1:23" x14ac:dyDescent="0.35">
      <c r="A1481" t="s">
        <v>622</v>
      </c>
      <c r="B1481" s="6">
        <v>45391</v>
      </c>
      <c r="D1481" t="s">
        <v>23</v>
      </c>
      <c r="E1481">
        <v>23</v>
      </c>
      <c r="F1481" t="s">
        <v>36</v>
      </c>
      <c r="G1481" t="s">
        <v>37</v>
      </c>
      <c r="H1481" t="s">
        <v>26</v>
      </c>
      <c r="I1481" t="s">
        <v>45</v>
      </c>
      <c r="J1481" t="s">
        <v>77</v>
      </c>
      <c r="K1481">
        <v>1</v>
      </c>
      <c r="L1481" t="s">
        <v>34</v>
      </c>
      <c r="M1481">
        <v>22000</v>
      </c>
      <c r="N1481">
        <v>10.8</v>
      </c>
      <c r="O1481">
        <v>4.4000000000000004</v>
      </c>
      <c r="P1481">
        <v>1.7</v>
      </c>
      <c r="Q1481">
        <v>1.7</v>
      </c>
      <c r="R1481">
        <v>4</v>
      </c>
      <c r="S1481">
        <v>2</v>
      </c>
      <c r="T1481">
        <v>2</v>
      </c>
      <c r="U1481" t="s">
        <v>23</v>
      </c>
      <c r="V1481">
        <v>4</v>
      </c>
      <c r="W1481">
        <v>1</v>
      </c>
    </row>
    <row r="1482" spans="1:23" x14ac:dyDescent="0.35">
      <c r="A1482" t="s">
        <v>835</v>
      </c>
      <c r="B1482" s="6">
        <v>45880</v>
      </c>
      <c r="C1482">
        <v>45992</v>
      </c>
      <c r="D1482" t="s">
        <v>30</v>
      </c>
      <c r="E1482">
        <v>22</v>
      </c>
      <c r="F1482" t="s">
        <v>24</v>
      </c>
      <c r="G1482" t="s">
        <v>42</v>
      </c>
      <c r="H1482" t="s">
        <v>54</v>
      </c>
      <c r="I1482" t="s">
        <v>27</v>
      </c>
      <c r="J1482" t="s">
        <v>33</v>
      </c>
      <c r="K1482">
        <v>1</v>
      </c>
      <c r="L1482" t="s">
        <v>29</v>
      </c>
      <c r="M1482">
        <v>42000</v>
      </c>
      <c r="N1482">
        <v>9.1999999999999993</v>
      </c>
      <c r="O1482">
        <v>1.1000000000000001</v>
      </c>
      <c r="P1482">
        <v>0.3</v>
      </c>
      <c r="Q1482">
        <v>0</v>
      </c>
      <c r="R1482">
        <v>3</v>
      </c>
      <c r="S1482">
        <v>2</v>
      </c>
      <c r="T1482">
        <v>3</v>
      </c>
      <c r="U1482" t="s">
        <v>23</v>
      </c>
      <c r="V1482">
        <v>1</v>
      </c>
      <c r="W1482">
        <v>1</v>
      </c>
    </row>
    <row r="1483" spans="1:23" x14ac:dyDescent="0.35">
      <c r="A1483" t="s">
        <v>1515</v>
      </c>
      <c r="B1483" s="6">
        <v>44177</v>
      </c>
      <c r="D1483" t="s">
        <v>23</v>
      </c>
      <c r="E1483">
        <v>33</v>
      </c>
      <c r="F1483" t="s">
        <v>24</v>
      </c>
      <c r="G1483" t="s">
        <v>42</v>
      </c>
      <c r="H1483" t="s">
        <v>32</v>
      </c>
      <c r="I1483" t="s">
        <v>55</v>
      </c>
      <c r="J1483" t="s">
        <v>80</v>
      </c>
      <c r="K1483">
        <v>4</v>
      </c>
      <c r="L1483" t="s">
        <v>29</v>
      </c>
      <c r="M1483">
        <v>106000</v>
      </c>
      <c r="N1483">
        <v>8.4</v>
      </c>
      <c r="O1483">
        <v>8</v>
      </c>
      <c r="P1483">
        <v>5.0999999999999996</v>
      </c>
      <c r="Q1483">
        <v>1.9</v>
      </c>
      <c r="R1483">
        <v>3</v>
      </c>
      <c r="S1483">
        <v>2</v>
      </c>
      <c r="T1483">
        <v>4</v>
      </c>
      <c r="U1483" t="s">
        <v>30</v>
      </c>
      <c r="V1483">
        <v>4</v>
      </c>
      <c r="W1483">
        <v>1</v>
      </c>
    </row>
    <row r="1484" spans="1:23" x14ac:dyDescent="0.35">
      <c r="A1484" t="s">
        <v>1402</v>
      </c>
      <c r="B1484" s="6">
        <v>44877</v>
      </c>
      <c r="C1484">
        <v>45927</v>
      </c>
      <c r="D1484" t="s">
        <v>30</v>
      </c>
      <c r="E1484">
        <v>27</v>
      </c>
      <c r="F1484" t="s">
        <v>24</v>
      </c>
      <c r="G1484" t="s">
        <v>25</v>
      </c>
      <c r="H1484" t="s">
        <v>58</v>
      </c>
      <c r="I1484" t="s">
        <v>45</v>
      </c>
      <c r="J1484" t="s">
        <v>164</v>
      </c>
      <c r="K1484">
        <v>1</v>
      </c>
      <c r="L1484" t="s">
        <v>84</v>
      </c>
      <c r="M1484">
        <v>28000</v>
      </c>
      <c r="N1484">
        <v>8.3000000000000007</v>
      </c>
      <c r="O1484">
        <v>6.4</v>
      </c>
      <c r="P1484">
        <v>2.9</v>
      </c>
      <c r="Q1484">
        <v>0.2</v>
      </c>
      <c r="R1484">
        <v>3</v>
      </c>
      <c r="S1484">
        <v>2</v>
      </c>
      <c r="T1484">
        <v>2</v>
      </c>
      <c r="U1484" t="s">
        <v>23</v>
      </c>
      <c r="V1484">
        <v>2</v>
      </c>
      <c r="W1484">
        <v>1</v>
      </c>
    </row>
    <row r="1485" spans="1:23" x14ac:dyDescent="0.35">
      <c r="A1485" t="s">
        <v>573</v>
      </c>
      <c r="B1485" s="6">
        <v>44309</v>
      </c>
      <c r="D1485" t="s">
        <v>23</v>
      </c>
      <c r="E1485">
        <v>45</v>
      </c>
      <c r="F1485" t="s">
        <v>36</v>
      </c>
      <c r="G1485" t="s">
        <v>25</v>
      </c>
      <c r="H1485" t="s">
        <v>54</v>
      </c>
      <c r="I1485" t="s">
        <v>48</v>
      </c>
      <c r="J1485" t="s">
        <v>129</v>
      </c>
      <c r="K1485">
        <v>1</v>
      </c>
      <c r="L1485" t="s">
        <v>50</v>
      </c>
      <c r="M1485">
        <v>27000</v>
      </c>
      <c r="N1485">
        <v>11</v>
      </c>
      <c r="O1485">
        <v>10.1</v>
      </c>
      <c r="P1485">
        <v>4.7</v>
      </c>
      <c r="Q1485">
        <v>1.5</v>
      </c>
      <c r="R1485">
        <v>4</v>
      </c>
      <c r="S1485">
        <v>4</v>
      </c>
      <c r="T1485">
        <v>4</v>
      </c>
      <c r="U1485" t="s">
        <v>30</v>
      </c>
      <c r="V1485">
        <v>4</v>
      </c>
      <c r="W1485">
        <v>1</v>
      </c>
    </row>
    <row r="1486" spans="1:23" x14ac:dyDescent="0.35">
      <c r="A1486" t="s">
        <v>1126</v>
      </c>
      <c r="B1486" s="6">
        <v>41928</v>
      </c>
      <c r="D1486" t="s">
        <v>23</v>
      </c>
      <c r="E1486">
        <v>42</v>
      </c>
      <c r="F1486" t="s">
        <v>36</v>
      </c>
      <c r="G1486" t="s">
        <v>37</v>
      </c>
      <c r="H1486" t="s">
        <v>32</v>
      </c>
      <c r="I1486" t="s">
        <v>27</v>
      </c>
      <c r="J1486" t="s">
        <v>43</v>
      </c>
      <c r="K1486">
        <v>3</v>
      </c>
      <c r="L1486" t="s">
        <v>40</v>
      </c>
      <c r="M1486">
        <v>77000</v>
      </c>
      <c r="N1486">
        <v>8.1</v>
      </c>
      <c r="O1486">
        <v>17.2</v>
      </c>
      <c r="P1486">
        <v>11.2</v>
      </c>
      <c r="Q1486">
        <v>1.8</v>
      </c>
      <c r="R1486">
        <v>3</v>
      </c>
      <c r="S1486">
        <v>3</v>
      </c>
      <c r="T1486">
        <v>3</v>
      </c>
      <c r="U1486" t="s">
        <v>23</v>
      </c>
      <c r="V1486">
        <v>3</v>
      </c>
      <c r="W1486">
        <v>1</v>
      </c>
    </row>
    <row r="1487" spans="1:23" x14ac:dyDescent="0.35">
      <c r="A1487" t="s">
        <v>1217</v>
      </c>
      <c r="B1487" s="6">
        <v>43047</v>
      </c>
      <c r="C1487">
        <v>46009</v>
      </c>
      <c r="D1487" t="s">
        <v>30</v>
      </c>
      <c r="E1487">
        <v>39</v>
      </c>
      <c r="F1487" t="s">
        <v>36</v>
      </c>
      <c r="G1487" t="s">
        <v>25</v>
      </c>
      <c r="H1487" t="s">
        <v>26</v>
      </c>
      <c r="I1487" t="s">
        <v>68</v>
      </c>
      <c r="J1487" t="s">
        <v>121</v>
      </c>
      <c r="K1487">
        <v>2</v>
      </c>
      <c r="L1487" t="s">
        <v>66</v>
      </c>
      <c r="M1487">
        <v>36000</v>
      </c>
      <c r="N1487">
        <v>11.6</v>
      </c>
      <c r="O1487">
        <v>11.9</v>
      </c>
      <c r="P1487">
        <v>8.1</v>
      </c>
      <c r="Q1487">
        <v>4.5999999999999996</v>
      </c>
      <c r="R1487">
        <v>3</v>
      </c>
      <c r="S1487">
        <v>4</v>
      </c>
      <c r="T1487">
        <v>4</v>
      </c>
      <c r="U1487" t="s">
        <v>23</v>
      </c>
      <c r="V1487">
        <v>4</v>
      </c>
      <c r="W1487">
        <v>1</v>
      </c>
    </row>
    <row r="1488" spans="1:23" x14ac:dyDescent="0.35">
      <c r="A1488" t="s">
        <v>108</v>
      </c>
      <c r="B1488" s="6">
        <v>42470</v>
      </c>
      <c r="C1488">
        <v>45842</v>
      </c>
      <c r="D1488" t="s">
        <v>30</v>
      </c>
      <c r="E1488">
        <v>42</v>
      </c>
      <c r="F1488" t="s">
        <v>62</v>
      </c>
      <c r="G1488" t="s">
        <v>25</v>
      </c>
      <c r="H1488" t="s">
        <v>54</v>
      </c>
      <c r="I1488" t="s">
        <v>68</v>
      </c>
      <c r="J1488" t="s">
        <v>109</v>
      </c>
      <c r="K1488">
        <v>4</v>
      </c>
      <c r="L1488" t="s">
        <v>40</v>
      </c>
      <c r="M1488">
        <v>112000</v>
      </c>
      <c r="N1488">
        <v>11.6</v>
      </c>
      <c r="O1488">
        <v>12.7</v>
      </c>
      <c r="P1488">
        <v>9.1999999999999993</v>
      </c>
      <c r="Q1488">
        <v>1.5</v>
      </c>
      <c r="R1488">
        <v>2</v>
      </c>
      <c r="S1488">
        <v>2</v>
      </c>
      <c r="T1488">
        <v>4</v>
      </c>
      <c r="U1488" t="s">
        <v>30</v>
      </c>
      <c r="V1488">
        <v>4</v>
      </c>
      <c r="W1488">
        <v>1</v>
      </c>
    </row>
    <row r="1489" spans="1:23" x14ac:dyDescent="0.35">
      <c r="A1489" t="s">
        <v>973</v>
      </c>
      <c r="B1489" s="6">
        <v>45859</v>
      </c>
      <c r="D1489" t="s">
        <v>23</v>
      </c>
      <c r="E1489">
        <v>21</v>
      </c>
      <c r="F1489" t="s">
        <v>36</v>
      </c>
      <c r="G1489" t="s">
        <v>42</v>
      </c>
      <c r="H1489" t="s">
        <v>54</v>
      </c>
      <c r="I1489" t="s">
        <v>59</v>
      </c>
      <c r="J1489" t="s">
        <v>86</v>
      </c>
      <c r="K1489">
        <v>1</v>
      </c>
      <c r="L1489" t="s">
        <v>66</v>
      </c>
      <c r="M1489">
        <v>25000</v>
      </c>
      <c r="N1489">
        <v>11.7</v>
      </c>
      <c r="O1489">
        <v>1.9</v>
      </c>
      <c r="P1489">
        <v>0.4</v>
      </c>
      <c r="Q1489">
        <v>0</v>
      </c>
      <c r="R1489">
        <v>3</v>
      </c>
      <c r="S1489">
        <v>2</v>
      </c>
      <c r="T1489">
        <v>2</v>
      </c>
      <c r="U1489" t="s">
        <v>23</v>
      </c>
      <c r="V1489">
        <v>2</v>
      </c>
      <c r="W1489">
        <v>1</v>
      </c>
    </row>
    <row r="1490" spans="1:23" x14ac:dyDescent="0.35">
      <c r="A1490" t="s">
        <v>85</v>
      </c>
      <c r="B1490" s="6">
        <v>44036</v>
      </c>
      <c r="D1490" t="s">
        <v>23</v>
      </c>
      <c r="E1490">
        <v>41</v>
      </c>
      <c r="F1490" t="s">
        <v>62</v>
      </c>
      <c r="G1490" t="s">
        <v>37</v>
      </c>
      <c r="H1490" t="s">
        <v>26</v>
      </c>
      <c r="I1490" t="s">
        <v>59</v>
      </c>
      <c r="J1490" t="s">
        <v>86</v>
      </c>
      <c r="K1490">
        <v>2</v>
      </c>
      <c r="L1490" t="s">
        <v>66</v>
      </c>
      <c r="M1490">
        <v>55000</v>
      </c>
      <c r="N1490">
        <v>5.0999999999999996</v>
      </c>
      <c r="O1490">
        <v>7.2</v>
      </c>
      <c r="P1490">
        <v>5.4</v>
      </c>
      <c r="Q1490">
        <v>2.9</v>
      </c>
      <c r="R1490">
        <v>3</v>
      </c>
      <c r="S1490">
        <v>3</v>
      </c>
      <c r="T1490">
        <v>2</v>
      </c>
      <c r="U1490" t="s">
        <v>23</v>
      </c>
      <c r="V1490">
        <v>2</v>
      </c>
      <c r="W1490">
        <v>1</v>
      </c>
    </row>
    <row r="1491" spans="1:23" x14ac:dyDescent="0.35">
      <c r="A1491" t="s">
        <v>335</v>
      </c>
      <c r="B1491" s="6">
        <v>45912</v>
      </c>
      <c r="D1491" t="s">
        <v>23</v>
      </c>
      <c r="E1491">
        <v>34</v>
      </c>
      <c r="F1491" t="s">
        <v>24</v>
      </c>
      <c r="G1491" t="s">
        <v>25</v>
      </c>
      <c r="H1491" t="s">
        <v>32</v>
      </c>
      <c r="I1491" t="s">
        <v>38</v>
      </c>
      <c r="J1491" t="s">
        <v>39</v>
      </c>
      <c r="K1491">
        <v>3</v>
      </c>
      <c r="L1491" t="s">
        <v>66</v>
      </c>
      <c r="M1491">
        <v>66000</v>
      </c>
      <c r="N1491">
        <v>15.7</v>
      </c>
      <c r="O1491">
        <v>1.7</v>
      </c>
      <c r="P1491">
        <v>0.3</v>
      </c>
      <c r="Q1491">
        <v>0</v>
      </c>
      <c r="R1491">
        <v>2</v>
      </c>
      <c r="S1491">
        <v>2</v>
      </c>
      <c r="T1491">
        <v>4</v>
      </c>
      <c r="U1491" t="s">
        <v>23</v>
      </c>
      <c r="V1491">
        <v>3</v>
      </c>
      <c r="W1491">
        <v>1</v>
      </c>
    </row>
    <row r="1492" spans="1:23" x14ac:dyDescent="0.35">
      <c r="A1492" t="s">
        <v>1422</v>
      </c>
      <c r="B1492" s="6">
        <v>44541</v>
      </c>
      <c r="D1492" t="s">
        <v>23</v>
      </c>
      <c r="E1492">
        <v>42</v>
      </c>
      <c r="F1492" t="s">
        <v>62</v>
      </c>
      <c r="G1492" t="s">
        <v>25</v>
      </c>
      <c r="H1492" t="s">
        <v>26</v>
      </c>
      <c r="I1492" t="s">
        <v>38</v>
      </c>
      <c r="J1492" t="s">
        <v>52</v>
      </c>
      <c r="K1492">
        <v>2</v>
      </c>
      <c r="L1492" t="s">
        <v>40</v>
      </c>
      <c r="M1492">
        <v>45000</v>
      </c>
      <c r="N1492">
        <v>14</v>
      </c>
      <c r="O1492">
        <v>5.0999999999999996</v>
      </c>
      <c r="P1492">
        <v>4.0999999999999996</v>
      </c>
      <c r="Q1492">
        <v>1.6</v>
      </c>
      <c r="R1492">
        <v>4</v>
      </c>
      <c r="S1492">
        <v>4</v>
      </c>
      <c r="T1492">
        <v>3</v>
      </c>
      <c r="U1492" t="s">
        <v>30</v>
      </c>
      <c r="V1492">
        <v>3</v>
      </c>
      <c r="W1492">
        <v>1</v>
      </c>
    </row>
    <row r="1493" spans="1:23" x14ac:dyDescent="0.35">
      <c r="A1493" t="s">
        <v>168</v>
      </c>
      <c r="B1493" s="6">
        <v>45745</v>
      </c>
      <c r="D1493" t="s">
        <v>23</v>
      </c>
      <c r="E1493">
        <v>24</v>
      </c>
      <c r="F1493" t="s">
        <v>62</v>
      </c>
      <c r="G1493" t="s">
        <v>25</v>
      </c>
      <c r="H1493" t="s">
        <v>32</v>
      </c>
      <c r="I1493" t="s">
        <v>27</v>
      </c>
      <c r="J1493" t="s">
        <v>95</v>
      </c>
      <c r="K1493">
        <v>1</v>
      </c>
      <c r="L1493" t="s">
        <v>40</v>
      </c>
      <c r="M1493">
        <v>39000</v>
      </c>
      <c r="N1493">
        <v>9</v>
      </c>
      <c r="O1493">
        <v>8.6</v>
      </c>
      <c r="P1493">
        <v>0.8</v>
      </c>
      <c r="Q1493">
        <v>0</v>
      </c>
      <c r="R1493">
        <v>4</v>
      </c>
      <c r="S1493">
        <v>2</v>
      </c>
      <c r="T1493">
        <v>4</v>
      </c>
      <c r="U1493" t="s">
        <v>30</v>
      </c>
      <c r="V1493">
        <v>3</v>
      </c>
      <c r="W1493">
        <v>1</v>
      </c>
    </row>
    <row r="1494" spans="1:23" x14ac:dyDescent="0.35">
      <c r="A1494" t="s">
        <v>840</v>
      </c>
      <c r="B1494" s="6">
        <v>44980</v>
      </c>
      <c r="D1494" t="s">
        <v>23</v>
      </c>
      <c r="E1494">
        <v>36</v>
      </c>
      <c r="F1494" t="s">
        <v>24</v>
      </c>
      <c r="G1494" t="s">
        <v>42</v>
      </c>
      <c r="H1494" t="s">
        <v>26</v>
      </c>
      <c r="I1494" t="s">
        <v>48</v>
      </c>
      <c r="J1494" t="s">
        <v>201</v>
      </c>
      <c r="K1494">
        <v>3</v>
      </c>
      <c r="L1494" t="s">
        <v>40</v>
      </c>
      <c r="M1494">
        <v>88000</v>
      </c>
      <c r="N1494">
        <v>6.6</v>
      </c>
      <c r="O1494">
        <v>8.5</v>
      </c>
      <c r="P1494">
        <v>2.9</v>
      </c>
      <c r="Q1494">
        <v>0.1</v>
      </c>
      <c r="R1494">
        <v>3</v>
      </c>
      <c r="S1494">
        <v>3</v>
      </c>
      <c r="T1494">
        <v>4</v>
      </c>
      <c r="U1494" t="s">
        <v>23</v>
      </c>
      <c r="V1494">
        <v>4</v>
      </c>
      <c r="W1494">
        <v>1</v>
      </c>
    </row>
    <row r="1495" spans="1:23" x14ac:dyDescent="0.35">
      <c r="A1495" t="s">
        <v>1548</v>
      </c>
      <c r="B1495" s="6">
        <v>45900</v>
      </c>
      <c r="D1495" t="s">
        <v>23</v>
      </c>
      <c r="E1495">
        <v>21</v>
      </c>
      <c r="F1495" t="s">
        <v>24</v>
      </c>
      <c r="G1495" t="s">
        <v>25</v>
      </c>
      <c r="H1495" t="s">
        <v>54</v>
      </c>
      <c r="I1495" t="s">
        <v>27</v>
      </c>
      <c r="J1495" t="s">
        <v>28</v>
      </c>
      <c r="K1495">
        <v>1</v>
      </c>
      <c r="L1495" t="s">
        <v>29</v>
      </c>
      <c r="M1495">
        <v>22000</v>
      </c>
      <c r="N1495">
        <v>9.5</v>
      </c>
      <c r="O1495">
        <v>1.7</v>
      </c>
      <c r="P1495">
        <v>0.3</v>
      </c>
      <c r="Q1495">
        <v>0</v>
      </c>
      <c r="R1495">
        <v>1</v>
      </c>
      <c r="S1495">
        <v>3</v>
      </c>
      <c r="T1495">
        <v>3</v>
      </c>
      <c r="U1495" t="s">
        <v>23</v>
      </c>
      <c r="V1495">
        <v>2</v>
      </c>
      <c r="W1495">
        <v>1</v>
      </c>
    </row>
    <row r="1496" spans="1:23" x14ac:dyDescent="0.35">
      <c r="A1496" t="s">
        <v>779</v>
      </c>
      <c r="B1496" s="6">
        <v>44518</v>
      </c>
      <c r="D1496" t="s">
        <v>23</v>
      </c>
      <c r="E1496">
        <v>28</v>
      </c>
      <c r="F1496" t="s">
        <v>62</v>
      </c>
      <c r="G1496" t="s">
        <v>37</v>
      </c>
      <c r="H1496" t="s">
        <v>54</v>
      </c>
      <c r="I1496" t="s">
        <v>68</v>
      </c>
      <c r="J1496" t="s">
        <v>102</v>
      </c>
      <c r="K1496">
        <v>2</v>
      </c>
      <c r="L1496" t="s">
        <v>40</v>
      </c>
      <c r="M1496">
        <v>60000</v>
      </c>
      <c r="N1496">
        <v>11.1</v>
      </c>
      <c r="O1496">
        <v>10.4</v>
      </c>
      <c r="P1496">
        <v>4.0999999999999996</v>
      </c>
      <c r="Q1496">
        <v>1.5</v>
      </c>
      <c r="R1496">
        <v>3</v>
      </c>
      <c r="S1496">
        <v>2</v>
      </c>
      <c r="T1496">
        <v>3</v>
      </c>
      <c r="U1496" t="s">
        <v>30</v>
      </c>
      <c r="V1496">
        <v>2</v>
      </c>
      <c r="W1496">
        <v>1</v>
      </c>
    </row>
    <row r="1497" spans="1:23" x14ac:dyDescent="0.35">
      <c r="A1497" t="s">
        <v>1173</v>
      </c>
      <c r="B1497" s="6">
        <v>44183</v>
      </c>
      <c r="D1497" t="s">
        <v>23</v>
      </c>
      <c r="E1497">
        <v>32</v>
      </c>
      <c r="F1497" t="s">
        <v>36</v>
      </c>
      <c r="G1497" t="s">
        <v>25</v>
      </c>
      <c r="H1497" t="s">
        <v>26</v>
      </c>
      <c r="I1497" t="s">
        <v>38</v>
      </c>
      <c r="J1497" t="s">
        <v>118</v>
      </c>
      <c r="K1497">
        <v>2</v>
      </c>
      <c r="L1497" t="s">
        <v>84</v>
      </c>
      <c r="M1497">
        <v>65000</v>
      </c>
      <c r="N1497">
        <v>7.2</v>
      </c>
      <c r="O1497">
        <v>11.8</v>
      </c>
      <c r="P1497">
        <v>5</v>
      </c>
      <c r="Q1497">
        <v>4</v>
      </c>
      <c r="R1497">
        <v>3</v>
      </c>
      <c r="S1497">
        <v>3</v>
      </c>
      <c r="T1497">
        <v>4</v>
      </c>
      <c r="U1497" t="s">
        <v>23</v>
      </c>
      <c r="V1497">
        <v>3</v>
      </c>
      <c r="W1497">
        <v>1</v>
      </c>
    </row>
    <row r="1498" spans="1:23" x14ac:dyDescent="0.35">
      <c r="A1498" t="s">
        <v>929</v>
      </c>
      <c r="B1498" s="6">
        <v>45259</v>
      </c>
      <c r="D1498" t="s">
        <v>23</v>
      </c>
      <c r="E1498">
        <v>27</v>
      </c>
      <c r="F1498" t="s">
        <v>62</v>
      </c>
      <c r="G1498" t="s">
        <v>25</v>
      </c>
      <c r="H1498" t="s">
        <v>58</v>
      </c>
      <c r="I1498" t="s">
        <v>27</v>
      </c>
      <c r="J1498" t="s">
        <v>33</v>
      </c>
      <c r="K1498">
        <v>1</v>
      </c>
      <c r="L1498" t="s">
        <v>66</v>
      </c>
      <c r="M1498">
        <v>51000</v>
      </c>
      <c r="N1498">
        <v>9.1</v>
      </c>
      <c r="O1498">
        <v>6.3</v>
      </c>
      <c r="P1498">
        <v>2.1</v>
      </c>
      <c r="Q1498">
        <v>0.5</v>
      </c>
      <c r="R1498">
        <v>3</v>
      </c>
      <c r="S1498">
        <v>3</v>
      </c>
      <c r="T1498">
        <v>4</v>
      </c>
      <c r="U1498" t="s">
        <v>23</v>
      </c>
      <c r="V1498">
        <v>4</v>
      </c>
      <c r="W1498">
        <v>1</v>
      </c>
    </row>
    <row r="1499" spans="1:23" x14ac:dyDescent="0.35">
      <c r="A1499" t="s">
        <v>289</v>
      </c>
      <c r="B1499" s="6">
        <v>42007</v>
      </c>
      <c r="D1499" t="s">
        <v>23</v>
      </c>
      <c r="E1499">
        <v>43</v>
      </c>
      <c r="F1499" t="s">
        <v>62</v>
      </c>
      <c r="G1499" t="s">
        <v>37</v>
      </c>
      <c r="H1499" t="s">
        <v>32</v>
      </c>
      <c r="I1499" t="s">
        <v>59</v>
      </c>
      <c r="J1499" t="s">
        <v>75</v>
      </c>
      <c r="K1499">
        <v>2</v>
      </c>
      <c r="M1499">
        <v>53000</v>
      </c>
      <c r="N1499">
        <v>12.4</v>
      </c>
      <c r="O1499">
        <v>18.100000000000001</v>
      </c>
      <c r="P1499">
        <v>11</v>
      </c>
      <c r="Q1499">
        <v>4.9000000000000004</v>
      </c>
      <c r="R1499">
        <v>1</v>
      </c>
      <c r="S1499">
        <v>1</v>
      </c>
      <c r="T1499">
        <v>3</v>
      </c>
      <c r="U1499" t="s">
        <v>23</v>
      </c>
      <c r="V1499">
        <v>4</v>
      </c>
      <c r="W1499">
        <v>1</v>
      </c>
    </row>
    <row r="1500" spans="1:23" x14ac:dyDescent="0.35">
      <c r="A1500" t="s">
        <v>1178</v>
      </c>
      <c r="B1500" s="6">
        <v>45368</v>
      </c>
      <c r="D1500" t="s">
        <v>23</v>
      </c>
      <c r="E1500">
        <v>35</v>
      </c>
      <c r="F1500" t="s">
        <v>62</v>
      </c>
      <c r="G1500" t="s">
        <v>25</v>
      </c>
      <c r="H1500" t="s">
        <v>26</v>
      </c>
      <c r="I1500" t="s">
        <v>59</v>
      </c>
      <c r="J1500" t="s">
        <v>60</v>
      </c>
      <c r="K1500">
        <v>2</v>
      </c>
      <c r="L1500" t="s">
        <v>29</v>
      </c>
      <c r="M1500">
        <v>46000</v>
      </c>
      <c r="N1500">
        <v>12.9</v>
      </c>
      <c r="O1500">
        <v>4.8</v>
      </c>
      <c r="P1500">
        <v>1.8</v>
      </c>
      <c r="Q1500">
        <v>0.2</v>
      </c>
      <c r="R1500">
        <v>4</v>
      </c>
      <c r="S1500">
        <v>2</v>
      </c>
      <c r="T1500">
        <v>3</v>
      </c>
      <c r="U1500" t="s">
        <v>23</v>
      </c>
      <c r="V1500">
        <v>4</v>
      </c>
      <c r="W1500">
        <v>1</v>
      </c>
    </row>
    <row r="1501" spans="1:23" x14ac:dyDescent="0.35">
      <c r="A1501" t="s">
        <v>501</v>
      </c>
      <c r="B1501" s="6">
        <v>44681</v>
      </c>
      <c r="C1501">
        <v>46016</v>
      </c>
      <c r="D1501" t="s">
        <v>30</v>
      </c>
      <c r="E1501">
        <v>38</v>
      </c>
      <c r="F1501" t="s">
        <v>24</v>
      </c>
      <c r="G1501" t="s">
        <v>37</v>
      </c>
      <c r="H1501" t="s">
        <v>32</v>
      </c>
      <c r="I1501" t="s">
        <v>59</v>
      </c>
      <c r="J1501" t="s">
        <v>75</v>
      </c>
      <c r="K1501">
        <v>2</v>
      </c>
      <c r="L1501" t="s">
        <v>66</v>
      </c>
      <c r="M1501">
        <v>32000</v>
      </c>
      <c r="N1501">
        <v>10.8</v>
      </c>
      <c r="O1501">
        <v>4.2</v>
      </c>
      <c r="P1501">
        <v>3.7</v>
      </c>
      <c r="Q1501">
        <v>2.5</v>
      </c>
      <c r="R1501">
        <v>2</v>
      </c>
      <c r="S1501">
        <v>3</v>
      </c>
      <c r="T1501">
        <v>3</v>
      </c>
      <c r="U1501" t="s">
        <v>23</v>
      </c>
      <c r="V1501">
        <v>5</v>
      </c>
      <c r="W1501">
        <v>1</v>
      </c>
    </row>
    <row r="1502" spans="1:23" x14ac:dyDescent="0.35">
      <c r="A1502" t="s">
        <v>468</v>
      </c>
      <c r="B1502" s="6">
        <v>44630</v>
      </c>
      <c r="D1502" t="s">
        <v>23</v>
      </c>
      <c r="E1502">
        <v>45</v>
      </c>
      <c r="F1502" t="s">
        <v>62</v>
      </c>
      <c r="G1502" t="s">
        <v>25</v>
      </c>
      <c r="H1502" t="s">
        <v>32</v>
      </c>
      <c r="I1502" t="s">
        <v>27</v>
      </c>
      <c r="J1502" t="s">
        <v>28</v>
      </c>
      <c r="K1502">
        <v>4</v>
      </c>
      <c r="L1502" t="s">
        <v>40</v>
      </c>
      <c r="M1502">
        <v>111000</v>
      </c>
      <c r="N1502">
        <v>10</v>
      </c>
      <c r="O1502">
        <v>7</v>
      </c>
      <c r="P1502">
        <v>3.8</v>
      </c>
      <c r="Q1502">
        <v>1.8</v>
      </c>
      <c r="R1502">
        <v>4</v>
      </c>
      <c r="S1502">
        <v>3</v>
      </c>
      <c r="T1502">
        <v>3</v>
      </c>
      <c r="U1502" t="s">
        <v>23</v>
      </c>
      <c r="V1502">
        <v>4</v>
      </c>
      <c r="W1502">
        <v>1</v>
      </c>
    </row>
    <row r="1503" spans="1:23" x14ac:dyDescent="0.35">
      <c r="A1503" t="s">
        <v>329</v>
      </c>
      <c r="B1503" s="6">
        <v>44818</v>
      </c>
      <c r="D1503" t="s">
        <v>23</v>
      </c>
      <c r="E1503">
        <v>26</v>
      </c>
      <c r="F1503" t="s">
        <v>24</v>
      </c>
      <c r="G1503" t="s">
        <v>25</v>
      </c>
      <c r="H1503" t="s">
        <v>32</v>
      </c>
      <c r="I1503" t="s">
        <v>55</v>
      </c>
      <c r="J1503" t="s">
        <v>80</v>
      </c>
      <c r="K1503">
        <v>1</v>
      </c>
      <c r="L1503" t="s">
        <v>29</v>
      </c>
      <c r="M1503">
        <v>54000</v>
      </c>
      <c r="N1503">
        <v>17</v>
      </c>
      <c r="O1503">
        <v>7.7</v>
      </c>
      <c r="P1503">
        <v>3.3</v>
      </c>
      <c r="Q1503">
        <v>2.8</v>
      </c>
      <c r="R1503">
        <v>3</v>
      </c>
      <c r="S1503">
        <v>1</v>
      </c>
      <c r="T1503">
        <v>3</v>
      </c>
      <c r="U1503" t="s">
        <v>23</v>
      </c>
      <c r="V1503">
        <v>3</v>
      </c>
      <c r="W1503">
        <v>1</v>
      </c>
    </row>
    <row r="1504" spans="1:23" x14ac:dyDescent="0.35">
      <c r="A1504" t="s">
        <v>1158</v>
      </c>
      <c r="B1504" s="6">
        <v>44331</v>
      </c>
      <c r="D1504" t="s">
        <v>23</v>
      </c>
      <c r="E1504">
        <v>44</v>
      </c>
      <c r="F1504" t="s">
        <v>62</v>
      </c>
      <c r="G1504" t="s">
        <v>42</v>
      </c>
      <c r="H1504" t="s">
        <v>54</v>
      </c>
      <c r="I1504" t="s">
        <v>45</v>
      </c>
      <c r="J1504" t="s">
        <v>77</v>
      </c>
      <c r="K1504">
        <v>3</v>
      </c>
      <c r="L1504" t="s">
        <v>66</v>
      </c>
      <c r="M1504">
        <v>67000</v>
      </c>
      <c r="N1504">
        <v>5.8</v>
      </c>
      <c r="O1504">
        <v>8.9</v>
      </c>
      <c r="P1504">
        <v>4.5999999999999996</v>
      </c>
      <c r="Q1504">
        <v>4</v>
      </c>
      <c r="R1504">
        <v>4</v>
      </c>
      <c r="S1504">
        <v>3</v>
      </c>
      <c r="T1504">
        <v>1</v>
      </c>
      <c r="U1504" t="s">
        <v>23</v>
      </c>
      <c r="V1504">
        <v>4</v>
      </c>
      <c r="W1504">
        <v>1</v>
      </c>
    </row>
    <row r="1505" spans="1:23" x14ac:dyDescent="0.35">
      <c r="A1505" t="s">
        <v>1462</v>
      </c>
      <c r="B1505" s="6">
        <v>43014</v>
      </c>
      <c r="D1505" t="s">
        <v>23</v>
      </c>
      <c r="E1505">
        <v>36</v>
      </c>
      <c r="F1505" t="s">
        <v>24</v>
      </c>
      <c r="G1505" t="s">
        <v>25</v>
      </c>
      <c r="H1505" t="s">
        <v>32</v>
      </c>
      <c r="I1505" t="s">
        <v>68</v>
      </c>
      <c r="J1505" t="s">
        <v>121</v>
      </c>
      <c r="K1505">
        <v>2</v>
      </c>
      <c r="L1505" t="s">
        <v>34</v>
      </c>
      <c r="M1505">
        <v>49000</v>
      </c>
      <c r="N1505">
        <v>11.2</v>
      </c>
      <c r="O1505">
        <v>15.6</v>
      </c>
      <c r="P1505">
        <v>8.1999999999999993</v>
      </c>
      <c r="Q1505">
        <v>0.9</v>
      </c>
      <c r="R1505">
        <v>1</v>
      </c>
      <c r="S1505">
        <v>3</v>
      </c>
      <c r="T1505">
        <v>2</v>
      </c>
      <c r="U1505" t="s">
        <v>30</v>
      </c>
      <c r="V1505">
        <v>4</v>
      </c>
      <c r="W1505">
        <v>1</v>
      </c>
    </row>
    <row r="1506" spans="1:23" x14ac:dyDescent="0.35">
      <c r="A1506" t="s">
        <v>569</v>
      </c>
      <c r="B1506" s="6">
        <v>45079</v>
      </c>
      <c r="D1506" t="s">
        <v>23</v>
      </c>
      <c r="E1506">
        <v>26</v>
      </c>
      <c r="F1506" t="s">
        <v>62</v>
      </c>
      <c r="G1506" t="s">
        <v>25</v>
      </c>
      <c r="H1506" t="s">
        <v>54</v>
      </c>
      <c r="I1506" t="s">
        <v>38</v>
      </c>
      <c r="J1506" t="s">
        <v>52</v>
      </c>
      <c r="K1506">
        <v>1</v>
      </c>
      <c r="L1506" t="s">
        <v>84</v>
      </c>
      <c r="M1506">
        <v>42000</v>
      </c>
      <c r="N1506">
        <v>12.5</v>
      </c>
      <c r="O1506">
        <v>5.0999999999999996</v>
      </c>
      <c r="P1506">
        <v>2.6</v>
      </c>
      <c r="Q1506">
        <v>1.2</v>
      </c>
      <c r="R1506">
        <v>3</v>
      </c>
      <c r="S1506">
        <v>3</v>
      </c>
      <c r="T1506">
        <v>4</v>
      </c>
      <c r="U1506" t="s">
        <v>30</v>
      </c>
      <c r="V1506">
        <v>3</v>
      </c>
      <c r="W1506">
        <v>1</v>
      </c>
    </row>
    <row r="1507" spans="1:23" x14ac:dyDescent="0.35">
      <c r="A1507" t="s">
        <v>113</v>
      </c>
      <c r="B1507" s="6">
        <v>44408</v>
      </c>
      <c r="D1507" t="s">
        <v>23</v>
      </c>
      <c r="E1507">
        <v>41</v>
      </c>
      <c r="F1507" t="s">
        <v>36</v>
      </c>
      <c r="G1507" t="s">
        <v>25</v>
      </c>
      <c r="H1507" t="s">
        <v>32</v>
      </c>
      <c r="I1507" t="s">
        <v>68</v>
      </c>
      <c r="J1507" t="s">
        <v>69</v>
      </c>
      <c r="K1507">
        <v>4</v>
      </c>
      <c r="L1507" t="s">
        <v>84</v>
      </c>
      <c r="M1507">
        <v>99000</v>
      </c>
      <c r="N1507">
        <v>10.9</v>
      </c>
      <c r="O1507">
        <v>6.6</v>
      </c>
      <c r="P1507">
        <v>4.4000000000000004</v>
      </c>
      <c r="Q1507">
        <v>0</v>
      </c>
      <c r="R1507">
        <v>2</v>
      </c>
      <c r="S1507">
        <v>3</v>
      </c>
      <c r="T1507">
        <v>3</v>
      </c>
      <c r="U1507" t="s">
        <v>23</v>
      </c>
      <c r="V1507">
        <v>4</v>
      </c>
      <c r="W1507">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20"/>
  <sheetViews>
    <sheetView workbookViewId="0">
      <selection activeCell="A4" sqref="A4"/>
    </sheetView>
  </sheetViews>
  <sheetFormatPr defaultRowHeight="14.5" x14ac:dyDescent="0.35"/>
  <cols>
    <col min="1" max="1" width="15.90625" bestFit="1" customWidth="1"/>
    <col min="2" max="2" width="21.90625" customWidth="1"/>
  </cols>
  <sheetData>
    <row r="3" spans="1:2" x14ac:dyDescent="0.35">
      <c r="A3" s="4" t="s">
        <v>1630</v>
      </c>
      <c r="B3" t="s">
        <v>1680</v>
      </c>
    </row>
    <row r="4" spans="1:2" x14ac:dyDescent="0.35">
      <c r="A4" s="5" t="s">
        <v>55</v>
      </c>
      <c r="B4" s="8">
        <v>0.13761467889908258</v>
      </c>
    </row>
    <row r="5" spans="1:2" x14ac:dyDescent="0.35">
      <c r="A5" s="5" t="s">
        <v>48</v>
      </c>
      <c r="B5" s="8">
        <v>0.13235294117647059</v>
      </c>
    </row>
    <row r="6" spans="1:2" x14ac:dyDescent="0.35">
      <c r="A6" s="5" t="s">
        <v>27</v>
      </c>
      <c r="B6" s="8">
        <v>0.16086956521739129</v>
      </c>
    </row>
    <row r="7" spans="1:2" x14ac:dyDescent="0.35">
      <c r="A7" s="5" t="s">
        <v>1634</v>
      </c>
      <c r="B7" s="8">
        <v>0.1388888888888889</v>
      </c>
    </row>
    <row r="8" spans="1:2" x14ac:dyDescent="0.35">
      <c r="A8" s="5" t="s">
        <v>45</v>
      </c>
      <c r="B8" s="8">
        <v>0.17889908256880735</v>
      </c>
    </row>
    <row r="9" spans="1:2" x14ac:dyDescent="0.35">
      <c r="A9" s="5" t="s">
        <v>68</v>
      </c>
      <c r="B9" s="8">
        <v>0.20618556701030927</v>
      </c>
    </row>
    <row r="10" spans="1:2" x14ac:dyDescent="0.35">
      <c r="A10" s="5" t="s">
        <v>38</v>
      </c>
      <c r="B10" s="8">
        <v>0.15909090909090909</v>
      </c>
    </row>
    <row r="11" spans="1:2" x14ac:dyDescent="0.35">
      <c r="A11" s="5" t="s">
        <v>1631</v>
      </c>
      <c r="B11" s="8">
        <v>0.15866666666666668</v>
      </c>
    </row>
    <row r="14" spans="1:2" x14ac:dyDescent="0.35">
      <c r="A14" s="4" t="s">
        <v>1630</v>
      </c>
      <c r="B14" t="s">
        <v>1680</v>
      </c>
    </row>
    <row r="15" spans="1:2" x14ac:dyDescent="0.35">
      <c r="A15" s="5" t="s">
        <v>1651</v>
      </c>
      <c r="B15" s="8">
        <v>0.23036649214659685</v>
      </c>
    </row>
    <row r="16" spans="1:2" x14ac:dyDescent="0.35">
      <c r="A16" s="5" t="s">
        <v>1650</v>
      </c>
      <c r="B16" s="8">
        <v>0.14756258234519104</v>
      </c>
    </row>
    <row r="17" spans="1:2" x14ac:dyDescent="0.35">
      <c r="A17" s="5" t="s">
        <v>1649</v>
      </c>
      <c r="B17" s="8">
        <v>0.14545454545454545</v>
      </c>
    </row>
    <row r="18" spans="1:2" x14ac:dyDescent="0.35">
      <c r="A18" s="5" t="s">
        <v>1652</v>
      </c>
      <c r="B18" s="8">
        <v>0.16666666666666666</v>
      </c>
    </row>
    <row r="19" spans="1:2" x14ac:dyDescent="0.35">
      <c r="A19" s="5" t="s">
        <v>1653</v>
      </c>
      <c r="B19" s="8">
        <v>1</v>
      </c>
    </row>
    <row r="20" spans="1:2" x14ac:dyDescent="0.35">
      <c r="A20" s="5" t="s">
        <v>1631</v>
      </c>
      <c r="B20" s="8">
        <v>0.15866666666666668</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E24C48-C7B9-4A06-8BBE-0671922920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Sheet1</vt:lpstr>
      <vt:lpstr>HR_Dashboard</vt:lpstr>
      <vt:lpstr>README</vt:lpstr>
      <vt:lpstr>HR_Findings</vt:lpstr>
      <vt:lpstr>HR_Analysis</vt:lpstr>
      <vt:lpstr>Data_Quality_Check</vt:lpstr>
      <vt:lpstr>Clean_HR_Data</vt:lpstr>
      <vt:lpstr>Raw_HR_Data</vt:lpstr>
      <vt:lpstr>Data_Dictionary</vt:lpstr>
      <vt:lpstr>Sheet3</vt:lpstr>
      <vt:lpstr>PT_Attrition</vt:lpstr>
      <vt:lpstr>Raw_HR_Data!Extract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jaydeep sutar</cp:lastModifiedBy>
  <dcterms:created xsi:type="dcterms:W3CDTF">2026-09-29T12:59:00Z</dcterms:created>
  <dcterms:modified xsi:type="dcterms:W3CDTF">2026-10-06T12:46:56Z</dcterms:modified>
</cp:coreProperties>
</file>